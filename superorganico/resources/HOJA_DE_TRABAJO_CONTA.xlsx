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 RYZEN 5\Documents\UPDS\contabilidad\"/>
    </mc:Choice>
  </mc:AlternateContent>
  <xr:revisionPtr revIDLastSave="0" documentId="13_ncr:1_{00D1EA59-5B1F-4CA3-94CA-60E358FFFCC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LAN DE CUENTAS" sheetId="1" r:id="rId1"/>
    <sheet name="DIARIO" sheetId="2" r:id="rId2"/>
    <sheet name="HOJA DE TRABAJO" sheetId="3" r:id="rId3"/>
    <sheet name="BALANCE GENERAL" sheetId="4" r:id="rId4"/>
    <sheet name="ESTADO DE RESULTAD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E21" i="5"/>
  <c r="E15" i="5"/>
  <c r="F14" i="5" s="1"/>
  <c r="G40" i="4"/>
  <c r="G29" i="4"/>
  <c r="F36" i="4"/>
  <c r="F30" i="4"/>
  <c r="E31" i="4"/>
  <c r="G27" i="4"/>
  <c r="F7" i="4"/>
  <c r="B9" i="4"/>
  <c r="B8" i="4"/>
  <c r="B7" i="4"/>
  <c r="E8" i="3"/>
  <c r="H111" i="2"/>
  <c r="H106" i="2"/>
  <c r="H107" i="2"/>
  <c r="M101" i="2"/>
  <c r="H101" i="2"/>
  <c r="L101" i="2"/>
  <c r="K101" i="2"/>
  <c r="M98" i="2"/>
  <c r="L98" i="2"/>
  <c r="J99" i="2"/>
  <c r="K98" i="2"/>
  <c r="G86" i="2"/>
  <c r="H89" i="2"/>
  <c r="H88" i="2"/>
  <c r="G83" i="2"/>
  <c r="G82" i="2" s="1"/>
  <c r="F80" i="2"/>
  <c r="G78" i="2"/>
  <c r="L78" i="2"/>
  <c r="K78" i="2"/>
  <c r="G72" i="2"/>
  <c r="G73" i="2"/>
  <c r="L72" i="2"/>
  <c r="G68" i="2"/>
  <c r="G69" i="2"/>
  <c r="G64" i="2"/>
  <c r="G65" i="2"/>
  <c r="F6" i="2"/>
  <c r="F7" i="2"/>
  <c r="F8" i="2"/>
  <c r="F9" i="2"/>
  <c r="F10" i="2"/>
  <c r="F11" i="2"/>
  <c r="F12" i="2"/>
  <c r="F13" i="2"/>
  <c r="F14" i="2"/>
  <c r="F15" i="2"/>
  <c r="F16" i="2"/>
  <c r="F17" i="2"/>
  <c r="G17" i="2"/>
  <c r="G16" i="2" s="1"/>
  <c r="F18" i="2"/>
  <c r="F19" i="2"/>
  <c r="F20" i="2"/>
  <c r="F21" i="2"/>
  <c r="G21" i="2"/>
  <c r="G20" i="2" s="1"/>
  <c r="F22" i="2"/>
  <c r="F23" i="2"/>
  <c r="F24" i="2"/>
  <c r="F25" i="2"/>
  <c r="G25" i="2"/>
  <c r="F26" i="2"/>
  <c r="F27" i="2"/>
  <c r="H27" i="2"/>
  <c r="H26" i="2" s="1"/>
  <c r="F28" i="2"/>
  <c r="F29" i="2"/>
  <c r="F30" i="2"/>
  <c r="F31" i="2"/>
  <c r="G31" i="2"/>
  <c r="F32" i="2"/>
  <c r="F33" i="2"/>
  <c r="H33" i="2"/>
  <c r="H32" i="2" s="1"/>
  <c r="F34" i="2"/>
  <c r="F35" i="2"/>
  <c r="F36" i="2"/>
  <c r="F37" i="2"/>
  <c r="F38" i="2"/>
  <c r="H38" i="2"/>
  <c r="H37" i="2" s="1"/>
  <c r="F39" i="2"/>
  <c r="F40" i="2"/>
  <c r="F41" i="2"/>
  <c r="G41" i="2"/>
  <c r="F42" i="2"/>
  <c r="F43" i="2"/>
  <c r="H43" i="2"/>
  <c r="H42" i="2" s="1"/>
  <c r="F44" i="2"/>
  <c r="F45" i="2"/>
  <c r="F46" i="2"/>
  <c r="F47" i="2"/>
  <c r="F48" i="2"/>
  <c r="F49" i="2"/>
  <c r="F50" i="2"/>
  <c r="F51" i="2"/>
  <c r="F52" i="2"/>
  <c r="F53" i="2"/>
  <c r="F54" i="2"/>
  <c r="F55" i="2"/>
  <c r="G55" i="2"/>
  <c r="F56" i="2"/>
  <c r="H56" i="2"/>
  <c r="F57" i="2"/>
  <c r="H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K61" i="2"/>
  <c r="K62" i="2" s="1"/>
  <c r="K60" i="2"/>
  <c r="L56" i="2"/>
  <c r="J58" i="2" s="1"/>
  <c r="L53" i="2"/>
  <c r="N53" i="2" s="1"/>
  <c r="J54" i="2"/>
  <c r="L52" i="2"/>
  <c r="M73" i="2" l="1"/>
  <c r="M72" i="2"/>
  <c r="J73" i="2"/>
  <c r="L57" i="2"/>
  <c r="L58" i="2"/>
  <c r="A124" i="3"/>
  <c r="B124" i="3"/>
  <c r="C124" i="3"/>
  <c r="L124" i="3" s="1"/>
  <c r="E124" i="3"/>
  <c r="F124" i="3"/>
  <c r="J124" i="3"/>
  <c r="K124" i="3"/>
  <c r="A39" i="3"/>
  <c r="E39" i="3" s="1"/>
  <c r="B39" i="3"/>
  <c r="C39" i="3"/>
  <c r="J39" i="3" s="1"/>
  <c r="M39" i="3"/>
  <c r="C49" i="3"/>
  <c r="C48" i="3"/>
  <c r="C47" i="3"/>
  <c r="C46" i="3"/>
  <c r="C45" i="3"/>
  <c r="C44" i="3"/>
  <c r="C43" i="3"/>
  <c r="C42" i="3"/>
  <c r="C41" i="3"/>
  <c r="C40" i="3"/>
  <c r="C99" i="3"/>
  <c r="J99" i="3" s="1"/>
  <c r="N39" i="3" l="1"/>
  <c r="I124" i="3"/>
  <c r="H124" i="3"/>
  <c r="N124" i="3" s="1"/>
  <c r="D124" i="3"/>
  <c r="G124" i="3"/>
  <c r="M124" i="3" s="1"/>
  <c r="L39" i="3"/>
  <c r="K39" i="3"/>
  <c r="F39" i="3"/>
  <c r="H39" i="3" s="1"/>
  <c r="M99" i="3"/>
  <c r="A24" i="3"/>
  <c r="A25" i="3"/>
  <c r="A26" i="3"/>
  <c r="A27" i="3"/>
  <c r="A28" i="3"/>
  <c r="A29" i="3"/>
  <c r="A30" i="3"/>
  <c r="A31" i="3"/>
  <c r="A32" i="3"/>
  <c r="A33" i="3"/>
  <c r="F33" i="3" s="1"/>
  <c r="A34" i="3"/>
  <c r="A35" i="3"/>
  <c r="A36" i="3"/>
  <c r="F36" i="3" s="1"/>
  <c r="A37" i="3"/>
  <c r="A38" i="3"/>
  <c r="A40" i="3"/>
  <c r="A41" i="3"/>
  <c r="A42" i="3"/>
  <c r="A43" i="3"/>
  <c r="A44" i="3"/>
  <c r="A45" i="3"/>
  <c r="A46" i="3"/>
  <c r="A47" i="3"/>
  <c r="F47" i="3" s="1"/>
  <c r="A48" i="3"/>
  <c r="F48" i="3" s="1"/>
  <c r="A49" i="3"/>
  <c r="A50" i="3"/>
  <c r="F50" i="3" s="1"/>
  <c r="A51" i="3"/>
  <c r="A52" i="3"/>
  <c r="A53" i="3"/>
  <c r="A54" i="3"/>
  <c r="A55" i="3"/>
  <c r="A56" i="3"/>
  <c r="A57" i="3"/>
  <c r="A58" i="3"/>
  <c r="A59" i="3"/>
  <c r="A60" i="3"/>
  <c r="A61" i="3"/>
  <c r="F61" i="3" s="1"/>
  <c r="A62" i="3"/>
  <c r="F62" i="3" s="1"/>
  <c r="A63" i="3"/>
  <c r="F63" i="3" s="1"/>
  <c r="A64" i="3"/>
  <c r="A65" i="3"/>
  <c r="A66" i="3"/>
  <c r="A67" i="3"/>
  <c r="A68" i="3"/>
  <c r="A69" i="3"/>
  <c r="A70" i="3"/>
  <c r="A71" i="3"/>
  <c r="A72" i="3"/>
  <c r="F72" i="3" s="1"/>
  <c r="A73" i="3"/>
  <c r="A74" i="3"/>
  <c r="F74" i="3" s="1"/>
  <c r="A75" i="3"/>
  <c r="A76" i="3"/>
  <c r="A77" i="3"/>
  <c r="F77" i="3" s="1"/>
  <c r="A78" i="3"/>
  <c r="A79" i="3"/>
  <c r="A80" i="3"/>
  <c r="A81" i="3"/>
  <c r="A82" i="3"/>
  <c r="A83" i="3"/>
  <c r="A84" i="3"/>
  <c r="A85" i="3"/>
  <c r="A86" i="3"/>
  <c r="A87" i="3"/>
  <c r="F87" i="3" s="1"/>
  <c r="A88" i="3"/>
  <c r="F88" i="3" s="1"/>
  <c r="A89" i="3"/>
  <c r="A90" i="3"/>
  <c r="A91" i="3"/>
  <c r="A92" i="3"/>
  <c r="A93" i="3"/>
  <c r="A94" i="3"/>
  <c r="A95" i="3"/>
  <c r="A96" i="3"/>
  <c r="A97" i="3"/>
  <c r="A98" i="3"/>
  <c r="F98" i="3" s="1"/>
  <c r="A99" i="3"/>
  <c r="A100" i="3"/>
  <c r="A101" i="3"/>
  <c r="F101" i="3" s="1"/>
  <c r="A102" i="3"/>
  <c r="A103" i="3"/>
  <c r="A104" i="3"/>
  <c r="A105" i="3"/>
  <c r="A106" i="3"/>
  <c r="A107" i="3"/>
  <c r="A108" i="3"/>
  <c r="A109" i="3"/>
  <c r="A110" i="3"/>
  <c r="A111" i="3"/>
  <c r="F111" i="3" s="1"/>
  <c r="A112" i="3"/>
  <c r="E112" i="3" s="1"/>
  <c r="A113" i="3"/>
  <c r="A114" i="3"/>
  <c r="F114" i="3" s="1"/>
  <c r="A115" i="3"/>
  <c r="A116" i="3"/>
  <c r="A117" i="3"/>
  <c r="A118" i="3"/>
  <c r="A119" i="3"/>
  <c r="A120" i="3"/>
  <c r="A121" i="3"/>
  <c r="A122" i="3"/>
  <c r="A123" i="3"/>
  <c r="A125" i="3"/>
  <c r="A126" i="3"/>
  <c r="F126" i="3" s="1"/>
  <c r="A127" i="3"/>
  <c r="A128" i="3"/>
  <c r="F128" i="3" s="1"/>
  <c r="A129" i="3"/>
  <c r="A130" i="3"/>
  <c r="A131" i="3"/>
  <c r="A132" i="3"/>
  <c r="A133" i="3"/>
  <c r="A134" i="3"/>
  <c r="A135" i="3"/>
  <c r="A136" i="3"/>
  <c r="A137" i="3"/>
  <c r="F137" i="3" s="1"/>
  <c r="A138" i="3"/>
  <c r="A139" i="3"/>
  <c r="F139" i="3" s="1"/>
  <c r="A140" i="3"/>
  <c r="A141" i="3"/>
  <c r="A142" i="3"/>
  <c r="F142" i="3" s="1"/>
  <c r="A143" i="3"/>
  <c r="A144" i="3"/>
  <c r="A145" i="3"/>
  <c r="A146" i="3"/>
  <c r="A147" i="3"/>
  <c r="A148" i="3"/>
  <c r="A149" i="3"/>
  <c r="A150" i="3"/>
  <c r="A151" i="3"/>
  <c r="A152" i="3"/>
  <c r="F152" i="3" s="1"/>
  <c r="A153" i="3"/>
  <c r="F153" i="3" s="1"/>
  <c r="A154" i="3"/>
  <c r="A155" i="3"/>
  <c r="A156" i="3"/>
  <c r="A157" i="3"/>
  <c r="A158" i="3"/>
  <c r="A159" i="3"/>
  <c r="A160" i="3"/>
  <c r="A161" i="3"/>
  <c r="F161" i="3" s="1"/>
  <c r="A162" i="3"/>
  <c r="F162" i="3" s="1"/>
  <c r="A163" i="3"/>
  <c r="F163" i="3" s="1"/>
  <c r="A164" i="3"/>
  <c r="A165" i="3"/>
  <c r="A166" i="3"/>
  <c r="A167" i="3"/>
  <c r="A168" i="3"/>
  <c r="A169" i="3"/>
  <c r="E169" i="3" s="1"/>
  <c r="A170" i="3"/>
  <c r="A171" i="3"/>
  <c r="F171" i="3" s="1"/>
  <c r="A172" i="3"/>
  <c r="A173" i="3"/>
  <c r="A174" i="3"/>
  <c r="F174" i="3" s="1"/>
  <c r="A175" i="3"/>
  <c r="A176" i="3"/>
  <c r="A177" i="3"/>
  <c r="E177" i="3" s="1"/>
  <c r="A178" i="3"/>
  <c r="A179" i="3"/>
  <c r="A180" i="3"/>
  <c r="A181" i="3"/>
  <c r="A182" i="3"/>
  <c r="A183" i="3"/>
  <c r="A184" i="3"/>
  <c r="F184" i="3" s="1"/>
  <c r="A185" i="3"/>
  <c r="F185" i="3" s="1"/>
  <c r="A186" i="3"/>
  <c r="A187" i="3"/>
  <c r="A188" i="3"/>
  <c r="A189" i="3"/>
  <c r="A190" i="3"/>
  <c r="A191" i="3"/>
  <c r="A192" i="3"/>
  <c r="A193" i="3"/>
  <c r="F193" i="3" s="1"/>
  <c r="A194" i="3"/>
  <c r="F194" i="3" s="1"/>
  <c r="A195" i="3"/>
  <c r="F195" i="3" s="1"/>
  <c r="A196" i="3"/>
  <c r="A197" i="3"/>
  <c r="A198" i="3"/>
  <c r="A199" i="3"/>
  <c r="A200" i="3"/>
  <c r="A201" i="3"/>
  <c r="A202" i="3"/>
  <c r="A203" i="3"/>
  <c r="F203" i="3" s="1"/>
  <c r="A204" i="3"/>
  <c r="A205" i="3"/>
  <c r="A206" i="3"/>
  <c r="F206" i="3" s="1"/>
  <c r="A207" i="3"/>
  <c r="A208" i="3"/>
  <c r="A209" i="3"/>
  <c r="A210" i="3"/>
  <c r="A211" i="3"/>
  <c r="A212" i="3"/>
  <c r="A213" i="3"/>
  <c r="A214" i="3"/>
  <c r="A215" i="3"/>
  <c r="A216" i="3"/>
  <c r="F216" i="3" s="1"/>
  <c r="A217" i="3"/>
  <c r="F217" i="3" s="1"/>
  <c r="A218" i="3"/>
  <c r="A219" i="3"/>
  <c r="A220" i="3"/>
  <c r="A221" i="3"/>
  <c r="A222" i="3"/>
  <c r="A223" i="3"/>
  <c r="A224" i="3"/>
  <c r="A225" i="3"/>
  <c r="F225" i="3" s="1"/>
  <c r="A226" i="3"/>
  <c r="F226" i="3" s="1"/>
  <c r="A227" i="3"/>
  <c r="F227" i="3" s="1"/>
  <c r="A228" i="3"/>
  <c r="A229" i="3"/>
  <c r="A230" i="3"/>
  <c r="A231" i="3"/>
  <c r="A232" i="3"/>
  <c r="A233" i="3"/>
  <c r="E233" i="3" s="1"/>
  <c r="A234" i="3"/>
  <c r="A235" i="3"/>
  <c r="F235" i="3" s="1"/>
  <c r="A236" i="3"/>
  <c r="A237" i="3"/>
  <c r="A238" i="3"/>
  <c r="F238" i="3" s="1"/>
  <c r="A239" i="3"/>
  <c r="A240" i="3"/>
  <c r="A241" i="3"/>
  <c r="A242" i="3"/>
  <c r="A243" i="3"/>
  <c r="A244" i="3"/>
  <c r="A245" i="3"/>
  <c r="A246" i="3"/>
  <c r="A247" i="3"/>
  <c r="A248" i="3"/>
  <c r="F248" i="3" s="1"/>
  <c r="A249" i="3"/>
  <c r="F249" i="3" s="1"/>
  <c r="A250" i="3"/>
  <c r="A251" i="3"/>
  <c r="A252" i="3"/>
  <c r="A253" i="3"/>
  <c r="A254" i="3"/>
  <c r="A255" i="3"/>
  <c r="A256" i="3"/>
  <c r="A257" i="3"/>
  <c r="F257" i="3" s="1"/>
  <c r="A258" i="3"/>
  <c r="F258" i="3" s="1"/>
  <c r="A259" i="3"/>
  <c r="F259" i="3" s="1"/>
  <c r="A260" i="3"/>
  <c r="A261" i="3"/>
  <c r="A262" i="3"/>
  <c r="A263" i="3"/>
  <c r="A264" i="3"/>
  <c r="A265" i="3"/>
  <c r="A266" i="3"/>
  <c r="A267" i="3"/>
  <c r="F267" i="3" s="1"/>
  <c r="A268" i="3"/>
  <c r="A269" i="3"/>
  <c r="A270" i="3"/>
  <c r="F270" i="3" s="1"/>
  <c r="A271" i="3"/>
  <c r="A272" i="3"/>
  <c r="A273" i="3"/>
  <c r="A274" i="3"/>
  <c r="A275" i="3"/>
  <c r="A276" i="3"/>
  <c r="A277" i="3"/>
  <c r="A278" i="3"/>
  <c r="A279" i="3"/>
  <c r="F279" i="3" s="1"/>
  <c r="A280" i="3"/>
  <c r="F280" i="3" s="1"/>
  <c r="A281" i="3"/>
  <c r="F281" i="3" s="1"/>
  <c r="A282" i="3"/>
  <c r="A283" i="3"/>
  <c r="A284" i="3"/>
  <c r="E284" i="3" s="1"/>
  <c r="A285" i="3"/>
  <c r="A286" i="3"/>
  <c r="A287" i="3"/>
  <c r="A288" i="3"/>
  <c r="F288" i="3" s="1"/>
  <c r="A289" i="3"/>
  <c r="F289" i="3" s="1"/>
  <c r="A290" i="3"/>
  <c r="F290" i="3" s="1"/>
  <c r="A291" i="3"/>
  <c r="A292" i="3"/>
  <c r="A293" i="3"/>
  <c r="A294" i="3"/>
  <c r="A295" i="3"/>
  <c r="A296" i="3"/>
  <c r="A297" i="3"/>
  <c r="F297" i="3" s="1"/>
  <c r="A298" i="3"/>
  <c r="F298" i="3" s="1"/>
  <c r="A299" i="3"/>
  <c r="F299" i="3" s="1"/>
  <c r="A300" i="3"/>
  <c r="A301" i="3"/>
  <c r="A302" i="3"/>
  <c r="A303" i="3"/>
  <c r="A304" i="3"/>
  <c r="A305" i="3"/>
  <c r="A306" i="3"/>
  <c r="F306" i="3" s="1"/>
  <c r="A307" i="3"/>
  <c r="F307" i="3" s="1"/>
  <c r="A308" i="3"/>
  <c r="A309" i="3"/>
  <c r="A310" i="3"/>
  <c r="A311" i="3"/>
  <c r="A312" i="3"/>
  <c r="A313" i="3"/>
  <c r="A314" i="3"/>
  <c r="A315" i="3"/>
  <c r="F315" i="3" s="1"/>
  <c r="A316" i="3"/>
  <c r="A317" i="3"/>
  <c r="A318" i="3"/>
  <c r="F318" i="3" s="1"/>
  <c r="A319" i="3"/>
  <c r="A320" i="3"/>
  <c r="A321" i="3"/>
  <c r="A322" i="3"/>
  <c r="A323" i="3"/>
  <c r="A324" i="3"/>
  <c r="A325" i="3"/>
  <c r="A326" i="3"/>
  <c r="F326" i="3" s="1"/>
  <c r="A327" i="3"/>
  <c r="A328" i="3"/>
  <c r="A329" i="3"/>
  <c r="A330" i="3"/>
  <c r="A331" i="3"/>
  <c r="A332" i="3"/>
  <c r="A333" i="3"/>
  <c r="A334" i="3"/>
  <c r="F334" i="3" s="1"/>
  <c r="A335" i="3"/>
  <c r="A336" i="3"/>
  <c r="F336" i="3" s="1"/>
  <c r="A337" i="3"/>
  <c r="A338" i="3"/>
  <c r="A339" i="3"/>
  <c r="A340" i="3"/>
  <c r="E340" i="3" s="1"/>
  <c r="A341" i="3"/>
  <c r="A342" i="3"/>
  <c r="A343" i="3"/>
  <c r="A344" i="3"/>
  <c r="F344" i="3" s="1"/>
  <c r="A345" i="3"/>
  <c r="F345" i="3" s="1"/>
  <c r="A346" i="3"/>
  <c r="A347" i="3"/>
  <c r="A348" i="3"/>
  <c r="E348" i="3" s="1"/>
  <c r="A349" i="3"/>
  <c r="A350" i="3"/>
  <c r="A351" i="3"/>
  <c r="F351" i="3" s="1"/>
  <c r="A352" i="3"/>
  <c r="F352" i="3" s="1"/>
  <c r="A353" i="3"/>
  <c r="F353" i="3" s="1"/>
  <c r="A354" i="3"/>
  <c r="A355" i="3"/>
  <c r="A356" i="3"/>
  <c r="A357" i="3"/>
  <c r="A358" i="3"/>
  <c r="A359" i="3"/>
  <c r="A360" i="3"/>
  <c r="F360" i="3" s="1"/>
  <c r="A361" i="3"/>
  <c r="F361" i="3" s="1"/>
  <c r="A362" i="3"/>
  <c r="A363" i="3"/>
  <c r="A364" i="3"/>
  <c r="A365" i="3"/>
  <c r="A366" i="3"/>
  <c r="A367" i="3"/>
  <c r="A368" i="3"/>
  <c r="F368" i="3" s="1"/>
  <c r="A369" i="3"/>
  <c r="F369" i="3" s="1"/>
  <c r="A370" i="3"/>
  <c r="A371" i="3"/>
  <c r="A372" i="3"/>
  <c r="A373" i="3"/>
  <c r="A374" i="3"/>
  <c r="A375" i="3"/>
  <c r="A376" i="3"/>
  <c r="F376" i="3" s="1"/>
  <c r="A377" i="3"/>
  <c r="F377" i="3" s="1"/>
  <c r="A378" i="3"/>
  <c r="A379" i="3"/>
  <c r="A380" i="3"/>
  <c r="A381" i="3"/>
  <c r="A382" i="3"/>
  <c r="A383" i="3"/>
  <c r="A384" i="3"/>
  <c r="F384" i="3" s="1"/>
  <c r="A385" i="3"/>
  <c r="F385" i="3" s="1"/>
  <c r="A386" i="3"/>
  <c r="A387" i="3"/>
  <c r="A388" i="3"/>
  <c r="A389" i="3"/>
  <c r="A390" i="3"/>
  <c r="A391" i="3"/>
  <c r="A392" i="3"/>
  <c r="F392" i="3" s="1"/>
  <c r="A393" i="3"/>
  <c r="F393" i="3" s="1"/>
  <c r="A394" i="3"/>
  <c r="A395" i="3"/>
  <c r="A396" i="3"/>
  <c r="E396" i="3" s="1"/>
  <c r="A397" i="3"/>
  <c r="A398" i="3"/>
  <c r="A399" i="3"/>
  <c r="A400" i="3"/>
  <c r="F400" i="3" s="1"/>
  <c r="A401" i="3"/>
  <c r="F401" i="3" s="1"/>
  <c r="A402" i="3"/>
  <c r="A403" i="3"/>
  <c r="A404" i="3"/>
  <c r="E404" i="3" s="1"/>
  <c r="A405" i="3"/>
  <c r="A406" i="3"/>
  <c r="A407" i="3"/>
  <c r="A408" i="3"/>
  <c r="F408" i="3" s="1"/>
  <c r="A409" i="3"/>
  <c r="F409" i="3" s="1"/>
  <c r="A410" i="3"/>
  <c r="A411" i="3"/>
  <c r="A412" i="3"/>
  <c r="A413" i="3"/>
  <c r="A414" i="3"/>
  <c r="A415" i="3"/>
  <c r="F415" i="3" s="1"/>
  <c r="A416" i="3"/>
  <c r="F416" i="3" s="1"/>
  <c r="A417" i="3"/>
  <c r="F417" i="3" s="1"/>
  <c r="A418" i="3"/>
  <c r="A419" i="3"/>
  <c r="A420" i="3"/>
  <c r="A421" i="3"/>
  <c r="A422" i="3"/>
  <c r="A423" i="3"/>
  <c r="A424" i="3"/>
  <c r="F424" i="3" s="1"/>
  <c r="A425" i="3"/>
  <c r="F425" i="3" s="1"/>
  <c r="A426" i="3"/>
  <c r="A427" i="3"/>
  <c r="A428" i="3"/>
  <c r="A429" i="3"/>
  <c r="A430" i="3"/>
  <c r="A431" i="3"/>
  <c r="A432" i="3"/>
  <c r="F432" i="3" s="1"/>
  <c r="A433" i="3"/>
  <c r="F433" i="3" s="1"/>
  <c r="A434" i="3"/>
  <c r="A435" i="3"/>
  <c r="A436" i="3"/>
  <c r="A437" i="3"/>
  <c r="A438" i="3"/>
  <c r="A439" i="3"/>
  <c r="A440" i="3"/>
  <c r="F440" i="3" s="1"/>
  <c r="A441" i="3"/>
  <c r="F441" i="3" s="1"/>
  <c r="A442" i="3"/>
  <c r="A443" i="3"/>
  <c r="A444" i="3"/>
  <c r="A445" i="3"/>
  <c r="A446" i="3"/>
  <c r="A447" i="3"/>
  <c r="A448" i="3"/>
  <c r="F448" i="3" s="1"/>
  <c r="A449" i="3"/>
  <c r="F449" i="3" s="1"/>
  <c r="A450" i="3"/>
  <c r="A451" i="3"/>
  <c r="A452" i="3"/>
  <c r="A453" i="3"/>
  <c r="A454" i="3"/>
  <c r="A455" i="3"/>
  <c r="A456" i="3"/>
  <c r="F456" i="3" s="1"/>
  <c r="A457" i="3"/>
  <c r="F457" i="3" s="1"/>
  <c r="A458" i="3"/>
  <c r="A459" i="3"/>
  <c r="A460" i="3"/>
  <c r="E460" i="3" s="1"/>
  <c r="A461" i="3"/>
  <c r="A462" i="3"/>
  <c r="A463" i="3"/>
  <c r="A464" i="3"/>
  <c r="F464" i="3" s="1"/>
  <c r="A465" i="3"/>
  <c r="F465" i="3" s="1"/>
  <c r="A466" i="3"/>
  <c r="A467" i="3"/>
  <c r="A468" i="3"/>
  <c r="A469" i="3"/>
  <c r="A470" i="3"/>
  <c r="A471" i="3"/>
  <c r="A472" i="3"/>
  <c r="F472" i="3" s="1"/>
  <c r="A473" i="3"/>
  <c r="F473" i="3" s="1"/>
  <c r="A474" i="3"/>
  <c r="A475" i="3"/>
  <c r="A476" i="3"/>
  <c r="A477" i="3"/>
  <c r="A478" i="3"/>
  <c r="A479" i="3"/>
  <c r="F479" i="3" s="1"/>
  <c r="A480" i="3"/>
  <c r="F480" i="3" s="1"/>
  <c r="A481" i="3"/>
  <c r="F481" i="3" s="1"/>
  <c r="A482" i="3"/>
  <c r="A483" i="3"/>
  <c r="A484" i="3"/>
  <c r="A485" i="3"/>
  <c r="A486" i="3"/>
  <c r="A487" i="3"/>
  <c r="A488" i="3"/>
  <c r="F488" i="3" s="1"/>
  <c r="A489" i="3"/>
  <c r="F489" i="3" s="1"/>
  <c r="A490" i="3"/>
  <c r="A491" i="3"/>
  <c r="A492" i="3"/>
  <c r="A493" i="3"/>
  <c r="A494" i="3"/>
  <c r="A495" i="3"/>
  <c r="A496" i="3"/>
  <c r="F496" i="3" s="1"/>
  <c r="A497" i="3"/>
  <c r="F497" i="3" s="1"/>
  <c r="A498" i="3"/>
  <c r="A499" i="3"/>
  <c r="A500" i="3"/>
  <c r="A501" i="3"/>
  <c r="A502" i="3"/>
  <c r="A503" i="3"/>
  <c r="A504" i="3"/>
  <c r="F504" i="3" s="1"/>
  <c r="A505" i="3"/>
  <c r="F505" i="3" s="1"/>
  <c r="A506" i="3"/>
  <c r="A507" i="3"/>
  <c r="A508" i="3"/>
  <c r="A509" i="3"/>
  <c r="A510" i="3"/>
  <c r="A511" i="3"/>
  <c r="A512" i="3"/>
  <c r="F512" i="3" s="1"/>
  <c r="A513" i="3"/>
  <c r="F513" i="3" s="1"/>
  <c r="A514" i="3"/>
  <c r="A515" i="3"/>
  <c r="A516" i="3"/>
  <c r="A517" i="3"/>
  <c r="A518" i="3"/>
  <c r="A519" i="3"/>
  <c r="A520" i="3"/>
  <c r="F520" i="3" s="1"/>
  <c r="A521" i="3"/>
  <c r="F521" i="3" s="1"/>
  <c r="A522" i="3"/>
  <c r="A523" i="3"/>
  <c r="A524" i="3"/>
  <c r="A525" i="3"/>
  <c r="A526" i="3"/>
  <c r="A527" i="3"/>
  <c r="A528" i="3"/>
  <c r="F528" i="3" s="1"/>
  <c r="A529" i="3"/>
  <c r="F529" i="3" s="1"/>
  <c r="A530" i="3"/>
  <c r="A531" i="3"/>
  <c r="A532" i="3"/>
  <c r="A533" i="3"/>
  <c r="A534" i="3"/>
  <c r="A535" i="3"/>
  <c r="A536" i="3"/>
  <c r="F536" i="3" s="1"/>
  <c r="A537" i="3"/>
  <c r="F537" i="3" s="1"/>
  <c r="A538" i="3"/>
  <c r="A539" i="3"/>
  <c r="A540" i="3"/>
  <c r="A541" i="3"/>
  <c r="A542" i="3"/>
  <c r="A543" i="3"/>
  <c r="F543" i="3" s="1"/>
  <c r="A544" i="3"/>
  <c r="F544" i="3" s="1"/>
  <c r="A545" i="3"/>
  <c r="F545" i="3" s="1"/>
  <c r="A546" i="3"/>
  <c r="A547" i="3"/>
  <c r="A548" i="3"/>
  <c r="A549" i="3"/>
  <c r="A550" i="3"/>
  <c r="A551" i="3"/>
  <c r="A552" i="3"/>
  <c r="F552" i="3" s="1"/>
  <c r="A553" i="3"/>
  <c r="F553" i="3" s="1"/>
  <c r="A554" i="3"/>
  <c r="A555" i="3"/>
  <c r="A556" i="3"/>
  <c r="A557" i="3"/>
  <c r="A558" i="3"/>
  <c r="A559" i="3"/>
  <c r="A560" i="3"/>
  <c r="F560" i="3" s="1"/>
  <c r="A561" i="3"/>
  <c r="F561" i="3" s="1"/>
  <c r="A562" i="3"/>
  <c r="A563" i="3"/>
  <c r="A564" i="3"/>
  <c r="A565" i="3"/>
  <c r="A566" i="3"/>
  <c r="A567" i="3"/>
  <c r="A568" i="3"/>
  <c r="F568" i="3" s="1"/>
  <c r="A569" i="3"/>
  <c r="F569" i="3" s="1"/>
  <c r="A570" i="3"/>
  <c r="A571" i="3"/>
  <c r="A572" i="3"/>
  <c r="A573" i="3"/>
  <c r="A574" i="3"/>
  <c r="A575" i="3"/>
  <c r="A576" i="3"/>
  <c r="F576" i="3" s="1"/>
  <c r="A577" i="3"/>
  <c r="F577" i="3" s="1"/>
  <c r="A578" i="3"/>
  <c r="A579" i="3"/>
  <c r="A580" i="3"/>
  <c r="A581" i="3"/>
  <c r="A582" i="3"/>
  <c r="A583" i="3"/>
  <c r="A584" i="3"/>
  <c r="F584" i="3" s="1"/>
  <c r="A585" i="3"/>
  <c r="F585" i="3" s="1"/>
  <c r="A586" i="3"/>
  <c r="A587" i="3"/>
  <c r="A588" i="3"/>
  <c r="A589" i="3"/>
  <c r="A590" i="3"/>
  <c r="A591" i="3"/>
  <c r="A592" i="3"/>
  <c r="F592" i="3" s="1"/>
  <c r="A593" i="3"/>
  <c r="F593" i="3" s="1"/>
  <c r="A594" i="3"/>
  <c r="A595" i="3"/>
  <c r="A596" i="3"/>
  <c r="A597" i="3"/>
  <c r="A598" i="3"/>
  <c r="A599" i="3"/>
  <c r="A600" i="3"/>
  <c r="F600" i="3" s="1"/>
  <c r="A601" i="3"/>
  <c r="F601" i="3" s="1"/>
  <c r="A602" i="3"/>
  <c r="A603" i="3"/>
  <c r="A604" i="3"/>
  <c r="A605" i="3"/>
  <c r="A606" i="3"/>
  <c r="A607" i="3"/>
  <c r="F607" i="3" s="1"/>
  <c r="A608" i="3"/>
  <c r="F608" i="3" s="1"/>
  <c r="A609" i="3"/>
  <c r="F609" i="3" s="1"/>
  <c r="A610" i="3"/>
  <c r="A611" i="3"/>
  <c r="A612" i="3"/>
  <c r="A613" i="3"/>
  <c r="A614" i="3"/>
  <c r="A615" i="3"/>
  <c r="A616" i="3"/>
  <c r="F616" i="3" s="1"/>
  <c r="A617" i="3"/>
  <c r="F617" i="3" s="1"/>
  <c r="A618" i="3"/>
  <c r="A619" i="3"/>
  <c r="A620" i="3"/>
  <c r="A621" i="3"/>
  <c r="A622" i="3"/>
  <c r="A623" i="3"/>
  <c r="A624" i="3"/>
  <c r="F624" i="3" s="1"/>
  <c r="A625" i="3"/>
  <c r="F625" i="3" s="1"/>
  <c r="A626" i="3"/>
  <c r="A627" i="3"/>
  <c r="A628" i="3"/>
  <c r="A629" i="3"/>
  <c r="A630" i="3"/>
  <c r="A631" i="3"/>
  <c r="E631" i="3" s="1"/>
  <c r="A632" i="3"/>
  <c r="F632" i="3" s="1"/>
  <c r="A633" i="3"/>
  <c r="F633" i="3" s="1"/>
  <c r="A634" i="3"/>
  <c r="A635" i="3"/>
  <c r="A636" i="3"/>
  <c r="A637" i="3"/>
  <c r="A638" i="3"/>
  <c r="A639" i="3"/>
  <c r="A640" i="3"/>
  <c r="F640" i="3" s="1"/>
  <c r="A641" i="3"/>
  <c r="F641" i="3" s="1"/>
  <c r="A642" i="3"/>
  <c r="A643" i="3"/>
  <c r="A644" i="3"/>
  <c r="A645" i="3"/>
  <c r="A646" i="3"/>
  <c r="A647" i="3"/>
  <c r="A648" i="3"/>
  <c r="F648" i="3" s="1"/>
  <c r="A649" i="3"/>
  <c r="F649" i="3" s="1"/>
  <c r="A650" i="3"/>
  <c r="A651" i="3"/>
  <c r="A652" i="3"/>
  <c r="A653" i="3"/>
  <c r="A654" i="3"/>
  <c r="A655" i="3"/>
  <c r="A656" i="3"/>
  <c r="F656" i="3" s="1"/>
  <c r="A657" i="3"/>
  <c r="F657" i="3" s="1"/>
  <c r="A658" i="3"/>
  <c r="A659" i="3"/>
  <c r="A660" i="3"/>
  <c r="A661" i="3"/>
  <c r="A662" i="3"/>
  <c r="A663" i="3"/>
  <c r="A664" i="3"/>
  <c r="F664" i="3" s="1"/>
  <c r="A665" i="3"/>
  <c r="F665" i="3" s="1"/>
  <c r="A666" i="3"/>
  <c r="A667" i="3"/>
  <c r="A668" i="3"/>
  <c r="A669" i="3"/>
  <c r="A670" i="3"/>
  <c r="A671" i="3"/>
  <c r="F671" i="3" s="1"/>
  <c r="A672" i="3"/>
  <c r="F672" i="3" s="1"/>
  <c r="A673" i="3"/>
  <c r="F673" i="3" s="1"/>
  <c r="A674" i="3"/>
  <c r="A675" i="3"/>
  <c r="A676" i="3"/>
  <c r="A677" i="3"/>
  <c r="A678" i="3"/>
  <c r="A679" i="3"/>
  <c r="A680" i="3"/>
  <c r="F680" i="3" s="1"/>
  <c r="A681" i="3"/>
  <c r="F681" i="3" s="1"/>
  <c r="A682" i="3"/>
  <c r="A683" i="3"/>
  <c r="A684" i="3"/>
  <c r="A685" i="3"/>
  <c r="A686" i="3"/>
  <c r="A687" i="3"/>
  <c r="A688" i="3"/>
  <c r="F688" i="3" s="1"/>
  <c r="A689" i="3"/>
  <c r="F689" i="3" s="1"/>
  <c r="A690" i="3"/>
  <c r="A691" i="3"/>
  <c r="A692" i="3"/>
  <c r="A693" i="3"/>
  <c r="A694" i="3"/>
  <c r="A695" i="3"/>
  <c r="A696" i="3"/>
  <c r="F696" i="3" s="1"/>
  <c r="A697" i="3"/>
  <c r="F697" i="3" s="1"/>
  <c r="A698" i="3"/>
  <c r="A699" i="3"/>
  <c r="A700" i="3"/>
  <c r="A701" i="3"/>
  <c r="A702" i="3"/>
  <c r="A703" i="3"/>
  <c r="A704" i="3"/>
  <c r="F704" i="3" s="1"/>
  <c r="A705" i="3"/>
  <c r="F705" i="3" s="1"/>
  <c r="A706" i="3"/>
  <c r="A707" i="3"/>
  <c r="A708" i="3"/>
  <c r="A709" i="3"/>
  <c r="A710" i="3"/>
  <c r="A711" i="3"/>
  <c r="A712" i="3"/>
  <c r="F712" i="3" s="1"/>
  <c r="A713" i="3"/>
  <c r="F713" i="3" s="1"/>
  <c r="A714" i="3"/>
  <c r="A715" i="3"/>
  <c r="A716" i="3"/>
  <c r="A717" i="3"/>
  <c r="A718" i="3"/>
  <c r="A719" i="3"/>
  <c r="A720" i="3"/>
  <c r="F720" i="3" s="1"/>
  <c r="A721" i="3"/>
  <c r="F721" i="3" s="1"/>
  <c r="A722" i="3"/>
  <c r="A723" i="3"/>
  <c r="A724" i="3"/>
  <c r="A725" i="3"/>
  <c r="A726" i="3"/>
  <c r="A727" i="3"/>
  <c r="A728" i="3"/>
  <c r="F728" i="3" s="1"/>
  <c r="A729" i="3"/>
  <c r="F729" i="3" s="1"/>
  <c r="A730" i="3"/>
  <c r="A731" i="3"/>
  <c r="A732" i="3"/>
  <c r="A733" i="3"/>
  <c r="A734" i="3"/>
  <c r="A735" i="3"/>
  <c r="F735" i="3" s="1"/>
  <c r="A736" i="3"/>
  <c r="F736" i="3" s="1"/>
  <c r="A737" i="3"/>
  <c r="E737" i="3" s="1"/>
  <c r="A738" i="3"/>
  <c r="A739" i="3"/>
  <c r="A740" i="3"/>
  <c r="A741" i="3"/>
  <c r="A742" i="3"/>
  <c r="A743" i="3"/>
  <c r="A744" i="3"/>
  <c r="F744" i="3" s="1"/>
  <c r="A745" i="3"/>
  <c r="F745" i="3" s="1"/>
  <c r="A746" i="3"/>
  <c r="A747" i="3"/>
  <c r="A748" i="3"/>
  <c r="A749" i="3"/>
  <c r="A750" i="3"/>
  <c r="A751" i="3"/>
  <c r="A752" i="3"/>
  <c r="F752" i="3" s="1"/>
  <c r="A753" i="3"/>
  <c r="F753" i="3" s="1"/>
  <c r="A754" i="3"/>
  <c r="A755" i="3"/>
  <c r="A756" i="3"/>
  <c r="A757" i="3"/>
  <c r="A758" i="3"/>
  <c r="A759" i="3"/>
  <c r="A760" i="3"/>
  <c r="F760" i="3" s="1"/>
  <c r="A761" i="3"/>
  <c r="F761" i="3" s="1"/>
  <c r="A762" i="3"/>
  <c r="A763" i="3"/>
  <c r="A764" i="3"/>
  <c r="A765" i="3"/>
  <c r="A766" i="3"/>
  <c r="A767" i="3"/>
  <c r="A768" i="3"/>
  <c r="F768" i="3" s="1"/>
  <c r="A769" i="3"/>
  <c r="F769" i="3" s="1"/>
  <c r="A770" i="3"/>
  <c r="A771" i="3"/>
  <c r="A772" i="3"/>
  <c r="A773" i="3"/>
  <c r="A774" i="3"/>
  <c r="A775" i="3"/>
  <c r="A776" i="3"/>
  <c r="F776" i="3" s="1"/>
  <c r="A777" i="3"/>
  <c r="F777" i="3" s="1"/>
  <c r="A778" i="3"/>
  <c r="A779" i="3"/>
  <c r="A780" i="3"/>
  <c r="A781" i="3"/>
  <c r="A782" i="3"/>
  <c r="A783" i="3"/>
  <c r="A784" i="3"/>
  <c r="F784" i="3" s="1"/>
  <c r="A785" i="3"/>
  <c r="F785" i="3" s="1"/>
  <c r="A786" i="3"/>
  <c r="A787" i="3"/>
  <c r="A788" i="3"/>
  <c r="A789" i="3"/>
  <c r="A790" i="3"/>
  <c r="A791" i="3"/>
  <c r="A792" i="3"/>
  <c r="F792" i="3" s="1"/>
  <c r="A793" i="3"/>
  <c r="F793" i="3" s="1"/>
  <c r="A794" i="3"/>
  <c r="A795" i="3"/>
  <c r="A796" i="3"/>
  <c r="E796" i="3" s="1"/>
  <c r="A797" i="3"/>
  <c r="A798" i="3"/>
  <c r="A799" i="3"/>
  <c r="F799" i="3" s="1"/>
  <c r="A800" i="3"/>
  <c r="F800" i="3" s="1"/>
  <c r="A801" i="3"/>
  <c r="E801" i="3" s="1"/>
  <c r="A802" i="3"/>
  <c r="A803" i="3"/>
  <c r="A804" i="3"/>
  <c r="A805" i="3"/>
  <c r="A806" i="3"/>
  <c r="A807" i="3"/>
  <c r="A808" i="3"/>
  <c r="F808" i="3" s="1"/>
  <c r="A809" i="3"/>
  <c r="F809" i="3" s="1"/>
  <c r="A810" i="3"/>
  <c r="A811" i="3"/>
  <c r="A812" i="3"/>
  <c r="A813" i="3"/>
  <c r="A814" i="3"/>
  <c r="A815" i="3"/>
  <c r="A816" i="3"/>
  <c r="F816" i="3" s="1"/>
  <c r="A817" i="3"/>
  <c r="F817" i="3" s="1"/>
  <c r="A818" i="3"/>
  <c r="A819" i="3"/>
  <c r="A820" i="3"/>
  <c r="A821" i="3"/>
  <c r="A822" i="3"/>
  <c r="A823" i="3"/>
  <c r="A824" i="3"/>
  <c r="F824" i="3" s="1"/>
  <c r="A825" i="3"/>
  <c r="F825" i="3" s="1"/>
  <c r="A826" i="3"/>
  <c r="A827" i="3"/>
  <c r="A828" i="3"/>
  <c r="A829" i="3"/>
  <c r="A830" i="3"/>
  <c r="A831" i="3"/>
  <c r="A832" i="3"/>
  <c r="F832" i="3" s="1"/>
  <c r="A833" i="3"/>
  <c r="F833" i="3" s="1"/>
  <c r="A834" i="3"/>
  <c r="A835" i="3"/>
  <c r="A836" i="3"/>
  <c r="A837" i="3"/>
  <c r="A838" i="3"/>
  <c r="A839" i="3"/>
  <c r="A840" i="3"/>
  <c r="F840" i="3" s="1"/>
  <c r="A841" i="3"/>
  <c r="F841" i="3" s="1"/>
  <c r="A842" i="3"/>
  <c r="A843" i="3"/>
  <c r="A844" i="3"/>
  <c r="A845" i="3"/>
  <c r="A846" i="3"/>
  <c r="A847" i="3"/>
  <c r="A848" i="3"/>
  <c r="F848" i="3" s="1"/>
  <c r="A849" i="3"/>
  <c r="F849" i="3" s="1"/>
  <c r="A850" i="3"/>
  <c r="A851" i="3"/>
  <c r="A852" i="3"/>
  <c r="E852" i="3" s="1"/>
  <c r="A853" i="3"/>
  <c r="A854" i="3"/>
  <c r="A855" i="3"/>
  <c r="A856" i="3"/>
  <c r="F856" i="3" s="1"/>
  <c r="A857" i="3"/>
  <c r="F857" i="3" s="1"/>
  <c r="A858" i="3"/>
  <c r="A859" i="3"/>
  <c r="A860" i="3"/>
  <c r="E860" i="3" s="1"/>
  <c r="A861" i="3"/>
  <c r="A862" i="3"/>
  <c r="A863" i="3"/>
  <c r="F863" i="3" s="1"/>
  <c r="A864" i="3"/>
  <c r="F864" i="3" s="1"/>
  <c r="A865" i="3"/>
  <c r="F865" i="3" s="1"/>
  <c r="A866" i="3"/>
  <c r="A867" i="3"/>
  <c r="A868" i="3"/>
  <c r="A869" i="3"/>
  <c r="A870" i="3"/>
  <c r="A871" i="3"/>
  <c r="A872" i="3"/>
  <c r="F872" i="3" s="1"/>
  <c r="A873" i="3"/>
  <c r="F873" i="3" s="1"/>
  <c r="A874" i="3"/>
  <c r="A875" i="3"/>
  <c r="A876" i="3"/>
  <c r="A877" i="3"/>
  <c r="A878" i="3"/>
  <c r="A879" i="3"/>
  <c r="A880" i="3"/>
  <c r="F880" i="3" s="1"/>
  <c r="A881" i="3"/>
  <c r="F881" i="3" s="1"/>
  <c r="A882" i="3"/>
  <c r="A883" i="3"/>
  <c r="A884" i="3"/>
  <c r="A885" i="3"/>
  <c r="A886" i="3"/>
  <c r="A887" i="3"/>
  <c r="A888" i="3"/>
  <c r="F888" i="3" s="1"/>
  <c r="A889" i="3"/>
  <c r="F889" i="3" s="1"/>
  <c r="A890" i="3"/>
  <c r="A891" i="3"/>
  <c r="A892" i="3"/>
  <c r="A893" i="3"/>
  <c r="A894" i="3"/>
  <c r="A895" i="3"/>
  <c r="A896" i="3"/>
  <c r="F896" i="3" s="1"/>
  <c r="A897" i="3"/>
  <c r="F897" i="3" s="1"/>
  <c r="A898" i="3"/>
  <c r="A899" i="3"/>
  <c r="A900" i="3"/>
  <c r="A901" i="3"/>
  <c r="A902" i="3"/>
  <c r="A903" i="3"/>
  <c r="A904" i="3"/>
  <c r="F904" i="3" s="1"/>
  <c r="A905" i="3"/>
  <c r="F905" i="3" s="1"/>
  <c r="A906" i="3"/>
  <c r="A907" i="3"/>
  <c r="A908" i="3"/>
  <c r="E908" i="3" s="1"/>
  <c r="A909" i="3"/>
  <c r="A910" i="3"/>
  <c r="A911" i="3"/>
  <c r="A912" i="3"/>
  <c r="F912" i="3" s="1"/>
  <c r="A913" i="3"/>
  <c r="F913" i="3" s="1"/>
  <c r="A914" i="3"/>
  <c r="A915" i="3"/>
  <c r="A916" i="3"/>
  <c r="E916" i="3" s="1"/>
  <c r="A917" i="3"/>
  <c r="A918" i="3"/>
  <c r="A919" i="3"/>
  <c r="A920" i="3"/>
  <c r="F920" i="3" s="1"/>
  <c r="A921" i="3"/>
  <c r="F921" i="3" s="1"/>
  <c r="A922" i="3"/>
  <c r="A923" i="3"/>
  <c r="A924" i="3"/>
  <c r="A925" i="3"/>
  <c r="A926" i="3"/>
  <c r="A927" i="3"/>
  <c r="F927" i="3" s="1"/>
  <c r="A928" i="3"/>
  <c r="F928" i="3" s="1"/>
  <c r="A929" i="3"/>
  <c r="F929" i="3" s="1"/>
  <c r="A930" i="3"/>
  <c r="A931" i="3"/>
  <c r="A932" i="3"/>
  <c r="A933" i="3"/>
  <c r="A934" i="3"/>
  <c r="A935" i="3"/>
  <c r="A936" i="3"/>
  <c r="F936" i="3" s="1"/>
  <c r="A937" i="3"/>
  <c r="F937" i="3" s="1"/>
  <c r="A938" i="3"/>
  <c r="A939" i="3"/>
  <c r="A940" i="3"/>
  <c r="A941" i="3"/>
  <c r="A942" i="3"/>
  <c r="A943" i="3"/>
  <c r="A944" i="3"/>
  <c r="F944" i="3" s="1"/>
  <c r="A945" i="3"/>
  <c r="F945" i="3" s="1"/>
  <c r="A946" i="3"/>
  <c r="A947" i="3"/>
  <c r="A948" i="3"/>
  <c r="A949" i="3"/>
  <c r="A950" i="3"/>
  <c r="A951" i="3"/>
  <c r="A952" i="3"/>
  <c r="F952" i="3" s="1"/>
  <c r="A953" i="3"/>
  <c r="F953" i="3" s="1"/>
  <c r="A954" i="3"/>
  <c r="A955" i="3"/>
  <c r="A956" i="3"/>
  <c r="A957" i="3"/>
  <c r="A958" i="3"/>
  <c r="A959" i="3"/>
  <c r="A960" i="3"/>
  <c r="F960" i="3" s="1"/>
  <c r="A961" i="3"/>
  <c r="F961" i="3" s="1"/>
  <c r="A962" i="3"/>
  <c r="A963" i="3"/>
  <c r="A964" i="3"/>
  <c r="A965" i="3"/>
  <c r="A966" i="3"/>
  <c r="A967" i="3"/>
  <c r="A968" i="3"/>
  <c r="F968" i="3" s="1"/>
  <c r="A969" i="3"/>
  <c r="F969" i="3" s="1"/>
  <c r="A970" i="3"/>
  <c r="A971" i="3"/>
  <c r="A972" i="3"/>
  <c r="E972" i="3" s="1"/>
  <c r="A973" i="3"/>
  <c r="A974" i="3"/>
  <c r="A975" i="3"/>
  <c r="A976" i="3"/>
  <c r="F976" i="3" s="1"/>
  <c r="A977" i="3"/>
  <c r="F977" i="3" s="1"/>
  <c r="A978" i="3"/>
  <c r="A979" i="3"/>
  <c r="A980" i="3"/>
  <c r="A981" i="3"/>
  <c r="A982" i="3"/>
  <c r="A983" i="3"/>
  <c r="A984" i="3"/>
  <c r="F984" i="3" s="1"/>
  <c r="A985" i="3"/>
  <c r="F985" i="3" s="1"/>
  <c r="A986" i="3"/>
  <c r="A987" i="3"/>
  <c r="A988" i="3"/>
  <c r="A989" i="3"/>
  <c r="A990" i="3"/>
  <c r="A991" i="3"/>
  <c r="F991" i="3" s="1"/>
  <c r="A992" i="3"/>
  <c r="F992" i="3" s="1"/>
  <c r="A993" i="3"/>
  <c r="F993" i="3" s="1"/>
  <c r="A994" i="3"/>
  <c r="A995" i="3"/>
  <c r="A996" i="3"/>
  <c r="A997" i="3"/>
  <c r="A998" i="3"/>
  <c r="A999" i="3"/>
  <c r="A1000" i="3"/>
  <c r="F1000" i="3" s="1"/>
  <c r="A1001" i="3"/>
  <c r="F1001" i="3" s="1"/>
  <c r="A1002" i="3"/>
  <c r="A1003" i="3"/>
  <c r="A1004" i="3"/>
  <c r="A1005" i="3"/>
  <c r="A1006" i="3"/>
  <c r="A1007" i="3"/>
  <c r="A1008" i="3"/>
  <c r="F1008" i="3" s="1"/>
  <c r="A1009" i="3"/>
  <c r="F1009" i="3" s="1"/>
  <c r="A1010" i="3"/>
  <c r="A1011" i="3"/>
  <c r="A1012" i="3"/>
  <c r="A1013" i="3"/>
  <c r="A1014" i="3"/>
  <c r="A1015" i="3"/>
  <c r="A1016" i="3"/>
  <c r="F1016" i="3" s="1"/>
  <c r="A1017" i="3"/>
  <c r="F1017" i="3" s="1"/>
  <c r="A1018" i="3"/>
  <c r="A1019" i="3"/>
  <c r="A1020" i="3"/>
  <c r="A1021" i="3"/>
  <c r="A1022" i="3"/>
  <c r="A1023" i="3"/>
  <c r="A1024" i="3"/>
  <c r="F1024" i="3" s="1"/>
  <c r="A1025" i="3"/>
  <c r="F1025" i="3" s="1"/>
  <c r="A1026" i="3"/>
  <c r="A1027" i="3"/>
  <c r="A1028" i="3"/>
  <c r="A1029" i="3"/>
  <c r="A1030" i="3"/>
  <c r="A1031" i="3"/>
  <c r="A1032" i="3"/>
  <c r="F1032" i="3" s="1"/>
  <c r="A1033" i="3"/>
  <c r="F1033" i="3" s="1"/>
  <c r="A1034" i="3"/>
  <c r="A1035" i="3"/>
  <c r="A1036" i="3"/>
  <c r="A1037" i="3"/>
  <c r="A1038" i="3"/>
  <c r="A1039" i="3"/>
  <c r="A1040" i="3"/>
  <c r="F1040" i="3" s="1"/>
  <c r="A1041" i="3"/>
  <c r="F1041" i="3" s="1"/>
  <c r="A1042" i="3"/>
  <c r="A1043" i="3"/>
  <c r="A1044" i="3"/>
  <c r="A1045" i="3"/>
  <c r="A1046" i="3"/>
  <c r="A1047" i="3"/>
  <c r="A1048" i="3"/>
  <c r="F1048" i="3" s="1"/>
  <c r="A1049" i="3"/>
  <c r="F1049" i="3" s="1"/>
  <c r="A1050" i="3"/>
  <c r="A1051" i="3"/>
  <c r="A1052" i="3"/>
  <c r="A1053" i="3"/>
  <c r="A1054" i="3"/>
  <c r="A1055" i="3"/>
  <c r="F1055" i="3" s="1"/>
  <c r="A1056" i="3"/>
  <c r="F1056" i="3" s="1"/>
  <c r="A1057" i="3"/>
  <c r="F1057" i="3" s="1"/>
  <c r="A1058" i="3"/>
  <c r="A1059" i="3"/>
  <c r="A1060" i="3"/>
  <c r="A1061" i="3"/>
  <c r="A1062" i="3"/>
  <c r="A1063" i="3"/>
  <c r="A1064" i="3"/>
  <c r="F1064" i="3" s="1"/>
  <c r="A1065" i="3"/>
  <c r="F1065" i="3" s="1"/>
  <c r="A1066" i="3"/>
  <c r="A1067" i="3"/>
  <c r="A1068" i="3"/>
  <c r="A1069" i="3"/>
  <c r="A1070" i="3"/>
  <c r="A1071" i="3"/>
  <c r="A1072" i="3"/>
  <c r="F1072" i="3" s="1"/>
  <c r="A1073" i="3"/>
  <c r="F1073" i="3" s="1"/>
  <c r="A1074" i="3"/>
  <c r="A1075" i="3"/>
  <c r="A1076" i="3"/>
  <c r="A1077" i="3"/>
  <c r="A1078" i="3"/>
  <c r="E1078" i="3" s="1"/>
  <c r="A1079" i="3"/>
  <c r="A1080" i="3"/>
  <c r="F1080" i="3" s="1"/>
  <c r="A1081" i="3"/>
  <c r="F1081" i="3" s="1"/>
  <c r="A1082" i="3"/>
  <c r="A1083" i="3"/>
  <c r="A1084" i="3"/>
  <c r="A1085" i="3"/>
  <c r="A1086" i="3"/>
  <c r="A1087" i="3"/>
  <c r="A1088" i="3"/>
  <c r="F1088" i="3" s="1"/>
  <c r="A1089" i="3"/>
  <c r="F1089" i="3" s="1"/>
  <c r="A1090" i="3"/>
  <c r="A1091" i="3"/>
  <c r="A1092" i="3"/>
  <c r="A1093" i="3"/>
  <c r="A1094" i="3"/>
  <c r="A1095" i="3"/>
  <c r="A1096" i="3"/>
  <c r="F1096" i="3" s="1"/>
  <c r="A1097" i="3"/>
  <c r="F1097" i="3" s="1"/>
  <c r="A1098" i="3"/>
  <c r="A1099" i="3"/>
  <c r="A1100" i="3"/>
  <c r="A1101" i="3"/>
  <c r="A1102" i="3"/>
  <c r="A1103" i="3"/>
  <c r="A1104" i="3"/>
  <c r="F1104" i="3" s="1"/>
  <c r="A1105" i="3"/>
  <c r="F1105" i="3" s="1"/>
  <c r="A1106" i="3"/>
  <c r="A1107" i="3"/>
  <c r="A1108" i="3"/>
  <c r="A1109" i="3"/>
  <c r="A1110" i="3"/>
  <c r="A1111" i="3"/>
  <c r="A1112" i="3"/>
  <c r="F1112" i="3" s="1"/>
  <c r="A1113" i="3"/>
  <c r="F1113" i="3" s="1"/>
  <c r="A1114" i="3"/>
  <c r="A1115" i="3"/>
  <c r="A1116" i="3"/>
  <c r="A1117" i="3"/>
  <c r="A1118" i="3"/>
  <c r="A1119" i="3"/>
  <c r="F1119" i="3" s="1"/>
  <c r="A1120" i="3"/>
  <c r="F1120" i="3" s="1"/>
  <c r="A1121" i="3"/>
  <c r="F1121" i="3" s="1"/>
  <c r="A1122" i="3"/>
  <c r="A1123" i="3"/>
  <c r="A1124" i="3"/>
  <c r="E1124" i="3" s="1"/>
  <c r="A1125" i="3"/>
  <c r="A1126" i="3"/>
  <c r="A1127" i="3"/>
  <c r="A1128" i="3"/>
  <c r="F1128" i="3" s="1"/>
  <c r="A1129" i="3"/>
  <c r="F1129" i="3" s="1"/>
  <c r="A1130" i="3"/>
  <c r="A1131" i="3"/>
  <c r="A1132" i="3"/>
  <c r="A1133" i="3"/>
  <c r="A1134" i="3"/>
  <c r="A1135" i="3"/>
  <c r="A1136" i="3"/>
  <c r="F1136" i="3" s="1"/>
  <c r="A1137" i="3"/>
  <c r="F1137" i="3" s="1"/>
  <c r="A1138" i="3"/>
  <c r="A1139" i="3"/>
  <c r="A1140" i="3"/>
  <c r="A1141" i="3"/>
  <c r="A1142" i="3"/>
  <c r="A1143" i="3"/>
  <c r="A1144" i="3"/>
  <c r="F1144" i="3" s="1"/>
  <c r="A1145" i="3"/>
  <c r="E1145" i="3" s="1"/>
  <c r="A1146" i="3"/>
  <c r="A1147" i="3"/>
  <c r="A1148" i="3"/>
  <c r="E1148" i="3" s="1"/>
  <c r="A1149" i="3"/>
  <c r="A1150" i="3"/>
  <c r="A1151" i="3"/>
  <c r="A1152" i="3"/>
  <c r="F1152" i="3" s="1"/>
  <c r="A1153" i="3"/>
  <c r="F1153" i="3" s="1"/>
  <c r="A1154" i="3"/>
  <c r="A1155" i="3"/>
  <c r="A1156" i="3"/>
  <c r="A1157" i="3"/>
  <c r="A1158" i="3"/>
  <c r="A1159" i="3"/>
  <c r="A1160" i="3"/>
  <c r="F1160" i="3" s="1"/>
  <c r="A1161" i="3"/>
  <c r="F1161" i="3" s="1"/>
  <c r="A1162" i="3"/>
  <c r="A1163" i="3"/>
  <c r="A1164" i="3"/>
  <c r="A1165" i="3"/>
  <c r="A1166" i="3"/>
  <c r="A1167" i="3"/>
  <c r="A1168" i="3"/>
  <c r="F1168" i="3" s="1"/>
  <c r="A1169" i="3"/>
  <c r="E1169" i="3" s="1"/>
  <c r="A1170" i="3"/>
  <c r="A1171" i="3"/>
  <c r="A1172" i="3"/>
  <c r="A1173" i="3"/>
  <c r="A1174" i="3"/>
  <c r="A1175" i="3"/>
  <c r="A1176" i="3"/>
  <c r="F1176" i="3" s="1"/>
  <c r="A1177" i="3"/>
  <c r="F1177" i="3" s="1"/>
  <c r="A1178" i="3"/>
  <c r="A1179" i="3"/>
  <c r="A1180" i="3"/>
  <c r="A1181" i="3"/>
  <c r="A1182" i="3"/>
  <c r="A1183" i="3"/>
  <c r="F1183" i="3" s="1"/>
  <c r="A1184" i="3"/>
  <c r="F1184" i="3" s="1"/>
  <c r="A1185" i="3"/>
  <c r="F1185" i="3" s="1"/>
  <c r="A1186" i="3"/>
  <c r="A1187" i="3"/>
  <c r="A1188" i="3"/>
  <c r="E1188" i="3" s="1"/>
  <c r="A1189" i="3"/>
  <c r="A1190" i="3"/>
  <c r="A1191" i="3"/>
  <c r="A1192" i="3"/>
  <c r="F1192" i="3" s="1"/>
  <c r="A1193" i="3"/>
  <c r="F1193" i="3" s="1"/>
  <c r="A1194" i="3"/>
  <c r="A1195" i="3"/>
  <c r="A1196" i="3"/>
  <c r="A1197" i="3"/>
  <c r="A1198" i="3"/>
  <c r="A1199" i="3"/>
  <c r="A1200" i="3"/>
  <c r="F1200" i="3" s="1"/>
  <c r="A1201" i="3"/>
  <c r="F1201" i="3" s="1"/>
  <c r="A1202" i="3"/>
  <c r="A1203" i="3"/>
  <c r="A1204" i="3"/>
  <c r="A1205" i="3"/>
  <c r="A1206" i="3"/>
  <c r="A1207" i="3"/>
  <c r="A1208" i="3"/>
  <c r="F1208" i="3" s="1"/>
  <c r="A1209" i="3"/>
  <c r="F1209" i="3" s="1"/>
  <c r="A1210" i="3"/>
  <c r="A1211" i="3"/>
  <c r="A1212" i="3"/>
  <c r="E1212" i="3" s="1"/>
  <c r="A1213" i="3"/>
  <c r="A1214" i="3"/>
  <c r="A1215" i="3"/>
  <c r="A1216" i="3"/>
  <c r="F1216" i="3" s="1"/>
  <c r="A1217" i="3"/>
  <c r="F1217" i="3" s="1"/>
  <c r="A1218" i="3"/>
  <c r="A1219" i="3"/>
  <c r="A1220" i="3"/>
  <c r="A1221" i="3"/>
  <c r="A1222" i="3"/>
  <c r="A1223" i="3"/>
  <c r="A1224" i="3"/>
  <c r="F1224" i="3" s="1"/>
  <c r="A1225" i="3"/>
  <c r="F1225" i="3" s="1"/>
  <c r="A1226" i="3"/>
  <c r="A1227" i="3"/>
  <c r="A1228" i="3"/>
  <c r="A1229" i="3"/>
  <c r="A1230" i="3"/>
  <c r="A1231" i="3"/>
  <c r="A1232" i="3"/>
  <c r="F1232" i="3" s="1"/>
  <c r="A1233" i="3"/>
  <c r="E1233" i="3" s="1"/>
  <c r="A1234" i="3"/>
  <c r="A1235" i="3"/>
  <c r="A1236" i="3"/>
  <c r="A1237" i="3"/>
  <c r="A1238" i="3"/>
  <c r="A1239" i="3"/>
  <c r="A1240" i="3"/>
  <c r="F1240" i="3" s="1"/>
  <c r="A1241" i="3"/>
  <c r="F1241" i="3" s="1"/>
  <c r="A1242" i="3"/>
  <c r="A1243" i="3"/>
  <c r="A1244" i="3"/>
  <c r="A1245" i="3"/>
  <c r="A1246" i="3"/>
  <c r="A1247" i="3"/>
  <c r="F1247" i="3" s="1"/>
  <c r="A1248" i="3"/>
  <c r="F1248" i="3" s="1"/>
  <c r="A1249" i="3"/>
  <c r="F1249" i="3" s="1"/>
  <c r="A1250" i="3"/>
  <c r="A1251" i="3"/>
  <c r="A1252" i="3"/>
  <c r="E1252" i="3" s="1"/>
  <c r="A1253" i="3"/>
  <c r="A1254" i="3"/>
  <c r="A1255" i="3"/>
  <c r="E1255" i="3" s="1"/>
  <c r="A1256" i="3"/>
  <c r="F1256" i="3" s="1"/>
  <c r="A1257" i="3"/>
  <c r="F1257" i="3" s="1"/>
  <c r="A1258" i="3"/>
  <c r="A1259" i="3"/>
  <c r="A1260" i="3"/>
  <c r="A1261" i="3"/>
  <c r="A1262" i="3"/>
  <c r="A1263" i="3"/>
  <c r="A1264" i="3"/>
  <c r="F1264" i="3" s="1"/>
  <c r="A1265" i="3"/>
  <c r="F1265" i="3" s="1"/>
  <c r="A1266" i="3"/>
  <c r="A1267" i="3"/>
  <c r="A1268" i="3"/>
  <c r="A1269" i="3"/>
  <c r="A1270" i="3"/>
  <c r="A1271" i="3"/>
  <c r="A1272" i="3"/>
  <c r="F1272" i="3" s="1"/>
  <c r="A1273" i="3"/>
  <c r="F1273" i="3" s="1"/>
  <c r="A1274" i="3"/>
  <c r="A1275" i="3"/>
  <c r="A1276" i="3"/>
  <c r="E1276" i="3" s="1"/>
  <c r="A1277" i="3"/>
  <c r="A1278" i="3"/>
  <c r="A1279" i="3"/>
  <c r="A1280" i="3"/>
  <c r="F1280" i="3" s="1"/>
  <c r="A1281" i="3"/>
  <c r="F1281" i="3" s="1"/>
  <c r="A1282" i="3"/>
  <c r="A1283" i="3"/>
  <c r="A1284" i="3"/>
  <c r="A1285" i="3"/>
  <c r="A1286" i="3"/>
  <c r="A1287" i="3"/>
  <c r="A1288" i="3"/>
  <c r="F1288" i="3" s="1"/>
  <c r="A1289" i="3"/>
  <c r="F1289" i="3" s="1"/>
  <c r="A1290" i="3"/>
  <c r="A1291" i="3"/>
  <c r="A1292" i="3"/>
  <c r="A1293" i="3"/>
  <c r="A1294" i="3"/>
  <c r="A1295" i="3"/>
  <c r="A1296" i="3"/>
  <c r="F1296" i="3" s="1"/>
  <c r="A1297" i="3"/>
  <c r="F1297" i="3" s="1"/>
  <c r="A1298" i="3"/>
  <c r="A1299" i="3"/>
  <c r="A1300" i="3"/>
  <c r="A1301" i="3"/>
  <c r="A1302" i="3"/>
  <c r="A1303" i="3"/>
  <c r="A1304" i="3"/>
  <c r="F1304" i="3" s="1"/>
  <c r="A1305" i="3"/>
  <c r="F1305" i="3" s="1"/>
  <c r="A1306" i="3"/>
  <c r="A1307" i="3"/>
  <c r="A1308" i="3"/>
  <c r="A1309" i="3"/>
  <c r="A1310" i="3"/>
  <c r="A1311" i="3"/>
  <c r="F1311" i="3" s="1"/>
  <c r="A1312" i="3"/>
  <c r="F1312" i="3" s="1"/>
  <c r="A1313" i="3"/>
  <c r="F1313" i="3" s="1"/>
  <c r="A1314" i="3"/>
  <c r="A1315" i="3"/>
  <c r="A1316" i="3"/>
  <c r="E1316" i="3" s="1"/>
  <c r="A1317" i="3"/>
  <c r="A1318" i="3"/>
  <c r="A1319" i="3"/>
  <c r="A1320" i="3"/>
  <c r="F1320" i="3" s="1"/>
  <c r="A1321" i="3"/>
  <c r="F1321" i="3" s="1"/>
  <c r="A1322" i="3"/>
  <c r="A1323" i="3"/>
  <c r="A1324" i="3"/>
  <c r="A1325" i="3"/>
  <c r="A1326" i="3"/>
  <c r="A1327" i="3"/>
  <c r="F1327" i="3" s="1"/>
  <c r="A1328" i="3"/>
  <c r="F1328" i="3" s="1"/>
  <c r="A1329" i="3"/>
  <c r="F1329" i="3" s="1"/>
  <c r="A1330" i="3"/>
  <c r="A1331" i="3"/>
  <c r="A1332" i="3"/>
  <c r="A1333" i="3"/>
  <c r="A1334" i="3"/>
  <c r="A1335" i="3"/>
  <c r="A1336" i="3"/>
  <c r="F1336" i="3" s="1"/>
  <c r="A1337" i="3"/>
  <c r="E1337" i="3" s="1"/>
  <c r="A1338" i="3"/>
  <c r="A1339" i="3"/>
  <c r="A1340" i="3"/>
  <c r="E1340" i="3" s="1"/>
  <c r="A1341" i="3"/>
  <c r="A1342" i="3"/>
  <c r="A1343" i="3"/>
  <c r="A1344" i="3"/>
  <c r="F1344" i="3" s="1"/>
  <c r="A1345" i="3"/>
  <c r="F1345" i="3" s="1"/>
  <c r="A1346" i="3"/>
  <c r="A1347" i="3"/>
  <c r="A1348" i="3"/>
  <c r="A1349" i="3"/>
  <c r="A1350" i="3"/>
  <c r="A1351" i="3"/>
  <c r="A1352" i="3"/>
  <c r="F1352" i="3" s="1"/>
  <c r="A1353" i="3"/>
  <c r="F1353" i="3" s="1"/>
  <c r="A1354" i="3"/>
  <c r="A1355" i="3"/>
  <c r="A1356" i="3"/>
  <c r="A1357" i="3"/>
  <c r="A1358" i="3"/>
  <c r="A1359" i="3"/>
  <c r="A1360" i="3"/>
  <c r="F1360" i="3" s="1"/>
  <c r="A1361" i="3"/>
  <c r="F1361" i="3" s="1"/>
  <c r="A1362" i="3"/>
  <c r="A1363" i="3"/>
  <c r="A1364" i="3"/>
  <c r="A1365" i="3"/>
  <c r="A1366" i="3"/>
  <c r="A1367" i="3"/>
  <c r="A1368" i="3"/>
  <c r="F1368" i="3" s="1"/>
  <c r="A1369" i="3"/>
  <c r="F1369" i="3" s="1"/>
  <c r="A1370" i="3"/>
  <c r="A1371" i="3"/>
  <c r="A1372" i="3"/>
  <c r="A1373" i="3"/>
  <c r="A1374" i="3"/>
  <c r="A1375" i="3"/>
  <c r="F1375" i="3" s="1"/>
  <c r="A1376" i="3"/>
  <c r="F1376" i="3" s="1"/>
  <c r="A1377" i="3"/>
  <c r="F1377" i="3" s="1"/>
  <c r="A1378" i="3"/>
  <c r="A1379" i="3"/>
  <c r="A1380" i="3"/>
  <c r="E1380" i="3" s="1"/>
  <c r="A1381" i="3"/>
  <c r="A1382" i="3"/>
  <c r="A1383" i="3"/>
  <c r="A1384" i="3"/>
  <c r="F1384" i="3" s="1"/>
  <c r="A1385" i="3"/>
  <c r="F1385" i="3" s="1"/>
  <c r="A1386" i="3"/>
  <c r="A1387" i="3"/>
  <c r="A1388" i="3"/>
  <c r="A1389" i="3"/>
  <c r="A1390" i="3"/>
  <c r="A1391" i="3"/>
  <c r="F1391" i="3" s="1"/>
  <c r="A1392" i="3"/>
  <c r="F1392" i="3" s="1"/>
  <c r="A1393" i="3"/>
  <c r="F1393" i="3" s="1"/>
  <c r="A1394" i="3"/>
  <c r="A1395" i="3"/>
  <c r="A1396" i="3"/>
  <c r="A1397" i="3"/>
  <c r="A1398" i="3"/>
  <c r="A1399" i="3"/>
  <c r="A1400" i="3"/>
  <c r="F1400" i="3" s="1"/>
  <c r="A1401" i="3"/>
  <c r="E1401" i="3" s="1"/>
  <c r="A1402" i="3"/>
  <c r="A1403" i="3"/>
  <c r="A1404" i="3"/>
  <c r="E1404" i="3" s="1"/>
  <c r="A1405" i="3"/>
  <c r="A1406" i="3"/>
  <c r="A1407" i="3"/>
  <c r="A1408" i="3"/>
  <c r="F1408" i="3" s="1"/>
  <c r="A1409" i="3"/>
  <c r="F1409" i="3" s="1"/>
  <c r="A1410" i="3"/>
  <c r="A1411" i="3"/>
  <c r="A1412" i="3"/>
  <c r="A1413" i="3"/>
  <c r="A1414" i="3"/>
  <c r="A1415" i="3"/>
  <c r="A1416" i="3"/>
  <c r="F1416" i="3" s="1"/>
  <c r="A1417" i="3"/>
  <c r="F1417" i="3" s="1"/>
  <c r="A1418" i="3"/>
  <c r="A1419" i="3"/>
  <c r="A1420" i="3"/>
  <c r="A1421" i="3"/>
  <c r="A1422" i="3"/>
  <c r="A1423" i="3"/>
  <c r="A1424" i="3"/>
  <c r="F1424" i="3" s="1"/>
  <c r="A1425" i="3"/>
  <c r="E1425" i="3" s="1"/>
  <c r="A1426" i="3"/>
  <c r="A1427" i="3"/>
  <c r="A1428" i="3"/>
  <c r="A1429" i="3"/>
  <c r="A1430" i="3"/>
  <c r="A1431" i="3"/>
  <c r="A1432" i="3"/>
  <c r="F1432" i="3" s="1"/>
  <c r="A1433" i="3"/>
  <c r="F1433" i="3" s="1"/>
  <c r="A1434" i="3"/>
  <c r="A1435" i="3"/>
  <c r="A1436" i="3"/>
  <c r="A1437" i="3"/>
  <c r="A1438" i="3"/>
  <c r="A1439" i="3"/>
  <c r="F1439" i="3" s="1"/>
  <c r="A1440" i="3"/>
  <c r="F1440" i="3" s="1"/>
  <c r="A1441" i="3"/>
  <c r="F1441" i="3" s="1"/>
  <c r="A1442" i="3"/>
  <c r="A1443" i="3"/>
  <c r="A1444" i="3"/>
  <c r="E1444" i="3" s="1"/>
  <c r="A1445" i="3"/>
  <c r="A1446" i="3"/>
  <c r="A1447" i="3"/>
  <c r="A1448" i="3"/>
  <c r="F1448" i="3" s="1"/>
  <c r="A1449" i="3"/>
  <c r="F1449" i="3" s="1"/>
  <c r="A1450" i="3"/>
  <c r="A1451" i="3"/>
  <c r="A1452" i="3"/>
  <c r="A1453" i="3"/>
  <c r="A1454" i="3"/>
  <c r="A1455" i="3"/>
  <c r="F1455" i="3" s="1"/>
  <c r="A1456" i="3"/>
  <c r="A1457" i="3"/>
  <c r="F1457" i="3" s="1"/>
  <c r="A1458" i="3"/>
  <c r="A1459" i="3"/>
  <c r="A1460" i="3"/>
  <c r="A1461" i="3"/>
  <c r="A1462" i="3"/>
  <c r="A1463" i="3"/>
  <c r="A1464" i="3"/>
  <c r="A1465" i="3"/>
  <c r="F1465" i="3" s="1"/>
  <c r="A1466" i="3"/>
  <c r="A1467" i="3"/>
  <c r="A1468" i="3"/>
  <c r="E1468" i="3" s="1"/>
  <c r="A1469" i="3"/>
  <c r="A1470" i="3"/>
  <c r="A1471" i="3"/>
  <c r="F1471" i="3" s="1"/>
  <c r="A1472" i="3"/>
  <c r="A1473" i="3"/>
  <c r="F1473" i="3" s="1"/>
  <c r="A1474" i="3"/>
  <c r="A1475" i="3"/>
  <c r="A1476" i="3"/>
  <c r="A1477" i="3"/>
  <c r="A1478" i="3"/>
  <c r="A1479" i="3"/>
  <c r="A1480" i="3"/>
  <c r="A1481" i="3"/>
  <c r="F1481" i="3" s="1"/>
  <c r="A1482" i="3"/>
  <c r="A1483" i="3"/>
  <c r="A1484" i="3"/>
  <c r="A1485" i="3"/>
  <c r="A1486" i="3"/>
  <c r="A1487" i="3"/>
  <c r="F1487" i="3" s="1"/>
  <c r="A1488" i="3"/>
  <c r="A1489" i="3"/>
  <c r="F1489" i="3" s="1"/>
  <c r="A1490" i="3"/>
  <c r="A1491" i="3"/>
  <c r="A1492" i="3"/>
  <c r="A1493" i="3"/>
  <c r="A1494" i="3"/>
  <c r="A1495" i="3"/>
  <c r="A1496" i="3"/>
  <c r="A1497" i="3"/>
  <c r="F1497" i="3" s="1"/>
  <c r="A1498" i="3"/>
  <c r="A1499" i="3"/>
  <c r="A1500" i="3"/>
  <c r="A1501" i="3"/>
  <c r="A1502" i="3"/>
  <c r="A1503" i="3"/>
  <c r="F1503" i="3" s="1"/>
  <c r="A1504" i="3"/>
  <c r="A1505" i="3"/>
  <c r="F1505" i="3" s="1"/>
  <c r="A1506" i="3"/>
  <c r="A1507" i="3"/>
  <c r="A1508" i="3"/>
  <c r="E1508" i="3" s="1"/>
  <c r="A1509" i="3"/>
  <c r="A1510" i="3"/>
  <c r="A1511" i="3"/>
  <c r="E1511" i="3" s="1"/>
  <c r="A1512" i="3"/>
  <c r="A1513" i="3"/>
  <c r="F1513" i="3" s="1"/>
  <c r="A1514" i="3"/>
  <c r="A1515" i="3"/>
  <c r="A1516" i="3"/>
  <c r="A1517" i="3"/>
  <c r="A1518" i="3"/>
  <c r="A1519" i="3"/>
  <c r="F1519" i="3" s="1"/>
  <c r="A1520" i="3"/>
  <c r="A1521" i="3"/>
  <c r="F1521" i="3" s="1"/>
  <c r="A1522" i="3"/>
  <c r="A1523" i="3"/>
  <c r="A1524" i="3"/>
  <c r="A1525" i="3"/>
  <c r="A1526" i="3"/>
  <c r="A1527" i="3"/>
  <c r="A1528" i="3"/>
  <c r="A1529" i="3"/>
  <c r="F1529" i="3" s="1"/>
  <c r="A1530" i="3"/>
  <c r="A1531" i="3"/>
  <c r="A1532" i="3"/>
  <c r="E1532" i="3" s="1"/>
  <c r="A1533" i="3"/>
  <c r="A1534" i="3"/>
  <c r="A1535" i="3"/>
  <c r="F1535" i="3" s="1"/>
  <c r="A1536" i="3"/>
  <c r="A1537" i="3"/>
  <c r="F1537" i="3" s="1"/>
  <c r="A1538" i="3"/>
  <c r="A1539" i="3"/>
  <c r="A1540" i="3"/>
  <c r="A1541" i="3"/>
  <c r="A1542" i="3"/>
  <c r="A1543" i="3"/>
  <c r="A1544" i="3"/>
  <c r="A1545" i="3"/>
  <c r="F1545" i="3" s="1"/>
  <c r="A1546" i="3"/>
  <c r="A1547" i="3"/>
  <c r="A1548" i="3"/>
  <c r="A1549" i="3"/>
  <c r="A1550" i="3"/>
  <c r="A1551" i="3"/>
  <c r="F1551" i="3" s="1"/>
  <c r="A1552" i="3"/>
  <c r="A1553" i="3"/>
  <c r="F1553" i="3" s="1"/>
  <c r="A1554" i="3"/>
  <c r="A1555" i="3"/>
  <c r="A1556" i="3"/>
  <c r="A1557" i="3"/>
  <c r="A1558" i="3"/>
  <c r="A1559" i="3"/>
  <c r="A1560" i="3"/>
  <c r="A1561" i="3"/>
  <c r="F1561" i="3" s="1"/>
  <c r="A1562" i="3"/>
  <c r="A1563" i="3"/>
  <c r="A1564" i="3"/>
  <c r="A1565" i="3"/>
  <c r="A1566" i="3"/>
  <c r="A1567" i="3"/>
  <c r="F1567" i="3" s="1"/>
  <c r="A1568" i="3"/>
  <c r="A1569" i="3"/>
  <c r="F1569" i="3" s="1"/>
  <c r="A1570" i="3"/>
  <c r="A1571" i="3"/>
  <c r="A1572" i="3"/>
  <c r="E1572" i="3" s="1"/>
  <c r="A1573" i="3"/>
  <c r="A1574" i="3"/>
  <c r="A1575" i="3"/>
  <c r="A1576" i="3"/>
  <c r="A1577" i="3"/>
  <c r="F1577" i="3" s="1"/>
  <c r="A1578" i="3"/>
  <c r="A1579" i="3"/>
  <c r="A1580" i="3"/>
  <c r="A1581" i="3"/>
  <c r="A1582" i="3"/>
  <c r="A1583" i="3"/>
  <c r="F1583" i="3" s="1"/>
  <c r="A1584" i="3"/>
  <c r="A1585" i="3"/>
  <c r="F1585" i="3" s="1"/>
  <c r="A1586" i="3"/>
  <c r="A1587" i="3"/>
  <c r="A1588" i="3"/>
  <c r="A1589" i="3"/>
  <c r="A1590" i="3"/>
  <c r="A1591" i="3"/>
  <c r="A1592" i="3"/>
  <c r="A1593" i="3"/>
  <c r="E1593" i="3" s="1"/>
  <c r="A1594" i="3"/>
  <c r="A1595" i="3"/>
  <c r="A1596" i="3"/>
  <c r="E1596" i="3" s="1"/>
  <c r="A1597" i="3"/>
  <c r="A1598" i="3"/>
  <c r="A1599" i="3"/>
  <c r="F1599" i="3" s="1"/>
  <c r="A1600" i="3"/>
  <c r="A1601" i="3"/>
  <c r="F1601" i="3" s="1"/>
  <c r="A1602" i="3"/>
  <c r="A1603" i="3"/>
  <c r="A1604" i="3"/>
  <c r="A1605" i="3"/>
  <c r="A1606" i="3"/>
  <c r="A1607" i="3"/>
  <c r="A1608" i="3"/>
  <c r="A1609" i="3"/>
  <c r="F1609" i="3" s="1"/>
  <c r="A1610" i="3"/>
  <c r="A1611" i="3"/>
  <c r="A1612" i="3"/>
  <c r="A1613" i="3"/>
  <c r="A1614" i="3"/>
  <c r="A1615" i="3"/>
  <c r="F1615" i="3" s="1"/>
  <c r="A1616" i="3"/>
  <c r="A1617" i="3"/>
  <c r="F1617" i="3" s="1"/>
  <c r="A1618" i="3"/>
  <c r="A1619" i="3"/>
  <c r="A1620" i="3"/>
  <c r="A1621" i="3"/>
  <c r="A1622" i="3"/>
  <c r="A1623" i="3"/>
  <c r="A1624" i="3"/>
  <c r="A1625" i="3"/>
  <c r="F1625" i="3" s="1"/>
  <c r="A1626" i="3"/>
  <c r="A1627" i="3"/>
  <c r="A1628" i="3"/>
  <c r="A1629" i="3"/>
  <c r="A1630" i="3"/>
  <c r="A1631" i="3"/>
  <c r="F1631" i="3" s="1"/>
  <c r="A1632" i="3"/>
  <c r="A1633" i="3"/>
  <c r="F1633" i="3" s="1"/>
  <c r="A1634" i="3"/>
  <c r="A1635" i="3"/>
  <c r="A1636" i="3"/>
  <c r="E1636" i="3" s="1"/>
  <c r="A1637" i="3"/>
  <c r="A1638" i="3"/>
  <c r="A1639" i="3"/>
  <c r="A1640" i="3"/>
  <c r="A1641" i="3"/>
  <c r="F1641" i="3" s="1"/>
  <c r="A1642" i="3"/>
  <c r="A1643" i="3"/>
  <c r="A1644" i="3"/>
  <c r="A1645" i="3"/>
  <c r="A1646" i="3"/>
  <c r="A1647" i="3"/>
  <c r="F1647" i="3" s="1"/>
  <c r="A1648" i="3"/>
  <c r="A1649" i="3"/>
  <c r="F1649" i="3" s="1"/>
  <c r="A1650" i="3"/>
  <c r="A1651" i="3"/>
  <c r="A1652" i="3"/>
  <c r="A1653" i="3"/>
  <c r="A1654" i="3"/>
  <c r="A1655" i="3"/>
  <c r="A1656" i="3"/>
  <c r="A1657" i="3"/>
  <c r="E1657" i="3" s="1"/>
  <c r="A1658" i="3"/>
  <c r="A1659" i="3"/>
  <c r="A1660" i="3"/>
  <c r="E1660" i="3" s="1"/>
  <c r="A1661" i="3"/>
  <c r="A1662" i="3"/>
  <c r="A1663" i="3"/>
  <c r="F1663" i="3" s="1"/>
  <c r="A1664" i="3"/>
  <c r="A1665" i="3"/>
  <c r="F1665" i="3" s="1"/>
  <c r="A1666" i="3"/>
  <c r="A1667" i="3"/>
  <c r="A1668" i="3"/>
  <c r="A1669" i="3"/>
  <c r="A1670" i="3"/>
  <c r="A1671" i="3"/>
  <c r="A1672" i="3"/>
  <c r="A1673" i="3"/>
  <c r="F1673" i="3" s="1"/>
  <c r="A1674" i="3"/>
  <c r="A1675" i="3"/>
  <c r="A1676" i="3"/>
  <c r="A1677" i="3"/>
  <c r="A1678" i="3"/>
  <c r="A1679" i="3"/>
  <c r="F1679" i="3" s="1"/>
  <c r="A1680" i="3"/>
  <c r="A1681" i="3"/>
  <c r="E1681" i="3" s="1"/>
  <c r="A1682" i="3"/>
  <c r="A1683" i="3"/>
  <c r="A1684" i="3"/>
  <c r="A1685" i="3"/>
  <c r="A1686" i="3"/>
  <c r="A1687" i="3"/>
  <c r="A1688" i="3"/>
  <c r="A1689" i="3"/>
  <c r="F1689" i="3" s="1"/>
  <c r="A1690" i="3"/>
  <c r="A1691" i="3"/>
  <c r="A1692" i="3"/>
  <c r="A1693" i="3"/>
  <c r="A1694" i="3"/>
  <c r="A1695" i="3"/>
  <c r="F1695" i="3" s="1"/>
  <c r="A1696" i="3"/>
  <c r="A1697" i="3"/>
  <c r="F1697" i="3" s="1"/>
  <c r="A1698" i="3"/>
  <c r="A1699" i="3"/>
  <c r="A1700" i="3"/>
  <c r="E1700" i="3" s="1"/>
  <c r="A1701" i="3"/>
  <c r="A1702" i="3"/>
  <c r="A1703" i="3"/>
  <c r="A1704" i="3"/>
  <c r="A1705" i="3"/>
  <c r="F1705" i="3" s="1"/>
  <c r="A1706" i="3"/>
  <c r="A1707" i="3"/>
  <c r="A1708" i="3"/>
  <c r="A1709" i="3"/>
  <c r="A1710" i="3"/>
  <c r="A1711" i="3"/>
  <c r="F1711" i="3" s="1"/>
  <c r="A1712" i="3"/>
  <c r="A1713" i="3"/>
  <c r="F1713" i="3" s="1"/>
  <c r="A1714" i="3"/>
  <c r="A1715" i="3"/>
  <c r="A1716" i="3"/>
  <c r="A1717" i="3"/>
  <c r="A1718" i="3"/>
  <c r="A1719" i="3"/>
  <c r="A1720" i="3"/>
  <c r="A1721" i="3"/>
  <c r="A1722" i="3"/>
  <c r="A1723" i="3"/>
  <c r="A1724" i="3"/>
  <c r="E1724" i="3" s="1"/>
  <c r="A1725" i="3"/>
  <c r="A1726" i="3"/>
  <c r="A1727" i="3"/>
  <c r="F1727" i="3" s="1"/>
  <c r="A1728" i="3"/>
  <c r="A1729" i="3"/>
  <c r="F1729" i="3" s="1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F1743" i="3" s="1"/>
  <c r="A1744" i="3"/>
  <c r="A1745" i="3"/>
  <c r="F1745" i="3" s="1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F1759" i="3" s="1"/>
  <c r="A1760" i="3"/>
  <c r="A1761" i="3"/>
  <c r="F1761" i="3" s="1"/>
  <c r="A1762" i="3"/>
  <c r="A1763" i="3"/>
  <c r="A1764" i="3"/>
  <c r="E1764" i="3" s="1"/>
  <c r="A1765" i="3"/>
  <c r="A1766" i="3"/>
  <c r="A1767" i="3"/>
  <c r="E1767" i="3" s="1"/>
  <c r="A1768" i="3"/>
  <c r="A1769" i="3"/>
  <c r="A1770" i="3"/>
  <c r="A1771" i="3"/>
  <c r="A1772" i="3"/>
  <c r="A1773" i="3"/>
  <c r="A1774" i="3"/>
  <c r="A1775" i="3"/>
  <c r="F1775" i="3" s="1"/>
  <c r="A1776" i="3"/>
  <c r="A1777" i="3"/>
  <c r="F1777" i="3" s="1"/>
  <c r="A1778" i="3"/>
  <c r="A1779" i="3"/>
  <c r="A1780" i="3"/>
  <c r="A1781" i="3"/>
  <c r="A1782" i="3"/>
  <c r="A1783" i="3"/>
  <c r="A1784" i="3"/>
  <c r="A1785" i="3"/>
  <c r="A1786" i="3"/>
  <c r="A1787" i="3"/>
  <c r="A1788" i="3"/>
  <c r="E1788" i="3" s="1"/>
  <c r="A1789" i="3"/>
  <c r="A1790" i="3"/>
  <c r="A1791" i="3"/>
  <c r="F1791" i="3" s="1"/>
  <c r="A1792" i="3"/>
  <c r="A1793" i="3"/>
  <c r="F1793" i="3" s="1"/>
  <c r="A1794" i="3"/>
  <c r="A1795" i="3"/>
  <c r="A1796" i="3"/>
  <c r="A1797" i="3"/>
  <c r="A1798" i="3"/>
  <c r="A1799" i="3"/>
  <c r="A1800" i="3"/>
  <c r="A1801" i="3"/>
  <c r="A1802" i="3"/>
  <c r="A1803" i="3"/>
  <c r="A1804" i="3"/>
  <c r="E1804" i="3" s="1"/>
  <c r="A1805" i="3"/>
  <c r="A1806" i="3"/>
  <c r="A1807" i="3"/>
  <c r="F1807" i="3" s="1"/>
  <c r="A1808" i="3"/>
  <c r="A1809" i="3"/>
  <c r="F1809" i="3" s="1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F1823" i="3" s="1"/>
  <c r="A1824" i="3"/>
  <c r="A1825" i="3"/>
  <c r="F1825" i="3" s="1"/>
  <c r="A1826" i="3"/>
  <c r="A1827" i="3"/>
  <c r="A1828" i="3"/>
  <c r="E1828" i="3" s="1"/>
  <c r="A1829" i="3"/>
  <c r="A1830" i="3"/>
  <c r="A1831" i="3"/>
  <c r="E1831" i="3" s="1"/>
  <c r="A1832" i="3"/>
  <c r="A1833" i="3"/>
  <c r="A1834" i="3"/>
  <c r="A1835" i="3"/>
  <c r="F1835" i="3" s="1"/>
  <c r="A1836" i="3"/>
  <c r="A1837" i="3"/>
  <c r="A1838" i="3"/>
  <c r="A1839" i="3"/>
  <c r="A1840" i="3"/>
  <c r="F1840" i="3" s="1"/>
  <c r="A1841" i="3"/>
  <c r="A1842" i="3"/>
  <c r="A1843" i="3"/>
  <c r="F1843" i="3" s="1"/>
  <c r="A1844" i="3"/>
  <c r="A1845" i="3"/>
  <c r="A1846" i="3"/>
  <c r="F1846" i="3" s="1"/>
  <c r="A1847" i="3"/>
  <c r="A1848" i="3"/>
  <c r="F1848" i="3" s="1"/>
  <c r="A1849" i="3"/>
  <c r="A1850" i="3"/>
  <c r="A1851" i="3"/>
  <c r="F1851" i="3" s="1"/>
  <c r="A1852" i="3"/>
  <c r="E1852" i="3" s="1"/>
  <c r="A1853" i="3"/>
  <c r="A1854" i="3"/>
  <c r="F1854" i="3" s="1"/>
  <c r="A1855" i="3"/>
  <c r="A1856" i="3"/>
  <c r="A1857" i="3"/>
  <c r="A1858" i="3"/>
  <c r="A1859" i="3"/>
  <c r="F1859" i="3" s="1"/>
  <c r="A1860" i="3"/>
  <c r="F1860" i="3" s="1"/>
  <c r="A1861" i="3"/>
  <c r="A1862" i="3"/>
  <c r="F1862" i="3" s="1"/>
  <c r="A1863" i="3"/>
  <c r="A1864" i="3"/>
  <c r="A1865" i="3"/>
  <c r="A1866" i="3"/>
  <c r="A1867" i="3"/>
  <c r="F1867" i="3" s="1"/>
  <c r="A1868" i="3"/>
  <c r="F1868" i="3" s="1"/>
  <c r="A1869" i="3"/>
  <c r="A1870" i="3"/>
  <c r="F1870" i="3" s="1"/>
  <c r="A1871" i="3"/>
  <c r="A1872" i="3"/>
  <c r="A1873" i="3"/>
  <c r="A1874" i="3"/>
  <c r="A1875" i="3"/>
  <c r="F1875" i="3" s="1"/>
  <c r="A1876" i="3"/>
  <c r="F1876" i="3" s="1"/>
  <c r="A1877" i="3"/>
  <c r="A1878" i="3"/>
  <c r="F1878" i="3" s="1"/>
  <c r="A1879" i="3"/>
  <c r="F1879" i="3" s="1"/>
  <c r="A1880" i="3"/>
  <c r="A1881" i="3"/>
  <c r="A1882" i="3"/>
  <c r="A1883" i="3"/>
  <c r="F1883" i="3" s="1"/>
  <c r="A1884" i="3"/>
  <c r="F1884" i="3" s="1"/>
  <c r="A1885" i="3"/>
  <c r="A1886" i="3"/>
  <c r="F1886" i="3" s="1"/>
  <c r="A1887" i="3"/>
  <c r="A1888" i="3"/>
  <c r="F1888" i="3" s="1"/>
  <c r="A1889" i="3"/>
  <c r="A1890" i="3"/>
  <c r="A1891" i="3"/>
  <c r="F1891" i="3" s="1"/>
  <c r="A1892" i="3"/>
  <c r="E1892" i="3" s="1"/>
  <c r="A1893" i="3"/>
  <c r="A1894" i="3"/>
  <c r="F1894" i="3" s="1"/>
  <c r="A1895" i="3"/>
  <c r="F1895" i="3" s="1"/>
  <c r="A1896" i="3"/>
  <c r="A1897" i="3"/>
  <c r="F1897" i="3" s="1"/>
  <c r="A1898" i="3"/>
  <c r="A1899" i="3"/>
  <c r="F1899" i="3" s="1"/>
  <c r="A1900" i="3"/>
  <c r="F1900" i="3" s="1"/>
  <c r="A1901" i="3"/>
  <c r="A1902" i="3"/>
  <c r="F1902" i="3" s="1"/>
  <c r="A1903" i="3"/>
  <c r="A1904" i="3"/>
  <c r="F1904" i="3" s="1"/>
  <c r="A1905" i="3"/>
  <c r="A1906" i="3"/>
  <c r="F1906" i="3" s="1"/>
  <c r="A1907" i="3"/>
  <c r="F1907" i="3" s="1"/>
  <c r="A1908" i="3"/>
  <c r="F1908" i="3" s="1"/>
  <c r="A1909" i="3"/>
  <c r="A1910" i="3"/>
  <c r="F1910" i="3" s="1"/>
  <c r="A1911" i="3"/>
  <c r="A1912" i="3"/>
  <c r="F1912" i="3" s="1"/>
  <c r="A1913" i="3"/>
  <c r="A1914" i="3"/>
  <c r="F1914" i="3" s="1"/>
  <c r="A1915" i="3"/>
  <c r="F1915" i="3" s="1"/>
  <c r="A1916" i="3"/>
  <c r="E1916" i="3" s="1"/>
  <c r="A1917" i="3"/>
  <c r="A1918" i="3"/>
  <c r="F1918" i="3" s="1"/>
  <c r="A1919" i="3"/>
  <c r="A1920" i="3"/>
  <c r="F1920" i="3" s="1"/>
  <c r="A1921" i="3"/>
  <c r="A1922" i="3"/>
  <c r="F1922" i="3" s="1"/>
  <c r="A1923" i="3"/>
  <c r="F1923" i="3" s="1"/>
  <c r="A1924" i="3"/>
  <c r="F1924" i="3" s="1"/>
  <c r="A1925" i="3"/>
  <c r="A1926" i="3"/>
  <c r="F1926" i="3" s="1"/>
  <c r="A1927" i="3"/>
  <c r="A1928" i="3"/>
  <c r="F1928" i="3" s="1"/>
  <c r="A1929" i="3"/>
  <c r="A1930" i="3"/>
  <c r="F1930" i="3" s="1"/>
  <c r="A1931" i="3"/>
  <c r="F1931" i="3" s="1"/>
  <c r="A1932" i="3"/>
  <c r="E1932" i="3" s="1"/>
  <c r="A1933" i="3"/>
  <c r="A1934" i="3"/>
  <c r="F1934" i="3" s="1"/>
  <c r="A1935" i="3"/>
  <c r="A1936" i="3"/>
  <c r="F1936" i="3" s="1"/>
  <c r="A1937" i="3"/>
  <c r="A1938" i="3"/>
  <c r="F1938" i="3" s="1"/>
  <c r="A1939" i="3"/>
  <c r="F1939" i="3" s="1"/>
  <c r="A1940" i="3"/>
  <c r="F1940" i="3" s="1"/>
  <c r="A1941" i="3"/>
  <c r="A1942" i="3"/>
  <c r="F1942" i="3" s="1"/>
  <c r="A1943" i="3"/>
  <c r="A1944" i="3"/>
  <c r="F1944" i="3" s="1"/>
  <c r="A1945" i="3"/>
  <c r="A1946" i="3"/>
  <c r="F1946" i="3" s="1"/>
  <c r="A1947" i="3"/>
  <c r="F1947" i="3" s="1"/>
  <c r="A1948" i="3"/>
  <c r="F1948" i="3" s="1"/>
  <c r="A1949" i="3"/>
  <c r="A1950" i="3"/>
  <c r="F1950" i="3" s="1"/>
  <c r="A1951" i="3"/>
  <c r="A1952" i="3"/>
  <c r="F1952" i="3" s="1"/>
  <c r="A1953" i="3"/>
  <c r="E1953" i="3" s="1"/>
  <c r="A1954" i="3"/>
  <c r="F1954" i="3" s="1"/>
  <c r="A1955" i="3"/>
  <c r="F1955" i="3" s="1"/>
  <c r="A1956" i="3"/>
  <c r="F1956" i="3" s="1"/>
  <c r="A1957" i="3"/>
  <c r="A1958" i="3"/>
  <c r="F1958" i="3" s="1"/>
  <c r="A1959" i="3"/>
  <c r="A1960" i="3"/>
  <c r="F1960" i="3" s="1"/>
  <c r="A1961" i="3"/>
  <c r="A1962" i="3"/>
  <c r="F1962" i="3" s="1"/>
  <c r="A1963" i="3"/>
  <c r="F1963" i="3" s="1"/>
  <c r="A1964" i="3"/>
  <c r="F1964" i="3" s="1"/>
  <c r="A1965" i="3"/>
  <c r="A1966" i="3"/>
  <c r="F1966" i="3" s="1"/>
  <c r="A1967" i="3"/>
  <c r="A1968" i="3"/>
  <c r="F1968" i="3" s="1"/>
  <c r="A1969" i="3"/>
  <c r="A1970" i="3"/>
  <c r="F1970" i="3" s="1"/>
  <c r="A1971" i="3"/>
  <c r="F1971" i="3" s="1"/>
  <c r="A1972" i="3"/>
  <c r="F1972" i="3" s="1"/>
  <c r="A1973" i="3"/>
  <c r="A1974" i="3"/>
  <c r="F1974" i="3" s="1"/>
  <c r="A1975" i="3"/>
  <c r="A1976" i="3"/>
  <c r="F1976" i="3" s="1"/>
  <c r="A1977" i="3"/>
  <c r="A1978" i="3"/>
  <c r="F1978" i="3" s="1"/>
  <c r="A1979" i="3"/>
  <c r="F1979" i="3" s="1"/>
  <c r="A1980" i="3"/>
  <c r="E1980" i="3" s="1"/>
  <c r="A1981" i="3"/>
  <c r="A1982" i="3"/>
  <c r="F1982" i="3" s="1"/>
  <c r="A1983" i="3"/>
  <c r="A1984" i="3"/>
  <c r="F1984" i="3" s="1"/>
  <c r="A1985" i="3"/>
  <c r="A1986" i="3"/>
  <c r="F1986" i="3" s="1"/>
  <c r="A1987" i="3"/>
  <c r="F1987" i="3" s="1"/>
  <c r="A1988" i="3"/>
  <c r="F1988" i="3" s="1"/>
  <c r="A1989" i="3"/>
  <c r="A1990" i="3"/>
  <c r="F1990" i="3" s="1"/>
  <c r="A1991" i="3"/>
  <c r="A1992" i="3"/>
  <c r="F1992" i="3" s="1"/>
  <c r="A1993" i="3"/>
  <c r="A1994" i="3"/>
  <c r="F1994" i="3" s="1"/>
  <c r="A1995" i="3"/>
  <c r="F1995" i="3" s="1"/>
  <c r="A1996" i="3"/>
  <c r="E1996" i="3" s="1"/>
  <c r="A1997" i="3"/>
  <c r="A1998" i="3"/>
  <c r="F1998" i="3" s="1"/>
  <c r="A1999" i="3"/>
  <c r="A2000" i="3"/>
  <c r="F2000" i="3" s="1"/>
  <c r="A2001" i="3"/>
  <c r="E2001" i="3" s="1"/>
  <c r="A2002" i="3"/>
  <c r="F2002" i="3" s="1"/>
  <c r="A2003" i="3"/>
  <c r="F2003" i="3" s="1"/>
  <c r="A2004" i="3"/>
  <c r="F2004" i="3" s="1"/>
  <c r="A2005" i="3"/>
  <c r="A2006" i="3"/>
  <c r="F2006" i="3" s="1"/>
  <c r="A2007" i="3"/>
  <c r="A2008" i="3"/>
  <c r="F2008" i="3" s="1"/>
  <c r="A2009" i="3"/>
  <c r="A2010" i="3"/>
  <c r="F2010" i="3" s="1"/>
  <c r="A2011" i="3"/>
  <c r="F2011" i="3" s="1"/>
  <c r="A2012" i="3"/>
  <c r="F2012" i="3" s="1"/>
  <c r="A2013" i="3"/>
  <c r="A2014" i="3"/>
  <c r="F2014" i="3" s="1"/>
  <c r="A2015" i="3"/>
  <c r="A2016" i="3"/>
  <c r="F2016" i="3" s="1"/>
  <c r="A2017" i="3"/>
  <c r="A2018" i="3"/>
  <c r="F2018" i="3" s="1"/>
  <c r="A2019" i="3"/>
  <c r="F2019" i="3" s="1"/>
  <c r="A2020" i="3"/>
  <c r="F2020" i="3" s="1"/>
  <c r="A2021" i="3"/>
  <c r="A2022" i="3"/>
  <c r="F2022" i="3" s="1"/>
  <c r="A2023" i="3"/>
  <c r="A2024" i="3"/>
  <c r="F2024" i="3" s="1"/>
  <c r="A2025" i="3"/>
  <c r="A2026" i="3"/>
  <c r="F2026" i="3" s="1"/>
  <c r="A2027" i="3"/>
  <c r="F2027" i="3" s="1"/>
  <c r="A2028" i="3"/>
  <c r="F2028" i="3" s="1"/>
  <c r="A2029" i="3"/>
  <c r="A2030" i="3"/>
  <c r="F2030" i="3" s="1"/>
  <c r="A2031" i="3"/>
  <c r="A2032" i="3"/>
  <c r="F2032" i="3" s="1"/>
  <c r="A2033" i="3"/>
  <c r="A2034" i="3"/>
  <c r="F2034" i="3" s="1"/>
  <c r="A2035" i="3"/>
  <c r="F2035" i="3" s="1"/>
  <c r="A2036" i="3"/>
  <c r="F2036" i="3" s="1"/>
  <c r="A2037" i="3"/>
  <c r="A2038" i="3"/>
  <c r="F2038" i="3" s="1"/>
  <c r="A2039" i="3"/>
  <c r="A2040" i="3"/>
  <c r="F2040" i="3" s="1"/>
  <c r="A2041" i="3"/>
  <c r="A2042" i="3"/>
  <c r="F2042" i="3" s="1"/>
  <c r="A2043" i="3"/>
  <c r="F2043" i="3" s="1"/>
  <c r="A2044" i="3"/>
  <c r="E2044" i="3" s="1"/>
  <c r="A2045" i="3"/>
  <c r="A2046" i="3"/>
  <c r="F2046" i="3" s="1"/>
  <c r="A2047" i="3"/>
  <c r="A2048" i="3"/>
  <c r="F2048" i="3" s="1"/>
  <c r="A2049" i="3"/>
  <c r="A2050" i="3"/>
  <c r="F2050" i="3" s="1"/>
  <c r="A2051" i="3"/>
  <c r="F2051" i="3" s="1"/>
  <c r="A2052" i="3"/>
  <c r="F2052" i="3" s="1"/>
  <c r="A2053" i="3"/>
  <c r="A2054" i="3"/>
  <c r="F2054" i="3" s="1"/>
  <c r="A2055" i="3"/>
  <c r="A2056" i="3"/>
  <c r="F2056" i="3" s="1"/>
  <c r="A2057" i="3"/>
  <c r="A2058" i="3"/>
  <c r="F2058" i="3" s="1"/>
  <c r="A2059" i="3"/>
  <c r="F2059" i="3" s="1"/>
  <c r="A2060" i="3"/>
  <c r="E2060" i="3" s="1"/>
  <c r="A2061" i="3"/>
  <c r="A2062" i="3"/>
  <c r="F2062" i="3" s="1"/>
  <c r="A2063" i="3"/>
  <c r="E2063" i="3" s="1"/>
  <c r="A2064" i="3"/>
  <c r="F2064" i="3" s="1"/>
  <c r="A2065" i="3"/>
  <c r="A2066" i="3"/>
  <c r="F2066" i="3" s="1"/>
  <c r="A2067" i="3"/>
  <c r="F2067" i="3" s="1"/>
  <c r="A2068" i="3"/>
  <c r="F2068" i="3" s="1"/>
  <c r="A2069" i="3"/>
  <c r="A2070" i="3"/>
  <c r="F2070" i="3" s="1"/>
  <c r="A2071" i="3"/>
  <c r="A2072" i="3"/>
  <c r="F2072" i="3" s="1"/>
  <c r="A2073" i="3"/>
  <c r="A2074" i="3"/>
  <c r="F2074" i="3" s="1"/>
  <c r="A2075" i="3"/>
  <c r="F2075" i="3" s="1"/>
  <c r="A2076" i="3"/>
  <c r="F2076" i="3" s="1"/>
  <c r="A2077" i="3"/>
  <c r="A2078" i="3"/>
  <c r="F2078" i="3" s="1"/>
  <c r="A2079" i="3"/>
  <c r="A2080" i="3"/>
  <c r="F2080" i="3" s="1"/>
  <c r="A2081" i="3"/>
  <c r="A2082" i="3"/>
  <c r="F2082" i="3" s="1"/>
  <c r="A2083" i="3"/>
  <c r="F2083" i="3" s="1"/>
  <c r="A2084" i="3"/>
  <c r="E2084" i="3" s="1"/>
  <c r="A2085" i="3"/>
  <c r="A2086" i="3"/>
  <c r="F2086" i="3" s="1"/>
  <c r="A2087" i="3"/>
  <c r="A2088" i="3"/>
  <c r="F2088" i="3" s="1"/>
  <c r="A2089" i="3"/>
  <c r="A2090" i="3"/>
  <c r="F2090" i="3" s="1"/>
  <c r="A2091" i="3"/>
  <c r="F2091" i="3" s="1"/>
  <c r="A2092" i="3"/>
  <c r="F2092" i="3" s="1"/>
  <c r="A2093" i="3"/>
  <c r="A2094" i="3"/>
  <c r="F2094" i="3" s="1"/>
  <c r="A2095" i="3"/>
  <c r="A2096" i="3"/>
  <c r="F2096" i="3" s="1"/>
  <c r="A2097" i="3"/>
  <c r="A2098" i="3"/>
  <c r="F2098" i="3" s="1"/>
  <c r="A2099" i="3"/>
  <c r="F2099" i="3" s="1"/>
  <c r="A2100" i="3"/>
  <c r="F2100" i="3" s="1"/>
  <c r="A2101" i="3"/>
  <c r="A2102" i="3"/>
  <c r="F2102" i="3" s="1"/>
  <c r="A2103" i="3"/>
  <c r="A2104" i="3"/>
  <c r="F2104" i="3" s="1"/>
  <c r="A2105" i="3"/>
  <c r="A2106" i="3"/>
  <c r="F2106" i="3" s="1"/>
  <c r="A2107" i="3"/>
  <c r="F2107" i="3" s="1"/>
  <c r="A2108" i="3"/>
  <c r="E2108" i="3" s="1"/>
  <c r="A2109" i="3"/>
  <c r="A2110" i="3"/>
  <c r="F2110" i="3" s="1"/>
  <c r="A2111" i="3"/>
  <c r="A2112" i="3"/>
  <c r="F2112" i="3" s="1"/>
  <c r="A2113" i="3"/>
  <c r="A2114" i="3"/>
  <c r="F2114" i="3" s="1"/>
  <c r="A2115" i="3"/>
  <c r="F2115" i="3" s="1"/>
  <c r="A2116" i="3"/>
  <c r="F2116" i="3" s="1"/>
  <c r="A2117" i="3"/>
  <c r="A2118" i="3"/>
  <c r="F2118" i="3" s="1"/>
  <c r="A2119" i="3"/>
  <c r="E2119" i="3" s="1"/>
  <c r="A2120" i="3"/>
  <c r="F2120" i="3" s="1"/>
  <c r="A2121" i="3"/>
  <c r="A2122" i="3"/>
  <c r="F2122" i="3" s="1"/>
  <c r="A2123" i="3"/>
  <c r="F2123" i="3" s="1"/>
  <c r="A2124" i="3"/>
  <c r="F2124" i="3" s="1"/>
  <c r="A2125" i="3"/>
  <c r="A2126" i="3"/>
  <c r="F2126" i="3" s="1"/>
  <c r="A2127" i="3"/>
  <c r="A2128" i="3"/>
  <c r="F2128" i="3" s="1"/>
  <c r="A2129" i="3"/>
  <c r="A2130" i="3"/>
  <c r="F2130" i="3" s="1"/>
  <c r="A2131" i="3"/>
  <c r="F2131" i="3" s="1"/>
  <c r="A2132" i="3"/>
  <c r="F2132" i="3" s="1"/>
  <c r="A2133" i="3"/>
  <c r="A2134" i="3"/>
  <c r="F2134" i="3" s="1"/>
  <c r="A2135" i="3"/>
  <c r="A2136" i="3"/>
  <c r="F2136" i="3" s="1"/>
  <c r="A2137" i="3"/>
  <c r="A2138" i="3"/>
  <c r="F2138" i="3" s="1"/>
  <c r="A2139" i="3"/>
  <c r="F2139" i="3" s="1"/>
  <c r="A2140" i="3"/>
  <c r="E2140" i="3" s="1"/>
  <c r="A2141" i="3"/>
  <c r="A2142" i="3"/>
  <c r="F2142" i="3" s="1"/>
  <c r="A2143" i="3"/>
  <c r="A2144" i="3"/>
  <c r="F2144" i="3" s="1"/>
  <c r="A2145" i="3"/>
  <c r="A2146" i="3"/>
  <c r="F2146" i="3" s="1"/>
  <c r="A2147" i="3"/>
  <c r="F2147" i="3" s="1"/>
  <c r="A2148" i="3"/>
  <c r="F2148" i="3" s="1"/>
  <c r="A2149" i="3"/>
  <c r="A2150" i="3"/>
  <c r="F2150" i="3" s="1"/>
  <c r="A2151" i="3"/>
  <c r="A2152" i="3"/>
  <c r="F2152" i="3" s="1"/>
  <c r="A2153" i="3"/>
  <c r="A2154" i="3"/>
  <c r="F2154" i="3" s="1"/>
  <c r="A2155" i="3"/>
  <c r="F2155" i="3" s="1"/>
  <c r="A2156" i="3"/>
  <c r="E2156" i="3" s="1"/>
  <c r="A2157" i="3"/>
  <c r="A2158" i="3"/>
  <c r="F2158" i="3" s="1"/>
  <c r="A2159" i="3"/>
  <c r="A2160" i="3"/>
  <c r="F2160" i="3" s="1"/>
  <c r="A2161" i="3"/>
  <c r="A2162" i="3"/>
  <c r="F2162" i="3" s="1"/>
  <c r="A2163" i="3"/>
  <c r="F2163" i="3" s="1"/>
  <c r="A2164" i="3"/>
  <c r="F2164" i="3" s="1"/>
  <c r="A2165" i="3"/>
  <c r="A2166" i="3"/>
  <c r="F2166" i="3" s="1"/>
  <c r="A2167" i="3"/>
  <c r="A2168" i="3"/>
  <c r="F2168" i="3" s="1"/>
  <c r="A2169" i="3"/>
  <c r="A2170" i="3"/>
  <c r="F2170" i="3" s="1"/>
  <c r="A2171" i="3"/>
  <c r="F2171" i="3" s="1"/>
  <c r="A2172" i="3"/>
  <c r="E2172" i="3" s="1"/>
  <c r="A2173" i="3"/>
  <c r="A2174" i="3"/>
  <c r="F2174" i="3" s="1"/>
  <c r="A2175" i="3"/>
  <c r="A2176" i="3"/>
  <c r="F2176" i="3" s="1"/>
  <c r="A2177" i="3"/>
  <c r="A2178" i="3"/>
  <c r="F2178" i="3" s="1"/>
  <c r="A2179" i="3"/>
  <c r="F2179" i="3" s="1"/>
  <c r="A2180" i="3"/>
  <c r="F2180" i="3" s="1"/>
  <c r="A2181" i="3"/>
  <c r="A2182" i="3"/>
  <c r="F2182" i="3" s="1"/>
  <c r="A2183" i="3"/>
  <c r="A2184" i="3"/>
  <c r="F2184" i="3" s="1"/>
  <c r="A2185" i="3"/>
  <c r="A2186" i="3"/>
  <c r="F2186" i="3" s="1"/>
  <c r="A2187" i="3"/>
  <c r="F2187" i="3" s="1"/>
  <c r="A2188" i="3"/>
  <c r="E2188" i="3" s="1"/>
  <c r="A2189" i="3"/>
  <c r="A2190" i="3"/>
  <c r="F2190" i="3" s="1"/>
  <c r="A2191" i="3"/>
  <c r="A2192" i="3"/>
  <c r="F2192" i="3" s="1"/>
  <c r="A2193" i="3"/>
  <c r="A2194" i="3"/>
  <c r="F2194" i="3" s="1"/>
  <c r="A2195" i="3"/>
  <c r="F2195" i="3" s="1"/>
  <c r="A2196" i="3"/>
  <c r="F2196" i="3" s="1"/>
  <c r="A2197" i="3"/>
  <c r="A2198" i="3"/>
  <c r="F2198" i="3" s="1"/>
  <c r="A2199" i="3"/>
  <c r="A2200" i="3"/>
  <c r="F2200" i="3" s="1"/>
  <c r="A2201" i="3"/>
  <c r="E2201" i="3" s="1"/>
  <c r="A2202" i="3"/>
  <c r="F2202" i="3" s="1"/>
  <c r="A2203" i="3"/>
  <c r="F2203" i="3" s="1"/>
  <c r="A2204" i="3"/>
  <c r="F2204" i="3" s="1"/>
  <c r="A2205" i="3"/>
  <c r="A2206" i="3"/>
  <c r="F2206" i="3" s="1"/>
  <c r="A2207" i="3"/>
  <c r="A2208" i="3"/>
  <c r="F2208" i="3" s="1"/>
  <c r="A2209" i="3"/>
  <c r="A2210" i="3"/>
  <c r="F2210" i="3" s="1"/>
  <c r="A2211" i="3"/>
  <c r="F2211" i="3" s="1"/>
  <c r="A2212" i="3"/>
  <c r="F2212" i="3" s="1"/>
  <c r="A2213" i="3"/>
  <c r="A2214" i="3"/>
  <c r="F2214" i="3" s="1"/>
  <c r="A2215" i="3"/>
  <c r="A2216" i="3"/>
  <c r="F2216" i="3" s="1"/>
  <c r="A2217" i="3"/>
  <c r="A2218" i="3"/>
  <c r="F2218" i="3" s="1"/>
  <c r="A2219" i="3"/>
  <c r="F2219" i="3" s="1"/>
  <c r="A2220" i="3"/>
  <c r="E2220" i="3" s="1"/>
  <c r="A2221" i="3"/>
  <c r="A2222" i="3"/>
  <c r="F2222" i="3" s="1"/>
  <c r="A2223" i="3"/>
  <c r="A2224" i="3"/>
  <c r="F2224" i="3" s="1"/>
  <c r="A2225" i="3"/>
  <c r="A2226" i="3"/>
  <c r="F2226" i="3" s="1"/>
  <c r="A2227" i="3"/>
  <c r="F2227" i="3" s="1"/>
  <c r="A2228" i="3"/>
  <c r="F2228" i="3" s="1"/>
  <c r="A2229" i="3"/>
  <c r="A2230" i="3"/>
  <c r="F2230" i="3" s="1"/>
  <c r="A2231" i="3"/>
  <c r="A2232" i="3"/>
  <c r="F2232" i="3" s="1"/>
  <c r="A2233" i="3"/>
  <c r="A2234" i="3"/>
  <c r="F2234" i="3" s="1"/>
  <c r="A2235" i="3"/>
  <c r="F2235" i="3" s="1"/>
  <c r="A2236" i="3"/>
  <c r="E2236" i="3" s="1"/>
  <c r="A2237" i="3"/>
  <c r="A2238" i="3"/>
  <c r="F2238" i="3" s="1"/>
  <c r="A2239" i="3"/>
  <c r="A2240" i="3"/>
  <c r="F2240" i="3" s="1"/>
  <c r="A2241" i="3"/>
  <c r="A2242" i="3"/>
  <c r="F2242" i="3" s="1"/>
  <c r="A2243" i="3"/>
  <c r="F2243" i="3" s="1"/>
  <c r="A2244" i="3"/>
  <c r="F2244" i="3" s="1"/>
  <c r="A2245" i="3"/>
  <c r="A2246" i="3"/>
  <c r="F2246" i="3" s="1"/>
  <c r="A2247" i="3"/>
  <c r="E2247" i="3" s="1"/>
  <c r="A2248" i="3"/>
  <c r="F2248" i="3" s="1"/>
  <c r="A2249" i="3"/>
  <c r="A2250" i="3"/>
  <c r="F2250" i="3" s="1"/>
  <c r="A2251" i="3"/>
  <c r="F2251" i="3" s="1"/>
  <c r="A2252" i="3"/>
  <c r="F2252" i="3" s="1"/>
  <c r="A2253" i="3"/>
  <c r="A2254" i="3"/>
  <c r="F2254" i="3" s="1"/>
  <c r="A2255" i="3"/>
  <c r="A2256" i="3"/>
  <c r="F2256" i="3" s="1"/>
  <c r="A2257" i="3"/>
  <c r="A2258" i="3"/>
  <c r="F2258" i="3" s="1"/>
  <c r="A2259" i="3"/>
  <c r="F2259" i="3" s="1"/>
  <c r="A2260" i="3"/>
  <c r="F2260" i="3" s="1"/>
  <c r="A2261" i="3"/>
  <c r="A2262" i="3"/>
  <c r="F2262" i="3" s="1"/>
  <c r="A2263" i="3"/>
  <c r="A2264" i="3"/>
  <c r="F2264" i="3" s="1"/>
  <c r="A2265" i="3"/>
  <c r="A2266" i="3"/>
  <c r="F2266" i="3" s="1"/>
  <c r="A2267" i="3"/>
  <c r="F2267" i="3" s="1"/>
  <c r="A2268" i="3"/>
  <c r="E2268" i="3" s="1"/>
  <c r="A2269" i="3"/>
  <c r="A2270" i="3"/>
  <c r="F2270" i="3" s="1"/>
  <c r="A2271" i="3"/>
  <c r="A2272" i="3"/>
  <c r="F2272" i="3" s="1"/>
  <c r="A2273" i="3"/>
  <c r="A2274" i="3"/>
  <c r="F2274" i="3" s="1"/>
  <c r="A2275" i="3"/>
  <c r="F2275" i="3" s="1"/>
  <c r="A2276" i="3"/>
  <c r="F2276" i="3" s="1"/>
  <c r="A2277" i="3"/>
  <c r="A2278" i="3"/>
  <c r="F2278" i="3" s="1"/>
  <c r="A2279" i="3"/>
  <c r="A2280" i="3"/>
  <c r="F2280" i="3" s="1"/>
  <c r="A2281" i="3"/>
  <c r="A2282" i="3"/>
  <c r="F2282" i="3" s="1"/>
  <c r="A2283" i="3"/>
  <c r="F2283" i="3" s="1"/>
  <c r="A2284" i="3"/>
  <c r="E2284" i="3" s="1"/>
  <c r="A2285" i="3"/>
  <c r="A2286" i="3"/>
  <c r="F2286" i="3" s="1"/>
  <c r="A2287" i="3"/>
  <c r="A2288" i="3"/>
  <c r="F2288" i="3" s="1"/>
  <c r="A2289" i="3"/>
  <c r="A2290" i="3"/>
  <c r="F2290" i="3" s="1"/>
  <c r="A2291" i="3"/>
  <c r="F2291" i="3" s="1"/>
  <c r="A2292" i="3"/>
  <c r="F2292" i="3" s="1"/>
  <c r="A2293" i="3"/>
  <c r="A2294" i="3"/>
  <c r="F2294" i="3" s="1"/>
  <c r="A2295" i="3"/>
  <c r="A2296" i="3"/>
  <c r="F2296" i="3" s="1"/>
  <c r="A2297" i="3"/>
  <c r="A2298" i="3"/>
  <c r="F2298" i="3" s="1"/>
  <c r="A2299" i="3"/>
  <c r="F2299" i="3" s="1"/>
  <c r="A2300" i="3"/>
  <c r="E2300" i="3" s="1"/>
  <c r="A2301" i="3"/>
  <c r="A2302" i="3"/>
  <c r="F2302" i="3" s="1"/>
  <c r="A2303" i="3"/>
  <c r="A2304" i="3"/>
  <c r="F2304" i="3" s="1"/>
  <c r="A2305" i="3"/>
  <c r="A2306" i="3"/>
  <c r="F2306" i="3" s="1"/>
  <c r="A2307" i="3"/>
  <c r="F2307" i="3" s="1"/>
  <c r="A2308" i="3"/>
  <c r="F2308" i="3" s="1"/>
  <c r="A2309" i="3"/>
  <c r="A2310" i="3"/>
  <c r="F2310" i="3" s="1"/>
  <c r="A2311" i="3"/>
  <c r="A2312" i="3"/>
  <c r="F2312" i="3" s="1"/>
  <c r="A2313" i="3"/>
  <c r="A2314" i="3"/>
  <c r="F2314" i="3" s="1"/>
  <c r="A2315" i="3"/>
  <c r="F2315" i="3" s="1"/>
  <c r="A2316" i="3"/>
  <c r="E2316" i="3" s="1"/>
  <c r="A2317" i="3"/>
  <c r="A2318" i="3"/>
  <c r="F2318" i="3" s="1"/>
  <c r="A2319" i="3"/>
  <c r="A2320" i="3"/>
  <c r="F2320" i="3" s="1"/>
  <c r="A2321" i="3"/>
  <c r="A2322" i="3"/>
  <c r="F2322" i="3" s="1"/>
  <c r="A2323" i="3"/>
  <c r="F2323" i="3" s="1"/>
  <c r="A2324" i="3"/>
  <c r="F2324" i="3" s="1"/>
  <c r="A2325" i="3"/>
  <c r="A2326" i="3"/>
  <c r="F2326" i="3" s="1"/>
  <c r="A2327" i="3"/>
  <c r="A2328" i="3"/>
  <c r="F2328" i="3" s="1"/>
  <c r="A2329" i="3"/>
  <c r="E2329" i="3" s="1"/>
  <c r="A2330" i="3"/>
  <c r="F2330" i="3" s="1"/>
  <c r="A2331" i="3"/>
  <c r="F2331" i="3" s="1"/>
  <c r="A2332" i="3"/>
  <c r="F2332" i="3" s="1"/>
  <c r="A2333" i="3"/>
  <c r="A2334" i="3"/>
  <c r="F2334" i="3" s="1"/>
  <c r="A2335" i="3"/>
  <c r="A2336" i="3"/>
  <c r="F2336" i="3" s="1"/>
  <c r="A2337" i="3"/>
  <c r="A2338" i="3"/>
  <c r="F2338" i="3" s="1"/>
  <c r="A2339" i="3"/>
  <c r="F2339" i="3" s="1"/>
  <c r="A2340" i="3"/>
  <c r="F2340" i="3" s="1"/>
  <c r="A2341" i="3"/>
  <c r="A2342" i="3"/>
  <c r="F2342" i="3" s="1"/>
  <c r="A2343" i="3"/>
  <c r="A2344" i="3"/>
  <c r="F2344" i="3" s="1"/>
  <c r="A2345" i="3"/>
  <c r="A2346" i="3"/>
  <c r="F2346" i="3" s="1"/>
  <c r="A2347" i="3"/>
  <c r="F2347" i="3" s="1"/>
  <c r="A2348" i="3"/>
  <c r="E2348" i="3" s="1"/>
  <c r="A2349" i="3"/>
  <c r="A2350" i="3"/>
  <c r="F2350" i="3" s="1"/>
  <c r="A2351" i="3"/>
  <c r="A2352" i="3"/>
  <c r="F2352" i="3" s="1"/>
  <c r="A2353" i="3"/>
  <c r="A2354" i="3"/>
  <c r="F2354" i="3" s="1"/>
  <c r="A2355" i="3"/>
  <c r="F2355" i="3" s="1"/>
  <c r="A2356" i="3"/>
  <c r="F2356" i="3" s="1"/>
  <c r="A2357" i="3"/>
  <c r="A2358" i="3"/>
  <c r="F2358" i="3" s="1"/>
  <c r="A2359" i="3"/>
  <c r="A2360" i="3"/>
  <c r="F2360" i="3" s="1"/>
  <c r="A2361" i="3"/>
  <c r="A2362" i="3"/>
  <c r="F2362" i="3" s="1"/>
  <c r="A2363" i="3"/>
  <c r="F2363" i="3" s="1"/>
  <c r="A2364" i="3"/>
  <c r="E2364" i="3" s="1"/>
  <c r="A2365" i="3"/>
  <c r="A2366" i="3"/>
  <c r="F2366" i="3" s="1"/>
  <c r="A2367" i="3"/>
  <c r="A2368" i="3"/>
  <c r="F2368" i="3" s="1"/>
  <c r="A2369" i="3"/>
  <c r="A2370" i="3"/>
  <c r="F2370" i="3" s="1"/>
  <c r="A2371" i="3"/>
  <c r="F2371" i="3" s="1"/>
  <c r="A2372" i="3"/>
  <c r="F2372" i="3" s="1"/>
  <c r="A2373" i="3"/>
  <c r="A2374" i="3"/>
  <c r="F2374" i="3" s="1"/>
  <c r="A2375" i="3"/>
  <c r="E2375" i="3" s="1"/>
  <c r="A2376" i="3"/>
  <c r="F2376" i="3" s="1"/>
  <c r="A2377" i="3"/>
  <c r="A2378" i="3"/>
  <c r="F2378" i="3" s="1"/>
  <c r="A2379" i="3"/>
  <c r="F2379" i="3" s="1"/>
  <c r="A2380" i="3"/>
  <c r="F2380" i="3" s="1"/>
  <c r="A2381" i="3"/>
  <c r="A2382" i="3"/>
  <c r="F2382" i="3" s="1"/>
  <c r="A2383" i="3"/>
  <c r="A2384" i="3"/>
  <c r="F2384" i="3" s="1"/>
  <c r="A2385" i="3"/>
  <c r="A2386" i="3"/>
  <c r="F2386" i="3" s="1"/>
  <c r="A2387" i="3"/>
  <c r="F2387" i="3" s="1"/>
  <c r="A2388" i="3"/>
  <c r="F2388" i="3" s="1"/>
  <c r="A2389" i="3"/>
  <c r="A2390" i="3"/>
  <c r="F2390" i="3" s="1"/>
  <c r="A2391" i="3"/>
  <c r="A2392" i="3"/>
  <c r="F2392" i="3" s="1"/>
  <c r="A2393" i="3"/>
  <c r="A2394" i="3"/>
  <c r="F2394" i="3" s="1"/>
  <c r="A2395" i="3"/>
  <c r="F2395" i="3" s="1"/>
  <c r="A2396" i="3"/>
  <c r="E2396" i="3" s="1"/>
  <c r="A2397" i="3"/>
  <c r="A2398" i="3"/>
  <c r="F2398" i="3" s="1"/>
  <c r="A2399" i="3"/>
  <c r="A2400" i="3"/>
  <c r="F2400" i="3" s="1"/>
  <c r="A2401" i="3"/>
  <c r="A2402" i="3"/>
  <c r="F2402" i="3" s="1"/>
  <c r="A2403" i="3"/>
  <c r="F2403" i="3" s="1"/>
  <c r="A2404" i="3"/>
  <c r="F2404" i="3" s="1"/>
  <c r="A2405" i="3"/>
  <c r="A2406" i="3"/>
  <c r="F2406" i="3" s="1"/>
  <c r="A2407" i="3"/>
  <c r="A2408" i="3"/>
  <c r="F2408" i="3" s="1"/>
  <c r="A2409" i="3"/>
  <c r="A2410" i="3"/>
  <c r="F2410" i="3" s="1"/>
  <c r="A2411" i="3"/>
  <c r="F2411" i="3" s="1"/>
  <c r="A2412" i="3"/>
  <c r="E2412" i="3" s="1"/>
  <c r="A2413" i="3"/>
  <c r="A2414" i="3"/>
  <c r="F2414" i="3" s="1"/>
  <c r="A2415" i="3"/>
  <c r="A2416" i="3"/>
  <c r="F2416" i="3" s="1"/>
  <c r="A2417" i="3"/>
  <c r="A2418" i="3"/>
  <c r="F2418" i="3" s="1"/>
  <c r="A2419" i="3"/>
  <c r="F2419" i="3" s="1"/>
  <c r="A2420" i="3"/>
  <c r="F2420" i="3" s="1"/>
  <c r="A2421" i="3"/>
  <c r="A2422" i="3"/>
  <c r="F2422" i="3" s="1"/>
  <c r="A2423" i="3"/>
  <c r="A2424" i="3"/>
  <c r="F2424" i="3" s="1"/>
  <c r="A2425" i="3"/>
  <c r="A2426" i="3"/>
  <c r="F2426" i="3" s="1"/>
  <c r="A2427" i="3"/>
  <c r="F2427" i="3" s="1"/>
  <c r="A2428" i="3"/>
  <c r="E2428" i="3" s="1"/>
  <c r="A2429" i="3"/>
  <c r="A2430" i="3"/>
  <c r="F2430" i="3" s="1"/>
  <c r="A2431" i="3"/>
  <c r="A2432" i="3"/>
  <c r="F2432" i="3" s="1"/>
  <c r="A2433" i="3"/>
  <c r="A2434" i="3"/>
  <c r="F2434" i="3" s="1"/>
  <c r="A2435" i="3"/>
  <c r="F2435" i="3" s="1"/>
  <c r="A2436" i="3"/>
  <c r="F2436" i="3" s="1"/>
  <c r="A2437" i="3"/>
  <c r="A2438" i="3"/>
  <c r="F2438" i="3" s="1"/>
  <c r="A2439" i="3"/>
  <c r="A2440" i="3"/>
  <c r="F2440" i="3" s="1"/>
  <c r="A2441" i="3"/>
  <c r="A2442" i="3"/>
  <c r="F2442" i="3" s="1"/>
  <c r="A2443" i="3"/>
  <c r="F2443" i="3" s="1"/>
  <c r="A2444" i="3"/>
  <c r="E2444" i="3" s="1"/>
  <c r="A2445" i="3"/>
  <c r="A2446" i="3"/>
  <c r="F2446" i="3" s="1"/>
  <c r="A2447" i="3"/>
  <c r="A2448" i="3"/>
  <c r="F2448" i="3" s="1"/>
  <c r="A2449" i="3"/>
  <c r="A2450" i="3"/>
  <c r="F2450" i="3" s="1"/>
  <c r="A2451" i="3"/>
  <c r="F2451" i="3" s="1"/>
  <c r="A2452" i="3"/>
  <c r="F2452" i="3" s="1"/>
  <c r="A2453" i="3"/>
  <c r="A2454" i="3"/>
  <c r="F2454" i="3" s="1"/>
  <c r="A2455" i="3"/>
  <c r="A2456" i="3"/>
  <c r="F2456" i="3" s="1"/>
  <c r="A2457" i="3"/>
  <c r="E2457" i="3" s="1"/>
  <c r="A2458" i="3"/>
  <c r="F2458" i="3" s="1"/>
  <c r="A2459" i="3"/>
  <c r="F2459" i="3" s="1"/>
  <c r="A2460" i="3"/>
  <c r="F2460" i="3" s="1"/>
  <c r="A2461" i="3"/>
  <c r="A2462" i="3"/>
  <c r="F2462" i="3" s="1"/>
  <c r="A2463" i="3"/>
  <c r="A2464" i="3"/>
  <c r="F2464" i="3" s="1"/>
  <c r="A2465" i="3"/>
  <c r="A2466" i="3"/>
  <c r="F2466" i="3" s="1"/>
  <c r="A2467" i="3"/>
  <c r="F2467" i="3" s="1"/>
  <c r="A2468" i="3"/>
  <c r="F2468" i="3" s="1"/>
  <c r="A2469" i="3"/>
  <c r="A2470" i="3"/>
  <c r="F2470" i="3" s="1"/>
  <c r="A2471" i="3"/>
  <c r="A2472" i="3"/>
  <c r="F2472" i="3" s="1"/>
  <c r="A2473" i="3"/>
  <c r="A2474" i="3"/>
  <c r="F2474" i="3" s="1"/>
  <c r="A2475" i="3"/>
  <c r="F2475" i="3" s="1"/>
  <c r="A2476" i="3"/>
  <c r="E2476" i="3" s="1"/>
  <c r="A2477" i="3"/>
  <c r="A2478" i="3"/>
  <c r="F2478" i="3" s="1"/>
  <c r="A2479" i="3"/>
  <c r="A2480" i="3"/>
  <c r="F2480" i="3" s="1"/>
  <c r="A2481" i="3"/>
  <c r="A2482" i="3"/>
  <c r="F2482" i="3" s="1"/>
  <c r="A2483" i="3"/>
  <c r="F2483" i="3" s="1"/>
  <c r="A2484" i="3"/>
  <c r="F2484" i="3" s="1"/>
  <c r="A2485" i="3"/>
  <c r="A2486" i="3"/>
  <c r="F2486" i="3" s="1"/>
  <c r="A2487" i="3"/>
  <c r="A2488" i="3"/>
  <c r="A2489" i="3"/>
  <c r="A2490" i="3"/>
  <c r="F2490" i="3" s="1"/>
  <c r="A2491" i="3"/>
  <c r="F2491" i="3" s="1"/>
  <c r="A2492" i="3"/>
  <c r="E2492" i="3" s="1"/>
  <c r="A2493" i="3"/>
  <c r="A2494" i="3"/>
  <c r="F2494" i="3" s="1"/>
  <c r="A2495" i="3"/>
  <c r="A2496" i="3"/>
  <c r="F2496" i="3" s="1"/>
  <c r="A2497" i="3"/>
  <c r="A2498" i="3"/>
  <c r="F2498" i="3" s="1"/>
  <c r="A2499" i="3"/>
  <c r="F2499" i="3" s="1"/>
  <c r="A2500" i="3"/>
  <c r="F2500" i="3" s="1"/>
  <c r="A2501" i="3"/>
  <c r="A2502" i="3"/>
  <c r="F2502" i="3" s="1"/>
  <c r="A2503" i="3"/>
  <c r="E2503" i="3" s="1"/>
  <c r="A2504" i="3"/>
  <c r="A2505" i="3"/>
  <c r="A2506" i="3"/>
  <c r="F2506" i="3" s="1"/>
  <c r="A2507" i="3"/>
  <c r="F2507" i="3" s="1"/>
  <c r="A2508" i="3"/>
  <c r="F2508" i="3" s="1"/>
  <c r="A2509" i="3"/>
  <c r="A2510" i="3"/>
  <c r="F2510" i="3" s="1"/>
  <c r="A2511" i="3"/>
  <c r="A2512" i="3"/>
  <c r="A2513" i="3"/>
  <c r="A2514" i="3"/>
  <c r="F2514" i="3" s="1"/>
  <c r="A2515" i="3"/>
  <c r="F2515" i="3" s="1"/>
  <c r="A2516" i="3"/>
  <c r="F2516" i="3" s="1"/>
  <c r="A2517" i="3"/>
  <c r="A2518" i="3"/>
  <c r="F2518" i="3" s="1"/>
  <c r="A2519" i="3"/>
  <c r="A2520" i="3"/>
  <c r="A2521" i="3"/>
  <c r="A2522" i="3"/>
  <c r="F2522" i="3" s="1"/>
  <c r="A2523" i="3"/>
  <c r="F2523" i="3" s="1"/>
  <c r="A2524" i="3"/>
  <c r="E2524" i="3" s="1"/>
  <c r="A2525" i="3"/>
  <c r="A2526" i="3"/>
  <c r="F2526" i="3" s="1"/>
  <c r="A2527" i="3"/>
  <c r="A2528" i="3"/>
  <c r="F2528" i="3" s="1"/>
  <c r="A2529" i="3"/>
  <c r="A2530" i="3"/>
  <c r="F2530" i="3" s="1"/>
  <c r="A2531" i="3"/>
  <c r="F2531" i="3" s="1"/>
  <c r="A2532" i="3"/>
  <c r="F2532" i="3" s="1"/>
  <c r="A2533" i="3"/>
  <c r="A2534" i="3"/>
  <c r="F2534" i="3" s="1"/>
  <c r="A2535" i="3"/>
  <c r="A2536" i="3"/>
  <c r="A2537" i="3"/>
  <c r="A2538" i="3"/>
  <c r="F2538" i="3" s="1"/>
  <c r="A2539" i="3"/>
  <c r="F2539" i="3" s="1"/>
  <c r="A2540" i="3"/>
  <c r="E2540" i="3" s="1"/>
  <c r="A2541" i="3"/>
  <c r="A2542" i="3"/>
  <c r="F2542" i="3" s="1"/>
  <c r="A2543" i="3"/>
  <c r="A2544" i="3"/>
  <c r="A2545" i="3"/>
  <c r="A2546" i="3"/>
  <c r="F2546" i="3" s="1"/>
  <c r="A2547" i="3"/>
  <c r="F2547" i="3" s="1"/>
  <c r="A2548" i="3"/>
  <c r="F2548" i="3" s="1"/>
  <c r="A2549" i="3"/>
  <c r="A2550" i="3"/>
  <c r="F2550" i="3" s="1"/>
  <c r="A2551" i="3"/>
  <c r="A2552" i="3"/>
  <c r="A2553" i="3"/>
  <c r="A2554" i="3"/>
  <c r="F2554" i="3" s="1"/>
  <c r="A2555" i="3"/>
  <c r="F2555" i="3" s="1"/>
  <c r="A2556" i="3"/>
  <c r="E2556" i="3" s="1"/>
  <c r="A2557" i="3"/>
  <c r="A2558" i="3"/>
  <c r="F2558" i="3" s="1"/>
  <c r="A2559" i="3"/>
  <c r="A2560" i="3"/>
  <c r="F2560" i="3" s="1"/>
  <c r="A2561" i="3"/>
  <c r="A2562" i="3"/>
  <c r="F2562" i="3" s="1"/>
  <c r="A2563" i="3"/>
  <c r="F2563" i="3" s="1"/>
  <c r="A2564" i="3"/>
  <c r="F2564" i="3" s="1"/>
  <c r="A2565" i="3"/>
  <c r="A2566" i="3"/>
  <c r="F2566" i="3" s="1"/>
  <c r="A2567" i="3"/>
  <c r="A2568" i="3"/>
  <c r="A2569" i="3"/>
  <c r="A2570" i="3"/>
  <c r="F2570" i="3" s="1"/>
  <c r="A2571" i="3"/>
  <c r="F2571" i="3" s="1"/>
  <c r="A2572" i="3"/>
  <c r="E2572" i="3" s="1"/>
  <c r="A2573" i="3"/>
  <c r="A2574" i="3"/>
  <c r="F2574" i="3" s="1"/>
  <c r="A2575" i="3"/>
  <c r="A2576" i="3"/>
  <c r="A2577" i="3"/>
  <c r="A2578" i="3"/>
  <c r="F2578" i="3" s="1"/>
  <c r="A2579" i="3"/>
  <c r="F2579" i="3" s="1"/>
  <c r="A2580" i="3"/>
  <c r="F2580" i="3" s="1"/>
  <c r="A2581" i="3"/>
  <c r="A2582" i="3"/>
  <c r="F2582" i="3" s="1"/>
  <c r="A2583" i="3"/>
  <c r="A2584" i="3"/>
  <c r="A2585" i="3"/>
  <c r="E2585" i="3" s="1"/>
  <c r="A2586" i="3"/>
  <c r="F2586" i="3" s="1"/>
  <c r="A2587" i="3"/>
  <c r="F2587" i="3" s="1"/>
  <c r="A2588" i="3"/>
  <c r="F2588" i="3" s="1"/>
  <c r="A2589" i="3"/>
  <c r="A2590" i="3"/>
  <c r="F2590" i="3" s="1"/>
  <c r="A2591" i="3"/>
  <c r="A2592" i="3"/>
  <c r="F2592" i="3" s="1"/>
  <c r="A2593" i="3"/>
  <c r="A2594" i="3"/>
  <c r="F2594" i="3" s="1"/>
  <c r="A2595" i="3"/>
  <c r="F2595" i="3" s="1"/>
  <c r="A2596" i="3"/>
  <c r="F2596" i="3" s="1"/>
  <c r="A2597" i="3"/>
  <c r="A2598" i="3"/>
  <c r="F2598" i="3" s="1"/>
  <c r="A2599" i="3"/>
  <c r="A2600" i="3"/>
  <c r="A2601" i="3"/>
  <c r="A2602" i="3"/>
  <c r="F2602" i="3" s="1"/>
  <c r="A2603" i="3"/>
  <c r="F2603" i="3" s="1"/>
  <c r="A2604" i="3"/>
  <c r="E2604" i="3" s="1"/>
  <c r="A2605" i="3"/>
  <c r="A2606" i="3"/>
  <c r="F2606" i="3" s="1"/>
  <c r="A2607" i="3"/>
  <c r="A2608" i="3"/>
  <c r="A2609" i="3"/>
  <c r="A2610" i="3"/>
  <c r="F2610" i="3" s="1"/>
  <c r="A2611" i="3"/>
  <c r="F2611" i="3" s="1"/>
  <c r="A2612" i="3"/>
  <c r="F2612" i="3" s="1"/>
  <c r="A2613" i="3"/>
  <c r="A2614" i="3"/>
  <c r="F2614" i="3" s="1"/>
  <c r="A2615" i="3"/>
  <c r="A2616" i="3"/>
  <c r="A2617" i="3"/>
  <c r="A2618" i="3"/>
  <c r="F2618" i="3" s="1"/>
  <c r="A2619" i="3"/>
  <c r="F2619" i="3" s="1"/>
  <c r="A2620" i="3"/>
  <c r="E2620" i="3" s="1"/>
  <c r="A2621" i="3"/>
  <c r="A2622" i="3"/>
  <c r="F2622" i="3" s="1"/>
  <c r="A2623" i="3"/>
  <c r="A2624" i="3"/>
  <c r="F2624" i="3" s="1"/>
  <c r="A2625" i="3"/>
  <c r="A2626" i="3"/>
  <c r="F2626" i="3" s="1"/>
  <c r="A2627" i="3"/>
  <c r="F2627" i="3" s="1"/>
  <c r="A2628" i="3"/>
  <c r="F2628" i="3" s="1"/>
  <c r="A2629" i="3"/>
  <c r="A2630" i="3"/>
  <c r="F2630" i="3" s="1"/>
  <c r="A2631" i="3"/>
  <c r="E2631" i="3" s="1"/>
  <c r="A2632" i="3"/>
  <c r="A2633" i="3"/>
  <c r="A2634" i="3"/>
  <c r="F2634" i="3" s="1"/>
  <c r="A2635" i="3"/>
  <c r="F2635" i="3" s="1"/>
  <c r="A2636" i="3"/>
  <c r="F2636" i="3" s="1"/>
  <c r="A2637" i="3"/>
  <c r="A2638" i="3"/>
  <c r="F2638" i="3" s="1"/>
  <c r="A2639" i="3"/>
  <c r="A2640" i="3"/>
  <c r="A2641" i="3"/>
  <c r="A2642" i="3"/>
  <c r="F2642" i="3" s="1"/>
  <c r="A2643" i="3"/>
  <c r="F2643" i="3" s="1"/>
  <c r="A2644" i="3"/>
  <c r="F2644" i="3" s="1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B20" i="3"/>
  <c r="B21" i="3"/>
  <c r="B22" i="3"/>
  <c r="B2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G39" i="3" l="1"/>
  <c r="I39" i="3" s="1"/>
  <c r="D39" i="3"/>
  <c r="M9" i="3"/>
  <c r="N9" i="3"/>
  <c r="K9" i="3"/>
  <c r="J9" i="3"/>
  <c r="K2593" i="3"/>
  <c r="J2593" i="3"/>
  <c r="K2537" i="3"/>
  <c r="J2537" i="3"/>
  <c r="K2489" i="3"/>
  <c r="J2489" i="3"/>
  <c r="K2441" i="3"/>
  <c r="J2441" i="3"/>
  <c r="K2401" i="3"/>
  <c r="J2401" i="3"/>
  <c r="K2361" i="3"/>
  <c r="J2361" i="3"/>
  <c r="K2321" i="3"/>
  <c r="J2321" i="3"/>
  <c r="K2273" i="3"/>
  <c r="J2273" i="3"/>
  <c r="K2233" i="3"/>
  <c r="J2233" i="3"/>
  <c r="K2193" i="3"/>
  <c r="J2193" i="3"/>
  <c r="K2153" i="3"/>
  <c r="J2153" i="3"/>
  <c r="K2105" i="3"/>
  <c r="J2105" i="3"/>
  <c r="K2073" i="3"/>
  <c r="J2073" i="3"/>
  <c r="K2033" i="3"/>
  <c r="J2033" i="3"/>
  <c r="K1985" i="3"/>
  <c r="J1985" i="3"/>
  <c r="K1945" i="3"/>
  <c r="J1945" i="3"/>
  <c r="K1913" i="3"/>
  <c r="J1913" i="3"/>
  <c r="K1865" i="3"/>
  <c r="J1865" i="3"/>
  <c r="K1817" i="3"/>
  <c r="J1817" i="3"/>
  <c r="K1761" i="3"/>
  <c r="J1761" i="3"/>
  <c r="K1713" i="3"/>
  <c r="J1713" i="3"/>
  <c r="K1665" i="3"/>
  <c r="J1665" i="3"/>
  <c r="K1625" i="3"/>
  <c r="J1625" i="3"/>
  <c r="K1577" i="3"/>
  <c r="J1577" i="3"/>
  <c r="K1529" i="3"/>
  <c r="J1529" i="3"/>
  <c r="K1481" i="3"/>
  <c r="J1481" i="3"/>
  <c r="K1449" i="3"/>
  <c r="J1449" i="3"/>
  <c r="K1409" i="3"/>
  <c r="J1409" i="3"/>
  <c r="K1369" i="3"/>
  <c r="J1369" i="3"/>
  <c r="K1329" i="3"/>
  <c r="J1329" i="3"/>
  <c r="K1289" i="3"/>
  <c r="J1289" i="3"/>
  <c r="K1241" i="3"/>
  <c r="J1241" i="3"/>
  <c r="K1193" i="3"/>
  <c r="J1193" i="3"/>
  <c r="K1161" i="3"/>
  <c r="J1161" i="3"/>
  <c r="K1121" i="3"/>
  <c r="J1121" i="3"/>
  <c r="K1073" i="3"/>
  <c r="J1073" i="3"/>
  <c r="K1025" i="3"/>
  <c r="J1025" i="3"/>
  <c r="K977" i="3"/>
  <c r="J977" i="3"/>
  <c r="K929" i="3"/>
  <c r="J929" i="3"/>
  <c r="K865" i="3"/>
  <c r="J865" i="3"/>
  <c r="K817" i="3"/>
  <c r="J817" i="3"/>
  <c r="K761" i="3"/>
  <c r="J761" i="3"/>
  <c r="K705" i="3"/>
  <c r="J705" i="3"/>
  <c r="K641" i="3"/>
  <c r="J641" i="3"/>
  <c r="K577" i="3"/>
  <c r="J577" i="3"/>
  <c r="K497" i="3"/>
  <c r="J497" i="3"/>
  <c r="K441" i="3"/>
  <c r="J441" i="3"/>
  <c r="K401" i="3"/>
  <c r="J401" i="3"/>
  <c r="K345" i="3"/>
  <c r="J345" i="3"/>
  <c r="K305" i="3"/>
  <c r="J305" i="3"/>
  <c r="K233" i="3"/>
  <c r="J233" i="3"/>
  <c r="K177" i="3"/>
  <c r="J177" i="3"/>
  <c r="K129" i="3"/>
  <c r="J129" i="3"/>
  <c r="M71" i="3"/>
  <c r="N71" i="3"/>
  <c r="K71" i="3"/>
  <c r="M16" i="3"/>
  <c r="N16" i="3"/>
  <c r="K16" i="3"/>
  <c r="J16" i="3"/>
  <c r="K2640" i="3"/>
  <c r="J2640" i="3"/>
  <c r="K2624" i="3"/>
  <c r="J2624" i="3"/>
  <c r="K2608" i="3"/>
  <c r="J2608" i="3"/>
  <c r="K2592" i="3"/>
  <c r="J2592" i="3"/>
  <c r="K2568" i="3"/>
  <c r="J2568" i="3"/>
  <c r="K2552" i="3"/>
  <c r="J2552" i="3"/>
  <c r="K2536" i="3"/>
  <c r="J2536" i="3"/>
  <c r="K2520" i="3"/>
  <c r="J2520" i="3"/>
  <c r="K2504" i="3"/>
  <c r="J2504" i="3"/>
  <c r="K2480" i="3"/>
  <c r="J2480" i="3"/>
  <c r="K2464" i="3"/>
  <c r="J2464" i="3"/>
  <c r="K2448" i="3"/>
  <c r="J2448" i="3"/>
  <c r="K2432" i="3"/>
  <c r="J2432" i="3"/>
  <c r="K2416" i="3"/>
  <c r="J2416" i="3"/>
  <c r="K2400" i="3"/>
  <c r="J2400" i="3"/>
  <c r="K2384" i="3"/>
  <c r="J2384" i="3"/>
  <c r="K2376" i="3"/>
  <c r="J2376" i="3"/>
  <c r="K2360" i="3"/>
  <c r="J2360" i="3"/>
  <c r="K2344" i="3"/>
  <c r="J2344" i="3"/>
  <c r="K2328" i="3"/>
  <c r="J2328" i="3"/>
  <c r="K2312" i="3"/>
  <c r="J2312" i="3"/>
  <c r="K2296" i="3"/>
  <c r="J2296" i="3"/>
  <c r="K2280" i="3"/>
  <c r="J2280" i="3"/>
  <c r="K2264" i="3"/>
  <c r="J2264" i="3"/>
  <c r="K2248" i="3"/>
  <c r="J2248" i="3"/>
  <c r="K2224" i="3"/>
  <c r="J2224" i="3"/>
  <c r="K2208" i="3"/>
  <c r="J2208" i="3"/>
  <c r="K2192" i="3"/>
  <c r="J2192" i="3"/>
  <c r="K2184" i="3"/>
  <c r="J2184" i="3"/>
  <c r="K2168" i="3"/>
  <c r="J2168" i="3"/>
  <c r="K2144" i="3"/>
  <c r="J2144" i="3"/>
  <c r="K2128" i="3"/>
  <c r="J2128" i="3"/>
  <c r="K2112" i="3"/>
  <c r="J2112" i="3"/>
  <c r="K2096" i="3"/>
  <c r="J2096" i="3"/>
  <c r="K2080" i="3"/>
  <c r="J2080" i="3"/>
  <c r="K2064" i="3"/>
  <c r="J2064" i="3"/>
  <c r="K2048" i="3"/>
  <c r="J2048" i="3"/>
  <c r="K2032" i="3"/>
  <c r="J2032" i="3"/>
  <c r="K2016" i="3"/>
  <c r="J2016" i="3"/>
  <c r="K2000" i="3"/>
  <c r="J2000" i="3"/>
  <c r="K1984" i="3"/>
  <c r="J1984" i="3"/>
  <c r="K1976" i="3"/>
  <c r="J1976" i="3"/>
  <c r="K1960" i="3"/>
  <c r="J1960" i="3"/>
  <c r="K1944" i="3"/>
  <c r="J1944" i="3"/>
  <c r="K1936" i="3"/>
  <c r="J1936" i="3"/>
  <c r="K1920" i="3"/>
  <c r="J1920" i="3"/>
  <c r="K1904" i="3"/>
  <c r="J1904" i="3"/>
  <c r="K1880" i="3"/>
  <c r="J1880" i="3"/>
  <c r="K1864" i="3"/>
  <c r="J1864" i="3"/>
  <c r="K1848" i="3"/>
  <c r="J1848" i="3"/>
  <c r="K1824" i="3"/>
  <c r="J1824" i="3"/>
  <c r="K1808" i="3"/>
  <c r="J1808" i="3"/>
  <c r="K1792" i="3"/>
  <c r="J1792" i="3"/>
  <c r="K1776" i="3"/>
  <c r="J1776" i="3"/>
  <c r="K1752" i="3"/>
  <c r="J1752" i="3"/>
  <c r="K1736" i="3"/>
  <c r="J1736" i="3"/>
  <c r="K1720" i="3"/>
  <c r="J1720" i="3"/>
  <c r="K1704" i="3"/>
  <c r="J1704" i="3"/>
  <c r="K1688" i="3"/>
  <c r="J1688" i="3"/>
  <c r="K1680" i="3"/>
  <c r="J1680" i="3"/>
  <c r="K1664" i="3"/>
  <c r="J1664" i="3"/>
  <c r="K1648" i="3"/>
  <c r="J1648" i="3"/>
  <c r="K1624" i="3"/>
  <c r="J1624" i="3"/>
  <c r="K1608" i="3"/>
  <c r="J1608" i="3"/>
  <c r="K1584" i="3"/>
  <c r="J1584" i="3"/>
  <c r="K1568" i="3"/>
  <c r="J1568" i="3"/>
  <c r="K1552" i="3"/>
  <c r="J1552" i="3"/>
  <c r="K1536" i="3"/>
  <c r="J1536" i="3"/>
  <c r="K1520" i="3"/>
  <c r="J1520" i="3"/>
  <c r="K1504" i="3"/>
  <c r="J1504" i="3"/>
  <c r="K1480" i="3"/>
  <c r="J1480" i="3"/>
  <c r="K1464" i="3"/>
  <c r="J1464" i="3"/>
  <c r="K1448" i="3"/>
  <c r="J1448" i="3"/>
  <c r="K1440" i="3"/>
  <c r="J1440" i="3"/>
  <c r="K1424" i="3"/>
  <c r="J1424" i="3"/>
  <c r="K1408" i="3"/>
  <c r="J1408" i="3"/>
  <c r="K1384" i="3"/>
  <c r="J1384" i="3"/>
  <c r="K1368" i="3"/>
  <c r="J1368" i="3"/>
  <c r="K1352" i="3"/>
  <c r="J1352" i="3"/>
  <c r="K1336" i="3"/>
  <c r="J1336" i="3"/>
  <c r="K1320" i="3"/>
  <c r="J1320" i="3"/>
  <c r="K1304" i="3"/>
  <c r="J1304" i="3"/>
  <c r="K1288" i="3"/>
  <c r="J1288" i="3"/>
  <c r="K1272" i="3"/>
  <c r="J1272" i="3"/>
  <c r="K1256" i="3"/>
  <c r="J1256" i="3"/>
  <c r="K1240" i="3"/>
  <c r="J1240" i="3"/>
  <c r="K1224" i="3"/>
  <c r="J1224" i="3"/>
  <c r="K1208" i="3"/>
  <c r="J1208" i="3"/>
  <c r="K1192" i="3"/>
  <c r="J1192" i="3"/>
  <c r="K1176" i="3"/>
  <c r="J1176" i="3"/>
  <c r="K1160" i="3"/>
  <c r="J1160" i="3"/>
  <c r="K1144" i="3"/>
  <c r="J1144" i="3"/>
  <c r="K1128" i="3"/>
  <c r="J1128" i="3"/>
  <c r="K1112" i="3"/>
  <c r="J1112" i="3"/>
  <c r="K1096" i="3"/>
  <c r="J1096" i="3"/>
  <c r="K1088" i="3"/>
  <c r="J1088" i="3"/>
  <c r="K1072" i="3"/>
  <c r="J1072" i="3"/>
  <c r="K1056" i="3"/>
  <c r="J1056" i="3"/>
  <c r="K1040" i="3"/>
  <c r="J1040" i="3"/>
  <c r="K1024" i="3"/>
  <c r="J1024" i="3"/>
  <c r="K1000" i="3"/>
  <c r="J1000" i="3"/>
  <c r="K984" i="3"/>
  <c r="J984" i="3"/>
  <c r="K968" i="3"/>
  <c r="J968" i="3"/>
  <c r="K952" i="3"/>
  <c r="J952" i="3"/>
  <c r="K936" i="3"/>
  <c r="J936" i="3"/>
  <c r="K920" i="3"/>
  <c r="J920" i="3"/>
  <c r="K904" i="3"/>
  <c r="J904" i="3"/>
  <c r="K888" i="3"/>
  <c r="J888" i="3"/>
  <c r="K872" i="3"/>
  <c r="J872" i="3"/>
  <c r="K856" i="3"/>
  <c r="J856" i="3"/>
  <c r="K840" i="3"/>
  <c r="J840" i="3"/>
  <c r="K824" i="3"/>
  <c r="J824" i="3"/>
  <c r="K808" i="3"/>
  <c r="J808" i="3"/>
  <c r="K792" i="3"/>
  <c r="J792" i="3"/>
  <c r="K776" i="3"/>
  <c r="J776" i="3"/>
  <c r="K760" i="3"/>
  <c r="J760" i="3"/>
  <c r="K744" i="3"/>
  <c r="J744" i="3"/>
  <c r="K728" i="3"/>
  <c r="J728" i="3"/>
  <c r="K712" i="3"/>
  <c r="J712" i="3"/>
  <c r="K696" i="3"/>
  <c r="J696" i="3"/>
  <c r="K680" i="3"/>
  <c r="J680" i="3"/>
  <c r="K664" i="3"/>
  <c r="J664" i="3"/>
  <c r="K648" i="3"/>
  <c r="J648" i="3"/>
  <c r="K632" i="3"/>
  <c r="J632" i="3"/>
  <c r="K616" i="3"/>
  <c r="J616" i="3"/>
  <c r="K600" i="3"/>
  <c r="J600" i="3"/>
  <c r="K584" i="3"/>
  <c r="J584" i="3"/>
  <c r="K568" i="3"/>
  <c r="J568" i="3"/>
  <c r="K552" i="3"/>
  <c r="J552" i="3"/>
  <c r="K536" i="3"/>
  <c r="J536" i="3"/>
  <c r="K528" i="3"/>
  <c r="J528" i="3"/>
  <c r="K512" i="3"/>
  <c r="J512" i="3"/>
  <c r="K488" i="3"/>
  <c r="J488" i="3"/>
  <c r="K472" i="3"/>
  <c r="J472" i="3"/>
  <c r="K456" i="3"/>
  <c r="J456" i="3"/>
  <c r="K440" i="3"/>
  <c r="J440" i="3"/>
  <c r="K424" i="3"/>
  <c r="J424" i="3"/>
  <c r="K408" i="3"/>
  <c r="J408" i="3"/>
  <c r="K392" i="3"/>
  <c r="J392" i="3"/>
  <c r="K376" i="3"/>
  <c r="J376" i="3"/>
  <c r="K360" i="3"/>
  <c r="J360" i="3"/>
  <c r="K336" i="3"/>
  <c r="J336" i="3"/>
  <c r="K328" i="3"/>
  <c r="J328" i="3"/>
  <c r="K312" i="3"/>
  <c r="J312" i="3"/>
  <c r="K296" i="3"/>
  <c r="J296" i="3"/>
  <c r="K280" i="3"/>
  <c r="J280" i="3"/>
  <c r="K264" i="3"/>
  <c r="J264" i="3"/>
  <c r="K248" i="3"/>
  <c r="J248" i="3"/>
  <c r="K232" i="3"/>
  <c r="J232" i="3"/>
  <c r="K216" i="3"/>
  <c r="J216" i="3"/>
  <c r="K200" i="3"/>
  <c r="J200" i="3"/>
  <c r="K184" i="3"/>
  <c r="J184" i="3"/>
  <c r="K168" i="3"/>
  <c r="J168" i="3"/>
  <c r="K152" i="3"/>
  <c r="J152" i="3"/>
  <c r="K136" i="3"/>
  <c r="J136" i="3"/>
  <c r="N119" i="3"/>
  <c r="K119" i="3"/>
  <c r="J119" i="3"/>
  <c r="M103" i="3"/>
  <c r="J103" i="3"/>
  <c r="M86" i="3"/>
  <c r="N86" i="3"/>
  <c r="K86" i="3"/>
  <c r="M70" i="3"/>
  <c r="N70" i="3"/>
  <c r="K70" i="3"/>
  <c r="M54" i="3"/>
  <c r="N54" i="3"/>
  <c r="K54" i="3"/>
  <c r="M37" i="3"/>
  <c r="N37" i="3"/>
  <c r="K37" i="3"/>
  <c r="J37" i="3"/>
  <c r="M15" i="3"/>
  <c r="K15" i="3"/>
  <c r="N15" i="3"/>
  <c r="J15" i="3"/>
  <c r="K2639" i="3"/>
  <c r="J2639" i="3"/>
  <c r="K2631" i="3"/>
  <c r="J2631" i="3"/>
  <c r="K2615" i="3"/>
  <c r="J2615" i="3"/>
  <c r="K2599" i="3"/>
  <c r="J2599" i="3"/>
  <c r="K2591" i="3"/>
  <c r="J2591" i="3"/>
  <c r="K2575" i="3"/>
  <c r="J2575" i="3"/>
  <c r="K2559" i="3"/>
  <c r="J2559" i="3"/>
  <c r="K2543" i="3"/>
  <c r="J2543" i="3"/>
  <c r="K2527" i="3"/>
  <c r="J2527" i="3"/>
  <c r="K2511" i="3"/>
  <c r="J2511" i="3"/>
  <c r="K2495" i="3"/>
  <c r="J2495" i="3"/>
  <c r="K2479" i="3"/>
  <c r="J2479" i="3"/>
  <c r="K2463" i="3"/>
  <c r="J2463" i="3"/>
  <c r="K2447" i="3"/>
  <c r="J2447" i="3"/>
  <c r="K2431" i="3"/>
  <c r="J2431" i="3"/>
  <c r="K2415" i="3"/>
  <c r="J2415" i="3"/>
  <c r="K2399" i="3"/>
  <c r="J2399" i="3"/>
  <c r="K2383" i="3"/>
  <c r="J2383" i="3"/>
  <c r="K2367" i="3"/>
  <c r="J2367" i="3"/>
  <c r="K2351" i="3"/>
  <c r="J2351" i="3"/>
  <c r="K2335" i="3"/>
  <c r="J2335" i="3"/>
  <c r="K2319" i="3"/>
  <c r="J2319" i="3"/>
  <c r="K2303" i="3"/>
  <c r="J2303" i="3"/>
  <c r="K2287" i="3"/>
  <c r="J2287" i="3"/>
  <c r="K2271" i="3"/>
  <c r="J2271" i="3"/>
  <c r="K2247" i="3"/>
  <c r="J2247" i="3"/>
  <c r="K2231" i="3"/>
  <c r="J2231" i="3"/>
  <c r="K2215" i="3"/>
  <c r="J2215" i="3"/>
  <c r="K2199" i="3"/>
  <c r="J2199" i="3"/>
  <c r="K2183" i="3"/>
  <c r="J2183" i="3"/>
  <c r="K2167" i="3"/>
  <c r="J2167" i="3"/>
  <c r="K2151" i="3"/>
  <c r="J2151" i="3"/>
  <c r="K2135" i="3"/>
  <c r="J2135" i="3"/>
  <c r="K2119" i="3"/>
  <c r="J2119" i="3"/>
  <c r="K2103" i="3"/>
  <c r="J2103" i="3"/>
  <c r="K2087" i="3"/>
  <c r="J2087" i="3"/>
  <c r="K2071" i="3"/>
  <c r="J2071" i="3"/>
  <c r="K2063" i="3"/>
  <c r="J2063" i="3"/>
  <c r="K2047" i="3"/>
  <c r="J2047" i="3"/>
  <c r="K2031" i="3"/>
  <c r="J2031" i="3"/>
  <c r="K2015" i="3"/>
  <c r="J2015" i="3"/>
  <c r="K1999" i="3"/>
  <c r="J1999" i="3"/>
  <c r="K1983" i="3"/>
  <c r="J1983" i="3"/>
  <c r="K1967" i="3"/>
  <c r="J1967" i="3"/>
  <c r="K1943" i="3"/>
  <c r="J1943" i="3"/>
  <c r="K1927" i="3"/>
  <c r="J1927" i="3"/>
  <c r="K1911" i="3"/>
  <c r="J1911" i="3"/>
  <c r="K1895" i="3"/>
  <c r="J1895" i="3"/>
  <c r="K1887" i="3"/>
  <c r="J1887" i="3"/>
  <c r="K1871" i="3"/>
  <c r="J1871" i="3"/>
  <c r="K1855" i="3"/>
  <c r="J1855" i="3"/>
  <c r="K1839" i="3"/>
  <c r="J1839" i="3"/>
  <c r="K1823" i="3"/>
  <c r="J1823" i="3"/>
  <c r="K1807" i="3"/>
  <c r="J1807" i="3"/>
  <c r="K1791" i="3"/>
  <c r="J1791" i="3"/>
  <c r="K1775" i="3"/>
  <c r="J1775" i="3"/>
  <c r="K1751" i="3"/>
  <c r="J1751" i="3"/>
  <c r="K1735" i="3"/>
  <c r="J1735" i="3"/>
  <c r="K1719" i="3"/>
  <c r="J1719" i="3"/>
  <c r="K1703" i="3"/>
  <c r="J1703" i="3"/>
  <c r="K1687" i="3"/>
  <c r="J1687" i="3"/>
  <c r="K1679" i="3"/>
  <c r="J1679" i="3"/>
  <c r="K1663" i="3"/>
  <c r="J1663" i="3"/>
  <c r="K1647" i="3"/>
  <c r="J1647" i="3"/>
  <c r="K1631" i="3"/>
  <c r="J1631" i="3"/>
  <c r="K1615" i="3"/>
  <c r="J1615" i="3"/>
  <c r="K1599" i="3"/>
  <c r="J1599" i="3"/>
  <c r="K1583" i="3"/>
  <c r="J1583" i="3"/>
  <c r="K1567" i="3"/>
  <c r="J1567" i="3"/>
  <c r="K1551" i="3"/>
  <c r="J1551" i="3"/>
  <c r="K1535" i="3"/>
  <c r="J1535" i="3"/>
  <c r="K1519" i="3"/>
  <c r="J1519" i="3"/>
  <c r="K1495" i="3"/>
  <c r="J1495" i="3"/>
  <c r="K1479" i="3"/>
  <c r="J1479" i="3"/>
  <c r="K1463" i="3"/>
  <c r="J1463" i="3"/>
  <c r="K1447" i="3"/>
  <c r="J1447" i="3"/>
  <c r="K1431" i="3"/>
  <c r="J1431" i="3"/>
  <c r="K1399" i="3"/>
  <c r="J1399" i="3"/>
  <c r="K1383" i="3"/>
  <c r="J1383" i="3"/>
  <c r="K1367" i="3"/>
  <c r="J1367" i="3"/>
  <c r="K1351" i="3"/>
  <c r="J1351" i="3"/>
  <c r="K1335" i="3"/>
  <c r="J1335" i="3"/>
  <c r="K1319" i="3"/>
  <c r="J1319" i="3"/>
  <c r="K1303" i="3"/>
  <c r="J1303" i="3"/>
  <c r="K1287" i="3"/>
  <c r="J1287" i="3"/>
  <c r="K1271" i="3"/>
  <c r="J1271" i="3"/>
  <c r="K1255" i="3"/>
  <c r="J1255" i="3"/>
  <c r="K1239" i="3"/>
  <c r="J1239" i="3"/>
  <c r="K1223" i="3"/>
  <c r="J1223" i="3"/>
  <c r="K1207" i="3"/>
  <c r="J1207" i="3"/>
  <c r="K1191" i="3"/>
  <c r="J1191" i="3"/>
  <c r="K1175" i="3"/>
  <c r="J1175" i="3"/>
  <c r="K1159" i="3"/>
  <c r="J1159" i="3"/>
  <c r="K1151" i="3"/>
  <c r="J1151" i="3"/>
  <c r="K1135" i="3"/>
  <c r="J1135" i="3"/>
  <c r="K1119" i="3"/>
  <c r="J1119" i="3"/>
  <c r="K1103" i="3"/>
  <c r="J1103" i="3"/>
  <c r="K1087" i="3"/>
  <c r="J1087" i="3"/>
  <c r="K1071" i="3"/>
  <c r="J1071" i="3"/>
  <c r="K1055" i="3"/>
  <c r="J1055" i="3"/>
  <c r="K1039" i="3"/>
  <c r="J1039" i="3"/>
  <c r="K1023" i="3"/>
  <c r="J1023" i="3"/>
  <c r="K1007" i="3"/>
  <c r="J1007" i="3"/>
  <c r="K991" i="3"/>
  <c r="J991" i="3"/>
  <c r="K975" i="3"/>
  <c r="J975" i="3"/>
  <c r="K959" i="3"/>
  <c r="J959" i="3"/>
  <c r="K943" i="3"/>
  <c r="J943" i="3"/>
  <c r="K927" i="3"/>
  <c r="J927" i="3"/>
  <c r="K911" i="3"/>
  <c r="J911" i="3"/>
  <c r="K887" i="3"/>
  <c r="J887" i="3"/>
  <c r="K871" i="3"/>
  <c r="J871" i="3"/>
  <c r="K855" i="3"/>
  <c r="J855" i="3"/>
  <c r="K839" i="3"/>
  <c r="J839" i="3"/>
  <c r="K823" i="3"/>
  <c r="J823" i="3"/>
  <c r="K807" i="3"/>
  <c r="J807" i="3"/>
  <c r="K791" i="3"/>
  <c r="J791" i="3"/>
  <c r="K775" i="3"/>
  <c r="J775" i="3"/>
  <c r="K759" i="3"/>
  <c r="J759" i="3"/>
  <c r="K743" i="3"/>
  <c r="J743" i="3"/>
  <c r="K727" i="3"/>
  <c r="J727" i="3"/>
  <c r="K711" i="3"/>
  <c r="J711" i="3"/>
  <c r="K703" i="3"/>
  <c r="J703" i="3"/>
  <c r="K679" i="3"/>
  <c r="J679" i="3"/>
  <c r="K663" i="3"/>
  <c r="J663" i="3"/>
  <c r="K647" i="3"/>
  <c r="J647" i="3"/>
  <c r="K639" i="3"/>
  <c r="J639" i="3"/>
  <c r="K623" i="3"/>
  <c r="J623" i="3"/>
  <c r="K607" i="3"/>
  <c r="J607" i="3"/>
  <c r="K591" i="3"/>
  <c r="J591" i="3"/>
  <c r="K575" i="3"/>
  <c r="J575" i="3"/>
  <c r="K559" i="3"/>
  <c r="J559" i="3"/>
  <c r="K543" i="3"/>
  <c r="J543" i="3"/>
  <c r="K527" i="3"/>
  <c r="J527" i="3"/>
  <c r="K511" i="3"/>
  <c r="J511" i="3"/>
  <c r="K503" i="3"/>
  <c r="J503" i="3"/>
  <c r="K487" i="3"/>
  <c r="J487" i="3"/>
  <c r="K471" i="3"/>
  <c r="J471" i="3"/>
  <c r="K455" i="3"/>
  <c r="J455" i="3"/>
  <c r="K439" i="3"/>
  <c r="J439" i="3"/>
  <c r="K423" i="3"/>
  <c r="J423" i="3"/>
  <c r="K407" i="3"/>
  <c r="J407" i="3"/>
  <c r="K391" i="3"/>
  <c r="J391" i="3"/>
  <c r="K375" i="3"/>
  <c r="J375" i="3"/>
  <c r="K359" i="3"/>
  <c r="J359" i="3"/>
  <c r="K343" i="3"/>
  <c r="J343" i="3"/>
  <c r="K327" i="3"/>
  <c r="J327" i="3"/>
  <c r="K319" i="3"/>
  <c r="J319" i="3"/>
  <c r="K303" i="3"/>
  <c r="J303" i="3"/>
  <c r="K287" i="3"/>
  <c r="J287" i="3"/>
  <c r="K279" i="3"/>
  <c r="J279" i="3"/>
  <c r="K263" i="3"/>
  <c r="J263" i="3"/>
  <c r="K247" i="3"/>
  <c r="J247" i="3"/>
  <c r="K231" i="3"/>
  <c r="J231" i="3"/>
  <c r="K215" i="3"/>
  <c r="J215" i="3"/>
  <c r="K199" i="3"/>
  <c r="J199" i="3"/>
  <c r="K183" i="3"/>
  <c r="J183" i="3"/>
  <c r="K167" i="3"/>
  <c r="J167" i="3"/>
  <c r="K151" i="3"/>
  <c r="J151" i="3"/>
  <c r="K135" i="3"/>
  <c r="J135" i="3"/>
  <c r="N118" i="3"/>
  <c r="K118" i="3"/>
  <c r="J118" i="3"/>
  <c r="M102" i="3"/>
  <c r="J102" i="3"/>
  <c r="M85" i="3"/>
  <c r="N85" i="3"/>
  <c r="K85" i="3"/>
  <c r="M69" i="3"/>
  <c r="N69" i="3"/>
  <c r="K69" i="3"/>
  <c r="M53" i="3"/>
  <c r="N53" i="3"/>
  <c r="K53" i="3"/>
  <c r="M36" i="3"/>
  <c r="N36" i="3"/>
  <c r="K36" i="3"/>
  <c r="J36" i="3"/>
  <c r="M17" i="3"/>
  <c r="N17" i="3"/>
  <c r="K17" i="3"/>
  <c r="J17" i="3"/>
  <c r="K2609" i="3"/>
  <c r="J2609" i="3"/>
  <c r="K2561" i="3"/>
  <c r="J2561" i="3"/>
  <c r="K2505" i="3"/>
  <c r="J2505" i="3"/>
  <c r="K2457" i="3"/>
  <c r="J2457" i="3"/>
  <c r="K2425" i="3"/>
  <c r="J2425" i="3"/>
  <c r="K2369" i="3"/>
  <c r="J2369" i="3"/>
  <c r="K2329" i="3"/>
  <c r="J2329" i="3"/>
  <c r="K2281" i="3"/>
  <c r="J2281" i="3"/>
  <c r="K2241" i="3"/>
  <c r="J2241" i="3"/>
  <c r="K2201" i="3"/>
  <c r="J2201" i="3"/>
  <c r="K2145" i="3"/>
  <c r="J2145" i="3"/>
  <c r="K2089" i="3"/>
  <c r="J2089" i="3"/>
  <c r="K2049" i="3"/>
  <c r="J2049" i="3"/>
  <c r="K2009" i="3"/>
  <c r="J2009" i="3"/>
  <c r="K1961" i="3"/>
  <c r="J1961" i="3"/>
  <c r="K1905" i="3"/>
  <c r="J1905" i="3"/>
  <c r="K1857" i="3"/>
  <c r="J1857" i="3"/>
  <c r="K1793" i="3"/>
  <c r="J1793" i="3"/>
  <c r="K1745" i="3"/>
  <c r="J1745" i="3"/>
  <c r="K1697" i="3"/>
  <c r="J1697" i="3"/>
  <c r="K1633" i="3"/>
  <c r="J1633" i="3"/>
  <c r="K1585" i="3"/>
  <c r="J1585" i="3"/>
  <c r="J1521" i="3"/>
  <c r="K1521" i="3"/>
  <c r="K1473" i="3"/>
  <c r="J1473" i="3"/>
  <c r="K1441" i="3"/>
  <c r="J1441" i="3"/>
  <c r="K1393" i="3"/>
  <c r="J1393" i="3"/>
  <c r="K1345" i="3"/>
  <c r="J1345" i="3"/>
  <c r="K1313" i="3"/>
  <c r="J1313" i="3"/>
  <c r="K1273" i="3"/>
  <c r="J1273" i="3"/>
  <c r="K1217" i="3"/>
  <c r="J1217" i="3"/>
  <c r="K1177" i="3"/>
  <c r="J1177" i="3"/>
  <c r="K1137" i="3"/>
  <c r="J1137" i="3"/>
  <c r="K1097" i="3"/>
  <c r="J1097" i="3"/>
  <c r="K1049" i="3"/>
  <c r="J1049" i="3"/>
  <c r="K1009" i="3"/>
  <c r="J1009" i="3"/>
  <c r="K969" i="3"/>
  <c r="J969" i="3"/>
  <c r="K921" i="3"/>
  <c r="J921" i="3"/>
  <c r="K873" i="3"/>
  <c r="J873" i="3"/>
  <c r="K825" i="3"/>
  <c r="J825" i="3"/>
  <c r="K777" i="3"/>
  <c r="J777" i="3"/>
  <c r="K729" i="3"/>
  <c r="J729" i="3"/>
  <c r="K681" i="3"/>
  <c r="J681" i="3"/>
  <c r="K633" i="3"/>
  <c r="J633" i="3"/>
  <c r="K561" i="3"/>
  <c r="J561" i="3"/>
  <c r="K513" i="3"/>
  <c r="J513" i="3"/>
  <c r="K457" i="3"/>
  <c r="J457" i="3"/>
  <c r="K393" i="3"/>
  <c r="J393" i="3"/>
  <c r="K353" i="3"/>
  <c r="J353" i="3"/>
  <c r="K289" i="3"/>
  <c r="J289" i="3"/>
  <c r="K225" i="3"/>
  <c r="J225" i="3"/>
  <c r="K169" i="3"/>
  <c r="J169" i="3"/>
  <c r="N120" i="3"/>
  <c r="K120" i="3"/>
  <c r="J120" i="3"/>
  <c r="M87" i="3"/>
  <c r="N87" i="3"/>
  <c r="K87" i="3"/>
  <c r="M38" i="3"/>
  <c r="N38" i="3"/>
  <c r="K38" i="3"/>
  <c r="J38" i="3"/>
  <c r="M8" i="3"/>
  <c r="N8" i="3"/>
  <c r="K8" i="3"/>
  <c r="J8" i="3"/>
  <c r="K2632" i="3"/>
  <c r="J2632" i="3"/>
  <c r="K2616" i="3"/>
  <c r="J2616" i="3"/>
  <c r="K2600" i="3"/>
  <c r="J2600" i="3"/>
  <c r="K2584" i="3"/>
  <c r="J2584" i="3"/>
  <c r="K2576" i="3"/>
  <c r="J2576" i="3"/>
  <c r="K2560" i="3"/>
  <c r="J2560" i="3"/>
  <c r="K2544" i="3"/>
  <c r="J2544" i="3"/>
  <c r="K2528" i="3"/>
  <c r="J2528" i="3"/>
  <c r="K2512" i="3"/>
  <c r="J2512" i="3"/>
  <c r="K2496" i="3"/>
  <c r="J2496" i="3"/>
  <c r="K2472" i="3"/>
  <c r="J2472" i="3"/>
  <c r="K2456" i="3"/>
  <c r="J2456" i="3"/>
  <c r="K2440" i="3"/>
  <c r="J2440" i="3"/>
  <c r="K2424" i="3"/>
  <c r="J2424" i="3"/>
  <c r="K2408" i="3"/>
  <c r="J2408" i="3"/>
  <c r="K2392" i="3"/>
  <c r="J2392" i="3"/>
  <c r="K2368" i="3"/>
  <c r="J2368" i="3"/>
  <c r="K2352" i="3"/>
  <c r="J2352" i="3"/>
  <c r="K2336" i="3"/>
  <c r="J2336" i="3"/>
  <c r="K2320" i="3"/>
  <c r="J2320" i="3"/>
  <c r="K2304" i="3"/>
  <c r="J2304" i="3"/>
  <c r="K2288" i="3"/>
  <c r="J2288" i="3"/>
  <c r="K2272" i="3"/>
  <c r="J2272" i="3"/>
  <c r="K2256" i="3"/>
  <c r="J2256" i="3"/>
  <c r="K2240" i="3"/>
  <c r="J2240" i="3"/>
  <c r="K2232" i="3"/>
  <c r="J2232" i="3"/>
  <c r="K2216" i="3"/>
  <c r="J2216" i="3"/>
  <c r="K2200" i="3"/>
  <c r="J2200" i="3"/>
  <c r="K2176" i="3"/>
  <c r="J2176" i="3"/>
  <c r="K2152" i="3"/>
  <c r="J2152" i="3"/>
  <c r="K2136" i="3"/>
  <c r="J2136" i="3"/>
  <c r="K2120" i="3"/>
  <c r="J2120" i="3"/>
  <c r="K2104" i="3"/>
  <c r="J2104" i="3"/>
  <c r="K2088" i="3"/>
  <c r="J2088" i="3"/>
  <c r="K2072" i="3"/>
  <c r="J2072" i="3"/>
  <c r="K2056" i="3"/>
  <c r="J2056" i="3"/>
  <c r="K2040" i="3"/>
  <c r="J2040" i="3"/>
  <c r="K2024" i="3"/>
  <c r="J2024" i="3"/>
  <c r="K2008" i="3"/>
  <c r="J2008" i="3"/>
  <c r="K1992" i="3"/>
  <c r="J1992" i="3"/>
  <c r="K1968" i="3"/>
  <c r="J1968" i="3"/>
  <c r="K1952" i="3"/>
  <c r="J1952" i="3"/>
  <c r="K1928" i="3"/>
  <c r="J1928" i="3"/>
  <c r="K1912" i="3"/>
  <c r="J1912" i="3"/>
  <c r="K1896" i="3"/>
  <c r="J1896" i="3"/>
  <c r="K1888" i="3"/>
  <c r="J1888" i="3"/>
  <c r="K1872" i="3"/>
  <c r="J1872" i="3"/>
  <c r="K1856" i="3"/>
  <c r="J1856" i="3"/>
  <c r="K1840" i="3"/>
  <c r="J1840" i="3"/>
  <c r="K1832" i="3"/>
  <c r="J1832" i="3"/>
  <c r="K1816" i="3"/>
  <c r="J1816" i="3"/>
  <c r="K1800" i="3"/>
  <c r="J1800" i="3"/>
  <c r="K1784" i="3"/>
  <c r="J1784" i="3"/>
  <c r="K1768" i="3"/>
  <c r="J1768" i="3"/>
  <c r="K1760" i="3"/>
  <c r="J1760" i="3"/>
  <c r="K1744" i="3"/>
  <c r="J1744" i="3"/>
  <c r="K1728" i="3"/>
  <c r="J1728" i="3"/>
  <c r="K1712" i="3"/>
  <c r="J1712" i="3"/>
  <c r="K1696" i="3"/>
  <c r="J1696" i="3"/>
  <c r="K1672" i="3"/>
  <c r="J1672" i="3"/>
  <c r="K1656" i="3"/>
  <c r="J1656" i="3"/>
  <c r="K1640" i="3"/>
  <c r="J1640" i="3"/>
  <c r="K1632" i="3"/>
  <c r="J1632" i="3"/>
  <c r="K1616" i="3"/>
  <c r="J1616" i="3"/>
  <c r="K1600" i="3"/>
  <c r="J1600" i="3"/>
  <c r="K1576" i="3"/>
  <c r="J1576" i="3"/>
  <c r="K1560" i="3"/>
  <c r="J1560" i="3"/>
  <c r="K1544" i="3"/>
  <c r="J1544" i="3"/>
  <c r="K1528" i="3"/>
  <c r="J1528" i="3"/>
  <c r="K1512" i="3"/>
  <c r="J1512" i="3"/>
  <c r="K1496" i="3"/>
  <c r="J1496" i="3"/>
  <c r="K1488" i="3"/>
  <c r="J1488" i="3"/>
  <c r="K1472" i="3"/>
  <c r="J1472" i="3"/>
  <c r="K1456" i="3"/>
  <c r="J1456" i="3"/>
  <c r="K1432" i="3"/>
  <c r="J1432" i="3"/>
  <c r="K1416" i="3"/>
  <c r="J1416" i="3"/>
  <c r="K1400" i="3"/>
  <c r="J1400" i="3"/>
  <c r="K1392" i="3"/>
  <c r="J1392" i="3"/>
  <c r="K1376" i="3"/>
  <c r="J1376" i="3"/>
  <c r="K1360" i="3"/>
  <c r="J1360" i="3"/>
  <c r="K1344" i="3"/>
  <c r="J1344" i="3"/>
  <c r="K1328" i="3"/>
  <c r="J1328" i="3"/>
  <c r="K1312" i="3"/>
  <c r="J1312" i="3"/>
  <c r="K1296" i="3"/>
  <c r="J1296" i="3"/>
  <c r="K1280" i="3"/>
  <c r="J1280" i="3"/>
  <c r="K1264" i="3"/>
  <c r="J1264" i="3"/>
  <c r="K1248" i="3"/>
  <c r="J1248" i="3"/>
  <c r="K1232" i="3"/>
  <c r="J1232" i="3"/>
  <c r="K1216" i="3"/>
  <c r="J1216" i="3"/>
  <c r="K1200" i="3"/>
  <c r="J1200" i="3"/>
  <c r="K1184" i="3"/>
  <c r="J1184" i="3"/>
  <c r="K1168" i="3"/>
  <c r="J1168" i="3"/>
  <c r="K1152" i="3"/>
  <c r="J1152" i="3"/>
  <c r="K1136" i="3"/>
  <c r="J1136" i="3"/>
  <c r="K1120" i="3"/>
  <c r="J1120" i="3"/>
  <c r="K1104" i="3"/>
  <c r="J1104" i="3"/>
  <c r="K1080" i="3"/>
  <c r="J1080" i="3"/>
  <c r="K1064" i="3"/>
  <c r="J1064" i="3"/>
  <c r="K1048" i="3"/>
  <c r="J1048" i="3"/>
  <c r="K1032" i="3"/>
  <c r="J1032" i="3"/>
  <c r="K1016" i="3"/>
  <c r="J1016" i="3"/>
  <c r="K1008" i="3"/>
  <c r="J1008" i="3"/>
  <c r="K992" i="3"/>
  <c r="J992" i="3"/>
  <c r="K976" i="3"/>
  <c r="J976" i="3"/>
  <c r="K960" i="3"/>
  <c r="J960" i="3"/>
  <c r="K944" i="3"/>
  <c r="J944" i="3"/>
  <c r="K928" i="3"/>
  <c r="J928" i="3"/>
  <c r="K912" i="3"/>
  <c r="J912" i="3"/>
  <c r="K896" i="3"/>
  <c r="J896" i="3"/>
  <c r="K880" i="3"/>
  <c r="J880" i="3"/>
  <c r="K864" i="3"/>
  <c r="J864" i="3"/>
  <c r="K848" i="3"/>
  <c r="J848" i="3"/>
  <c r="K832" i="3"/>
  <c r="J832" i="3"/>
  <c r="K816" i="3"/>
  <c r="J816" i="3"/>
  <c r="K800" i="3"/>
  <c r="J800" i="3"/>
  <c r="K784" i="3"/>
  <c r="J784" i="3"/>
  <c r="K768" i="3"/>
  <c r="J768" i="3"/>
  <c r="K752" i="3"/>
  <c r="J752" i="3"/>
  <c r="K736" i="3"/>
  <c r="J736" i="3"/>
  <c r="K720" i="3"/>
  <c r="J720" i="3"/>
  <c r="K704" i="3"/>
  <c r="J704" i="3"/>
  <c r="K688" i="3"/>
  <c r="J688" i="3"/>
  <c r="K672" i="3"/>
  <c r="J672" i="3"/>
  <c r="K656" i="3"/>
  <c r="J656" i="3"/>
  <c r="K640" i="3"/>
  <c r="J640" i="3"/>
  <c r="K624" i="3"/>
  <c r="J624" i="3"/>
  <c r="K608" i="3"/>
  <c r="J608" i="3"/>
  <c r="K592" i="3"/>
  <c r="J592" i="3"/>
  <c r="K576" i="3"/>
  <c r="J576" i="3"/>
  <c r="K560" i="3"/>
  <c r="J560" i="3"/>
  <c r="K544" i="3"/>
  <c r="J544" i="3"/>
  <c r="K520" i="3"/>
  <c r="J520" i="3"/>
  <c r="K504" i="3"/>
  <c r="J504" i="3"/>
  <c r="K480" i="3"/>
  <c r="J480" i="3"/>
  <c r="K464" i="3"/>
  <c r="J464" i="3"/>
  <c r="K448" i="3"/>
  <c r="J448" i="3"/>
  <c r="K432" i="3"/>
  <c r="J432" i="3"/>
  <c r="K416" i="3"/>
  <c r="J416" i="3"/>
  <c r="K400" i="3"/>
  <c r="J400" i="3"/>
  <c r="K384" i="3"/>
  <c r="J384" i="3"/>
  <c r="K368" i="3"/>
  <c r="J368" i="3"/>
  <c r="K352" i="3"/>
  <c r="J352" i="3"/>
  <c r="K344" i="3"/>
  <c r="J344" i="3"/>
  <c r="K320" i="3"/>
  <c r="J320" i="3"/>
  <c r="K304" i="3"/>
  <c r="J304" i="3"/>
  <c r="K288" i="3"/>
  <c r="J288" i="3"/>
  <c r="K272" i="3"/>
  <c r="J272" i="3"/>
  <c r="K256" i="3"/>
  <c r="J256" i="3"/>
  <c r="K240" i="3"/>
  <c r="J240" i="3"/>
  <c r="K224" i="3"/>
  <c r="J224" i="3"/>
  <c r="K208" i="3"/>
  <c r="J208" i="3"/>
  <c r="K192" i="3"/>
  <c r="J192" i="3"/>
  <c r="K176" i="3"/>
  <c r="J176" i="3"/>
  <c r="K160" i="3"/>
  <c r="J160" i="3"/>
  <c r="K144" i="3"/>
  <c r="J144" i="3"/>
  <c r="K128" i="3"/>
  <c r="J128" i="3"/>
  <c r="M111" i="3"/>
  <c r="J111" i="3"/>
  <c r="M94" i="3"/>
  <c r="N94" i="3"/>
  <c r="M78" i="3"/>
  <c r="N78" i="3"/>
  <c r="K78" i="3"/>
  <c r="M62" i="3"/>
  <c r="N62" i="3"/>
  <c r="K62" i="3"/>
  <c r="M46" i="3"/>
  <c r="N46" i="3"/>
  <c r="K46" i="3"/>
  <c r="J46" i="3"/>
  <c r="M29" i="3"/>
  <c r="N29" i="3"/>
  <c r="K29" i="3"/>
  <c r="J29" i="3"/>
  <c r="M23" i="3"/>
  <c r="N23" i="3"/>
  <c r="K23" i="3"/>
  <c r="J23" i="3"/>
  <c r="M7" i="3"/>
  <c r="N7" i="3"/>
  <c r="K7" i="3"/>
  <c r="J7" i="3"/>
  <c r="K2623" i="3"/>
  <c r="J2623" i="3"/>
  <c r="K2607" i="3"/>
  <c r="J2607" i="3"/>
  <c r="K2583" i="3"/>
  <c r="J2583" i="3"/>
  <c r="K2567" i="3"/>
  <c r="J2567" i="3"/>
  <c r="K2551" i="3"/>
  <c r="J2551" i="3"/>
  <c r="K2535" i="3"/>
  <c r="J2535" i="3"/>
  <c r="K2519" i="3"/>
  <c r="J2519" i="3"/>
  <c r="K2503" i="3"/>
  <c r="J2503" i="3"/>
  <c r="K2487" i="3"/>
  <c r="J2487" i="3"/>
  <c r="K2471" i="3"/>
  <c r="J2471" i="3"/>
  <c r="K2455" i="3"/>
  <c r="J2455" i="3"/>
  <c r="K2439" i="3"/>
  <c r="J2439" i="3"/>
  <c r="K2423" i="3"/>
  <c r="J2423" i="3"/>
  <c r="K2407" i="3"/>
  <c r="J2407" i="3"/>
  <c r="K2391" i="3"/>
  <c r="J2391" i="3"/>
  <c r="K2375" i="3"/>
  <c r="J2375" i="3"/>
  <c r="K2359" i="3"/>
  <c r="J2359" i="3"/>
  <c r="K2343" i="3"/>
  <c r="J2343" i="3"/>
  <c r="K2327" i="3"/>
  <c r="J2327" i="3"/>
  <c r="K2311" i="3"/>
  <c r="J2311" i="3"/>
  <c r="K2295" i="3"/>
  <c r="J2295" i="3"/>
  <c r="K2279" i="3"/>
  <c r="J2279" i="3"/>
  <c r="K2263" i="3"/>
  <c r="J2263" i="3"/>
  <c r="K2255" i="3"/>
  <c r="J2255" i="3"/>
  <c r="K2239" i="3"/>
  <c r="J2239" i="3"/>
  <c r="K2223" i="3"/>
  <c r="J2223" i="3"/>
  <c r="K2207" i="3"/>
  <c r="J2207" i="3"/>
  <c r="K2191" i="3"/>
  <c r="J2191" i="3"/>
  <c r="K2175" i="3"/>
  <c r="J2175" i="3"/>
  <c r="K2159" i="3"/>
  <c r="J2159" i="3"/>
  <c r="K2143" i="3"/>
  <c r="J2143" i="3"/>
  <c r="K2127" i="3"/>
  <c r="J2127" i="3"/>
  <c r="K2111" i="3"/>
  <c r="J2111" i="3"/>
  <c r="K2095" i="3"/>
  <c r="J2095" i="3"/>
  <c r="K2079" i="3"/>
  <c r="J2079" i="3"/>
  <c r="K2055" i="3"/>
  <c r="J2055" i="3"/>
  <c r="K2039" i="3"/>
  <c r="J2039" i="3"/>
  <c r="K2023" i="3"/>
  <c r="J2023" i="3"/>
  <c r="K2007" i="3"/>
  <c r="J2007" i="3"/>
  <c r="K1991" i="3"/>
  <c r="J1991" i="3"/>
  <c r="K1975" i="3"/>
  <c r="J1975" i="3"/>
  <c r="K1959" i="3"/>
  <c r="J1959" i="3"/>
  <c r="K1951" i="3"/>
  <c r="J1951" i="3"/>
  <c r="K1935" i="3"/>
  <c r="J1935" i="3"/>
  <c r="K1919" i="3"/>
  <c r="J1919" i="3"/>
  <c r="K1903" i="3"/>
  <c r="J1903" i="3"/>
  <c r="K1879" i="3"/>
  <c r="J1879" i="3"/>
  <c r="K1863" i="3"/>
  <c r="J1863" i="3"/>
  <c r="K1847" i="3"/>
  <c r="J1847" i="3"/>
  <c r="K1831" i="3"/>
  <c r="J1831" i="3"/>
  <c r="K1815" i="3"/>
  <c r="J1815" i="3"/>
  <c r="K1799" i="3"/>
  <c r="J1799" i="3"/>
  <c r="K1783" i="3"/>
  <c r="J1783" i="3"/>
  <c r="K1767" i="3"/>
  <c r="J1767" i="3"/>
  <c r="K1759" i="3"/>
  <c r="J1759" i="3"/>
  <c r="K1743" i="3"/>
  <c r="J1743" i="3"/>
  <c r="K1727" i="3"/>
  <c r="J1727" i="3"/>
  <c r="K1711" i="3"/>
  <c r="J1711" i="3"/>
  <c r="K1695" i="3"/>
  <c r="J1695" i="3"/>
  <c r="K1671" i="3"/>
  <c r="J1671" i="3"/>
  <c r="K1655" i="3"/>
  <c r="J1655" i="3"/>
  <c r="K1639" i="3"/>
  <c r="J1639" i="3"/>
  <c r="K1623" i="3"/>
  <c r="J1623" i="3"/>
  <c r="K1607" i="3"/>
  <c r="J1607" i="3"/>
  <c r="K1591" i="3"/>
  <c r="J1591" i="3"/>
  <c r="K1575" i="3"/>
  <c r="J1575" i="3"/>
  <c r="K1559" i="3"/>
  <c r="J1559" i="3"/>
  <c r="K1543" i="3"/>
  <c r="J1543" i="3"/>
  <c r="K1527" i="3"/>
  <c r="J1527" i="3"/>
  <c r="K1511" i="3"/>
  <c r="J1511" i="3"/>
  <c r="K1503" i="3"/>
  <c r="J1503" i="3"/>
  <c r="K1487" i="3"/>
  <c r="J1487" i="3"/>
  <c r="K1471" i="3"/>
  <c r="J1471" i="3"/>
  <c r="K1455" i="3"/>
  <c r="J1455" i="3"/>
  <c r="K1439" i="3"/>
  <c r="J1439" i="3"/>
  <c r="K1423" i="3"/>
  <c r="J1423" i="3"/>
  <c r="K1415" i="3"/>
  <c r="J1415" i="3"/>
  <c r="K1407" i="3"/>
  <c r="J1407" i="3"/>
  <c r="K1391" i="3"/>
  <c r="J1391" i="3"/>
  <c r="K1375" i="3"/>
  <c r="J1375" i="3"/>
  <c r="K1359" i="3"/>
  <c r="J1359" i="3"/>
  <c r="K1343" i="3"/>
  <c r="J1343" i="3"/>
  <c r="K1327" i="3"/>
  <c r="J1327" i="3"/>
  <c r="K1311" i="3"/>
  <c r="J1311" i="3"/>
  <c r="K1295" i="3"/>
  <c r="J1295" i="3"/>
  <c r="K1279" i="3"/>
  <c r="J1279" i="3"/>
  <c r="K1263" i="3"/>
  <c r="J1263" i="3"/>
  <c r="K1247" i="3"/>
  <c r="J1247" i="3"/>
  <c r="K1231" i="3"/>
  <c r="J1231" i="3"/>
  <c r="K1215" i="3"/>
  <c r="J1215" i="3"/>
  <c r="K1199" i="3"/>
  <c r="J1199" i="3"/>
  <c r="K1183" i="3"/>
  <c r="J1183" i="3"/>
  <c r="K1167" i="3"/>
  <c r="J1167" i="3"/>
  <c r="K1143" i="3"/>
  <c r="J1143" i="3"/>
  <c r="K1127" i="3"/>
  <c r="J1127" i="3"/>
  <c r="K1111" i="3"/>
  <c r="J1111" i="3"/>
  <c r="K1095" i="3"/>
  <c r="J1095" i="3"/>
  <c r="K1079" i="3"/>
  <c r="J1079" i="3"/>
  <c r="K1063" i="3"/>
  <c r="J1063" i="3"/>
  <c r="K1047" i="3"/>
  <c r="J1047" i="3"/>
  <c r="K1031" i="3"/>
  <c r="J1031" i="3"/>
  <c r="K1015" i="3"/>
  <c r="J1015" i="3"/>
  <c r="K999" i="3"/>
  <c r="J999" i="3"/>
  <c r="K983" i="3"/>
  <c r="J983" i="3"/>
  <c r="K967" i="3"/>
  <c r="J967" i="3"/>
  <c r="K951" i="3"/>
  <c r="J951" i="3"/>
  <c r="K935" i="3"/>
  <c r="J935" i="3"/>
  <c r="K919" i="3"/>
  <c r="J919" i="3"/>
  <c r="K903" i="3"/>
  <c r="J903" i="3"/>
  <c r="K895" i="3"/>
  <c r="J895" i="3"/>
  <c r="K879" i="3"/>
  <c r="J879" i="3"/>
  <c r="K863" i="3"/>
  <c r="J863" i="3"/>
  <c r="K847" i="3"/>
  <c r="J847" i="3"/>
  <c r="K831" i="3"/>
  <c r="J831" i="3"/>
  <c r="K815" i="3"/>
  <c r="J815" i="3"/>
  <c r="K799" i="3"/>
  <c r="J799" i="3"/>
  <c r="K783" i="3"/>
  <c r="J783" i="3"/>
  <c r="K767" i="3"/>
  <c r="J767" i="3"/>
  <c r="K751" i="3"/>
  <c r="J751" i="3"/>
  <c r="K735" i="3"/>
  <c r="J735" i="3"/>
  <c r="K719" i="3"/>
  <c r="J719" i="3"/>
  <c r="K695" i="3"/>
  <c r="J695" i="3"/>
  <c r="K687" i="3"/>
  <c r="J687" i="3"/>
  <c r="K671" i="3"/>
  <c r="J671" i="3"/>
  <c r="K655" i="3"/>
  <c r="J655" i="3"/>
  <c r="K631" i="3"/>
  <c r="J631" i="3"/>
  <c r="K615" i="3"/>
  <c r="J615" i="3"/>
  <c r="K599" i="3"/>
  <c r="J599" i="3"/>
  <c r="K583" i="3"/>
  <c r="J583" i="3"/>
  <c r="K567" i="3"/>
  <c r="J567" i="3"/>
  <c r="K551" i="3"/>
  <c r="J551" i="3"/>
  <c r="K535" i="3"/>
  <c r="J535" i="3"/>
  <c r="K519" i="3"/>
  <c r="J519" i="3"/>
  <c r="K495" i="3"/>
  <c r="J495" i="3"/>
  <c r="K479" i="3"/>
  <c r="J479" i="3"/>
  <c r="K463" i="3"/>
  <c r="J463" i="3"/>
  <c r="K447" i="3"/>
  <c r="J447" i="3"/>
  <c r="K431" i="3"/>
  <c r="J431" i="3"/>
  <c r="K415" i="3"/>
  <c r="J415" i="3"/>
  <c r="K399" i="3"/>
  <c r="J399" i="3"/>
  <c r="K383" i="3"/>
  <c r="J383" i="3"/>
  <c r="K367" i="3"/>
  <c r="J367" i="3"/>
  <c r="K351" i="3"/>
  <c r="J351" i="3"/>
  <c r="K335" i="3"/>
  <c r="J335" i="3"/>
  <c r="K311" i="3"/>
  <c r="J311" i="3"/>
  <c r="K295" i="3"/>
  <c r="J295" i="3"/>
  <c r="K271" i="3"/>
  <c r="J271" i="3"/>
  <c r="K255" i="3"/>
  <c r="J255" i="3"/>
  <c r="K239" i="3"/>
  <c r="J239" i="3"/>
  <c r="K223" i="3"/>
  <c r="J223" i="3"/>
  <c r="K207" i="3"/>
  <c r="J207" i="3"/>
  <c r="K191" i="3"/>
  <c r="J191" i="3"/>
  <c r="K175" i="3"/>
  <c r="J175" i="3"/>
  <c r="K159" i="3"/>
  <c r="J159" i="3"/>
  <c r="K143" i="3"/>
  <c r="J143" i="3"/>
  <c r="K127" i="3"/>
  <c r="J127" i="3"/>
  <c r="M110" i="3"/>
  <c r="J110" i="3"/>
  <c r="M93" i="3"/>
  <c r="N93" i="3"/>
  <c r="M77" i="3"/>
  <c r="N77" i="3"/>
  <c r="K77" i="3"/>
  <c r="M61" i="3"/>
  <c r="N61" i="3"/>
  <c r="K61" i="3"/>
  <c r="M45" i="3"/>
  <c r="N45" i="3"/>
  <c r="K45" i="3"/>
  <c r="J45" i="3"/>
  <c r="M28" i="3"/>
  <c r="N28" i="3"/>
  <c r="K28" i="3"/>
  <c r="J28" i="3"/>
  <c r="M22" i="3"/>
  <c r="N22" i="3"/>
  <c r="K22" i="3"/>
  <c r="J22" i="3"/>
  <c r="M14" i="3"/>
  <c r="N14" i="3"/>
  <c r="K14" i="3"/>
  <c r="J14" i="3"/>
  <c r="M6" i="3"/>
  <c r="N6" i="3"/>
  <c r="K6" i="3"/>
  <c r="J6" i="3"/>
  <c r="K2638" i="3"/>
  <c r="J2638" i="3"/>
  <c r="K2630" i="3"/>
  <c r="J2630" i="3"/>
  <c r="K2622" i="3"/>
  <c r="J2622" i="3"/>
  <c r="K2614" i="3"/>
  <c r="J2614" i="3"/>
  <c r="K2606" i="3"/>
  <c r="J2606" i="3"/>
  <c r="K2598" i="3"/>
  <c r="J2598" i="3"/>
  <c r="K2590" i="3"/>
  <c r="J2590" i="3"/>
  <c r="K2582" i="3"/>
  <c r="J2582" i="3"/>
  <c r="K2574" i="3"/>
  <c r="J2574" i="3"/>
  <c r="K2566" i="3"/>
  <c r="J2566" i="3"/>
  <c r="K2558" i="3"/>
  <c r="J2558" i="3"/>
  <c r="K2550" i="3"/>
  <c r="J2550" i="3"/>
  <c r="K2542" i="3"/>
  <c r="J2542" i="3"/>
  <c r="K2534" i="3"/>
  <c r="J2534" i="3"/>
  <c r="K2526" i="3"/>
  <c r="J2526" i="3"/>
  <c r="K2518" i="3"/>
  <c r="J2518" i="3"/>
  <c r="K2510" i="3"/>
  <c r="J2510" i="3"/>
  <c r="K2502" i="3"/>
  <c r="J2502" i="3"/>
  <c r="K2494" i="3"/>
  <c r="J2494" i="3"/>
  <c r="K2486" i="3"/>
  <c r="J2486" i="3"/>
  <c r="K2478" i="3"/>
  <c r="J2478" i="3"/>
  <c r="K2470" i="3"/>
  <c r="J2470" i="3"/>
  <c r="K2462" i="3"/>
  <c r="J2462" i="3"/>
  <c r="K2454" i="3"/>
  <c r="J2454" i="3"/>
  <c r="K2446" i="3"/>
  <c r="J2446" i="3"/>
  <c r="K2438" i="3"/>
  <c r="J2438" i="3"/>
  <c r="K2430" i="3"/>
  <c r="J2430" i="3"/>
  <c r="K2422" i="3"/>
  <c r="J2422" i="3"/>
  <c r="K2414" i="3"/>
  <c r="J2414" i="3"/>
  <c r="K2406" i="3"/>
  <c r="J2406" i="3"/>
  <c r="K2398" i="3"/>
  <c r="J2398" i="3"/>
  <c r="K2390" i="3"/>
  <c r="J2390" i="3"/>
  <c r="K2382" i="3"/>
  <c r="J2382" i="3"/>
  <c r="K2374" i="3"/>
  <c r="J2374" i="3"/>
  <c r="K2366" i="3"/>
  <c r="J2366" i="3"/>
  <c r="K2358" i="3"/>
  <c r="J2358" i="3"/>
  <c r="K2350" i="3"/>
  <c r="J2350" i="3"/>
  <c r="K2342" i="3"/>
  <c r="J2342" i="3"/>
  <c r="K2334" i="3"/>
  <c r="J2334" i="3"/>
  <c r="K2326" i="3"/>
  <c r="J2326" i="3"/>
  <c r="K2318" i="3"/>
  <c r="J2318" i="3"/>
  <c r="K2310" i="3"/>
  <c r="J2310" i="3"/>
  <c r="K2302" i="3"/>
  <c r="J2302" i="3"/>
  <c r="K2294" i="3"/>
  <c r="J2294" i="3"/>
  <c r="K2286" i="3"/>
  <c r="J2286" i="3"/>
  <c r="K2278" i="3"/>
  <c r="J2278" i="3"/>
  <c r="K2270" i="3"/>
  <c r="J2270" i="3"/>
  <c r="K2262" i="3"/>
  <c r="J2262" i="3"/>
  <c r="K2254" i="3"/>
  <c r="J2254" i="3"/>
  <c r="K2246" i="3"/>
  <c r="J2246" i="3"/>
  <c r="K2238" i="3"/>
  <c r="J2238" i="3"/>
  <c r="K2230" i="3"/>
  <c r="J2230" i="3"/>
  <c r="K2222" i="3"/>
  <c r="J2222" i="3"/>
  <c r="K2214" i="3"/>
  <c r="J2214" i="3"/>
  <c r="K2206" i="3"/>
  <c r="J2206" i="3"/>
  <c r="K2198" i="3"/>
  <c r="J2198" i="3"/>
  <c r="K2190" i="3"/>
  <c r="J2190" i="3"/>
  <c r="K2182" i="3"/>
  <c r="J2182" i="3"/>
  <c r="K2174" i="3"/>
  <c r="J2174" i="3"/>
  <c r="K2166" i="3"/>
  <c r="J2166" i="3"/>
  <c r="K2158" i="3"/>
  <c r="J2158" i="3"/>
  <c r="K2150" i="3"/>
  <c r="J2150" i="3"/>
  <c r="K2142" i="3"/>
  <c r="J2142" i="3"/>
  <c r="K2134" i="3"/>
  <c r="J2134" i="3"/>
  <c r="K2126" i="3"/>
  <c r="J2126" i="3"/>
  <c r="K2118" i="3"/>
  <c r="J2118" i="3"/>
  <c r="K2110" i="3"/>
  <c r="J2110" i="3"/>
  <c r="K2102" i="3"/>
  <c r="J2102" i="3"/>
  <c r="K2094" i="3"/>
  <c r="J2094" i="3"/>
  <c r="K2086" i="3"/>
  <c r="J2086" i="3"/>
  <c r="K2078" i="3"/>
  <c r="J2078" i="3"/>
  <c r="K2070" i="3"/>
  <c r="J2070" i="3"/>
  <c r="K2062" i="3"/>
  <c r="J2062" i="3"/>
  <c r="K2054" i="3"/>
  <c r="J2054" i="3"/>
  <c r="K2046" i="3"/>
  <c r="J2046" i="3"/>
  <c r="K2038" i="3"/>
  <c r="J2038" i="3"/>
  <c r="K2030" i="3"/>
  <c r="J2030" i="3"/>
  <c r="K2022" i="3"/>
  <c r="J2022" i="3"/>
  <c r="K2014" i="3"/>
  <c r="J2014" i="3"/>
  <c r="K2006" i="3"/>
  <c r="J2006" i="3"/>
  <c r="K1998" i="3"/>
  <c r="J1998" i="3"/>
  <c r="K1990" i="3"/>
  <c r="J1990" i="3"/>
  <c r="K1982" i="3"/>
  <c r="J1982" i="3"/>
  <c r="K1974" i="3"/>
  <c r="J1974" i="3"/>
  <c r="K1966" i="3"/>
  <c r="J1966" i="3"/>
  <c r="K1958" i="3"/>
  <c r="J1958" i="3"/>
  <c r="K1950" i="3"/>
  <c r="J1950" i="3"/>
  <c r="K1942" i="3"/>
  <c r="J1942" i="3"/>
  <c r="K1934" i="3"/>
  <c r="J1934" i="3"/>
  <c r="K1926" i="3"/>
  <c r="J1926" i="3"/>
  <c r="K1918" i="3"/>
  <c r="J1918" i="3"/>
  <c r="K1910" i="3"/>
  <c r="J1910" i="3"/>
  <c r="K1902" i="3"/>
  <c r="J1902" i="3"/>
  <c r="K1894" i="3"/>
  <c r="J1894" i="3"/>
  <c r="K1886" i="3"/>
  <c r="J1886" i="3"/>
  <c r="K1878" i="3"/>
  <c r="J1878" i="3"/>
  <c r="K1870" i="3"/>
  <c r="J1870" i="3"/>
  <c r="K1862" i="3"/>
  <c r="J1862" i="3"/>
  <c r="K1854" i="3"/>
  <c r="J1854" i="3"/>
  <c r="K1846" i="3"/>
  <c r="J1846" i="3"/>
  <c r="K1838" i="3"/>
  <c r="J1838" i="3"/>
  <c r="K1830" i="3"/>
  <c r="J1830" i="3"/>
  <c r="K1822" i="3"/>
  <c r="J1822" i="3"/>
  <c r="K1814" i="3"/>
  <c r="J1814" i="3"/>
  <c r="K1806" i="3"/>
  <c r="J1806" i="3"/>
  <c r="K1798" i="3"/>
  <c r="J1798" i="3"/>
  <c r="K1790" i="3"/>
  <c r="J1790" i="3"/>
  <c r="K1782" i="3"/>
  <c r="J1782" i="3"/>
  <c r="K1774" i="3"/>
  <c r="J1774" i="3"/>
  <c r="K1766" i="3"/>
  <c r="J1766" i="3"/>
  <c r="K1758" i="3"/>
  <c r="J1758" i="3"/>
  <c r="K1750" i="3"/>
  <c r="J1750" i="3"/>
  <c r="K1742" i="3"/>
  <c r="J1742" i="3"/>
  <c r="K1734" i="3"/>
  <c r="J1734" i="3"/>
  <c r="K1726" i="3"/>
  <c r="J1726" i="3"/>
  <c r="K1718" i="3"/>
  <c r="J1718" i="3"/>
  <c r="K1710" i="3"/>
  <c r="J1710" i="3"/>
  <c r="K1702" i="3"/>
  <c r="J1702" i="3"/>
  <c r="K1694" i="3"/>
  <c r="J1694" i="3"/>
  <c r="K1686" i="3"/>
  <c r="J1686" i="3"/>
  <c r="K1678" i="3"/>
  <c r="J1678" i="3"/>
  <c r="K1670" i="3"/>
  <c r="J1670" i="3"/>
  <c r="K1662" i="3"/>
  <c r="J1662" i="3"/>
  <c r="K1654" i="3"/>
  <c r="J1654" i="3"/>
  <c r="K1646" i="3"/>
  <c r="J1646" i="3"/>
  <c r="K1638" i="3"/>
  <c r="J1638" i="3"/>
  <c r="K1630" i="3"/>
  <c r="J1630" i="3"/>
  <c r="K1622" i="3"/>
  <c r="J1622" i="3"/>
  <c r="K1614" i="3"/>
  <c r="J1614" i="3"/>
  <c r="K1606" i="3"/>
  <c r="J1606" i="3"/>
  <c r="K1598" i="3"/>
  <c r="J1598" i="3"/>
  <c r="K1590" i="3"/>
  <c r="J1590" i="3"/>
  <c r="K1582" i="3"/>
  <c r="J1582" i="3"/>
  <c r="K1574" i="3"/>
  <c r="J1574" i="3"/>
  <c r="K1566" i="3"/>
  <c r="J1566" i="3"/>
  <c r="K1558" i="3"/>
  <c r="J1558" i="3"/>
  <c r="K1550" i="3"/>
  <c r="J1550" i="3"/>
  <c r="K1542" i="3"/>
  <c r="J1542" i="3"/>
  <c r="K1534" i="3"/>
  <c r="J1534" i="3"/>
  <c r="K1526" i="3"/>
  <c r="J1526" i="3"/>
  <c r="K1518" i="3"/>
  <c r="J1518" i="3"/>
  <c r="K1510" i="3"/>
  <c r="J1510" i="3"/>
  <c r="K1502" i="3"/>
  <c r="J1502" i="3"/>
  <c r="K1494" i="3"/>
  <c r="J1494" i="3"/>
  <c r="K1486" i="3"/>
  <c r="J1486" i="3"/>
  <c r="K1478" i="3"/>
  <c r="J1478" i="3"/>
  <c r="K1470" i="3"/>
  <c r="J1470" i="3"/>
  <c r="K1462" i="3"/>
  <c r="J1462" i="3"/>
  <c r="K1454" i="3"/>
  <c r="J1454" i="3"/>
  <c r="K1446" i="3"/>
  <c r="J1446" i="3"/>
  <c r="K1438" i="3"/>
  <c r="J1438" i="3"/>
  <c r="K1430" i="3"/>
  <c r="J1430" i="3"/>
  <c r="K1422" i="3"/>
  <c r="J1422" i="3"/>
  <c r="K1414" i="3"/>
  <c r="J1414" i="3"/>
  <c r="K1406" i="3"/>
  <c r="J1406" i="3"/>
  <c r="K1398" i="3"/>
  <c r="J1398" i="3"/>
  <c r="K1390" i="3"/>
  <c r="J1390" i="3"/>
  <c r="K1382" i="3"/>
  <c r="J1382" i="3"/>
  <c r="K1374" i="3"/>
  <c r="J1374" i="3"/>
  <c r="K1366" i="3"/>
  <c r="J1366" i="3"/>
  <c r="K1358" i="3"/>
  <c r="J1358" i="3"/>
  <c r="K1350" i="3"/>
  <c r="J1350" i="3"/>
  <c r="K1342" i="3"/>
  <c r="J1342" i="3"/>
  <c r="K1334" i="3"/>
  <c r="J1334" i="3"/>
  <c r="K1326" i="3"/>
  <c r="J1326" i="3"/>
  <c r="K1318" i="3"/>
  <c r="J1318" i="3"/>
  <c r="K1310" i="3"/>
  <c r="J1310" i="3"/>
  <c r="K1302" i="3"/>
  <c r="J1302" i="3"/>
  <c r="K1294" i="3"/>
  <c r="J1294" i="3"/>
  <c r="K1286" i="3"/>
  <c r="J1286" i="3"/>
  <c r="K1278" i="3"/>
  <c r="J1278" i="3"/>
  <c r="K1270" i="3"/>
  <c r="J1270" i="3"/>
  <c r="K1262" i="3"/>
  <c r="J1262" i="3"/>
  <c r="K1254" i="3"/>
  <c r="J1254" i="3"/>
  <c r="K1246" i="3"/>
  <c r="J1246" i="3"/>
  <c r="K1238" i="3"/>
  <c r="J1238" i="3"/>
  <c r="K1230" i="3"/>
  <c r="J1230" i="3"/>
  <c r="K1222" i="3"/>
  <c r="J1222" i="3"/>
  <c r="K1214" i="3"/>
  <c r="J1214" i="3"/>
  <c r="K1206" i="3"/>
  <c r="J1206" i="3"/>
  <c r="K1198" i="3"/>
  <c r="J1198" i="3"/>
  <c r="K1190" i="3"/>
  <c r="J1190" i="3"/>
  <c r="K1182" i="3"/>
  <c r="J1182" i="3"/>
  <c r="K1174" i="3"/>
  <c r="J1174" i="3"/>
  <c r="K1166" i="3"/>
  <c r="J1166" i="3"/>
  <c r="K1158" i="3"/>
  <c r="J1158" i="3"/>
  <c r="K1150" i="3"/>
  <c r="J1150" i="3"/>
  <c r="K1142" i="3"/>
  <c r="J1142" i="3"/>
  <c r="K1134" i="3"/>
  <c r="J1134" i="3"/>
  <c r="K1126" i="3"/>
  <c r="J1126" i="3"/>
  <c r="K1118" i="3"/>
  <c r="J1118" i="3"/>
  <c r="K1110" i="3"/>
  <c r="J1110" i="3"/>
  <c r="K1102" i="3"/>
  <c r="J1102" i="3"/>
  <c r="K1094" i="3"/>
  <c r="J1094" i="3"/>
  <c r="K1086" i="3"/>
  <c r="J1086" i="3"/>
  <c r="J1078" i="3"/>
  <c r="K1078" i="3"/>
  <c r="K1070" i="3"/>
  <c r="J1070" i="3"/>
  <c r="K1062" i="3"/>
  <c r="J1062" i="3"/>
  <c r="K1054" i="3"/>
  <c r="J1054" i="3"/>
  <c r="K1046" i="3"/>
  <c r="J1046" i="3"/>
  <c r="K1038" i="3"/>
  <c r="J1038" i="3"/>
  <c r="K1030" i="3"/>
  <c r="J1030" i="3"/>
  <c r="K1022" i="3"/>
  <c r="J1022" i="3"/>
  <c r="K1014" i="3"/>
  <c r="J1014" i="3"/>
  <c r="K1006" i="3"/>
  <c r="J1006" i="3"/>
  <c r="K998" i="3"/>
  <c r="J998" i="3"/>
  <c r="K990" i="3"/>
  <c r="J990" i="3"/>
  <c r="K982" i="3"/>
  <c r="J982" i="3"/>
  <c r="K974" i="3"/>
  <c r="J974" i="3"/>
  <c r="K966" i="3"/>
  <c r="J966" i="3"/>
  <c r="K958" i="3"/>
  <c r="J958" i="3"/>
  <c r="K950" i="3"/>
  <c r="J950" i="3"/>
  <c r="K942" i="3"/>
  <c r="J942" i="3"/>
  <c r="K934" i="3"/>
  <c r="J934" i="3"/>
  <c r="K926" i="3"/>
  <c r="J926" i="3"/>
  <c r="K918" i="3"/>
  <c r="J918" i="3"/>
  <c r="K910" i="3"/>
  <c r="J910" i="3"/>
  <c r="K902" i="3"/>
  <c r="J902" i="3"/>
  <c r="K894" i="3"/>
  <c r="J894" i="3"/>
  <c r="K886" i="3"/>
  <c r="J886" i="3"/>
  <c r="K878" i="3"/>
  <c r="J878" i="3"/>
  <c r="K870" i="3"/>
  <c r="J870" i="3"/>
  <c r="K862" i="3"/>
  <c r="J862" i="3"/>
  <c r="K854" i="3"/>
  <c r="J854" i="3"/>
  <c r="K846" i="3"/>
  <c r="J846" i="3"/>
  <c r="K838" i="3"/>
  <c r="J838" i="3"/>
  <c r="K830" i="3"/>
  <c r="J830" i="3"/>
  <c r="K822" i="3"/>
  <c r="J822" i="3"/>
  <c r="K814" i="3"/>
  <c r="J814" i="3"/>
  <c r="K806" i="3"/>
  <c r="J806" i="3"/>
  <c r="K798" i="3"/>
  <c r="J798" i="3"/>
  <c r="K790" i="3"/>
  <c r="J790" i="3"/>
  <c r="K782" i="3"/>
  <c r="J782" i="3"/>
  <c r="K774" i="3"/>
  <c r="J774" i="3"/>
  <c r="K766" i="3"/>
  <c r="J766" i="3"/>
  <c r="K758" i="3"/>
  <c r="J758" i="3"/>
  <c r="K750" i="3"/>
  <c r="J750" i="3"/>
  <c r="K742" i="3"/>
  <c r="J742" i="3"/>
  <c r="K734" i="3"/>
  <c r="J734" i="3"/>
  <c r="K726" i="3"/>
  <c r="J726" i="3"/>
  <c r="K718" i="3"/>
  <c r="J718" i="3"/>
  <c r="K710" i="3"/>
  <c r="J710" i="3"/>
  <c r="K702" i="3"/>
  <c r="J702" i="3"/>
  <c r="K694" i="3"/>
  <c r="J694" i="3"/>
  <c r="K686" i="3"/>
  <c r="J686" i="3"/>
  <c r="K678" i="3"/>
  <c r="J678" i="3"/>
  <c r="K670" i="3"/>
  <c r="J670" i="3"/>
  <c r="K662" i="3"/>
  <c r="J662" i="3"/>
  <c r="K654" i="3"/>
  <c r="J654" i="3"/>
  <c r="K646" i="3"/>
  <c r="J646" i="3"/>
  <c r="K638" i="3"/>
  <c r="J638" i="3"/>
  <c r="K630" i="3"/>
  <c r="J630" i="3"/>
  <c r="K622" i="3"/>
  <c r="J622" i="3"/>
  <c r="K614" i="3"/>
  <c r="J614" i="3"/>
  <c r="K606" i="3"/>
  <c r="J606" i="3"/>
  <c r="K598" i="3"/>
  <c r="J598" i="3"/>
  <c r="K590" i="3"/>
  <c r="J590" i="3"/>
  <c r="K582" i="3"/>
  <c r="J582" i="3"/>
  <c r="K574" i="3"/>
  <c r="J574" i="3"/>
  <c r="J566" i="3"/>
  <c r="K566" i="3"/>
  <c r="K558" i="3"/>
  <c r="J558" i="3"/>
  <c r="K550" i="3"/>
  <c r="J550" i="3"/>
  <c r="K542" i="3"/>
  <c r="J542" i="3"/>
  <c r="K534" i="3"/>
  <c r="J534" i="3"/>
  <c r="K526" i="3"/>
  <c r="J526" i="3"/>
  <c r="K518" i="3"/>
  <c r="J518" i="3"/>
  <c r="K510" i="3"/>
  <c r="J510" i="3"/>
  <c r="K502" i="3"/>
  <c r="J502" i="3"/>
  <c r="K494" i="3"/>
  <c r="J494" i="3"/>
  <c r="K486" i="3"/>
  <c r="J486" i="3"/>
  <c r="K478" i="3"/>
  <c r="J478" i="3"/>
  <c r="K470" i="3"/>
  <c r="J470" i="3"/>
  <c r="K462" i="3"/>
  <c r="J462" i="3"/>
  <c r="K454" i="3"/>
  <c r="J454" i="3"/>
  <c r="K446" i="3"/>
  <c r="J446" i="3"/>
  <c r="K438" i="3"/>
  <c r="J438" i="3"/>
  <c r="K430" i="3"/>
  <c r="J430" i="3"/>
  <c r="K422" i="3"/>
  <c r="J422" i="3"/>
  <c r="K414" i="3"/>
  <c r="J414" i="3"/>
  <c r="K406" i="3"/>
  <c r="J406" i="3"/>
  <c r="K398" i="3"/>
  <c r="J398" i="3"/>
  <c r="K390" i="3"/>
  <c r="J390" i="3"/>
  <c r="K382" i="3"/>
  <c r="J382" i="3"/>
  <c r="K374" i="3"/>
  <c r="J374" i="3"/>
  <c r="K366" i="3"/>
  <c r="J366" i="3"/>
  <c r="K358" i="3"/>
  <c r="J358" i="3"/>
  <c r="K350" i="3"/>
  <c r="J350" i="3"/>
  <c r="K342" i="3"/>
  <c r="J342" i="3"/>
  <c r="K334" i="3"/>
  <c r="J334" i="3"/>
  <c r="K326" i="3"/>
  <c r="J326" i="3"/>
  <c r="K318" i="3"/>
  <c r="J318" i="3"/>
  <c r="K310" i="3"/>
  <c r="J310" i="3"/>
  <c r="K302" i="3"/>
  <c r="J302" i="3"/>
  <c r="K294" i="3"/>
  <c r="J294" i="3"/>
  <c r="K286" i="3"/>
  <c r="J286" i="3"/>
  <c r="K278" i="3"/>
  <c r="J278" i="3"/>
  <c r="K270" i="3"/>
  <c r="J270" i="3"/>
  <c r="K262" i="3"/>
  <c r="J262" i="3"/>
  <c r="K254" i="3"/>
  <c r="J254" i="3"/>
  <c r="K246" i="3"/>
  <c r="J246" i="3"/>
  <c r="K238" i="3"/>
  <c r="J238" i="3"/>
  <c r="K230" i="3"/>
  <c r="J230" i="3"/>
  <c r="K222" i="3"/>
  <c r="J222" i="3"/>
  <c r="K214" i="3"/>
  <c r="J214" i="3"/>
  <c r="K206" i="3"/>
  <c r="J206" i="3"/>
  <c r="K198" i="3"/>
  <c r="J198" i="3"/>
  <c r="K190" i="3"/>
  <c r="J190" i="3"/>
  <c r="K182" i="3"/>
  <c r="J182" i="3"/>
  <c r="K174" i="3"/>
  <c r="J174" i="3"/>
  <c r="K166" i="3"/>
  <c r="J166" i="3"/>
  <c r="K158" i="3"/>
  <c r="J158" i="3"/>
  <c r="K150" i="3"/>
  <c r="J150" i="3"/>
  <c r="K142" i="3"/>
  <c r="J142" i="3"/>
  <c r="K134" i="3"/>
  <c r="J134" i="3"/>
  <c r="J126" i="3"/>
  <c r="N126" i="3"/>
  <c r="K126" i="3"/>
  <c r="N117" i="3"/>
  <c r="K117" i="3"/>
  <c r="J117" i="3"/>
  <c r="M109" i="3"/>
  <c r="J109" i="3"/>
  <c r="M101" i="3"/>
  <c r="J101" i="3"/>
  <c r="M92" i="3"/>
  <c r="N92" i="3"/>
  <c r="M84" i="3"/>
  <c r="N84" i="3"/>
  <c r="K84" i="3"/>
  <c r="M76" i="3"/>
  <c r="N76" i="3"/>
  <c r="K76" i="3"/>
  <c r="M68" i="3"/>
  <c r="N68" i="3"/>
  <c r="K68" i="3"/>
  <c r="M60" i="3"/>
  <c r="N60" i="3"/>
  <c r="K60" i="3"/>
  <c r="M52" i="3"/>
  <c r="N52" i="3"/>
  <c r="K52" i="3"/>
  <c r="M44" i="3"/>
  <c r="N44" i="3"/>
  <c r="K44" i="3"/>
  <c r="J44" i="3"/>
  <c r="M35" i="3"/>
  <c r="N35" i="3"/>
  <c r="K35" i="3"/>
  <c r="J35" i="3"/>
  <c r="M27" i="3"/>
  <c r="N27" i="3"/>
  <c r="K27" i="3"/>
  <c r="J27" i="3"/>
  <c r="K2625" i="3"/>
  <c r="J2625" i="3"/>
  <c r="K2385" i="3"/>
  <c r="J2385" i="3"/>
  <c r="K2121" i="3"/>
  <c r="J2121" i="3"/>
  <c r="K1849" i="3"/>
  <c r="J1849" i="3"/>
  <c r="K1545" i="3"/>
  <c r="J1545" i="3"/>
  <c r="K1233" i="3"/>
  <c r="J1233" i="3"/>
  <c r="K913" i="3"/>
  <c r="J913" i="3"/>
  <c r="K609" i="3"/>
  <c r="J609" i="3"/>
  <c r="K273" i="3"/>
  <c r="J273" i="3"/>
  <c r="K2488" i="3"/>
  <c r="J2488" i="3"/>
  <c r="K2160" i="3"/>
  <c r="J2160" i="3"/>
  <c r="K1592" i="3"/>
  <c r="J1592" i="3"/>
  <c r="K496" i="3"/>
  <c r="J496" i="3"/>
  <c r="M21" i="3"/>
  <c r="N21" i="3"/>
  <c r="K21" i="3"/>
  <c r="J21" i="3"/>
  <c r="M13" i="3"/>
  <c r="N13" i="3"/>
  <c r="K13" i="3"/>
  <c r="J13" i="3"/>
  <c r="M5" i="3"/>
  <c r="N5" i="3"/>
  <c r="K5" i="3"/>
  <c r="J5" i="3"/>
  <c r="K2637" i="3"/>
  <c r="J2637" i="3"/>
  <c r="K2629" i="3"/>
  <c r="J2629" i="3"/>
  <c r="K2621" i="3"/>
  <c r="J2621" i="3"/>
  <c r="K2613" i="3"/>
  <c r="J2613" i="3"/>
  <c r="K2605" i="3"/>
  <c r="J2605" i="3"/>
  <c r="J2597" i="3"/>
  <c r="K2597" i="3"/>
  <c r="K2589" i="3"/>
  <c r="J2589" i="3"/>
  <c r="K2581" i="3"/>
  <c r="J2581" i="3"/>
  <c r="K2573" i="3"/>
  <c r="J2573" i="3"/>
  <c r="K2565" i="3"/>
  <c r="J2565" i="3"/>
  <c r="K2557" i="3"/>
  <c r="J2557" i="3"/>
  <c r="K2549" i="3"/>
  <c r="J2549" i="3"/>
  <c r="K2541" i="3"/>
  <c r="J2541" i="3"/>
  <c r="J2533" i="3"/>
  <c r="K2533" i="3"/>
  <c r="K2525" i="3"/>
  <c r="J2525" i="3"/>
  <c r="K2517" i="3"/>
  <c r="J2517" i="3"/>
  <c r="K2509" i="3"/>
  <c r="J2509" i="3"/>
  <c r="K2501" i="3"/>
  <c r="J2501" i="3"/>
  <c r="K2493" i="3"/>
  <c r="J2493" i="3"/>
  <c r="K2485" i="3"/>
  <c r="J2485" i="3"/>
  <c r="K2477" i="3"/>
  <c r="J2477" i="3"/>
  <c r="J2469" i="3"/>
  <c r="K2469" i="3"/>
  <c r="K2461" i="3"/>
  <c r="J2461" i="3"/>
  <c r="K2453" i="3"/>
  <c r="J2453" i="3"/>
  <c r="K2445" i="3"/>
  <c r="J2445" i="3"/>
  <c r="K2437" i="3"/>
  <c r="J2437" i="3"/>
  <c r="K2429" i="3"/>
  <c r="J2429" i="3"/>
  <c r="K2421" i="3"/>
  <c r="J2421" i="3"/>
  <c r="K2413" i="3"/>
  <c r="J2413" i="3"/>
  <c r="J2405" i="3"/>
  <c r="K2405" i="3"/>
  <c r="K2397" i="3"/>
  <c r="J2397" i="3"/>
  <c r="K2389" i="3"/>
  <c r="J2389" i="3"/>
  <c r="K2381" i="3"/>
  <c r="J2381" i="3"/>
  <c r="K2373" i="3"/>
  <c r="J2373" i="3"/>
  <c r="K2365" i="3"/>
  <c r="J2365" i="3"/>
  <c r="K2357" i="3"/>
  <c r="J2357" i="3"/>
  <c r="K2349" i="3"/>
  <c r="J2349" i="3"/>
  <c r="J2341" i="3"/>
  <c r="K2341" i="3"/>
  <c r="K2333" i="3"/>
  <c r="J2333" i="3"/>
  <c r="K2325" i="3"/>
  <c r="J2325" i="3"/>
  <c r="K2317" i="3"/>
  <c r="J2317" i="3"/>
  <c r="K2309" i="3"/>
  <c r="J2309" i="3"/>
  <c r="K2301" i="3"/>
  <c r="J2301" i="3"/>
  <c r="K2293" i="3"/>
  <c r="J2293" i="3"/>
  <c r="K2285" i="3"/>
  <c r="J2285" i="3"/>
  <c r="K2277" i="3"/>
  <c r="J2277" i="3"/>
  <c r="K2269" i="3"/>
  <c r="J2269" i="3"/>
  <c r="K2261" i="3"/>
  <c r="J2261" i="3"/>
  <c r="K2253" i="3"/>
  <c r="J2253" i="3"/>
  <c r="K2245" i="3"/>
  <c r="J2245" i="3"/>
  <c r="K2237" i="3"/>
  <c r="J2237" i="3"/>
  <c r="K2229" i="3"/>
  <c r="J2229" i="3"/>
  <c r="K2221" i="3"/>
  <c r="J2221" i="3"/>
  <c r="J2213" i="3"/>
  <c r="K2213" i="3"/>
  <c r="K2205" i="3"/>
  <c r="J2205" i="3"/>
  <c r="K2197" i="3"/>
  <c r="J2197" i="3"/>
  <c r="K2189" i="3"/>
  <c r="J2189" i="3"/>
  <c r="K2181" i="3"/>
  <c r="J2181" i="3"/>
  <c r="K2173" i="3"/>
  <c r="J2173" i="3"/>
  <c r="K2165" i="3"/>
  <c r="J2165" i="3"/>
  <c r="K2157" i="3"/>
  <c r="J2157" i="3"/>
  <c r="J2149" i="3"/>
  <c r="K2149" i="3"/>
  <c r="K2141" i="3"/>
  <c r="J2141" i="3"/>
  <c r="K2133" i="3"/>
  <c r="J2133" i="3"/>
  <c r="K2125" i="3"/>
  <c r="J2125" i="3"/>
  <c r="K2117" i="3"/>
  <c r="J2117" i="3"/>
  <c r="K2109" i="3"/>
  <c r="J2109" i="3"/>
  <c r="K2101" i="3"/>
  <c r="J2101" i="3"/>
  <c r="K2093" i="3"/>
  <c r="J2093" i="3"/>
  <c r="K2085" i="3"/>
  <c r="J2085" i="3"/>
  <c r="K2077" i="3"/>
  <c r="J2077" i="3"/>
  <c r="K2069" i="3"/>
  <c r="J2069" i="3"/>
  <c r="K2061" i="3"/>
  <c r="J2061" i="3"/>
  <c r="K2053" i="3"/>
  <c r="J2053" i="3"/>
  <c r="K2045" i="3"/>
  <c r="J2045" i="3"/>
  <c r="K2037" i="3"/>
  <c r="J2037" i="3"/>
  <c r="K2029" i="3"/>
  <c r="J2029" i="3"/>
  <c r="K2021" i="3"/>
  <c r="J2021" i="3"/>
  <c r="K2013" i="3"/>
  <c r="J2013" i="3"/>
  <c r="K2005" i="3"/>
  <c r="J2005" i="3"/>
  <c r="K1997" i="3"/>
  <c r="J1997" i="3"/>
  <c r="K1989" i="3"/>
  <c r="J1989" i="3"/>
  <c r="K1981" i="3"/>
  <c r="J1981" i="3"/>
  <c r="K1973" i="3"/>
  <c r="J1973" i="3"/>
  <c r="K1965" i="3"/>
  <c r="J1965" i="3"/>
  <c r="K1957" i="3"/>
  <c r="J1957" i="3"/>
  <c r="K1949" i="3"/>
  <c r="J1949" i="3"/>
  <c r="K1941" i="3"/>
  <c r="J1941" i="3"/>
  <c r="K1933" i="3"/>
  <c r="J1933" i="3"/>
  <c r="K1925" i="3"/>
  <c r="J1925" i="3"/>
  <c r="K1917" i="3"/>
  <c r="J1917" i="3"/>
  <c r="K1909" i="3"/>
  <c r="J1909" i="3"/>
  <c r="K1901" i="3"/>
  <c r="J1901" i="3"/>
  <c r="K1893" i="3"/>
  <c r="J1893" i="3"/>
  <c r="K1885" i="3"/>
  <c r="J1885" i="3"/>
  <c r="K1877" i="3"/>
  <c r="J1877" i="3"/>
  <c r="K1869" i="3"/>
  <c r="J1869" i="3"/>
  <c r="K1861" i="3"/>
  <c r="J1861" i="3"/>
  <c r="K1853" i="3"/>
  <c r="J1853" i="3"/>
  <c r="K1845" i="3"/>
  <c r="J1845" i="3"/>
  <c r="K1837" i="3"/>
  <c r="J1837" i="3"/>
  <c r="K1829" i="3"/>
  <c r="J1829" i="3"/>
  <c r="K1821" i="3"/>
  <c r="J1821" i="3"/>
  <c r="K1813" i="3"/>
  <c r="J1813" i="3"/>
  <c r="K1805" i="3"/>
  <c r="J1805" i="3"/>
  <c r="K1797" i="3"/>
  <c r="J1797" i="3"/>
  <c r="K1789" i="3"/>
  <c r="J1789" i="3"/>
  <c r="K1781" i="3"/>
  <c r="J1781" i="3"/>
  <c r="K1773" i="3"/>
  <c r="J1773" i="3"/>
  <c r="K1765" i="3"/>
  <c r="J1765" i="3"/>
  <c r="K1757" i="3"/>
  <c r="J1757" i="3"/>
  <c r="K1749" i="3"/>
  <c r="J1749" i="3"/>
  <c r="K1741" i="3"/>
  <c r="J1741" i="3"/>
  <c r="K1733" i="3"/>
  <c r="J1733" i="3"/>
  <c r="K1725" i="3"/>
  <c r="J1725" i="3"/>
  <c r="K1717" i="3"/>
  <c r="J1717" i="3"/>
  <c r="K1709" i="3"/>
  <c r="J1709" i="3"/>
  <c r="K1701" i="3"/>
  <c r="J1701" i="3"/>
  <c r="K1693" i="3"/>
  <c r="J1693" i="3"/>
  <c r="K1685" i="3"/>
  <c r="J1685" i="3"/>
  <c r="K1677" i="3"/>
  <c r="J1677" i="3"/>
  <c r="K1669" i="3"/>
  <c r="J1669" i="3"/>
  <c r="K1661" i="3"/>
  <c r="J1661" i="3"/>
  <c r="K1653" i="3"/>
  <c r="J1653" i="3"/>
  <c r="K1645" i="3"/>
  <c r="J1645" i="3"/>
  <c r="K1637" i="3"/>
  <c r="J1637" i="3"/>
  <c r="K1629" i="3"/>
  <c r="J1629" i="3"/>
  <c r="K1621" i="3"/>
  <c r="J1621" i="3"/>
  <c r="K1613" i="3"/>
  <c r="J1613" i="3"/>
  <c r="K1605" i="3"/>
  <c r="J1605" i="3"/>
  <c r="K1597" i="3"/>
  <c r="J1597" i="3"/>
  <c r="K1589" i="3"/>
  <c r="J1589" i="3"/>
  <c r="K1581" i="3"/>
  <c r="J1581" i="3"/>
  <c r="K1573" i="3"/>
  <c r="J1573" i="3"/>
  <c r="K1565" i="3"/>
  <c r="J1565" i="3"/>
  <c r="K1557" i="3"/>
  <c r="J1557" i="3"/>
  <c r="K1549" i="3"/>
  <c r="J1549" i="3"/>
  <c r="K1541" i="3"/>
  <c r="J1541" i="3"/>
  <c r="K1533" i="3"/>
  <c r="J1533" i="3"/>
  <c r="K1525" i="3"/>
  <c r="J1525" i="3"/>
  <c r="K1517" i="3"/>
  <c r="J1517" i="3"/>
  <c r="K1509" i="3"/>
  <c r="J1509" i="3"/>
  <c r="K1501" i="3"/>
  <c r="J1501" i="3"/>
  <c r="K1493" i="3"/>
  <c r="J1493" i="3"/>
  <c r="K1485" i="3"/>
  <c r="J1485" i="3"/>
  <c r="K1477" i="3"/>
  <c r="J1477" i="3"/>
  <c r="K1469" i="3"/>
  <c r="J1469" i="3"/>
  <c r="K1461" i="3"/>
  <c r="J1461" i="3"/>
  <c r="K1453" i="3"/>
  <c r="J1453" i="3"/>
  <c r="K1445" i="3"/>
  <c r="J1445" i="3"/>
  <c r="K1437" i="3"/>
  <c r="J1437" i="3"/>
  <c r="K1429" i="3"/>
  <c r="J1429" i="3"/>
  <c r="K1421" i="3"/>
  <c r="J1421" i="3"/>
  <c r="K1413" i="3"/>
  <c r="J1413" i="3"/>
  <c r="K1405" i="3"/>
  <c r="J1405" i="3"/>
  <c r="K1397" i="3"/>
  <c r="J1397" i="3"/>
  <c r="K1389" i="3"/>
  <c r="J1389" i="3"/>
  <c r="K1381" i="3"/>
  <c r="J1381" i="3"/>
  <c r="K1373" i="3"/>
  <c r="J1373" i="3"/>
  <c r="K1365" i="3"/>
  <c r="J1365" i="3"/>
  <c r="K1357" i="3"/>
  <c r="J1357" i="3"/>
  <c r="K1349" i="3"/>
  <c r="J1349" i="3"/>
  <c r="K1341" i="3"/>
  <c r="J1341" i="3"/>
  <c r="K1333" i="3"/>
  <c r="J1333" i="3"/>
  <c r="K1325" i="3"/>
  <c r="J1325" i="3"/>
  <c r="K1317" i="3"/>
  <c r="J1317" i="3"/>
  <c r="K1309" i="3"/>
  <c r="J1309" i="3"/>
  <c r="K1301" i="3"/>
  <c r="J1301" i="3"/>
  <c r="K1293" i="3"/>
  <c r="J1293" i="3"/>
  <c r="K1285" i="3"/>
  <c r="J1285" i="3"/>
  <c r="K1277" i="3"/>
  <c r="J1277" i="3"/>
  <c r="K1269" i="3"/>
  <c r="J1269" i="3"/>
  <c r="K1261" i="3"/>
  <c r="J1261" i="3"/>
  <c r="K1253" i="3"/>
  <c r="J1253" i="3"/>
  <c r="K1245" i="3"/>
  <c r="J1245" i="3"/>
  <c r="K1237" i="3"/>
  <c r="J1237" i="3"/>
  <c r="K1229" i="3"/>
  <c r="J1229" i="3"/>
  <c r="K1221" i="3"/>
  <c r="J1221" i="3"/>
  <c r="K1213" i="3"/>
  <c r="J1213" i="3"/>
  <c r="K1205" i="3"/>
  <c r="J1205" i="3"/>
  <c r="K1197" i="3"/>
  <c r="J1197" i="3"/>
  <c r="K1189" i="3"/>
  <c r="J1189" i="3"/>
  <c r="K1181" i="3"/>
  <c r="J1181" i="3"/>
  <c r="K1173" i="3"/>
  <c r="J1173" i="3"/>
  <c r="K1165" i="3"/>
  <c r="J1165" i="3"/>
  <c r="K1157" i="3"/>
  <c r="J1157" i="3"/>
  <c r="K1149" i="3"/>
  <c r="J1149" i="3"/>
  <c r="K1141" i="3"/>
  <c r="J1141" i="3"/>
  <c r="K1133" i="3"/>
  <c r="J1133" i="3"/>
  <c r="K1125" i="3"/>
  <c r="J1125" i="3"/>
  <c r="K1117" i="3"/>
  <c r="J1117" i="3"/>
  <c r="K1109" i="3"/>
  <c r="J1109" i="3"/>
  <c r="K1101" i="3"/>
  <c r="J1101" i="3"/>
  <c r="K1093" i="3"/>
  <c r="J1093" i="3"/>
  <c r="K1085" i="3"/>
  <c r="J1085" i="3"/>
  <c r="K1077" i="3"/>
  <c r="J1077" i="3"/>
  <c r="K1069" i="3"/>
  <c r="J1069" i="3"/>
  <c r="K1061" i="3"/>
  <c r="J1061" i="3"/>
  <c r="K1053" i="3"/>
  <c r="J1053" i="3"/>
  <c r="K1045" i="3"/>
  <c r="J1045" i="3"/>
  <c r="K1037" i="3"/>
  <c r="J1037" i="3"/>
  <c r="K1029" i="3"/>
  <c r="J1029" i="3"/>
  <c r="K1021" i="3"/>
  <c r="J1021" i="3"/>
  <c r="K1013" i="3"/>
  <c r="J1013" i="3"/>
  <c r="K1005" i="3"/>
  <c r="J1005" i="3"/>
  <c r="K997" i="3"/>
  <c r="J997" i="3"/>
  <c r="K989" i="3"/>
  <c r="J989" i="3"/>
  <c r="K981" i="3"/>
  <c r="J981" i="3"/>
  <c r="K973" i="3"/>
  <c r="J973" i="3"/>
  <c r="K965" i="3"/>
  <c r="J965" i="3"/>
  <c r="K957" i="3"/>
  <c r="J957" i="3"/>
  <c r="K949" i="3"/>
  <c r="J949" i="3"/>
  <c r="K941" i="3"/>
  <c r="J941" i="3"/>
  <c r="K933" i="3"/>
  <c r="J933" i="3"/>
  <c r="K925" i="3"/>
  <c r="J925" i="3"/>
  <c r="K917" i="3"/>
  <c r="J917" i="3"/>
  <c r="K909" i="3"/>
  <c r="J909" i="3"/>
  <c r="K901" i="3"/>
  <c r="J901" i="3"/>
  <c r="K893" i="3"/>
  <c r="J893" i="3"/>
  <c r="K885" i="3"/>
  <c r="J885" i="3"/>
  <c r="K877" i="3"/>
  <c r="J877" i="3"/>
  <c r="K869" i="3"/>
  <c r="J869" i="3"/>
  <c r="K861" i="3"/>
  <c r="J861" i="3"/>
  <c r="K853" i="3"/>
  <c r="J853" i="3"/>
  <c r="K845" i="3"/>
  <c r="J845" i="3"/>
  <c r="K837" i="3"/>
  <c r="J837" i="3"/>
  <c r="K829" i="3"/>
  <c r="J829" i="3"/>
  <c r="K821" i="3"/>
  <c r="J821" i="3"/>
  <c r="K813" i="3"/>
  <c r="J813" i="3"/>
  <c r="K805" i="3"/>
  <c r="J805" i="3"/>
  <c r="K797" i="3"/>
  <c r="J797" i="3"/>
  <c r="K789" i="3"/>
  <c r="J789" i="3"/>
  <c r="K781" i="3"/>
  <c r="J781" i="3"/>
  <c r="K773" i="3"/>
  <c r="J773" i="3"/>
  <c r="K765" i="3"/>
  <c r="J765" i="3"/>
  <c r="K757" i="3"/>
  <c r="J757" i="3"/>
  <c r="K749" i="3"/>
  <c r="J749" i="3"/>
  <c r="K741" i="3"/>
  <c r="J741" i="3"/>
  <c r="K733" i="3"/>
  <c r="J733" i="3"/>
  <c r="K725" i="3"/>
  <c r="J725" i="3"/>
  <c r="K717" i="3"/>
  <c r="J717" i="3"/>
  <c r="K709" i="3"/>
  <c r="J709" i="3"/>
  <c r="K701" i="3"/>
  <c r="J701" i="3"/>
  <c r="K693" i="3"/>
  <c r="J693" i="3"/>
  <c r="K685" i="3"/>
  <c r="J685" i="3"/>
  <c r="K677" i="3"/>
  <c r="J677" i="3"/>
  <c r="K669" i="3"/>
  <c r="J669" i="3"/>
  <c r="K661" i="3"/>
  <c r="J661" i="3"/>
  <c r="J653" i="3"/>
  <c r="K653" i="3"/>
  <c r="K645" i="3"/>
  <c r="J645" i="3"/>
  <c r="K637" i="3"/>
  <c r="J637" i="3"/>
  <c r="K629" i="3"/>
  <c r="J629" i="3"/>
  <c r="K621" i="3"/>
  <c r="J621" i="3"/>
  <c r="K613" i="3"/>
  <c r="J613" i="3"/>
  <c r="K605" i="3"/>
  <c r="J605" i="3"/>
  <c r="K597" i="3"/>
  <c r="J597" i="3"/>
  <c r="K589" i="3"/>
  <c r="J589" i="3"/>
  <c r="K581" i="3"/>
  <c r="J581" i="3"/>
  <c r="K573" i="3"/>
  <c r="J573" i="3"/>
  <c r="K565" i="3"/>
  <c r="J565" i="3"/>
  <c r="K557" i="3"/>
  <c r="J557" i="3"/>
  <c r="K549" i="3"/>
  <c r="J549" i="3"/>
  <c r="K541" i="3"/>
  <c r="J541" i="3"/>
  <c r="K533" i="3"/>
  <c r="J533" i="3"/>
  <c r="K525" i="3"/>
  <c r="J525" i="3"/>
  <c r="K517" i="3"/>
  <c r="J517" i="3"/>
  <c r="K509" i="3"/>
  <c r="J509" i="3"/>
  <c r="K501" i="3"/>
  <c r="J501" i="3"/>
  <c r="K493" i="3"/>
  <c r="J493" i="3"/>
  <c r="K485" i="3"/>
  <c r="J485" i="3"/>
  <c r="K477" i="3"/>
  <c r="J477" i="3"/>
  <c r="K469" i="3"/>
  <c r="J469" i="3"/>
  <c r="K461" i="3"/>
  <c r="J461" i="3"/>
  <c r="K453" i="3"/>
  <c r="J453" i="3"/>
  <c r="K445" i="3"/>
  <c r="J445" i="3"/>
  <c r="K437" i="3"/>
  <c r="J437" i="3"/>
  <c r="K429" i="3"/>
  <c r="J429" i="3"/>
  <c r="K421" i="3"/>
  <c r="J421" i="3"/>
  <c r="K413" i="3"/>
  <c r="J413" i="3"/>
  <c r="K405" i="3"/>
  <c r="J405" i="3"/>
  <c r="K397" i="3"/>
  <c r="J397" i="3"/>
  <c r="K389" i="3"/>
  <c r="J389" i="3"/>
  <c r="K381" i="3"/>
  <c r="J381" i="3"/>
  <c r="K373" i="3"/>
  <c r="J373" i="3"/>
  <c r="K365" i="3"/>
  <c r="J365" i="3"/>
  <c r="K357" i="3"/>
  <c r="J357" i="3"/>
  <c r="K349" i="3"/>
  <c r="J349" i="3"/>
  <c r="K341" i="3"/>
  <c r="J341" i="3"/>
  <c r="K333" i="3"/>
  <c r="J333" i="3"/>
  <c r="K325" i="3"/>
  <c r="J325" i="3"/>
  <c r="K317" i="3"/>
  <c r="J317" i="3"/>
  <c r="K309" i="3"/>
  <c r="J309" i="3"/>
  <c r="K301" i="3"/>
  <c r="J301" i="3"/>
  <c r="K293" i="3"/>
  <c r="J293" i="3"/>
  <c r="K285" i="3"/>
  <c r="J285" i="3"/>
  <c r="K277" i="3"/>
  <c r="J277" i="3"/>
  <c r="K269" i="3"/>
  <c r="J269" i="3"/>
  <c r="K261" i="3"/>
  <c r="J261" i="3"/>
  <c r="K253" i="3"/>
  <c r="J253" i="3"/>
  <c r="J245" i="3"/>
  <c r="K245" i="3"/>
  <c r="J237" i="3"/>
  <c r="K237" i="3"/>
  <c r="K229" i="3"/>
  <c r="J229" i="3"/>
  <c r="K221" i="3"/>
  <c r="J221" i="3"/>
  <c r="K213" i="3"/>
  <c r="J213" i="3"/>
  <c r="K205" i="3"/>
  <c r="J205" i="3"/>
  <c r="K197" i="3"/>
  <c r="J197" i="3"/>
  <c r="K189" i="3"/>
  <c r="J189" i="3"/>
  <c r="K181" i="3"/>
  <c r="J181" i="3"/>
  <c r="K173" i="3"/>
  <c r="J173" i="3"/>
  <c r="K165" i="3"/>
  <c r="J165" i="3"/>
  <c r="K157" i="3"/>
  <c r="J157" i="3"/>
  <c r="J149" i="3"/>
  <c r="K149" i="3"/>
  <c r="J141" i="3"/>
  <c r="K141" i="3"/>
  <c r="K133" i="3"/>
  <c r="J133" i="3"/>
  <c r="J125" i="3"/>
  <c r="N125" i="3"/>
  <c r="K125" i="3"/>
  <c r="N116" i="3"/>
  <c r="K116" i="3"/>
  <c r="J116" i="3"/>
  <c r="M108" i="3"/>
  <c r="J108" i="3"/>
  <c r="M100" i="3"/>
  <c r="J100" i="3"/>
  <c r="M91" i="3"/>
  <c r="N91" i="3"/>
  <c r="M83" i="3"/>
  <c r="N83" i="3"/>
  <c r="K83" i="3"/>
  <c r="M75" i="3"/>
  <c r="N75" i="3"/>
  <c r="K75" i="3"/>
  <c r="M67" i="3"/>
  <c r="N67" i="3"/>
  <c r="K67" i="3"/>
  <c r="M59" i="3"/>
  <c r="N59" i="3"/>
  <c r="K59" i="3"/>
  <c r="M51" i="3"/>
  <c r="N51" i="3"/>
  <c r="K51" i="3"/>
  <c r="M43" i="3"/>
  <c r="N43" i="3"/>
  <c r="K43" i="3"/>
  <c r="J43" i="3"/>
  <c r="M34" i="3"/>
  <c r="N34" i="3"/>
  <c r="K34" i="3"/>
  <c r="J34" i="3"/>
  <c r="M26" i="3"/>
  <c r="N26" i="3"/>
  <c r="K26" i="3"/>
  <c r="J26" i="3"/>
  <c r="K2633" i="3"/>
  <c r="J2633" i="3"/>
  <c r="K2585" i="3"/>
  <c r="J2585" i="3"/>
  <c r="K2553" i="3"/>
  <c r="J2553" i="3"/>
  <c r="K2513" i="3"/>
  <c r="J2513" i="3"/>
  <c r="K2465" i="3"/>
  <c r="J2465" i="3"/>
  <c r="K2417" i="3"/>
  <c r="J2417" i="3"/>
  <c r="K2353" i="3"/>
  <c r="J2353" i="3"/>
  <c r="K2305" i="3"/>
  <c r="J2305" i="3"/>
  <c r="K2265" i="3"/>
  <c r="J2265" i="3"/>
  <c r="K2225" i="3"/>
  <c r="J2225" i="3"/>
  <c r="K2185" i="3"/>
  <c r="J2185" i="3"/>
  <c r="K2137" i="3"/>
  <c r="J2137" i="3"/>
  <c r="K2081" i="3"/>
  <c r="J2081" i="3"/>
  <c r="K2025" i="3"/>
  <c r="J2025" i="3"/>
  <c r="K1977" i="3"/>
  <c r="J1977" i="3"/>
  <c r="K1929" i="3"/>
  <c r="J1929" i="3"/>
  <c r="K1881" i="3"/>
  <c r="J1881" i="3"/>
  <c r="K1825" i="3"/>
  <c r="J1825" i="3"/>
  <c r="K1777" i="3"/>
  <c r="J1777" i="3"/>
  <c r="K1737" i="3"/>
  <c r="J1737" i="3"/>
  <c r="K1705" i="3"/>
  <c r="J1705" i="3"/>
  <c r="K1673" i="3"/>
  <c r="J1673" i="3"/>
  <c r="K1641" i="3"/>
  <c r="J1641" i="3"/>
  <c r="K1593" i="3"/>
  <c r="J1593" i="3"/>
  <c r="K1537" i="3"/>
  <c r="J1537" i="3"/>
  <c r="K1489" i="3"/>
  <c r="J1489" i="3"/>
  <c r="K1425" i="3"/>
  <c r="J1425" i="3"/>
  <c r="K1377" i="3"/>
  <c r="J1377" i="3"/>
  <c r="K1321" i="3"/>
  <c r="J1321" i="3"/>
  <c r="J1265" i="3"/>
  <c r="K1265" i="3"/>
  <c r="K1209" i="3"/>
  <c r="J1209" i="3"/>
  <c r="K1145" i="3"/>
  <c r="J1145" i="3"/>
  <c r="K1089" i="3"/>
  <c r="J1089" i="3"/>
  <c r="K1041" i="3"/>
  <c r="J1041" i="3"/>
  <c r="K993" i="3"/>
  <c r="J993" i="3"/>
  <c r="K945" i="3"/>
  <c r="J945" i="3"/>
  <c r="K889" i="3"/>
  <c r="J889" i="3"/>
  <c r="K841" i="3"/>
  <c r="J841" i="3"/>
  <c r="K785" i="3"/>
  <c r="J785" i="3"/>
  <c r="K737" i="3"/>
  <c r="J737" i="3"/>
  <c r="K689" i="3"/>
  <c r="J689" i="3"/>
  <c r="K657" i="3"/>
  <c r="J657" i="3"/>
  <c r="K601" i="3"/>
  <c r="J601" i="3"/>
  <c r="K553" i="3"/>
  <c r="J553" i="3"/>
  <c r="K529" i="3"/>
  <c r="J529" i="3"/>
  <c r="K481" i="3"/>
  <c r="J481" i="3"/>
  <c r="K433" i="3"/>
  <c r="J433" i="3"/>
  <c r="K377" i="3"/>
  <c r="J377" i="3"/>
  <c r="K321" i="3"/>
  <c r="J321" i="3"/>
  <c r="K265" i="3"/>
  <c r="J265" i="3"/>
  <c r="K209" i="3"/>
  <c r="J209" i="3"/>
  <c r="K161" i="3"/>
  <c r="J161" i="3"/>
  <c r="M104" i="3"/>
  <c r="J104" i="3"/>
  <c r="M47" i="3"/>
  <c r="N47" i="3"/>
  <c r="K47" i="3"/>
  <c r="J47" i="3"/>
  <c r="K2644" i="3"/>
  <c r="J2644" i="3"/>
  <c r="K2628" i="3"/>
  <c r="J2628" i="3"/>
  <c r="K2604" i="3"/>
  <c r="J2604" i="3"/>
  <c r="K2572" i="3"/>
  <c r="J2572" i="3"/>
  <c r="K2556" i="3"/>
  <c r="J2556" i="3"/>
  <c r="K2532" i="3"/>
  <c r="J2532" i="3"/>
  <c r="K2516" i="3"/>
  <c r="J2516" i="3"/>
  <c r="K2492" i="3"/>
  <c r="J2492" i="3"/>
  <c r="K2468" i="3"/>
  <c r="J2468" i="3"/>
  <c r="K2452" i="3"/>
  <c r="J2452" i="3"/>
  <c r="K2428" i="3"/>
  <c r="J2428" i="3"/>
  <c r="K2404" i="3"/>
  <c r="J2404" i="3"/>
  <c r="K2388" i="3"/>
  <c r="J2388" i="3"/>
  <c r="K2364" i="3"/>
  <c r="J2364" i="3"/>
  <c r="K2340" i="3"/>
  <c r="J2340" i="3"/>
  <c r="K2324" i="3"/>
  <c r="J2324" i="3"/>
  <c r="K2300" i="3"/>
  <c r="J2300" i="3"/>
  <c r="K2276" i="3"/>
  <c r="J2276" i="3"/>
  <c r="K2260" i="3"/>
  <c r="J2260" i="3"/>
  <c r="K2236" i="3"/>
  <c r="J2236" i="3"/>
  <c r="K2212" i="3"/>
  <c r="J2212" i="3"/>
  <c r="K2196" i="3"/>
  <c r="J2196" i="3"/>
  <c r="K2172" i="3"/>
  <c r="J2172" i="3"/>
  <c r="K2148" i="3"/>
  <c r="J2148" i="3"/>
  <c r="K2124" i="3"/>
  <c r="J2124" i="3"/>
  <c r="K2100" i="3"/>
  <c r="J2100" i="3"/>
  <c r="K2084" i="3"/>
  <c r="J2084" i="3"/>
  <c r="K2060" i="3"/>
  <c r="J2060" i="3"/>
  <c r="K2036" i="3"/>
  <c r="J2036" i="3"/>
  <c r="K2020" i="3"/>
  <c r="J2020" i="3"/>
  <c r="K1996" i="3"/>
  <c r="J1996" i="3"/>
  <c r="K1980" i="3"/>
  <c r="J1980" i="3"/>
  <c r="K1956" i="3"/>
  <c r="J1956" i="3"/>
  <c r="K1940" i="3"/>
  <c r="J1940" i="3"/>
  <c r="K1916" i="3"/>
  <c r="J1916" i="3"/>
  <c r="K1900" i="3"/>
  <c r="J1900" i="3"/>
  <c r="K1876" i="3"/>
  <c r="J1876" i="3"/>
  <c r="K1852" i="3"/>
  <c r="J1852" i="3"/>
  <c r="K1836" i="3"/>
  <c r="J1836" i="3"/>
  <c r="K1812" i="3"/>
  <c r="J1812" i="3"/>
  <c r="K1796" i="3"/>
  <c r="J1796" i="3"/>
  <c r="K1772" i="3"/>
  <c r="J1772" i="3"/>
  <c r="K1756" i="3"/>
  <c r="J1756" i="3"/>
  <c r="K1732" i="3"/>
  <c r="J1732" i="3"/>
  <c r="K1716" i="3"/>
  <c r="J1716" i="3"/>
  <c r="K1692" i="3"/>
  <c r="J1692" i="3"/>
  <c r="K1668" i="3"/>
  <c r="J1668" i="3"/>
  <c r="K1644" i="3"/>
  <c r="J1644" i="3"/>
  <c r="K1620" i="3"/>
  <c r="J1620" i="3"/>
  <c r="K1588" i="3"/>
  <c r="J1588" i="3"/>
  <c r="K1556" i="3"/>
  <c r="J1556" i="3"/>
  <c r="K1532" i="3"/>
  <c r="J1532" i="3"/>
  <c r="K1516" i="3"/>
  <c r="J1516" i="3"/>
  <c r="K1492" i="3"/>
  <c r="J1492" i="3"/>
  <c r="K1476" i="3"/>
  <c r="J1476" i="3"/>
  <c r="K1452" i="3"/>
  <c r="J1452" i="3"/>
  <c r="K1428" i="3"/>
  <c r="J1428" i="3"/>
  <c r="K1412" i="3"/>
  <c r="J1412" i="3"/>
  <c r="K1388" i="3"/>
  <c r="J1388" i="3"/>
  <c r="K1372" i="3"/>
  <c r="J1372" i="3"/>
  <c r="K1348" i="3"/>
  <c r="J1348" i="3"/>
  <c r="K1332" i="3"/>
  <c r="J1332" i="3"/>
  <c r="K1308" i="3"/>
  <c r="J1308" i="3"/>
  <c r="K1292" i="3"/>
  <c r="J1292" i="3"/>
  <c r="K1268" i="3"/>
  <c r="J1268" i="3"/>
  <c r="K1252" i="3"/>
  <c r="J1252" i="3"/>
  <c r="K1220" i="3"/>
  <c r="J1220" i="3"/>
  <c r="K1196" i="3"/>
  <c r="J1196" i="3"/>
  <c r="K1172" i="3"/>
  <c r="J1172" i="3"/>
  <c r="K1148" i="3"/>
  <c r="J1148" i="3"/>
  <c r="K1124" i="3"/>
  <c r="J1124" i="3"/>
  <c r="K1100" i="3"/>
  <c r="J1100" i="3"/>
  <c r="K1076" i="3"/>
  <c r="J1076" i="3"/>
  <c r="K1052" i="3"/>
  <c r="J1052" i="3"/>
  <c r="K1028" i="3"/>
  <c r="J1028" i="3"/>
  <c r="K1004" i="3"/>
  <c r="J1004" i="3"/>
  <c r="K980" i="3"/>
  <c r="J980" i="3"/>
  <c r="K956" i="3"/>
  <c r="J956" i="3"/>
  <c r="K940" i="3"/>
  <c r="J940" i="3"/>
  <c r="K916" i="3"/>
  <c r="J916" i="3"/>
  <c r="K900" i="3"/>
  <c r="J900" i="3"/>
  <c r="K876" i="3"/>
  <c r="J876" i="3"/>
  <c r="K844" i="3"/>
  <c r="J844" i="3"/>
  <c r="K820" i="3"/>
  <c r="J820" i="3"/>
  <c r="K788" i="3"/>
  <c r="J788" i="3"/>
  <c r="K764" i="3"/>
  <c r="J764" i="3"/>
  <c r="K748" i="3"/>
  <c r="J748" i="3"/>
  <c r="K724" i="3"/>
  <c r="J724" i="3"/>
  <c r="K716" i="3"/>
  <c r="J716" i="3"/>
  <c r="K692" i="3"/>
  <c r="J692" i="3"/>
  <c r="K676" i="3"/>
  <c r="J676" i="3"/>
  <c r="K652" i="3"/>
  <c r="J652" i="3"/>
  <c r="K620" i="3"/>
  <c r="J620" i="3"/>
  <c r="K604" i="3"/>
  <c r="J604" i="3"/>
  <c r="K580" i="3"/>
  <c r="J580" i="3"/>
  <c r="K556" i="3"/>
  <c r="J556" i="3"/>
  <c r="K532" i="3"/>
  <c r="J532" i="3"/>
  <c r="K508" i="3"/>
  <c r="J508" i="3"/>
  <c r="K484" i="3"/>
  <c r="J484" i="3"/>
  <c r="K468" i="3"/>
  <c r="J468" i="3"/>
  <c r="K444" i="3"/>
  <c r="J444" i="3"/>
  <c r="K428" i="3"/>
  <c r="J428" i="3"/>
  <c r="K404" i="3"/>
  <c r="J404" i="3"/>
  <c r="K380" i="3"/>
  <c r="J380" i="3"/>
  <c r="K356" i="3"/>
  <c r="J356" i="3"/>
  <c r="K340" i="3"/>
  <c r="J340" i="3"/>
  <c r="K316" i="3"/>
  <c r="J316" i="3"/>
  <c r="K292" i="3"/>
  <c r="J292" i="3"/>
  <c r="K268" i="3"/>
  <c r="J268" i="3"/>
  <c r="K244" i="3"/>
  <c r="J244" i="3"/>
  <c r="K220" i="3"/>
  <c r="J220" i="3"/>
  <c r="K196" i="3"/>
  <c r="J196" i="3"/>
  <c r="K180" i="3"/>
  <c r="J180" i="3"/>
  <c r="K156" i="3"/>
  <c r="J156" i="3"/>
  <c r="K132" i="3"/>
  <c r="J132" i="3"/>
  <c r="M107" i="3"/>
  <c r="J107" i="3"/>
  <c r="M90" i="3"/>
  <c r="N90" i="3"/>
  <c r="K90" i="3"/>
  <c r="M66" i="3"/>
  <c r="N66" i="3"/>
  <c r="K66" i="3"/>
  <c r="M50" i="3"/>
  <c r="N50" i="3"/>
  <c r="K50" i="3"/>
  <c r="J50" i="3"/>
  <c r="M25" i="3"/>
  <c r="N25" i="3"/>
  <c r="K25" i="3"/>
  <c r="J25" i="3"/>
  <c r="E753" i="3"/>
  <c r="D753" i="3" s="1"/>
  <c r="K2641" i="3"/>
  <c r="J2641" i="3"/>
  <c r="K2577" i="3"/>
  <c r="J2577" i="3"/>
  <c r="K2529" i="3"/>
  <c r="J2529" i="3"/>
  <c r="K2473" i="3"/>
  <c r="J2473" i="3"/>
  <c r="K2409" i="3"/>
  <c r="J2409" i="3"/>
  <c r="K2337" i="3"/>
  <c r="J2337" i="3"/>
  <c r="K2289" i="3"/>
  <c r="J2289" i="3"/>
  <c r="K2217" i="3"/>
  <c r="J2217" i="3"/>
  <c r="K2161" i="3"/>
  <c r="J2161" i="3"/>
  <c r="K2097" i="3"/>
  <c r="J2097" i="3"/>
  <c r="K2041" i="3"/>
  <c r="J2041" i="3"/>
  <c r="J1993" i="3"/>
  <c r="K1993" i="3"/>
  <c r="K1937" i="3"/>
  <c r="J1937" i="3"/>
  <c r="K1889" i="3"/>
  <c r="J1889" i="3"/>
  <c r="K1841" i="3"/>
  <c r="J1841" i="3"/>
  <c r="K1801" i="3"/>
  <c r="J1801" i="3"/>
  <c r="K1753" i="3"/>
  <c r="J1753" i="3"/>
  <c r="K1681" i="3"/>
  <c r="J1681" i="3"/>
  <c r="K1617" i="3"/>
  <c r="J1617" i="3"/>
  <c r="K1561" i="3"/>
  <c r="J1561" i="3"/>
  <c r="K1505" i="3"/>
  <c r="J1505" i="3"/>
  <c r="K1457" i="3"/>
  <c r="J1457" i="3"/>
  <c r="K1401" i="3"/>
  <c r="J1401" i="3"/>
  <c r="K1353" i="3"/>
  <c r="J1353" i="3"/>
  <c r="K1305" i="3"/>
  <c r="J1305" i="3"/>
  <c r="K1257" i="3"/>
  <c r="J1257" i="3"/>
  <c r="K1201" i="3"/>
  <c r="J1201" i="3"/>
  <c r="K1153" i="3"/>
  <c r="J1153" i="3"/>
  <c r="K1105" i="3"/>
  <c r="J1105" i="3"/>
  <c r="K1065" i="3"/>
  <c r="J1065" i="3"/>
  <c r="K1017" i="3"/>
  <c r="J1017" i="3"/>
  <c r="K961" i="3"/>
  <c r="J961" i="3"/>
  <c r="K905" i="3"/>
  <c r="J905" i="3"/>
  <c r="K857" i="3"/>
  <c r="J857" i="3"/>
  <c r="K809" i="3"/>
  <c r="J809" i="3"/>
  <c r="K769" i="3"/>
  <c r="J769" i="3"/>
  <c r="K721" i="3"/>
  <c r="J721" i="3"/>
  <c r="K673" i="3"/>
  <c r="J673" i="3"/>
  <c r="K625" i="3"/>
  <c r="J625" i="3"/>
  <c r="K585" i="3"/>
  <c r="J585" i="3"/>
  <c r="K537" i="3"/>
  <c r="J537" i="3"/>
  <c r="K489" i="3"/>
  <c r="J489" i="3"/>
  <c r="K449" i="3"/>
  <c r="J449" i="3"/>
  <c r="K417" i="3"/>
  <c r="J417" i="3"/>
  <c r="K369" i="3"/>
  <c r="J369" i="3"/>
  <c r="K329" i="3"/>
  <c r="J329" i="3"/>
  <c r="K281" i="3"/>
  <c r="J281" i="3"/>
  <c r="K241" i="3"/>
  <c r="J241" i="3"/>
  <c r="K193" i="3"/>
  <c r="J193" i="3"/>
  <c r="K145" i="3"/>
  <c r="J145" i="3"/>
  <c r="M95" i="3"/>
  <c r="N95" i="3"/>
  <c r="M63" i="3"/>
  <c r="N63" i="3"/>
  <c r="K63" i="3"/>
  <c r="M12" i="3"/>
  <c r="N12" i="3"/>
  <c r="K12" i="3"/>
  <c r="J12" i="3"/>
  <c r="K2620" i="3"/>
  <c r="J2620" i="3"/>
  <c r="K2588" i="3"/>
  <c r="J2588" i="3"/>
  <c r="K2548" i="3"/>
  <c r="J2548" i="3"/>
  <c r="K2508" i="3"/>
  <c r="J2508" i="3"/>
  <c r="K2484" i="3"/>
  <c r="J2484" i="3"/>
  <c r="K2444" i="3"/>
  <c r="J2444" i="3"/>
  <c r="K2412" i="3"/>
  <c r="J2412" i="3"/>
  <c r="K2380" i="3"/>
  <c r="J2380" i="3"/>
  <c r="K2348" i="3"/>
  <c r="J2348" i="3"/>
  <c r="K2316" i="3"/>
  <c r="J2316" i="3"/>
  <c r="K2284" i="3"/>
  <c r="J2284" i="3"/>
  <c r="K2244" i="3"/>
  <c r="J2244" i="3"/>
  <c r="K2220" i="3"/>
  <c r="J2220" i="3"/>
  <c r="K2188" i="3"/>
  <c r="J2188" i="3"/>
  <c r="K2156" i="3"/>
  <c r="J2156" i="3"/>
  <c r="K2116" i="3"/>
  <c r="J2116" i="3"/>
  <c r="K2076" i="3"/>
  <c r="J2076" i="3"/>
  <c r="K2044" i="3"/>
  <c r="J2044" i="3"/>
  <c r="K2012" i="3"/>
  <c r="J2012" i="3"/>
  <c r="K1972" i="3"/>
  <c r="J1972" i="3"/>
  <c r="K1932" i="3"/>
  <c r="J1932" i="3"/>
  <c r="K1892" i="3"/>
  <c r="J1892" i="3"/>
  <c r="K1860" i="3"/>
  <c r="J1860" i="3"/>
  <c r="K1828" i="3"/>
  <c r="J1828" i="3"/>
  <c r="K1788" i="3"/>
  <c r="J1788" i="3"/>
  <c r="K1748" i="3"/>
  <c r="J1748" i="3"/>
  <c r="K1700" i="3"/>
  <c r="J1700" i="3"/>
  <c r="K1660" i="3"/>
  <c r="J1660" i="3"/>
  <c r="K1636" i="3"/>
  <c r="J1636" i="3"/>
  <c r="K1604" i="3"/>
  <c r="J1604" i="3"/>
  <c r="K1580" i="3"/>
  <c r="J1580" i="3"/>
  <c r="K1548" i="3"/>
  <c r="J1548" i="3"/>
  <c r="K1508" i="3"/>
  <c r="J1508" i="3"/>
  <c r="K1468" i="3"/>
  <c r="J1468" i="3"/>
  <c r="K1444" i="3"/>
  <c r="J1444" i="3"/>
  <c r="K1404" i="3"/>
  <c r="J1404" i="3"/>
  <c r="K1364" i="3"/>
  <c r="J1364" i="3"/>
  <c r="K1324" i="3"/>
  <c r="J1324" i="3"/>
  <c r="K1284" i="3"/>
  <c r="J1284" i="3"/>
  <c r="K1236" i="3"/>
  <c r="J1236" i="3"/>
  <c r="K1212" i="3"/>
  <c r="J1212" i="3"/>
  <c r="K1180" i="3"/>
  <c r="J1180" i="3"/>
  <c r="K1156" i="3"/>
  <c r="J1156" i="3"/>
  <c r="K1116" i="3"/>
  <c r="J1116" i="3"/>
  <c r="K1092" i="3"/>
  <c r="J1092" i="3"/>
  <c r="K1060" i="3"/>
  <c r="J1060" i="3"/>
  <c r="K1036" i="3"/>
  <c r="J1036" i="3"/>
  <c r="K1012" i="3"/>
  <c r="J1012" i="3"/>
  <c r="K988" i="3"/>
  <c r="J988" i="3"/>
  <c r="K964" i="3"/>
  <c r="J964" i="3"/>
  <c r="K924" i="3"/>
  <c r="J924" i="3"/>
  <c r="K892" i="3"/>
  <c r="J892" i="3"/>
  <c r="K860" i="3"/>
  <c r="J860" i="3"/>
  <c r="K836" i="3"/>
  <c r="J836" i="3"/>
  <c r="K804" i="3"/>
  <c r="J804" i="3"/>
  <c r="K780" i="3"/>
  <c r="J780" i="3"/>
  <c r="K740" i="3"/>
  <c r="J740" i="3"/>
  <c r="K700" i="3"/>
  <c r="J700" i="3"/>
  <c r="K660" i="3"/>
  <c r="J660" i="3"/>
  <c r="K636" i="3"/>
  <c r="J636" i="3"/>
  <c r="K596" i="3"/>
  <c r="J596" i="3"/>
  <c r="K572" i="3"/>
  <c r="J572" i="3"/>
  <c r="K548" i="3"/>
  <c r="J548" i="3"/>
  <c r="K524" i="3"/>
  <c r="J524" i="3"/>
  <c r="K492" i="3"/>
  <c r="J492" i="3"/>
  <c r="K452" i="3"/>
  <c r="J452" i="3"/>
  <c r="K412" i="3"/>
  <c r="J412" i="3"/>
  <c r="K388" i="3"/>
  <c r="J388" i="3"/>
  <c r="K364" i="3"/>
  <c r="J364" i="3"/>
  <c r="K332" i="3"/>
  <c r="J332" i="3"/>
  <c r="K308" i="3"/>
  <c r="J308" i="3"/>
  <c r="K284" i="3"/>
  <c r="J284" i="3"/>
  <c r="K260" i="3"/>
  <c r="J260" i="3"/>
  <c r="K228" i="3"/>
  <c r="J228" i="3"/>
  <c r="K212" i="3"/>
  <c r="J212" i="3"/>
  <c r="K172" i="3"/>
  <c r="J172" i="3"/>
  <c r="K148" i="3"/>
  <c r="J148" i="3"/>
  <c r="N123" i="3"/>
  <c r="K123" i="3"/>
  <c r="J123" i="3"/>
  <c r="M82" i="3"/>
  <c r="N82" i="3"/>
  <c r="K82" i="3"/>
  <c r="M42" i="3"/>
  <c r="N42" i="3"/>
  <c r="K42" i="3"/>
  <c r="J42" i="3"/>
  <c r="M19" i="3"/>
  <c r="N19" i="3"/>
  <c r="K19" i="3"/>
  <c r="J19" i="3"/>
  <c r="K2643" i="3"/>
  <c r="J2643" i="3"/>
  <c r="K2627" i="3"/>
  <c r="J2627" i="3"/>
  <c r="K2611" i="3"/>
  <c r="J2611" i="3"/>
  <c r="K2595" i="3"/>
  <c r="J2595" i="3"/>
  <c r="K2579" i="3"/>
  <c r="J2579" i="3"/>
  <c r="K2563" i="3"/>
  <c r="J2563" i="3"/>
  <c r="K2547" i="3"/>
  <c r="J2547" i="3"/>
  <c r="K2523" i="3"/>
  <c r="J2523" i="3"/>
  <c r="K2507" i="3"/>
  <c r="J2507" i="3"/>
  <c r="K2491" i="3"/>
  <c r="J2491" i="3"/>
  <c r="K2475" i="3"/>
  <c r="J2475" i="3"/>
  <c r="K2459" i="3"/>
  <c r="J2459" i="3"/>
  <c r="K2443" i="3"/>
  <c r="J2443" i="3"/>
  <c r="K2427" i="3"/>
  <c r="J2427" i="3"/>
  <c r="K2411" i="3"/>
  <c r="J2411" i="3"/>
  <c r="K2387" i="3"/>
  <c r="J2387" i="3"/>
  <c r="K2371" i="3"/>
  <c r="J2371" i="3"/>
  <c r="K2355" i="3"/>
  <c r="J2355" i="3"/>
  <c r="K2339" i="3"/>
  <c r="J2339" i="3"/>
  <c r="K2315" i="3"/>
  <c r="J2315" i="3"/>
  <c r="K2299" i="3"/>
  <c r="J2299" i="3"/>
  <c r="K2275" i="3"/>
  <c r="J2275" i="3"/>
  <c r="K2259" i="3"/>
  <c r="J2259" i="3"/>
  <c r="K2243" i="3"/>
  <c r="J2243" i="3"/>
  <c r="K2219" i="3"/>
  <c r="J2219" i="3"/>
  <c r="K2203" i="3"/>
  <c r="J2203" i="3"/>
  <c r="K2187" i="3"/>
  <c r="J2187" i="3"/>
  <c r="K2171" i="3"/>
  <c r="J2171" i="3"/>
  <c r="K2155" i="3"/>
  <c r="J2155" i="3"/>
  <c r="K2139" i="3"/>
  <c r="J2139" i="3"/>
  <c r="K2115" i="3"/>
  <c r="J2115" i="3"/>
  <c r="K2091" i="3"/>
  <c r="J2091" i="3"/>
  <c r="K2075" i="3"/>
  <c r="J2075" i="3"/>
  <c r="K2051" i="3"/>
  <c r="J2051" i="3"/>
  <c r="K2035" i="3"/>
  <c r="J2035" i="3"/>
  <c r="K2011" i="3"/>
  <c r="J2011" i="3"/>
  <c r="K1995" i="3"/>
  <c r="J1995" i="3"/>
  <c r="K1979" i="3"/>
  <c r="J1979" i="3"/>
  <c r="K1963" i="3"/>
  <c r="J1963" i="3"/>
  <c r="K1947" i="3"/>
  <c r="J1947" i="3"/>
  <c r="K1923" i="3"/>
  <c r="J1923" i="3"/>
  <c r="K1907" i="3"/>
  <c r="J1907" i="3"/>
  <c r="K1891" i="3"/>
  <c r="J1891" i="3"/>
  <c r="K1867" i="3"/>
  <c r="J1867" i="3"/>
  <c r="K1851" i="3"/>
  <c r="J1851" i="3"/>
  <c r="K1835" i="3"/>
  <c r="J1835" i="3"/>
  <c r="K1819" i="3"/>
  <c r="J1819" i="3"/>
  <c r="K1803" i="3"/>
  <c r="J1803" i="3"/>
  <c r="K1787" i="3"/>
  <c r="J1787" i="3"/>
  <c r="K1771" i="3"/>
  <c r="J1771" i="3"/>
  <c r="K1747" i="3"/>
  <c r="J1747" i="3"/>
  <c r="K1731" i="3"/>
  <c r="J1731" i="3"/>
  <c r="K1715" i="3"/>
  <c r="J1715" i="3"/>
  <c r="K1691" i="3"/>
  <c r="J1691" i="3"/>
  <c r="K1675" i="3"/>
  <c r="J1675" i="3"/>
  <c r="K1651" i="3"/>
  <c r="J1651" i="3"/>
  <c r="K1635" i="3"/>
  <c r="J1635" i="3"/>
  <c r="K1619" i="3"/>
  <c r="J1619" i="3"/>
  <c r="K1595" i="3"/>
  <c r="J1595" i="3"/>
  <c r="K1579" i="3"/>
  <c r="J1579" i="3"/>
  <c r="K1563" i="3"/>
  <c r="J1563" i="3"/>
  <c r="K1547" i="3"/>
  <c r="J1547" i="3"/>
  <c r="K1531" i="3"/>
  <c r="J1531" i="3"/>
  <c r="K1515" i="3"/>
  <c r="J1515" i="3"/>
  <c r="K1499" i="3"/>
  <c r="J1499" i="3"/>
  <c r="K1483" i="3"/>
  <c r="J1483" i="3"/>
  <c r="K1467" i="3"/>
  <c r="J1467" i="3"/>
  <c r="K1451" i="3"/>
  <c r="J1451" i="3"/>
  <c r="K1435" i="3"/>
  <c r="J1435" i="3"/>
  <c r="K1427" i="3"/>
  <c r="J1427" i="3"/>
  <c r="K1411" i="3"/>
  <c r="J1411" i="3"/>
  <c r="K1395" i="3"/>
  <c r="J1395" i="3"/>
  <c r="K1379" i="3"/>
  <c r="J1379" i="3"/>
  <c r="K1355" i="3"/>
  <c r="J1355" i="3"/>
  <c r="K1339" i="3"/>
  <c r="J1339" i="3"/>
  <c r="K1323" i="3"/>
  <c r="J1323" i="3"/>
  <c r="K1307" i="3"/>
  <c r="J1307" i="3"/>
  <c r="K1291" i="3"/>
  <c r="J1291" i="3"/>
  <c r="K1275" i="3"/>
  <c r="J1275" i="3"/>
  <c r="K1251" i="3"/>
  <c r="J1251" i="3"/>
  <c r="K1235" i="3"/>
  <c r="J1235" i="3"/>
  <c r="K1219" i="3"/>
  <c r="J1219" i="3"/>
  <c r="K1203" i="3"/>
  <c r="J1203" i="3"/>
  <c r="K1187" i="3"/>
  <c r="J1187" i="3"/>
  <c r="K1171" i="3"/>
  <c r="J1171" i="3"/>
  <c r="K1155" i="3"/>
  <c r="J1155" i="3"/>
  <c r="K1139" i="3"/>
  <c r="J1139" i="3"/>
  <c r="K1123" i="3"/>
  <c r="J1123" i="3"/>
  <c r="K1107" i="3"/>
  <c r="J1107" i="3"/>
  <c r="K1091" i="3"/>
  <c r="J1091" i="3"/>
  <c r="K1075" i="3"/>
  <c r="J1075" i="3"/>
  <c r="K1067" i="3"/>
  <c r="J1067" i="3"/>
  <c r="K1051" i="3"/>
  <c r="J1051" i="3"/>
  <c r="K1035" i="3"/>
  <c r="J1035" i="3"/>
  <c r="K1019" i="3"/>
  <c r="J1019" i="3"/>
  <c r="K1003" i="3"/>
  <c r="J1003" i="3"/>
  <c r="K987" i="3"/>
  <c r="J987" i="3"/>
  <c r="K963" i="3"/>
  <c r="J963" i="3"/>
  <c r="K947" i="3"/>
  <c r="J947" i="3"/>
  <c r="K931" i="3"/>
  <c r="J931" i="3"/>
  <c r="K915" i="3"/>
  <c r="J915" i="3"/>
  <c r="K899" i="3"/>
  <c r="J899" i="3"/>
  <c r="K883" i="3"/>
  <c r="J883" i="3"/>
  <c r="K867" i="3"/>
  <c r="J867" i="3"/>
  <c r="K851" i="3"/>
  <c r="J851" i="3"/>
  <c r="K827" i="3"/>
  <c r="J827" i="3"/>
  <c r="K811" i="3"/>
  <c r="J811" i="3"/>
  <c r="K795" i="3"/>
  <c r="J795" i="3"/>
  <c r="K779" i="3"/>
  <c r="J779" i="3"/>
  <c r="K763" i="3"/>
  <c r="J763" i="3"/>
  <c r="K747" i="3"/>
  <c r="J747" i="3"/>
  <c r="K731" i="3"/>
  <c r="J731" i="3"/>
  <c r="K707" i="3"/>
  <c r="J707" i="3"/>
  <c r="K691" i="3"/>
  <c r="J691" i="3"/>
  <c r="K675" i="3"/>
  <c r="J675" i="3"/>
  <c r="K659" i="3"/>
  <c r="J659" i="3"/>
  <c r="K643" i="3"/>
  <c r="J643" i="3"/>
  <c r="K635" i="3"/>
  <c r="J635" i="3"/>
  <c r="K619" i="3"/>
  <c r="J619" i="3"/>
  <c r="K603" i="3"/>
  <c r="J603" i="3"/>
  <c r="K587" i="3"/>
  <c r="J587" i="3"/>
  <c r="K571" i="3"/>
  <c r="J571" i="3"/>
  <c r="K555" i="3"/>
  <c r="J555" i="3"/>
  <c r="K539" i="3"/>
  <c r="J539" i="3"/>
  <c r="K523" i="3"/>
  <c r="J523" i="3"/>
  <c r="K507" i="3"/>
  <c r="J507" i="3"/>
  <c r="K499" i="3"/>
  <c r="J499" i="3"/>
  <c r="K483" i="3"/>
  <c r="J483" i="3"/>
  <c r="K467" i="3"/>
  <c r="J467" i="3"/>
  <c r="K451" i="3"/>
  <c r="J451" i="3"/>
  <c r="K435" i="3"/>
  <c r="J435" i="3"/>
  <c r="K419" i="3"/>
  <c r="J419" i="3"/>
  <c r="K403" i="3"/>
  <c r="J403" i="3"/>
  <c r="K387" i="3"/>
  <c r="J387" i="3"/>
  <c r="K371" i="3"/>
  <c r="J371" i="3"/>
  <c r="K355" i="3"/>
  <c r="J355" i="3"/>
  <c r="K339" i="3"/>
  <c r="J339" i="3"/>
  <c r="K323" i="3"/>
  <c r="J323" i="3"/>
  <c r="K307" i="3"/>
  <c r="J307" i="3"/>
  <c r="K291" i="3"/>
  <c r="J291" i="3"/>
  <c r="K283" i="3"/>
  <c r="J283" i="3"/>
  <c r="K267" i="3"/>
  <c r="J267" i="3"/>
  <c r="K251" i="3"/>
  <c r="J251" i="3"/>
  <c r="K235" i="3"/>
  <c r="J235" i="3"/>
  <c r="K227" i="3"/>
  <c r="J227" i="3"/>
  <c r="K211" i="3"/>
  <c r="J211" i="3"/>
  <c r="K203" i="3"/>
  <c r="J203" i="3"/>
  <c r="K187" i="3"/>
  <c r="J187" i="3"/>
  <c r="K171" i="3"/>
  <c r="J171" i="3"/>
  <c r="K155" i="3"/>
  <c r="J155" i="3"/>
  <c r="K139" i="3"/>
  <c r="J139" i="3"/>
  <c r="N122" i="3"/>
  <c r="K122" i="3"/>
  <c r="J122" i="3"/>
  <c r="M106" i="3"/>
  <c r="J106" i="3"/>
  <c r="M89" i="3"/>
  <c r="N89" i="3"/>
  <c r="K89" i="3"/>
  <c r="M73" i="3"/>
  <c r="N73" i="3"/>
  <c r="K73" i="3"/>
  <c r="M57" i="3"/>
  <c r="N57" i="3"/>
  <c r="K57" i="3"/>
  <c r="M41" i="3"/>
  <c r="N41" i="3"/>
  <c r="K41" i="3"/>
  <c r="J41" i="3"/>
  <c r="M24" i="3"/>
  <c r="N24" i="3"/>
  <c r="K24" i="3"/>
  <c r="J24" i="3"/>
  <c r="K2617" i="3"/>
  <c r="J2617" i="3"/>
  <c r="K2569" i="3"/>
  <c r="J2569" i="3"/>
  <c r="K2545" i="3"/>
  <c r="J2545" i="3"/>
  <c r="K2497" i="3"/>
  <c r="J2497" i="3"/>
  <c r="K2449" i="3"/>
  <c r="J2449" i="3"/>
  <c r="K2393" i="3"/>
  <c r="J2393" i="3"/>
  <c r="K2345" i="3"/>
  <c r="J2345" i="3"/>
  <c r="K2297" i="3"/>
  <c r="J2297" i="3"/>
  <c r="K2257" i="3"/>
  <c r="J2257" i="3"/>
  <c r="K2209" i="3"/>
  <c r="J2209" i="3"/>
  <c r="K2169" i="3"/>
  <c r="J2169" i="3"/>
  <c r="K2129" i="3"/>
  <c r="J2129" i="3"/>
  <c r="K2065" i="3"/>
  <c r="J2065" i="3"/>
  <c r="K2017" i="3"/>
  <c r="J2017" i="3"/>
  <c r="K1969" i="3"/>
  <c r="J1969" i="3"/>
  <c r="K1921" i="3"/>
  <c r="J1921" i="3"/>
  <c r="K1873" i="3"/>
  <c r="J1873" i="3"/>
  <c r="K1809" i="3"/>
  <c r="J1809" i="3"/>
  <c r="K1769" i="3"/>
  <c r="J1769" i="3"/>
  <c r="K1729" i="3"/>
  <c r="J1729" i="3"/>
  <c r="K1689" i="3"/>
  <c r="J1689" i="3"/>
  <c r="K1649" i="3"/>
  <c r="J1649" i="3"/>
  <c r="K1609" i="3"/>
  <c r="J1609" i="3"/>
  <c r="K1569" i="3"/>
  <c r="J1569" i="3"/>
  <c r="K1513" i="3"/>
  <c r="J1513" i="3"/>
  <c r="K1465" i="3"/>
  <c r="J1465" i="3"/>
  <c r="K1417" i="3"/>
  <c r="J1417" i="3"/>
  <c r="K1361" i="3"/>
  <c r="J1361" i="3"/>
  <c r="K1297" i="3"/>
  <c r="J1297" i="3"/>
  <c r="K1249" i="3"/>
  <c r="J1249" i="3"/>
  <c r="K1185" i="3"/>
  <c r="J1185" i="3"/>
  <c r="K1129" i="3"/>
  <c r="J1129" i="3"/>
  <c r="K1081" i="3"/>
  <c r="J1081" i="3"/>
  <c r="K1033" i="3"/>
  <c r="J1033" i="3"/>
  <c r="K985" i="3"/>
  <c r="J985" i="3"/>
  <c r="K937" i="3"/>
  <c r="J937" i="3"/>
  <c r="K881" i="3"/>
  <c r="J881" i="3"/>
  <c r="K833" i="3"/>
  <c r="J833" i="3"/>
  <c r="K793" i="3"/>
  <c r="J793" i="3"/>
  <c r="K745" i="3"/>
  <c r="J745" i="3"/>
  <c r="K697" i="3"/>
  <c r="J697" i="3"/>
  <c r="K649" i="3"/>
  <c r="J649" i="3"/>
  <c r="K593" i="3"/>
  <c r="J593" i="3"/>
  <c r="K545" i="3"/>
  <c r="J545" i="3"/>
  <c r="K505" i="3"/>
  <c r="J505" i="3"/>
  <c r="K465" i="3"/>
  <c r="J465" i="3"/>
  <c r="K409" i="3"/>
  <c r="J409" i="3"/>
  <c r="K361" i="3"/>
  <c r="J361" i="3"/>
  <c r="K313" i="3"/>
  <c r="J313" i="3"/>
  <c r="K257" i="3"/>
  <c r="J257" i="3"/>
  <c r="K217" i="3"/>
  <c r="J217" i="3"/>
  <c r="K185" i="3"/>
  <c r="J185" i="3"/>
  <c r="K137" i="3"/>
  <c r="J137" i="3"/>
  <c r="M79" i="3"/>
  <c r="N79" i="3"/>
  <c r="K79" i="3"/>
  <c r="M30" i="3"/>
  <c r="N30" i="3"/>
  <c r="K30" i="3"/>
  <c r="J30" i="3"/>
  <c r="M20" i="3"/>
  <c r="N20" i="3"/>
  <c r="K20" i="3"/>
  <c r="J20" i="3"/>
  <c r="K2636" i="3"/>
  <c r="J2636" i="3"/>
  <c r="K2612" i="3"/>
  <c r="J2612" i="3"/>
  <c r="K2596" i="3"/>
  <c r="J2596" i="3"/>
  <c r="K2580" i="3"/>
  <c r="J2580" i="3"/>
  <c r="K2564" i="3"/>
  <c r="J2564" i="3"/>
  <c r="K2540" i="3"/>
  <c r="J2540" i="3"/>
  <c r="K2524" i="3"/>
  <c r="J2524" i="3"/>
  <c r="K2500" i="3"/>
  <c r="J2500" i="3"/>
  <c r="K2476" i="3"/>
  <c r="J2476" i="3"/>
  <c r="K2460" i="3"/>
  <c r="J2460" i="3"/>
  <c r="K2436" i="3"/>
  <c r="J2436" i="3"/>
  <c r="K2420" i="3"/>
  <c r="J2420" i="3"/>
  <c r="K2396" i="3"/>
  <c r="J2396" i="3"/>
  <c r="K2372" i="3"/>
  <c r="J2372" i="3"/>
  <c r="K2356" i="3"/>
  <c r="J2356" i="3"/>
  <c r="K2332" i="3"/>
  <c r="J2332" i="3"/>
  <c r="K2308" i="3"/>
  <c r="J2308" i="3"/>
  <c r="K2292" i="3"/>
  <c r="J2292" i="3"/>
  <c r="K2268" i="3"/>
  <c r="J2268" i="3"/>
  <c r="K2252" i="3"/>
  <c r="J2252" i="3"/>
  <c r="K2228" i="3"/>
  <c r="J2228" i="3"/>
  <c r="K2204" i="3"/>
  <c r="J2204" i="3"/>
  <c r="K2180" i="3"/>
  <c r="J2180" i="3"/>
  <c r="K2164" i="3"/>
  <c r="J2164" i="3"/>
  <c r="K2140" i="3"/>
  <c r="J2140" i="3"/>
  <c r="K2132" i="3"/>
  <c r="J2132" i="3"/>
  <c r="K2108" i="3"/>
  <c r="J2108" i="3"/>
  <c r="K2092" i="3"/>
  <c r="J2092" i="3"/>
  <c r="K2068" i="3"/>
  <c r="J2068" i="3"/>
  <c r="K2052" i="3"/>
  <c r="J2052" i="3"/>
  <c r="K2028" i="3"/>
  <c r="J2028" i="3"/>
  <c r="K2004" i="3"/>
  <c r="J2004" i="3"/>
  <c r="K1988" i="3"/>
  <c r="J1988" i="3"/>
  <c r="K1964" i="3"/>
  <c r="J1964" i="3"/>
  <c r="K1948" i="3"/>
  <c r="J1948" i="3"/>
  <c r="K1924" i="3"/>
  <c r="J1924" i="3"/>
  <c r="K1908" i="3"/>
  <c r="J1908" i="3"/>
  <c r="K1884" i="3"/>
  <c r="J1884" i="3"/>
  <c r="K1868" i="3"/>
  <c r="J1868" i="3"/>
  <c r="K1844" i="3"/>
  <c r="J1844" i="3"/>
  <c r="K1820" i="3"/>
  <c r="J1820" i="3"/>
  <c r="K1804" i="3"/>
  <c r="J1804" i="3"/>
  <c r="K1780" i="3"/>
  <c r="J1780" i="3"/>
  <c r="K1764" i="3"/>
  <c r="J1764" i="3"/>
  <c r="K1740" i="3"/>
  <c r="J1740" i="3"/>
  <c r="K1724" i="3"/>
  <c r="J1724" i="3"/>
  <c r="K1708" i="3"/>
  <c r="J1708" i="3"/>
  <c r="K1684" i="3"/>
  <c r="J1684" i="3"/>
  <c r="K1676" i="3"/>
  <c r="J1676" i="3"/>
  <c r="K1652" i="3"/>
  <c r="J1652" i="3"/>
  <c r="K1628" i="3"/>
  <c r="J1628" i="3"/>
  <c r="K1612" i="3"/>
  <c r="J1612" i="3"/>
  <c r="K1596" i="3"/>
  <c r="J1596" i="3"/>
  <c r="K1572" i="3"/>
  <c r="J1572" i="3"/>
  <c r="K1564" i="3"/>
  <c r="J1564" i="3"/>
  <c r="K1540" i="3"/>
  <c r="J1540" i="3"/>
  <c r="K1524" i="3"/>
  <c r="J1524" i="3"/>
  <c r="K1500" i="3"/>
  <c r="J1500" i="3"/>
  <c r="K1484" i="3"/>
  <c r="J1484" i="3"/>
  <c r="K1460" i="3"/>
  <c r="J1460" i="3"/>
  <c r="K1436" i="3"/>
  <c r="J1436" i="3"/>
  <c r="K1420" i="3"/>
  <c r="J1420" i="3"/>
  <c r="K1396" i="3"/>
  <c r="J1396" i="3"/>
  <c r="K1380" i="3"/>
  <c r="J1380" i="3"/>
  <c r="K1356" i="3"/>
  <c r="J1356" i="3"/>
  <c r="K1340" i="3"/>
  <c r="J1340" i="3"/>
  <c r="K1316" i="3"/>
  <c r="J1316" i="3"/>
  <c r="K1300" i="3"/>
  <c r="J1300" i="3"/>
  <c r="K1276" i="3"/>
  <c r="J1276" i="3"/>
  <c r="K1260" i="3"/>
  <c r="J1260" i="3"/>
  <c r="K1244" i="3"/>
  <c r="J1244" i="3"/>
  <c r="K1228" i="3"/>
  <c r="J1228" i="3"/>
  <c r="K1204" i="3"/>
  <c r="J1204" i="3"/>
  <c r="K1188" i="3"/>
  <c r="J1188" i="3"/>
  <c r="K1164" i="3"/>
  <c r="J1164" i="3"/>
  <c r="K1140" i="3"/>
  <c r="J1140" i="3"/>
  <c r="K1132" i="3"/>
  <c r="J1132" i="3"/>
  <c r="K1108" i="3"/>
  <c r="J1108" i="3"/>
  <c r="K1084" i="3"/>
  <c r="J1084" i="3"/>
  <c r="K1068" i="3"/>
  <c r="J1068" i="3"/>
  <c r="K1044" i="3"/>
  <c r="J1044" i="3"/>
  <c r="K1020" i="3"/>
  <c r="J1020" i="3"/>
  <c r="K996" i="3"/>
  <c r="J996" i="3"/>
  <c r="K972" i="3"/>
  <c r="J972" i="3"/>
  <c r="K948" i="3"/>
  <c r="J948" i="3"/>
  <c r="K932" i="3"/>
  <c r="J932" i="3"/>
  <c r="K908" i="3"/>
  <c r="J908" i="3"/>
  <c r="K884" i="3"/>
  <c r="J884" i="3"/>
  <c r="K868" i="3"/>
  <c r="J868" i="3"/>
  <c r="K852" i="3"/>
  <c r="J852" i="3"/>
  <c r="K828" i="3"/>
  <c r="J828" i="3"/>
  <c r="K812" i="3"/>
  <c r="J812" i="3"/>
  <c r="K796" i="3"/>
  <c r="J796" i="3"/>
  <c r="K772" i="3"/>
  <c r="J772" i="3"/>
  <c r="K756" i="3"/>
  <c r="J756" i="3"/>
  <c r="K732" i="3"/>
  <c r="J732" i="3"/>
  <c r="K708" i="3"/>
  <c r="J708" i="3"/>
  <c r="K684" i="3"/>
  <c r="J684" i="3"/>
  <c r="K668" i="3"/>
  <c r="J668" i="3"/>
  <c r="K644" i="3"/>
  <c r="J644" i="3"/>
  <c r="K628" i="3"/>
  <c r="J628" i="3"/>
  <c r="K612" i="3"/>
  <c r="J612" i="3"/>
  <c r="K588" i="3"/>
  <c r="J588" i="3"/>
  <c r="K564" i="3"/>
  <c r="J564" i="3"/>
  <c r="K540" i="3"/>
  <c r="J540" i="3"/>
  <c r="K516" i="3"/>
  <c r="J516" i="3"/>
  <c r="K500" i="3"/>
  <c r="J500" i="3"/>
  <c r="K476" i="3"/>
  <c r="J476" i="3"/>
  <c r="K460" i="3"/>
  <c r="J460" i="3"/>
  <c r="K436" i="3"/>
  <c r="J436" i="3"/>
  <c r="K420" i="3"/>
  <c r="J420" i="3"/>
  <c r="K396" i="3"/>
  <c r="J396" i="3"/>
  <c r="K372" i="3"/>
  <c r="J372" i="3"/>
  <c r="K348" i="3"/>
  <c r="J348" i="3"/>
  <c r="K324" i="3"/>
  <c r="J324" i="3"/>
  <c r="K300" i="3"/>
  <c r="J300" i="3"/>
  <c r="K276" i="3"/>
  <c r="J276" i="3"/>
  <c r="K252" i="3"/>
  <c r="J252" i="3"/>
  <c r="K236" i="3"/>
  <c r="J236" i="3"/>
  <c r="K204" i="3"/>
  <c r="J204" i="3"/>
  <c r="K188" i="3"/>
  <c r="J188" i="3"/>
  <c r="K164" i="3"/>
  <c r="J164" i="3"/>
  <c r="K140" i="3"/>
  <c r="J140" i="3"/>
  <c r="N115" i="3"/>
  <c r="K115" i="3"/>
  <c r="J115" i="3"/>
  <c r="M98" i="3"/>
  <c r="N98" i="3"/>
  <c r="M74" i="3"/>
  <c r="N74" i="3"/>
  <c r="K74" i="3"/>
  <c r="M58" i="3"/>
  <c r="N58" i="3"/>
  <c r="K58" i="3"/>
  <c r="M33" i="3"/>
  <c r="N33" i="3"/>
  <c r="K33" i="3"/>
  <c r="J33" i="3"/>
  <c r="M11" i="3"/>
  <c r="N11" i="3"/>
  <c r="K11" i="3"/>
  <c r="J11" i="3"/>
  <c r="K2635" i="3"/>
  <c r="J2635" i="3"/>
  <c r="K2619" i="3"/>
  <c r="J2619" i="3"/>
  <c r="K2603" i="3"/>
  <c r="J2603" i="3"/>
  <c r="K2587" i="3"/>
  <c r="J2587" i="3"/>
  <c r="K2571" i="3"/>
  <c r="J2571" i="3"/>
  <c r="K2555" i="3"/>
  <c r="J2555" i="3"/>
  <c r="K2539" i="3"/>
  <c r="J2539" i="3"/>
  <c r="K2531" i="3"/>
  <c r="J2531" i="3"/>
  <c r="K2515" i="3"/>
  <c r="J2515" i="3"/>
  <c r="K2499" i="3"/>
  <c r="J2499" i="3"/>
  <c r="K2483" i="3"/>
  <c r="J2483" i="3"/>
  <c r="K2467" i="3"/>
  <c r="J2467" i="3"/>
  <c r="K2451" i="3"/>
  <c r="J2451" i="3"/>
  <c r="K2435" i="3"/>
  <c r="J2435" i="3"/>
  <c r="K2419" i="3"/>
  <c r="J2419" i="3"/>
  <c r="K2403" i="3"/>
  <c r="J2403" i="3"/>
  <c r="K2395" i="3"/>
  <c r="J2395" i="3"/>
  <c r="K2379" i="3"/>
  <c r="J2379" i="3"/>
  <c r="K2363" i="3"/>
  <c r="J2363" i="3"/>
  <c r="K2347" i="3"/>
  <c r="J2347" i="3"/>
  <c r="K2331" i="3"/>
  <c r="J2331" i="3"/>
  <c r="K2323" i="3"/>
  <c r="J2323" i="3"/>
  <c r="K2307" i="3"/>
  <c r="J2307" i="3"/>
  <c r="K2291" i="3"/>
  <c r="J2291" i="3"/>
  <c r="K2283" i="3"/>
  <c r="J2283" i="3"/>
  <c r="K2267" i="3"/>
  <c r="J2267" i="3"/>
  <c r="K2251" i="3"/>
  <c r="J2251" i="3"/>
  <c r="K2235" i="3"/>
  <c r="J2235" i="3"/>
  <c r="K2227" i="3"/>
  <c r="J2227" i="3"/>
  <c r="K2211" i="3"/>
  <c r="J2211" i="3"/>
  <c r="K2195" i="3"/>
  <c r="J2195" i="3"/>
  <c r="K2179" i="3"/>
  <c r="J2179" i="3"/>
  <c r="K2163" i="3"/>
  <c r="J2163" i="3"/>
  <c r="K2147" i="3"/>
  <c r="J2147" i="3"/>
  <c r="K2131" i="3"/>
  <c r="J2131" i="3"/>
  <c r="K2123" i="3"/>
  <c r="J2123" i="3"/>
  <c r="K2107" i="3"/>
  <c r="J2107" i="3"/>
  <c r="K2099" i="3"/>
  <c r="J2099" i="3"/>
  <c r="K2083" i="3"/>
  <c r="J2083" i="3"/>
  <c r="K2067" i="3"/>
  <c r="J2067" i="3"/>
  <c r="K2059" i="3"/>
  <c r="J2059" i="3"/>
  <c r="K2043" i="3"/>
  <c r="J2043" i="3"/>
  <c r="K2027" i="3"/>
  <c r="J2027" i="3"/>
  <c r="K2019" i="3"/>
  <c r="J2019" i="3"/>
  <c r="K2003" i="3"/>
  <c r="J2003" i="3"/>
  <c r="K1987" i="3"/>
  <c r="J1987" i="3"/>
  <c r="K1971" i="3"/>
  <c r="J1971" i="3"/>
  <c r="K1955" i="3"/>
  <c r="J1955" i="3"/>
  <c r="K1939" i="3"/>
  <c r="J1939" i="3"/>
  <c r="K1931" i="3"/>
  <c r="J1931" i="3"/>
  <c r="K1915" i="3"/>
  <c r="J1915" i="3"/>
  <c r="K1899" i="3"/>
  <c r="J1899" i="3"/>
  <c r="K1883" i="3"/>
  <c r="J1883" i="3"/>
  <c r="K1875" i="3"/>
  <c r="J1875" i="3"/>
  <c r="K1859" i="3"/>
  <c r="J1859" i="3"/>
  <c r="K1843" i="3"/>
  <c r="J1843" i="3"/>
  <c r="K1827" i="3"/>
  <c r="J1827" i="3"/>
  <c r="K1811" i="3"/>
  <c r="J1811" i="3"/>
  <c r="K1795" i="3"/>
  <c r="J1795" i="3"/>
  <c r="K1779" i="3"/>
  <c r="J1779" i="3"/>
  <c r="K1763" i="3"/>
  <c r="J1763" i="3"/>
  <c r="K1755" i="3"/>
  <c r="J1755" i="3"/>
  <c r="K1739" i="3"/>
  <c r="J1739" i="3"/>
  <c r="K1723" i="3"/>
  <c r="J1723" i="3"/>
  <c r="K1707" i="3"/>
  <c r="J1707" i="3"/>
  <c r="K1699" i="3"/>
  <c r="J1699" i="3"/>
  <c r="K1683" i="3"/>
  <c r="J1683" i="3"/>
  <c r="K1667" i="3"/>
  <c r="J1667" i="3"/>
  <c r="K1659" i="3"/>
  <c r="J1659" i="3"/>
  <c r="K1643" i="3"/>
  <c r="J1643" i="3"/>
  <c r="K1627" i="3"/>
  <c r="J1627" i="3"/>
  <c r="K1611" i="3"/>
  <c r="J1611" i="3"/>
  <c r="K1603" i="3"/>
  <c r="J1603" i="3"/>
  <c r="K1587" i="3"/>
  <c r="J1587" i="3"/>
  <c r="K1571" i="3"/>
  <c r="J1571" i="3"/>
  <c r="K1555" i="3"/>
  <c r="J1555" i="3"/>
  <c r="K1539" i="3"/>
  <c r="J1539" i="3"/>
  <c r="K1523" i="3"/>
  <c r="J1523" i="3"/>
  <c r="K1507" i="3"/>
  <c r="J1507" i="3"/>
  <c r="K1491" i="3"/>
  <c r="J1491" i="3"/>
  <c r="K1475" i="3"/>
  <c r="J1475" i="3"/>
  <c r="K1459" i="3"/>
  <c r="J1459" i="3"/>
  <c r="K1443" i="3"/>
  <c r="J1443" i="3"/>
  <c r="K1419" i="3"/>
  <c r="J1419" i="3"/>
  <c r="K1403" i="3"/>
  <c r="J1403" i="3"/>
  <c r="K1387" i="3"/>
  <c r="J1387" i="3"/>
  <c r="K1371" i="3"/>
  <c r="J1371" i="3"/>
  <c r="K1363" i="3"/>
  <c r="J1363" i="3"/>
  <c r="K1347" i="3"/>
  <c r="J1347" i="3"/>
  <c r="K1331" i="3"/>
  <c r="J1331" i="3"/>
  <c r="K1315" i="3"/>
  <c r="J1315" i="3"/>
  <c r="K1299" i="3"/>
  <c r="J1299" i="3"/>
  <c r="K1283" i="3"/>
  <c r="J1283" i="3"/>
  <c r="K1267" i="3"/>
  <c r="J1267" i="3"/>
  <c r="K1259" i="3"/>
  <c r="J1259" i="3"/>
  <c r="K1243" i="3"/>
  <c r="J1243" i="3"/>
  <c r="K1227" i="3"/>
  <c r="J1227" i="3"/>
  <c r="K1211" i="3"/>
  <c r="J1211" i="3"/>
  <c r="K1195" i="3"/>
  <c r="J1195" i="3"/>
  <c r="K1179" i="3"/>
  <c r="J1179" i="3"/>
  <c r="K1163" i="3"/>
  <c r="J1163" i="3"/>
  <c r="K1147" i="3"/>
  <c r="J1147" i="3"/>
  <c r="K1131" i="3"/>
  <c r="J1131" i="3"/>
  <c r="K1115" i="3"/>
  <c r="J1115" i="3"/>
  <c r="K1099" i="3"/>
  <c r="J1099" i="3"/>
  <c r="K1083" i="3"/>
  <c r="J1083" i="3"/>
  <c r="K1059" i="3"/>
  <c r="J1059" i="3"/>
  <c r="K1043" i="3"/>
  <c r="J1043" i="3"/>
  <c r="K1027" i="3"/>
  <c r="J1027" i="3"/>
  <c r="K1011" i="3"/>
  <c r="J1011" i="3"/>
  <c r="K995" i="3"/>
  <c r="J995" i="3"/>
  <c r="K979" i="3"/>
  <c r="J979" i="3"/>
  <c r="K971" i="3"/>
  <c r="J971" i="3"/>
  <c r="K955" i="3"/>
  <c r="J955" i="3"/>
  <c r="K939" i="3"/>
  <c r="J939" i="3"/>
  <c r="K923" i="3"/>
  <c r="J923" i="3"/>
  <c r="K907" i="3"/>
  <c r="J907" i="3"/>
  <c r="K891" i="3"/>
  <c r="J891" i="3"/>
  <c r="K875" i="3"/>
  <c r="J875" i="3"/>
  <c r="K859" i="3"/>
  <c r="J859" i="3"/>
  <c r="K843" i="3"/>
  <c r="J843" i="3"/>
  <c r="K835" i="3"/>
  <c r="J835" i="3"/>
  <c r="K819" i="3"/>
  <c r="J819" i="3"/>
  <c r="K803" i="3"/>
  <c r="J803" i="3"/>
  <c r="K787" i="3"/>
  <c r="J787" i="3"/>
  <c r="K771" i="3"/>
  <c r="J771" i="3"/>
  <c r="K755" i="3"/>
  <c r="J755" i="3"/>
  <c r="K739" i="3"/>
  <c r="J739" i="3"/>
  <c r="K723" i="3"/>
  <c r="J723" i="3"/>
  <c r="K715" i="3"/>
  <c r="J715" i="3"/>
  <c r="K699" i="3"/>
  <c r="J699" i="3"/>
  <c r="K683" i="3"/>
  <c r="J683" i="3"/>
  <c r="K667" i="3"/>
  <c r="J667" i="3"/>
  <c r="K651" i="3"/>
  <c r="J651" i="3"/>
  <c r="K627" i="3"/>
  <c r="J627" i="3"/>
  <c r="K611" i="3"/>
  <c r="J611" i="3"/>
  <c r="K595" i="3"/>
  <c r="J595" i="3"/>
  <c r="K579" i="3"/>
  <c r="J579" i="3"/>
  <c r="K563" i="3"/>
  <c r="J563" i="3"/>
  <c r="K547" i="3"/>
  <c r="J547" i="3"/>
  <c r="K531" i="3"/>
  <c r="J531" i="3"/>
  <c r="K515" i="3"/>
  <c r="J515" i="3"/>
  <c r="K491" i="3"/>
  <c r="J491" i="3"/>
  <c r="K475" i="3"/>
  <c r="J475" i="3"/>
  <c r="K459" i="3"/>
  <c r="J459" i="3"/>
  <c r="K443" i="3"/>
  <c r="J443" i="3"/>
  <c r="K427" i="3"/>
  <c r="J427" i="3"/>
  <c r="K411" i="3"/>
  <c r="J411" i="3"/>
  <c r="K395" i="3"/>
  <c r="J395" i="3"/>
  <c r="K379" i="3"/>
  <c r="J379" i="3"/>
  <c r="K363" i="3"/>
  <c r="J363" i="3"/>
  <c r="K347" i="3"/>
  <c r="J347" i="3"/>
  <c r="K331" i="3"/>
  <c r="J331" i="3"/>
  <c r="K315" i="3"/>
  <c r="J315" i="3"/>
  <c r="K299" i="3"/>
  <c r="J299" i="3"/>
  <c r="K275" i="3"/>
  <c r="J275" i="3"/>
  <c r="K259" i="3"/>
  <c r="J259" i="3"/>
  <c r="K243" i="3"/>
  <c r="J243" i="3"/>
  <c r="K219" i="3"/>
  <c r="J219" i="3"/>
  <c r="K195" i="3"/>
  <c r="J195" i="3"/>
  <c r="K179" i="3"/>
  <c r="J179" i="3"/>
  <c r="K163" i="3"/>
  <c r="J163" i="3"/>
  <c r="K147" i="3"/>
  <c r="J147" i="3"/>
  <c r="K131" i="3"/>
  <c r="J131" i="3"/>
  <c r="N114" i="3"/>
  <c r="K114" i="3"/>
  <c r="J114" i="3"/>
  <c r="M97" i="3"/>
  <c r="N97" i="3"/>
  <c r="M81" i="3"/>
  <c r="N81" i="3"/>
  <c r="K81" i="3"/>
  <c r="M65" i="3"/>
  <c r="N65" i="3"/>
  <c r="K65" i="3"/>
  <c r="M49" i="3"/>
  <c r="N49" i="3"/>
  <c r="K49" i="3"/>
  <c r="J49" i="3"/>
  <c r="M32" i="3"/>
  <c r="N32" i="3"/>
  <c r="K32" i="3"/>
  <c r="J32" i="3"/>
  <c r="M18" i="3"/>
  <c r="N18" i="3"/>
  <c r="K18" i="3"/>
  <c r="J18" i="3"/>
  <c r="M10" i="3"/>
  <c r="N10" i="3"/>
  <c r="K10" i="3"/>
  <c r="J10" i="3"/>
  <c r="K2642" i="3"/>
  <c r="J2642" i="3"/>
  <c r="K2634" i="3"/>
  <c r="J2634" i="3"/>
  <c r="K2626" i="3"/>
  <c r="J2626" i="3"/>
  <c r="K2618" i="3"/>
  <c r="J2618" i="3"/>
  <c r="K2610" i="3"/>
  <c r="J2610" i="3"/>
  <c r="K2602" i="3"/>
  <c r="J2602" i="3"/>
  <c r="K2594" i="3"/>
  <c r="J2594" i="3"/>
  <c r="K2586" i="3"/>
  <c r="J2586" i="3"/>
  <c r="K2578" i="3"/>
  <c r="J2578" i="3"/>
  <c r="K2570" i="3"/>
  <c r="J2570" i="3"/>
  <c r="K2562" i="3"/>
  <c r="J2562" i="3"/>
  <c r="K2554" i="3"/>
  <c r="J2554" i="3"/>
  <c r="K2546" i="3"/>
  <c r="J2546" i="3"/>
  <c r="K2538" i="3"/>
  <c r="J2538" i="3"/>
  <c r="K2530" i="3"/>
  <c r="J2530" i="3"/>
  <c r="K2522" i="3"/>
  <c r="J2522" i="3"/>
  <c r="K2514" i="3"/>
  <c r="J2514" i="3"/>
  <c r="K2506" i="3"/>
  <c r="J2506" i="3"/>
  <c r="K2498" i="3"/>
  <c r="J2498" i="3"/>
  <c r="K2490" i="3"/>
  <c r="J2490" i="3"/>
  <c r="K2482" i="3"/>
  <c r="J2482" i="3"/>
  <c r="K2474" i="3"/>
  <c r="J2474" i="3"/>
  <c r="K2466" i="3"/>
  <c r="J2466" i="3"/>
  <c r="K2458" i="3"/>
  <c r="J2458" i="3"/>
  <c r="K2450" i="3"/>
  <c r="J2450" i="3"/>
  <c r="K2442" i="3"/>
  <c r="J2442" i="3"/>
  <c r="K2434" i="3"/>
  <c r="J2434" i="3"/>
  <c r="K2426" i="3"/>
  <c r="J2426" i="3"/>
  <c r="K2418" i="3"/>
  <c r="J2418" i="3"/>
  <c r="K2410" i="3"/>
  <c r="J2410" i="3"/>
  <c r="K2402" i="3"/>
  <c r="J2402" i="3"/>
  <c r="K2394" i="3"/>
  <c r="J2394" i="3"/>
  <c r="K2386" i="3"/>
  <c r="J2386" i="3"/>
  <c r="K2378" i="3"/>
  <c r="J2378" i="3"/>
  <c r="K2370" i="3"/>
  <c r="J2370" i="3"/>
  <c r="K2362" i="3"/>
  <c r="J2362" i="3"/>
  <c r="K2354" i="3"/>
  <c r="J2354" i="3"/>
  <c r="K2346" i="3"/>
  <c r="J2346" i="3"/>
  <c r="K2338" i="3"/>
  <c r="J2338" i="3"/>
  <c r="K2330" i="3"/>
  <c r="J2330" i="3"/>
  <c r="K2322" i="3"/>
  <c r="J2322" i="3"/>
  <c r="K2314" i="3"/>
  <c r="J2314" i="3"/>
  <c r="K2306" i="3"/>
  <c r="J2306" i="3"/>
  <c r="K2298" i="3"/>
  <c r="J2298" i="3"/>
  <c r="K2290" i="3"/>
  <c r="J2290" i="3"/>
  <c r="K2282" i="3"/>
  <c r="J2282" i="3"/>
  <c r="K2274" i="3"/>
  <c r="J2274" i="3"/>
  <c r="K2266" i="3"/>
  <c r="J2266" i="3"/>
  <c r="K2258" i="3"/>
  <c r="J2258" i="3"/>
  <c r="K2250" i="3"/>
  <c r="J2250" i="3"/>
  <c r="K2242" i="3"/>
  <c r="J2242" i="3"/>
  <c r="K2234" i="3"/>
  <c r="J2234" i="3"/>
  <c r="K2226" i="3"/>
  <c r="J2226" i="3"/>
  <c r="K2218" i="3"/>
  <c r="J2218" i="3"/>
  <c r="K2210" i="3"/>
  <c r="J2210" i="3"/>
  <c r="K2202" i="3"/>
  <c r="J2202" i="3"/>
  <c r="K2194" i="3"/>
  <c r="J2194" i="3"/>
  <c r="K2186" i="3"/>
  <c r="J2186" i="3"/>
  <c r="K2178" i="3"/>
  <c r="J2178" i="3"/>
  <c r="K2170" i="3"/>
  <c r="J2170" i="3"/>
  <c r="K2162" i="3"/>
  <c r="J2162" i="3"/>
  <c r="K2154" i="3"/>
  <c r="J2154" i="3"/>
  <c r="K2146" i="3"/>
  <c r="J2146" i="3"/>
  <c r="K2138" i="3"/>
  <c r="J2138" i="3"/>
  <c r="K2130" i="3"/>
  <c r="J2130" i="3"/>
  <c r="K2122" i="3"/>
  <c r="J2122" i="3"/>
  <c r="K2114" i="3"/>
  <c r="J2114" i="3"/>
  <c r="K2106" i="3"/>
  <c r="J2106" i="3"/>
  <c r="K2098" i="3"/>
  <c r="J2098" i="3"/>
  <c r="K2090" i="3"/>
  <c r="J2090" i="3"/>
  <c r="K2082" i="3"/>
  <c r="J2082" i="3"/>
  <c r="K2074" i="3"/>
  <c r="J2074" i="3"/>
  <c r="K2066" i="3"/>
  <c r="J2066" i="3"/>
  <c r="K2058" i="3"/>
  <c r="J2058" i="3"/>
  <c r="K2050" i="3"/>
  <c r="J2050" i="3"/>
  <c r="K2042" i="3"/>
  <c r="J2042" i="3"/>
  <c r="K2034" i="3"/>
  <c r="J2034" i="3"/>
  <c r="K2026" i="3"/>
  <c r="J2026" i="3"/>
  <c r="K2018" i="3"/>
  <c r="J2018" i="3"/>
  <c r="K2010" i="3"/>
  <c r="J2010" i="3"/>
  <c r="K2002" i="3"/>
  <c r="J2002" i="3"/>
  <c r="K1994" i="3"/>
  <c r="J1994" i="3"/>
  <c r="K1986" i="3"/>
  <c r="J1986" i="3"/>
  <c r="K1978" i="3"/>
  <c r="J1978" i="3"/>
  <c r="K1970" i="3"/>
  <c r="J1970" i="3"/>
  <c r="K1962" i="3"/>
  <c r="J1962" i="3"/>
  <c r="K1954" i="3"/>
  <c r="J1954" i="3"/>
  <c r="K1946" i="3"/>
  <c r="J1946" i="3"/>
  <c r="K1938" i="3"/>
  <c r="J1938" i="3"/>
  <c r="K1930" i="3"/>
  <c r="J1930" i="3"/>
  <c r="K1922" i="3"/>
  <c r="J1922" i="3"/>
  <c r="K1914" i="3"/>
  <c r="J1914" i="3"/>
  <c r="K1906" i="3"/>
  <c r="J1906" i="3"/>
  <c r="K1898" i="3"/>
  <c r="J1898" i="3"/>
  <c r="K1890" i="3"/>
  <c r="J1890" i="3"/>
  <c r="K1882" i="3"/>
  <c r="J1882" i="3"/>
  <c r="K1874" i="3"/>
  <c r="J1874" i="3"/>
  <c r="K1866" i="3"/>
  <c r="J1866" i="3"/>
  <c r="K1858" i="3"/>
  <c r="J1858" i="3"/>
  <c r="K1850" i="3"/>
  <c r="J1850" i="3"/>
  <c r="K1842" i="3"/>
  <c r="J1842" i="3"/>
  <c r="K1834" i="3"/>
  <c r="J1834" i="3"/>
  <c r="K1826" i="3"/>
  <c r="J1826" i="3"/>
  <c r="K1818" i="3"/>
  <c r="J1818" i="3"/>
  <c r="K1810" i="3"/>
  <c r="J1810" i="3"/>
  <c r="K1802" i="3"/>
  <c r="J1802" i="3"/>
  <c r="K1794" i="3"/>
  <c r="J1794" i="3"/>
  <c r="K1786" i="3"/>
  <c r="J1786" i="3"/>
  <c r="K1778" i="3"/>
  <c r="J1778" i="3"/>
  <c r="K1770" i="3"/>
  <c r="J1770" i="3"/>
  <c r="K1762" i="3"/>
  <c r="J1762" i="3"/>
  <c r="K1754" i="3"/>
  <c r="J1754" i="3"/>
  <c r="K1746" i="3"/>
  <c r="J1746" i="3"/>
  <c r="K1738" i="3"/>
  <c r="J1738" i="3"/>
  <c r="K1730" i="3"/>
  <c r="J1730" i="3"/>
  <c r="K1722" i="3"/>
  <c r="J1722" i="3"/>
  <c r="K1714" i="3"/>
  <c r="J1714" i="3"/>
  <c r="K1706" i="3"/>
  <c r="J1706" i="3"/>
  <c r="K1698" i="3"/>
  <c r="J1698" i="3"/>
  <c r="K1690" i="3"/>
  <c r="J1690" i="3"/>
  <c r="K1682" i="3"/>
  <c r="J1682" i="3"/>
  <c r="K1674" i="3"/>
  <c r="J1674" i="3"/>
  <c r="K1666" i="3"/>
  <c r="J1666" i="3"/>
  <c r="K1658" i="3"/>
  <c r="J1658" i="3"/>
  <c r="K1650" i="3"/>
  <c r="J1650" i="3"/>
  <c r="K1642" i="3"/>
  <c r="J1642" i="3"/>
  <c r="K1634" i="3"/>
  <c r="J1634" i="3"/>
  <c r="K1626" i="3"/>
  <c r="J1626" i="3"/>
  <c r="K1618" i="3"/>
  <c r="J1618" i="3"/>
  <c r="K1610" i="3"/>
  <c r="J1610" i="3"/>
  <c r="K1602" i="3"/>
  <c r="J1602" i="3"/>
  <c r="K1594" i="3"/>
  <c r="J1594" i="3"/>
  <c r="K1586" i="3"/>
  <c r="J1586" i="3"/>
  <c r="K1578" i="3"/>
  <c r="J1578" i="3"/>
  <c r="K1570" i="3"/>
  <c r="J1570" i="3"/>
  <c r="K1562" i="3"/>
  <c r="J1562" i="3"/>
  <c r="K1554" i="3"/>
  <c r="J1554" i="3"/>
  <c r="K1546" i="3"/>
  <c r="J1546" i="3"/>
  <c r="K1538" i="3"/>
  <c r="J1538" i="3"/>
  <c r="K1530" i="3"/>
  <c r="J1530" i="3"/>
  <c r="K1522" i="3"/>
  <c r="J1522" i="3"/>
  <c r="K1514" i="3"/>
  <c r="J1514" i="3"/>
  <c r="K1506" i="3"/>
  <c r="J1506" i="3"/>
  <c r="K1498" i="3"/>
  <c r="J1498" i="3"/>
  <c r="K1490" i="3"/>
  <c r="J1490" i="3"/>
  <c r="K1482" i="3"/>
  <c r="J1482" i="3"/>
  <c r="K1474" i="3"/>
  <c r="J1474" i="3"/>
  <c r="K1466" i="3"/>
  <c r="J1466" i="3"/>
  <c r="K1458" i="3"/>
  <c r="J1458" i="3"/>
  <c r="K1450" i="3"/>
  <c r="J1450" i="3"/>
  <c r="K1442" i="3"/>
  <c r="J1442" i="3"/>
  <c r="K1434" i="3"/>
  <c r="J1434" i="3"/>
  <c r="K1426" i="3"/>
  <c r="J1426" i="3"/>
  <c r="K1418" i="3"/>
  <c r="J1418" i="3"/>
  <c r="K1410" i="3"/>
  <c r="J1410" i="3"/>
  <c r="K1402" i="3"/>
  <c r="J1402" i="3"/>
  <c r="K1394" i="3"/>
  <c r="J1394" i="3"/>
  <c r="K1386" i="3"/>
  <c r="J1386" i="3"/>
  <c r="K1378" i="3"/>
  <c r="J1378" i="3"/>
  <c r="K1370" i="3"/>
  <c r="J1370" i="3"/>
  <c r="K1362" i="3"/>
  <c r="J1362" i="3"/>
  <c r="K1354" i="3"/>
  <c r="J1354" i="3"/>
  <c r="K1346" i="3"/>
  <c r="J1346" i="3"/>
  <c r="K1338" i="3"/>
  <c r="J1338" i="3"/>
  <c r="K1330" i="3"/>
  <c r="J1330" i="3"/>
  <c r="K1322" i="3"/>
  <c r="J1322" i="3"/>
  <c r="K1314" i="3"/>
  <c r="J1314" i="3"/>
  <c r="K1306" i="3"/>
  <c r="J1306" i="3"/>
  <c r="K1298" i="3"/>
  <c r="J1298" i="3"/>
  <c r="K1290" i="3"/>
  <c r="J1290" i="3"/>
  <c r="K1282" i="3"/>
  <c r="J1282" i="3"/>
  <c r="K1274" i="3"/>
  <c r="J1274" i="3"/>
  <c r="K1266" i="3"/>
  <c r="J1266" i="3"/>
  <c r="K1258" i="3"/>
  <c r="J1258" i="3"/>
  <c r="K1250" i="3"/>
  <c r="J1250" i="3"/>
  <c r="K1242" i="3"/>
  <c r="J1242" i="3"/>
  <c r="K1234" i="3"/>
  <c r="J1234" i="3"/>
  <c r="K1226" i="3"/>
  <c r="J1226" i="3"/>
  <c r="K1218" i="3"/>
  <c r="J1218" i="3"/>
  <c r="K1210" i="3"/>
  <c r="J1210" i="3"/>
  <c r="K1202" i="3"/>
  <c r="J1202" i="3"/>
  <c r="K1194" i="3"/>
  <c r="J1194" i="3"/>
  <c r="K1186" i="3"/>
  <c r="J1186" i="3"/>
  <c r="K1178" i="3"/>
  <c r="J1178" i="3"/>
  <c r="K1170" i="3"/>
  <c r="J1170" i="3"/>
  <c r="K1162" i="3"/>
  <c r="J1162" i="3"/>
  <c r="K1154" i="3"/>
  <c r="J1154" i="3"/>
  <c r="K1146" i="3"/>
  <c r="J1146" i="3"/>
  <c r="K1138" i="3"/>
  <c r="J1138" i="3"/>
  <c r="K1130" i="3"/>
  <c r="J1130" i="3"/>
  <c r="K1122" i="3"/>
  <c r="J1122" i="3"/>
  <c r="K1114" i="3"/>
  <c r="J1114" i="3"/>
  <c r="K1106" i="3"/>
  <c r="J1106" i="3"/>
  <c r="K1098" i="3"/>
  <c r="J1098" i="3"/>
  <c r="K1090" i="3"/>
  <c r="J1090" i="3"/>
  <c r="K1082" i="3"/>
  <c r="J1082" i="3"/>
  <c r="K1074" i="3"/>
  <c r="J1074" i="3"/>
  <c r="K1066" i="3"/>
  <c r="J1066" i="3"/>
  <c r="K1058" i="3"/>
  <c r="J1058" i="3"/>
  <c r="K1050" i="3"/>
  <c r="J1050" i="3"/>
  <c r="K1042" i="3"/>
  <c r="J1042" i="3"/>
  <c r="K1034" i="3"/>
  <c r="J1034" i="3"/>
  <c r="K1026" i="3"/>
  <c r="J1026" i="3"/>
  <c r="K1018" i="3"/>
  <c r="J1018" i="3"/>
  <c r="K1010" i="3"/>
  <c r="J1010" i="3"/>
  <c r="K1002" i="3"/>
  <c r="J1002" i="3"/>
  <c r="K994" i="3"/>
  <c r="J994" i="3"/>
  <c r="K986" i="3"/>
  <c r="J986" i="3"/>
  <c r="K978" i="3"/>
  <c r="J978" i="3"/>
  <c r="K970" i="3"/>
  <c r="J970" i="3"/>
  <c r="K962" i="3"/>
  <c r="J962" i="3"/>
  <c r="K954" i="3"/>
  <c r="J954" i="3"/>
  <c r="K946" i="3"/>
  <c r="J946" i="3"/>
  <c r="K938" i="3"/>
  <c r="J938" i="3"/>
  <c r="K930" i="3"/>
  <c r="J930" i="3"/>
  <c r="K922" i="3"/>
  <c r="J922" i="3"/>
  <c r="K914" i="3"/>
  <c r="J914" i="3"/>
  <c r="K906" i="3"/>
  <c r="J906" i="3"/>
  <c r="K898" i="3"/>
  <c r="J898" i="3"/>
  <c r="K890" i="3"/>
  <c r="J890" i="3"/>
  <c r="K882" i="3"/>
  <c r="J882" i="3"/>
  <c r="K874" i="3"/>
  <c r="J874" i="3"/>
  <c r="K866" i="3"/>
  <c r="J866" i="3"/>
  <c r="K858" i="3"/>
  <c r="J858" i="3"/>
  <c r="K850" i="3"/>
  <c r="J850" i="3"/>
  <c r="K842" i="3"/>
  <c r="J842" i="3"/>
  <c r="K834" i="3"/>
  <c r="J834" i="3"/>
  <c r="K826" i="3"/>
  <c r="J826" i="3"/>
  <c r="K818" i="3"/>
  <c r="J818" i="3"/>
  <c r="K810" i="3"/>
  <c r="J810" i="3"/>
  <c r="K802" i="3"/>
  <c r="J802" i="3"/>
  <c r="K794" i="3"/>
  <c r="J794" i="3"/>
  <c r="K786" i="3"/>
  <c r="J786" i="3"/>
  <c r="K778" i="3"/>
  <c r="J778" i="3"/>
  <c r="K770" i="3"/>
  <c r="J770" i="3"/>
  <c r="K762" i="3"/>
  <c r="J762" i="3"/>
  <c r="K754" i="3"/>
  <c r="J754" i="3"/>
  <c r="K746" i="3"/>
  <c r="J746" i="3"/>
  <c r="K738" i="3"/>
  <c r="J738" i="3"/>
  <c r="K730" i="3"/>
  <c r="J730" i="3"/>
  <c r="K722" i="3"/>
  <c r="J722" i="3"/>
  <c r="K714" i="3"/>
  <c r="J714" i="3"/>
  <c r="K706" i="3"/>
  <c r="J706" i="3"/>
  <c r="K698" i="3"/>
  <c r="J698" i="3"/>
  <c r="K690" i="3"/>
  <c r="J690" i="3"/>
  <c r="K682" i="3"/>
  <c r="J682" i="3"/>
  <c r="K674" i="3"/>
  <c r="J674" i="3"/>
  <c r="K666" i="3"/>
  <c r="J666" i="3"/>
  <c r="K658" i="3"/>
  <c r="J658" i="3"/>
  <c r="K650" i="3"/>
  <c r="J650" i="3"/>
  <c r="K642" i="3"/>
  <c r="J642" i="3"/>
  <c r="K634" i="3"/>
  <c r="J634" i="3"/>
  <c r="K626" i="3"/>
  <c r="J626" i="3"/>
  <c r="K618" i="3"/>
  <c r="J618" i="3"/>
  <c r="K610" i="3"/>
  <c r="J610" i="3"/>
  <c r="K602" i="3"/>
  <c r="J602" i="3"/>
  <c r="K594" i="3"/>
  <c r="J594" i="3"/>
  <c r="K586" i="3"/>
  <c r="J586" i="3"/>
  <c r="K578" i="3"/>
  <c r="J578" i="3"/>
  <c r="K570" i="3"/>
  <c r="J570" i="3"/>
  <c r="K562" i="3"/>
  <c r="J562" i="3"/>
  <c r="K554" i="3"/>
  <c r="J554" i="3"/>
  <c r="K546" i="3"/>
  <c r="J546" i="3"/>
  <c r="K538" i="3"/>
  <c r="J538" i="3"/>
  <c r="K530" i="3"/>
  <c r="J530" i="3"/>
  <c r="K522" i="3"/>
  <c r="J522" i="3"/>
  <c r="K514" i="3"/>
  <c r="J514" i="3"/>
  <c r="K506" i="3"/>
  <c r="J506" i="3"/>
  <c r="K498" i="3"/>
  <c r="J498" i="3"/>
  <c r="K490" i="3"/>
  <c r="J490" i="3"/>
  <c r="K482" i="3"/>
  <c r="J482" i="3"/>
  <c r="K474" i="3"/>
  <c r="J474" i="3"/>
  <c r="K466" i="3"/>
  <c r="J466" i="3"/>
  <c r="K458" i="3"/>
  <c r="J458" i="3"/>
  <c r="K450" i="3"/>
  <c r="J450" i="3"/>
  <c r="K442" i="3"/>
  <c r="J442" i="3"/>
  <c r="K434" i="3"/>
  <c r="J434" i="3"/>
  <c r="K426" i="3"/>
  <c r="J426" i="3"/>
  <c r="K418" i="3"/>
  <c r="J418" i="3"/>
  <c r="K410" i="3"/>
  <c r="J410" i="3"/>
  <c r="K402" i="3"/>
  <c r="J402" i="3"/>
  <c r="K394" i="3"/>
  <c r="J394" i="3"/>
  <c r="K386" i="3"/>
  <c r="J386" i="3"/>
  <c r="K378" i="3"/>
  <c r="J378" i="3"/>
  <c r="K370" i="3"/>
  <c r="J370" i="3"/>
  <c r="K362" i="3"/>
  <c r="J362" i="3"/>
  <c r="K354" i="3"/>
  <c r="J354" i="3"/>
  <c r="K346" i="3"/>
  <c r="J346" i="3"/>
  <c r="K338" i="3"/>
  <c r="J338" i="3"/>
  <c r="K330" i="3"/>
  <c r="J330" i="3"/>
  <c r="K322" i="3"/>
  <c r="J322" i="3"/>
  <c r="K314" i="3"/>
  <c r="J314" i="3"/>
  <c r="K306" i="3"/>
  <c r="J306" i="3"/>
  <c r="K298" i="3"/>
  <c r="J298" i="3"/>
  <c r="K290" i="3"/>
  <c r="J290" i="3"/>
  <c r="K282" i="3"/>
  <c r="J282" i="3"/>
  <c r="K274" i="3"/>
  <c r="J274" i="3"/>
  <c r="K266" i="3"/>
  <c r="J266" i="3"/>
  <c r="K258" i="3"/>
  <c r="J258" i="3"/>
  <c r="K250" i="3"/>
  <c r="J250" i="3"/>
  <c r="K242" i="3"/>
  <c r="J242" i="3"/>
  <c r="K234" i="3"/>
  <c r="J234" i="3"/>
  <c r="K226" i="3"/>
  <c r="J226" i="3"/>
  <c r="K218" i="3"/>
  <c r="J218" i="3"/>
  <c r="K210" i="3"/>
  <c r="J210" i="3"/>
  <c r="K202" i="3"/>
  <c r="J202" i="3"/>
  <c r="K194" i="3"/>
  <c r="J194" i="3"/>
  <c r="K186" i="3"/>
  <c r="J186" i="3"/>
  <c r="K178" i="3"/>
  <c r="J178" i="3"/>
  <c r="K170" i="3"/>
  <c r="J170" i="3"/>
  <c r="K162" i="3"/>
  <c r="J162" i="3"/>
  <c r="K154" i="3"/>
  <c r="J154" i="3"/>
  <c r="K146" i="3"/>
  <c r="J146" i="3"/>
  <c r="K138" i="3"/>
  <c r="J138" i="3"/>
  <c r="K130" i="3"/>
  <c r="J130" i="3"/>
  <c r="N121" i="3"/>
  <c r="K121" i="3"/>
  <c r="J121" i="3"/>
  <c r="N113" i="3"/>
  <c r="K113" i="3"/>
  <c r="J113" i="3"/>
  <c r="M105" i="3"/>
  <c r="J105" i="3"/>
  <c r="M96" i="3"/>
  <c r="N96" i="3"/>
  <c r="M88" i="3"/>
  <c r="N88" i="3"/>
  <c r="K88" i="3"/>
  <c r="M80" i="3"/>
  <c r="N80" i="3"/>
  <c r="K80" i="3"/>
  <c r="M72" i="3"/>
  <c r="N72" i="3"/>
  <c r="K72" i="3"/>
  <c r="M64" i="3"/>
  <c r="N64" i="3"/>
  <c r="K64" i="3"/>
  <c r="M56" i="3"/>
  <c r="N56" i="3"/>
  <c r="K56" i="3"/>
  <c r="M48" i="3"/>
  <c r="N48" i="3"/>
  <c r="J48" i="3"/>
  <c r="K48" i="3"/>
  <c r="M40" i="3"/>
  <c r="N40" i="3"/>
  <c r="K40" i="3"/>
  <c r="J40" i="3"/>
  <c r="M31" i="3"/>
  <c r="N31" i="3"/>
  <c r="K31" i="3"/>
  <c r="J31" i="3"/>
  <c r="K2601" i="3"/>
  <c r="J2601" i="3"/>
  <c r="K2521" i="3"/>
  <c r="J2521" i="3"/>
  <c r="K2481" i="3"/>
  <c r="J2481" i="3"/>
  <c r="K2433" i="3"/>
  <c r="J2433" i="3"/>
  <c r="K2377" i="3"/>
  <c r="J2377" i="3"/>
  <c r="K2313" i="3"/>
  <c r="J2313" i="3"/>
  <c r="K2249" i="3"/>
  <c r="J2249" i="3"/>
  <c r="K2177" i="3"/>
  <c r="J2177" i="3"/>
  <c r="K2113" i="3"/>
  <c r="J2113" i="3"/>
  <c r="K2057" i="3"/>
  <c r="J2057" i="3"/>
  <c r="K2001" i="3"/>
  <c r="J2001" i="3"/>
  <c r="K1953" i="3"/>
  <c r="J1953" i="3"/>
  <c r="K1897" i="3"/>
  <c r="J1897" i="3"/>
  <c r="K1833" i="3"/>
  <c r="J1833" i="3"/>
  <c r="K1785" i="3"/>
  <c r="J1785" i="3"/>
  <c r="K1721" i="3"/>
  <c r="J1721" i="3"/>
  <c r="K1657" i="3"/>
  <c r="J1657" i="3"/>
  <c r="K1601" i="3"/>
  <c r="J1601" i="3"/>
  <c r="K1553" i="3"/>
  <c r="J1553" i="3"/>
  <c r="K1497" i="3"/>
  <c r="J1497" i="3"/>
  <c r="K1433" i="3"/>
  <c r="J1433" i="3"/>
  <c r="K1385" i="3"/>
  <c r="J1385" i="3"/>
  <c r="K1337" i="3"/>
  <c r="J1337" i="3"/>
  <c r="K1281" i="3"/>
  <c r="J1281" i="3"/>
  <c r="K1225" i="3"/>
  <c r="J1225" i="3"/>
  <c r="K1169" i="3"/>
  <c r="J1169" i="3"/>
  <c r="K1113" i="3"/>
  <c r="J1113" i="3"/>
  <c r="K1057" i="3"/>
  <c r="J1057" i="3"/>
  <c r="K1001" i="3"/>
  <c r="J1001" i="3"/>
  <c r="K953" i="3"/>
  <c r="J953" i="3"/>
  <c r="K897" i="3"/>
  <c r="J897" i="3"/>
  <c r="K849" i="3"/>
  <c r="J849" i="3"/>
  <c r="K801" i="3"/>
  <c r="J801" i="3"/>
  <c r="K753" i="3"/>
  <c r="J753" i="3"/>
  <c r="K713" i="3"/>
  <c r="J713" i="3"/>
  <c r="K665" i="3"/>
  <c r="J665" i="3"/>
  <c r="K617" i="3"/>
  <c r="J617" i="3"/>
  <c r="K569" i="3"/>
  <c r="J569" i="3"/>
  <c r="K521" i="3"/>
  <c r="J521" i="3"/>
  <c r="K473" i="3"/>
  <c r="J473" i="3"/>
  <c r="K425" i="3"/>
  <c r="J425" i="3"/>
  <c r="K385" i="3"/>
  <c r="J385" i="3"/>
  <c r="K337" i="3"/>
  <c r="J337" i="3"/>
  <c r="K297" i="3"/>
  <c r="J297" i="3"/>
  <c r="K249" i="3"/>
  <c r="J249" i="3"/>
  <c r="K201" i="3"/>
  <c r="J201" i="3"/>
  <c r="K153" i="3"/>
  <c r="J153" i="3"/>
  <c r="N112" i="3"/>
  <c r="K112" i="3"/>
  <c r="J112" i="3"/>
  <c r="M55" i="3"/>
  <c r="N55" i="3"/>
  <c r="K55" i="3"/>
  <c r="E705" i="3"/>
  <c r="D705" i="3" s="1"/>
  <c r="E369" i="3"/>
  <c r="H369" i="3" s="1"/>
  <c r="N369" i="3" s="1"/>
  <c r="E297" i="3"/>
  <c r="H297" i="3" s="1"/>
  <c r="N297" i="3" s="1"/>
  <c r="F2375" i="3"/>
  <c r="D2375" i="3" s="1"/>
  <c r="E2162" i="3"/>
  <c r="D2162" i="3" s="1"/>
  <c r="F2063" i="3"/>
  <c r="D2063" i="3" s="1"/>
  <c r="E2090" i="3"/>
  <c r="D2090" i="3" s="1"/>
  <c r="F177" i="3"/>
  <c r="D177" i="3" s="1"/>
  <c r="E1906" i="3"/>
  <c r="D1906" i="3" s="1"/>
  <c r="E2058" i="3"/>
  <c r="D2058" i="3" s="1"/>
  <c r="E1791" i="3"/>
  <c r="D1791" i="3" s="1"/>
  <c r="E625" i="3"/>
  <c r="D625" i="3" s="1"/>
  <c r="F1892" i="3"/>
  <c r="G1892" i="3" s="1"/>
  <c r="M1892" i="3" s="1"/>
  <c r="E1870" i="3"/>
  <c r="D1870" i="3" s="1"/>
  <c r="E326" i="3"/>
  <c r="D326" i="3" s="1"/>
  <c r="E2042" i="3"/>
  <c r="D2042" i="3" s="1"/>
  <c r="E1727" i="3"/>
  <c r="D1727" i="3" s="1"/>
  <c r="E577" i="3"/>
  <c r="D577" i="3" s="1"/>
  <c r="E270" i="3"/>
  <c r="G270" i="3" s="1"/>
  <c r="F1404" i="3"/>
  <c r="D1404" i="3" s="1"/>
  <c r="E2010" i="3"/>
  <c r="D2010" i="3" s="1"/>
  <c r="E1663" i="3"/>
  <c r="D1663" i="3" s="1"/>
  <c r="E497" i="3"/>
  <c r="D497" i="3" s="1"/>
  <c r="E193" i="3"/>
  <c r="D193" i="3" s="1"/>
  <c r="F1255" i="3"/>
  <c r="D1255" i="3" s="1"/>
  <c r="E2314" i="3"/>
  <c r="D2314" i="3" s="1"/>
  <c r="E1986" i="3"/>
  <c r="D1986" i="3" s="1"/>
  <c r="E1345" i="3"/>
  <c r="D1345" i="3" s="1"/>
  <c r="E479" i="3"/>
  <c r="D479" i="3" s="1"/>
  <c r="E153" i="3"/>
  <c r="D153" i="3" s="1"/>
  <c r="F1148" i="3"/>
  <c r="G1148" i="3" s="1"/>
  <c r="E2266" i="3"/>
  <c r="D2266" i="3" s="1"/>
  <c r="E1954" i="3"/>
  <c r="D1954" i="3" s="1"/>
  <c r="E945" i="3"/>
  <c r="H945" i="3" s="1"/>
  <c r="N945" i="3" s="1"/>
  <c r="E433" i="3"/>
  <c r="D433" i="3" s="1"/>
  <c r="E126" i="3"/>
  <c r="D126" i="3" s="1"/>
  <c r="F860" i="3"/>
  <c r="D860" i="3" s="1"/>
  <c r="E2210" i="3"/>
  <c r="D2210" i="3" s="1"/>
  <c r="E1938" i="3"/>
  <c r="D1938" i="3" s="1"/>
  <c r="E817" i="3"/>
  <c r="D817" i="3" s="1"/>
  <c r="E385" i="3"/>
  <c r="D385" i="3" s="1"/>
  <c r="F2412" i="3"/>
  <c r="H2412" i="3" s="1"/>
  <c r="N2412" i="3" s="1"/>
  <c r="F348" i="3"/>
  <c r="D348" i="3" s="1"/>
  <c r="E2634" i="3"/>
  <c r="D2634" i="3" s="1"/>
  <c r="E2570" i="3"/>
  <c r="D2570" i="3" s="1"/>
  <c r="E2506" i="3"/>
  <c r="D2506" i="3" s="1"/>
  <c r="E2450" i="3"/>
  <c r="D2450" i="3" s="1"/>
  <c r="E2400" i="3"/>
  <c r="D2400" i="3" s="1"/>
  <c r="E2346" i="3"/>
  <c r="D2346" i="3" s="1"/>
  <c r="E2298" i="3"/>
  <c r="D2298" i="3" s="1"/>
  <c r="E2242" i="3"/>
  <c r="D2242" i="3" s="1"/>
  <c r="E2194" i="3"/>
  <c r="G2194" i="3" s="1"/>
  <c r="M2194" i="3" s="1"/>
  <c r="E2144" i="3"/>
  <c r="D2144" i="3" s="1"/>
  <c r="E1617" i="3"/>
  <c r="D1617" i="3" s="1"/>
  <c r="E1521" i="3"/>
  <c r="D1521" i="3" s="1"/>
  <c r="E1409" i="3"/>
  <c r="D1409" i="3" s="1"/>
  <c r="E1304" i="3"/>
  <c r="D1304" i="3" s="1"/>
  <c r="E1176" i="3"/>
  <c r="D1176" i="3" s="1"/>
  <c r="E1048" i="3"/>
  <c r="G1048" i="3" s="1"/>
  <c r="E456" i="3"/>
  <c r="D456" i="3" s="1"/>
  <c r="E50" i="3"/>
  <c r="D50" i="3" s="1"/>
  <c r="F2316" i="3"/>
  <c r="G2316" i="3" s="1"/>
  <c r="M2316" i="3" s="1"/>
  <c r="E2626" i="3"/>
  <c r="D2626" i="3" s="1"/>
  <c r="E2562" i="3"/>
  <c r="D2562" i="3" s="1"/>
  <c r="E2498" i="3"/>
  <c r="H2498" i="3" s="1"/>
  <c r="L2498" i="3" s="1"/>
  <c r="E2442" i="3"/>
  <c r="D2442" i="3" s="1"/>
  <c r="E2394" i="3"/>
  <c r="D2394" i="3" s="1"/>
  <c r="E2338" i="3"/>
  <c r="D2338" i="3" s="1"/>
  <c r="E2290" i="3"/>
  <c r="D2290" i="3" s="1"/>
  <c r="E2240" i="3"/>
  <c r="D2240" i="3" s="1"/>
  <c r="E2186" i="3"/>
  <c r="D2186" i="3" s="1"/>
  <c r="E2138" i="3"/>
  <c r="D2138" i="3" s="1"/>
  <c r="E2082" i="3"/>
  <c r="H2082" i="3" s="1"/>
  <c r="L2082" i="3" s="1"/>
  <c r="E2034" i="3"/>
  <c r="G2034" i="3" s="1"/>
  <c r="M2034" i="3" s="1"/>
  <c r="E1984" i="3"/>
  <c r="D1984" i="3" s="1"/>
  <c r="E1930" i="3"/>
  <c r="D1930" i="3" s="1"/>
  <c r="E1868" i="3"/>
  <c r="D1868" i="3" s="1"/>
  <c r="E1713" i="3"/>
  <c r="D1713" i="3" s="1"/>
  <c r="E1601" i="3"/>
  <c r="D1601" i="3" s="1"/>
  <c r="E1505" i="3"/>
  <c r="G1505" i="3" s="1"/>
  <c r="M1505" i="3" s="1"/>
  <c r="E1393" i="3"/>
  <c r="D1393" i="3" s="1"/>
  <c r="E1288" i="3"/>
  <c r="H1288" i="3" s="1"/>
  <c r="E1160" i="3"/>
  <c r="D1160" i="3" s="1"/>
  <c r="E1032" i="3"/>
  <c r="D1032" i="3" s="1"/>
  <c r="E920" i="3"/>
  <c r="D920" i="3" s="1"/>
  <c r="E799" i="3"/>
  <c r="D799" i="3" s="1"/>
  <c r="E689" i="3"/>
  <c r="D689" i="3" s="1"/>
  <c r="E561" i="3"/>
  <c r="H561" i="3" s="1"/>
  <c r="N561" i="3" s="1"/>
  <c r="E449" i="3"/>
  <c r="D449" i="3" s="1"/>
  <c r="E318" i="3"/>
  <c r="D318" i="3" s="1"/>
  <c r="E184" i="3"/>
  <c r="D184" i="3" s="1"/>
  <c r="F2585" i="3"/>
  <c r="D2585" i="3" s="1"/>
  <c r="F2284" i="3"/>
  <c r="G2284" i="3" s="1"/>
  <c r="M2284" i="3" s="1"/>
  <c r="F1767" i="3"/>
  <c r="D1767" i="3" s="1"/>
  <c r="F1233" i="3"/>
  <c r="D1233" i="3" s="1"/>
  <c r="E2618" i="3"/>
  <c r="G2618" i="3" s="1"/>
  <c r="M2618" i="3" s="1"/>
  <c r="E2554" i="3"/>
  <c r="H2554" i="3" s="1"/>
  <c r="N2554" i="3" s="1"/>
  <c r="E2490" i="3"/>
  <c r="D2490" i="3" s="1"/>
  <c r="E2434" i="3"/>
  <c r="D2434" i="3" s="1"/>
  <c r="E2386" i="3"/>
  <c r="D2386" i="3" s="1"/>
  <c r="E2336" i="3"/>
  <c r="D2336" i="3" s="1"/>
  <c r="E2282" i="3"/>
  <c r="D2282" i="3" s="1"/>
  <c r="E2234" i="3"/>
  <c r="D2234" i="3" s="1"/>
  <c r="E2178" i="3"/>
  <c r="G2178" i="3" s="1"/>
  <c r="M2178" i="3" s="1"/>
  <c r="E2130" i="3"/>
  <c r="D2130" i="3" s="1"/>
  <c r="E2080" i="3"/>
  <c r="G2080" i="3" s="1"/>
  <c r="M2080" i="3" s="1"/>
  <c r="E2026" i="3"/>
  <c r="D2026" i="3" s="1"/>
  <c r="E1978" i="3"/>
  <c r="D1978" i="3" s="1"/>
  <c r="E1922" i="3"/>
  <c r="D1922" i="3" s="1"/>
  <c r="E1859" i="3"/>
  <c r="G1859" i="3" s="1"/>
  <c r="M1859" i="3" s="1"/>
  <c r="E1697" i="3"/>
  <c r="D1697" i="3" s="1"/>
  <c r="E1599" i="3"/>
  <c r="G1599" i="3" s="1"/>
  <c r="M1599" i="3" s="1"/>
  <c r="E1489" i="3"/>
  <c r="G1489" i="3" s="1"/>
  <c r="M1489" i="3" s="1"/>
  <c r="E1391" i="3"/>
  <c r="D1391" i="3" s="1"/>
  <c r="E1281" i="3"/>
  <c r="D1281" i="3" s="1"/>
  <c r="E1153" i="3"/>
  <c r="D1153" i="3" s="1"/>
  <c r="E1025" i="3"/>
  <c r="D1025" i="3" s="1"/>
  <c r="E904" i="3"/>
  <c r="D904" i="3" s="1"/>
  <c r="E792" i="3"/>
  <c r="D792" i="3" s="1"/>
  <c r="E664" i="3"/>
  <c r="H664" i="3" s="1"/>
  <c r="N664" i="3" s="1"/>
  <c r="E536" i="3"/>
  <c r="H536" i="3" s="1"/>
  <c r="N536" i="3" s="1"/>
  <c r="E299" i="3"/>
  <c r="D299" i="3" s="1"/>
  <c r="E162" i="3"/>
  <c r="D162" i="3" s="1"/>
  <c r="F2572" i="3"/>
  <c r="G2572" i="3" s="1"/>
  <c r="M2572" i="3" s="1"/>
  <c r="F2188" i="3"/>
  <c r="D2188" i="3" s="1"/>
  <c r="F1681" i="3"/>
  <c r="D1681" i="3" s="1"/>
  <c r="F1169" i="3"/>
  <c r="D1169" i="3" s="1"/>
  <c r="E2610" i="3"/>
  <c r="H2610" i="3" s="1"/>
  <c r="N2610" i="3" s="1"/>
  <c r="E2546" i="3"/>
  <c r="G2546" i="3" s="1"/>
  <c r="M2546" i="3" s="1"/>
  <c r="E2482" i="3"/>
  <c r="G2482" i="3" s="1"/>
  <c r="M2482" i="3" s="1"/>
  <c r="E2432" i="3"/>
  <c r="D2432" i="3" s="1"/>
  <c r="E2378" i="3"/>
  <c r="D2378" i="3" s="1"/>
  <c r="E2330" i="3"/>
  <c r="D2330" i="3" s="1"/>
  <c r="E2274" i="3"/>
  <c r="D2274" i="3" s="1"/>
  <c r="E2226" i="3"/>
  <c r="D2226" i="3" s="1"/>
  <c r="E2176" i="3"/>
  <c r="D2176" i="3" s="1"/>
  <c r="E2122" i="3"/>
  <c r="G2122" i="3" s="1"/>
  <c r="M2122" i="3" s="1"/>
  <c r="E2074" i="3"/>
  <c r="D2074" i="3" s="1"/>
  <c r="E2018" i="3"/>
  <c r="D2018" i="3" s="1"/>
  <c r="E1970" i="3"/>
  <c r="D1970" i="3" s="1"/>
  <c r="E1920" i="3"/>
  <c r="D1920" i="3" s="1"/>
  <c r="E1851" i="3"/>
  <c r="D1851" i="3" s="1"/>
  <c r="E1585" i="3"/>
  <c r="D1585" i="3" s="1"/>
  <c r="E1473" i="3"/>
  <c r="G1473" i="3" s="1"/>
  <c r="M1473" i="3" s="1"/>
  <c r="E1368" i="3"/>
  <c r="H1368" i="3" s="1"/>
  <c r="E1265" i="3"/>
  <c r="D1265" i="3" s="1"/>
  <c r="E1137" i="3"/>
  <c r="D1137" i="3" s="1"/>
  <c r="E1009" i="3"/>
  <c r="D1009" i="3" s="1"/>
  <c r="E897" i="3"/>
  <c r="D897" i="3" s="1"/>
  <c r="E776" i="3"/>
  <c r="D776" i="3" s="1"/>
  <c r="E648" i="3"/>
  <c r="D648" i="3" s="1"/>
  <c r="E520" i="3"/>
  <c r="H520" i="3" s="1"/>
  <c r="N520" i="3" s="1"/>
  <c r="E408" i="3"/>
  <c r="D408" i="3" s="1"/>
  <c r="F2540" i="3"/>
  <c r="G2540" i="3" s="1"/>
  <c r="M2540" i="3" s="1"/>
  <c r="F2156" i="3"/>
  <c r="D2156" i="3" s="1"/>
  <c r="F1660" i="3"/>
  <c r="D1660" i="3" s="1"/>
  <c r="E2602" i="3"/>
  <c r="D2602" i="3" s="1"/>
  <c r="E2538" i="3"/>
  <c r="D2538" i="3" s="1"/>
  <c r="E2474" i="3"/>
  <c r="D2474" i="3" s="1"/>
  <c r="E2426" i="3"/>
  <c r="D2426" i="3" s="1"/>
  <c r="E2370" i="3"/>
  <c r="D2370" i="3" s="1"/>
  <c r="E2322" i="3"/>
  <c r="D2322" i="3" s="1"/>
  <c r="E2272" i="3"/>
  <c r="D2272" i="3" s="1"/>
  <c r="E2218" i="3"/>
  <c r="D2218" i="3" s="1"/>
  <c r="E2170" i="3"/>
  <c r="D2170" i="3" s="1"/>
  <c r="E2114" i="3"/>
  <c r="D2114" i="3" s="1"/>
  <c r="E2066" i="3"/>
  <c r="H2066" i="3" s="1"/>
  <c r="L2066" i="3" s="1"/>
  <c r="E2016" i="3"/>
  <c r="D2016" i="3" s="1"/>
  <c r="E1962" i="3"/>
  <c r="G1962" i="3" s="1"/>
  <c r="M1962" i="3" s="1"/>
  <c r="E1914" i="3"/>
  <c r="D1914" i="3" s="1"/>
  <c r="E1848" i="3"/>
  <c r="D1848" i="3" s="1"/>
  <c r="E1665" i="3"/>
  <c r="D1665" i="3" s="1"/>
  <c r="E1569" i="3"/>
  <c r="D1569" i="3" s="1"/>
  <c r="E1471" i="3"/>
  <c r="D1471" i="3" s="1"/>
  <c r="E1352" i="3"/>
  <c r="D1352" i="3" s="1"/>
  <c r="E1240" i="3"/>
  <c r="D1240" i="3" s="1"/>
  <c r="E1112" i="3"/>
  <c r="H1112" i="3" s="1"/>
  <c r="N1112" i="3" s="1"/>
  <c r="E991" i="3"/>
  <c r="D991" i="3" s="1"/>
  <c r="E881" i="3"/>
  <c r="D881" i="3" s="1"/>
  <c r="E769" i="3"/>
  <c r="D769" i="3" s="1"/>
  <c r="E641" i="3"/>
  <c r="D641" i="3" s="1"/>
  <c r="E513" i="3"/>
  <c r="D513" i="3" s="1"/>
  <c r="E392" i="3"/>
  <c r="G392" i="3" s="1"/>
  <c r="E279" i="3"/>
  <c r="D279" i="3" s="1"/>
  <c r="E128" i="3"/>
  <c r="D128" i="3" s="1"/>
  <c r="F2444" i="3"/>
  <c r="G2444" i="3" s="1"/>
  <c r="M2444" i="3" s="1"/>
  <c r="F2119" i="3"/>
  <c r="D2119" i="3" s="1"/>
  <c r="F1596" i="3"/>
  <c r="D1596" i="3" s="1"/>
  <c r="F1078" i="3"/>
  <c r="D1078" i="3" s="1"/>
  <c r="E2594" i="3"/>
  <c r="D2594" i="3" s="1"/>
  <c r="E2530" i="3"/>
  <c r="D2530" i="3" s="1"/>
  <c r="E2466" i="3"/>
  <c r="D2466" i="3" s="1"/>
  <c r="E2418" i="3"/>
  <c r="H2418" i="3" s="1"/>
  <c r="N2418" i="3" s="1"/>
  <c r="E2368" i="3"/>
  <c r="D2368" i="3" s="1"/>
  <c r="E2112" i="3"/>
  <c r="D2112" i="3" s="1"/>
  <c r="E1793" i="3"/>
  <c r="D1793" i="3" s="1"/>
  <c r="E1553" i="3"/>
  <c r="D1553" i="3" s="1"/>
  <c r="E1457" i="3"/>
  <c r="D1457" i="3" s="1"/>
  <c r="E1224" i="3"/>
  <c r="D1224" i="3" s="1"/>
  <c r="E1096" i="3"/>
  <c r="D1096" i="3" s="1"/>
  <c r="E984" i="3"/>
  <c r="D984" i="3" s="1"/>
  <c r="E856" i="3"/>
  <c r="D856" i="3" s="1"/>
  <c r="F1425" i="3"/>
  <c r="D1425" i="3" s="1"/>
  <c r="E2586" i="3"/>
  <c r="D2586" i="3" s="1"/>
  <c r="E2522" i="3"/>
  <c r="D2522" i="3" s="1"/>
  <c r="E2464" i="3"/>
  <c r="G2464" i="3" s="1"/>
  <c r="M2464" i="3" s="1"/>
  <c r="E2410" i="3"/>
  <c r="D2410" i="3" s="1"/>
  <c r="E2362" i="3"/>
  <c r="H2362" i="3" s="1"/>
  <c r="N2362" i="3" s="1"/>
  <c r="E2306" i="3"/>
  <c r="D2306" i="3" s="1"/>
  <c r="E2258" i="3"/>
  <c r="D2258" i="3" s="1"/>
  <c r="E2208" i="3"/>
  <c r="D2208" i="3" s="1"/>
  <c r="E2154" i="3"/>
  <c r="D2154" i="3" s="1"/>
  <c r="E2106" i="3"/>
  <c r="D2106" i="3" s="1"/>
  <c r="E2050" i="3"/>
  <c r="G2050" i="3" s="1"/>
  <c r="M2050" i="3" s="1"/>
  <c r="E2002" i="3"/>
  <c r="D2002" i="3" s="1"/>
  <c r="E1952" i="3"/>
  <c r="D1952" i="3" s="1"/>
  <c r="E1888" i="3"/>
  <c r="D1888" i="3" s="1"/>
  <c r="E1649" i="3"/>
  <c r="D1649" i="3" s="1"/>
  <c r="E1537" i="3"/>
  <c r="D1537" i="3" s="1"/>
  <c r="E1432" i="3"/>
  <c r="D1432" i="3" s="1"/>
  <c r="E1329" i="3"/>
  <c r="D1329" i="3" s="1"/>
  <c r="E1217" i="3"/>
  <c r="H1217" i="3" s="1"/>
  <c r="N1217" i="3" s="1"/>
  <c r="E1089" i="3"/>
  <c r="D1089" i="3" s="1"/>
  <c r="E968" i="3"/>
  <c r="G968" i="3" s="1"/>
  <c r="E840" i="3"/>
  <c r="D840" i="3" s="1"/>
  <c r="E728" i="3"/>
  <c r="D728" i="3" s="1"/>
  <c r="E600" i="3"/>
  <c r="D600" i="3" s="1"/>
  <c r="E248" i="3"/>
  <c r="D248" i="3" s="1"/>
  <c r="E98" i="3"/>
  <c r="D98" i="3" s="1"/>
  <c r="F2044" i="3"/>
  <c r="G2044" i="3" s="1"/>
  <c r="M2044" i="3" s="1"/>
  <c r="F801" i="3"/>
  <c r="D801" i="3" s="1"/>
  <c r="E2642" i="3"/>
  <c r="D2642" i="3" s="1"/>
  <c r="E2578" i="3"/>
  <c r="H2578" i="3" s="1"/>
  <c r="N2578" i="3" s="1"/>
  <c r="E2514" i="3"/>
  <c r="D2514" i="3" s="1"/>
  <c r="E2458" i="3"/>
  <c r="D2458" i="3" s="1"/>
  <c r="E2402" i="3"/>
  <c r="D2402" i="3" s="1"/>
  <c r="E2354" i="3"/>
  <c r="D2354" i="3" s="1"/>
  <c r="E2304" i="3"/>
  <c r="D2304" i="3" s="1"/>
  <c r="E2250" i="3"/>
  <c r="D2250" i="3" s="1"/>
  <c r="E2202" i="3"/>
  <c r="D2202" i="3" s="1"/>
  <c r="E2146" i="3"/>
  <c r="D2146" i="3" s="1"/>
  <c r="E2098" i="3"/>
  <c r="D2098" i="3" s="1"/>
  <c r="E2048" i="3"/>
  <c r="D2048" i="3" s="1"/>
  <c r="E1994" i="3"/>
  <c r="D1994" i="3" s="1"/>
  <c r="E1946" i="3"/>
  <c r="H1946" i="3" s="1"/>
  <c r="L1946" i="3" s="1"/>
  <c r="E1886" i="3"/>
  <c r="D1886" i="3" s="1"/>
  <c r="E1729" i="3"/>
  <c r="D1729" i="3" s="1"/>
  <c r="E1633" i="3"/>
  <c r="D1633" i="3" s="1"/>
  <c r="E1535" i="3"/>
  <c r="H1535" i="3" s="1"/>
  <c r="E1416" i="3"/>
  <c r="D1416" i="3" s="1"/>
  <c r="E1311" i="3"/>
  <c r="D1311" i="3" s="1"/>
  <c r="E1201" i="3"/>
  <c r="D1201" i="3" s="1"/>
  <c r="E1073" i="3"/>
  <c r="H1073" i="3" s="1"/>
  <c r="N1073" i="3" s="1"/>
  <c r="E961" i="3"/>
  <c r="D961" i="3" s="1"/>
  <c r="E833" i="3"/>
  <c r="D833" i="3" s="1"/>
  <c r="E712" i="3"/>
  <c r="D712" i="3" s="1"/>
  <c r="E584" i="3"/>
  <c r="D584" i="3" s="1"/>
  <c r="E472" i="3"/>
  <c r="D472" i="3" s="1"/>
  <c r="E344" i="3"/>
  <c r="D344" i="3" s="1"/>
  <c r="E217" i="3"/>
  <c r="D217" i="3" s="1"/>
  <c r="E87" i="3"/>
  <c r="D87" i="3" s="1"/>
  <c r="F2329" i="3"/>
  <c r="D2329" i="3" s="1"/>
  <c r="F1996" i="3"/>
  <c r="G1996" i="3" s="1"/>
  <c r="M1996" i="3" s="1"/>
  <c r="F1340" i="3"/>
  <c r="D1340" i="3" s="1"/>
  <c r="F404" i="3"/>
  <c r="H404" i="3" s="1"/>
  <c r="N404" i="3" s="1"/>
  <c r="D945" i="3"/>
  <c r="F7" i="3"/>
  <c r="E7" i="3"/>
  <c r="L2610" i="3"/>
  <c r="I2610" i="3"/>
  <c r="I2554" i="3"/>
  <c r="I2506" i="3"/>
  <c r="I2442" i="3"/>
  <c r="I2394" i="3"/>
  <c r="L2330" i="3"/>
  <c r="I2330" i="3"/>
  <c r="I2266" i="3"/>
  <c r="I2202" i="3"/>
  <c r="I2138" i="3"/>
  <c r="I2090" i="3"/>
  <c r="I2050" i="3"/>
  <c r="I2002" i="3"/>
  <c r="I1962" i="3"/>
  <c r="I1906" i="3"/>
  <c r="I1842" i="3"/>
  <c r="I1786" i="3"/>
  <c r="I1730" i="3"/>
  <c r="I1682" i="3"/>
  <c r="I1618" i="3"/>
  <c r="I1538" i="3"/>
  <c r="I1458" i="3"/>
  <c r="I1394" i="3"/>
  <c r="I1338" i="3"/>
  <c r="I1282" i="3"/>
  <c r="L1226" i="3"/>
  <c r="L1178" i="3"/>
  <c r="L1122" i="3"/>
  <c r="L1066" i="3"/>
  <c r="L1002" i="3"/>
  <c r="L962" i="3"/>
  <c r="L906" i="3"/>
  <c r="L858" i="3"/>
  <c r="L810" i="3"/>
  <c r="L762" i="3"/>
  <c r="L698" i="3"/>
  <c r="L634" i="3"/>
  <c r="L586" i="3"/>
  <c r="L538" i="3"/>
  <c r="L498" i="3"/>
  <c r="L450" i="3"/>
  <c r="L410" i="3"/>
  <c r="L370" i="3"/>
  <c r="L322" i="3"/>
  <c r="L282" i="3"/>
  <c r="L258" i="3"/>
  <c r="L210" i="3"/>
  <c r="L170" i="3"/>
  <c r="L121" i="3"/>
  <c r="L65" i="3"/>
  <c r="F2552" i="3"/>
  <c r="E2552" i="3"/>
  <c r="F2504" i="3"/>
  <c r="E2504" i="3"/>
  <c r="L17" i="3"/>
  <c r="L2609" i="3"/>
  <c r="I2609" i="3"/>
  <c r="I2553" i="3"/>
  <c r="I2497" i="3"/>
  <c r="I2441" i="3"/>
  <c r="I2393" i="3"/>
  <c r="L2329" i="3"/>
  <c r="I2329" i="3"/>
  <c r="I2273" i="3"/>
  <c r="I2225" i="3"/>
  <c r="I2161" i="3"/>
  <c r="I2105" i="3"/>
  <c r="I2057" i="3"/>
  <c r="I2001" i="3"/>
  <c r="I1953" i="3"/>
  <c r="I1913" i="3"/>
  <c r="I1881" i="3"/>
  <c r="I1841" i="3"/>
  <c r="I1833" i="3"/>
  <c r="I1817" i="3"/>
  <c r="I1809" i="3"/>
  <c r="I1801" i="3"/>
  <c r="I1793" i="3"/>
  <c r="I1785" i="3"/>
  <c r="I1777" i="3"/>
  <c r="I1769" i="3"/>
  <c r="I1753" i="3"/>
  <c r="I1737" i="3"/>
  <c r="I1713" i="3"/>
  <c r="I1697" i="3"/>
  <c r="I1689" i="3"/>
  <c r="I1681" i="3"/>
  <c r="I1673" i="3"/>
  <c r="I1665" i="3"/>
  <c r="I1657" i="3"/>
  <c r="I1649" i="3"/>
  <c r="I1641" i="3"/>
  <c r="I1633" i="3"/>
  <c r="I1625" i="3"/>
  <c r="I1617" i="3"/>
  <c r="I1609" i="3"/>
  <c r="I1601" i="3"/>
  <c r="I1593" i="3"/>
  <c r="I1585" i="3"/>
  <c r="I1577" i="3"/>
  <c r="I1569" i="3"/>
  <c r="I1561" i="3"/>
  <c r="I1553" i="3"/>
  <c r="I1545" i="3"/>
  <c r="I1537" i="3"/>
  <c r="I1529" i="3"/>
  <c r="I1521" i="3"/>
  <c r="I1513" i="3"/>
  <c r="I1505" i="3"/>
  <c r="I1497" i="3"/>
  <c r="I1489" i="3"/>
  <c r="I1481" i="3"/>
  <c r="I1473" i="3"/>
  <c r="I1465" i="3"/>
  <c r="I1457" i="3"/>
  <c r="I1449" i="3"/>
  <c r="I1441" i="3"/>
  <c r="I1433" i="3"/>
  <c r="I1425" i="3"/>
  <c r="I1417" i="3"/>
  <c r="I1409" i="3"/>
  <c r="I1401" i="3"/>
  <c r="I1393" i="3"/>
  <c r="I1385" i="3"/>
  <c r="I1377" i="3"/>
  <c r="I1369" i="3"/>
  <c r="I1361" i="3"/>
  <c r="I1353" i="3"/>
  <c r="I1345" i="3"/>
  <c r="I1337" i="3"/>
  <c r="I1329" i="3"/>
  <c r="I1321" i="3"/>
  <c r="I1313" i="3"/>
  <c r="I1305" i="3"/>
  <c r="I1297" i="3"/>
  <c r="I1289" i="3"/>
  <c r="I1281" i="3"/>
  <c r="I1273" i="3"/>
  <c r="I1265" i="3"/>
  <c r="I1257" i="3"/>
  <c r="I1249" i="3"/>
  <c r="I1241" i="3"/>
  <c r="L1233" i="3"/>
  <c r="L1225" i="3"/>
  <c r="L1217" i="3"/>
  <c r="L1209" i="3"/>
  <c r="L1201" i="3"/>
  <c r="L1193" i="3"/>
  <c r="L1185" i="3"/>
  <c r="L1177" i="3"/>
  <c r="L1169" i="3"/>
  <c r="L1161" i="3"/>
  <c r="L1153" i="3"/>
  <c r="L1145" i="3"/>
  <c r="L1137" i="3"/>
  <c r="L1129" i="3"/>
  <c r="L1121" i="3"/>
  <c r="L1113" i="3"/>
  <c r="L1105" i="3"/>
  <c r="L1097" i="3"/>
  <c r="L1089" i="3"/>
  <c r="L1081" i="3"/>
  <c r="L1073" i="3"/>
  <c r="L1065" i="3"/>
  <c r="L1057" i="3"/>
  <c r="L1049" i="3"/>
  <c r="L1041" i="3"/>
  <c r="L1033" i="3"/>
  <c r="L1025" i="3"/>
  <c r="L1017" i="3"/>
  <c r="L1009" i="3"/>
  <c r="L1001" i="3"/>
  <c r="L993" i="3"/>
  <c r="L985" i="3"/>
  <c r="L977" i="3"/>
  <c r="L969" i="3"/>
  <c r="L961" i="3"/>
  <c r="L953" i="3"/>
  <c r="L945" i="3"/>
  <c r="L937" i="3"/>
  <c r="L929" i="3"/>
  <c r="L921" i="3"/>
  <c r="L913" i="3"/>
  <c r="L905" i="3"/>
  <c r="L897" i="3"/>
  <c r="L889" i="3"/>
  <c r="L881" i="3"/>
  <c r="L873" i="3"/>
  <c r="L865" i="3"/>
  <c r="L857" i="3"/>
  <c r="L849" i="3"/>
  <c r="L841" i="3"/>
  <c r="L833" i="3"/>
  <c r="L825" i="3"/>
  <c r="L817" i="3"/>
  <c r="L809" i="3"/>
  <c r="L801" i="3"/>
  <c r="L793" i="3"/>
  <c r="L785" i="3"/>
  <c r="L777" i="3"/>
  <c r="L769" i="3"/>
  <c r="L761" i="3"/>
  <c r="L753" i="3"/>
  <c r="L745" i="3"/>
  <c r="L737" i="3"/>
  <c r="L729" i="3"/>
  <c r="L721" i="3"/>
  <c r="L713" i="3"/>
  <c r="L705" i="3"/>
  <c r="L697" i="3"/>
  <c r="L689" i="3"/>
  <c r="L681" i="3"/>
  <c r="L673" i="3"/>
  <c r="L665" i="3"/>
  <c r="L657" i="3"/>
  <c r="L649" i="3"/>
  <c r="L641" i="3"/>
  <c r="L633" i="3"/>
  <c r="L625" i="3"/>
  <c r="L617" i="3"/>
  <c r="L609" i="3"/>
  <c r="L601" i="3"/>
  <c r="L593" i="3"/>
  <c r="L585" i="3"/>
  <c r="L577" i="3"/>
  <c r="L569" i="3"/>
  <c r="L561" i="3"/>
  <c r="L553" i="3"/>
  <c r="L545" i="3"/>
  <c r="L537" i="3"/>
  <c r="L529" i="3"/>
  <c r="L521" i="3"/>
  <c r="L513" i="3"/>
  <c r="L505" i="3"/>
  <c r="L497" i="3"/>
  <c r="L489" i="3"/>
  <c r="L481" i="3"/>
  <c r="L473" i="3"/>
  <c r="L465" i="3"/>
  <c r="L457" i="3"/>
  <c r="L449" i="3"/>
  <c r="L441" i="3"/>
  <c r="L433" i="3"/>
  <c r="L425" i="3"/>
  <c r="L417" i="3"/>
  <c r="L409" i="3"/>
  <c r="L401" i="3"/>
  <c r="L393" i="3"/>
  <c r="L385" i="3"/>
  <c r="L377" i="3"/>
  <c r="L369" i="3"/>
  <c r="L361" i="3"/>
  <c r="L353" i="3"/>
  <c r="L345" i="3"/>
  <c r="L337" i="3"/>
  <c r="L329" i="3"/>
  <c r="L321" i="3"/>
  <c r="L313" i="3"/>
  <c r="L305" i="3"/>
  <c r="L297" i="3"/>
  <c r="L289" i="3"/>
  <c r="L281" i="3"/>
  <c r="L273" i="3"/>
  <c r="L265" i="3"/>
  <c r="L257" i="3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0" i="3"/>
  <c r="L112" i="3"/>
  <c r="L104" i="3"/>
  <c r="L88" i="3"/>
  <c r="L80" i="3"/>
  <c r="L72" i="3"/>
  <c r="L64" i="3"/>
  <c r="L56" i="3"/>
  <c r="L48" i="3"/>
  <c r="L40" i="3"/>
  <c r="L31" i="3"/>
  <c r="F2639" i="3"/>
  <c r="E2639" i="3"/>
  <c r="F2623" i="3"/>
  <c r="E2623" i="3"/>
  <c r="F2615" i="3"/>
  <c r="E2615" i="3"/>
  <c r="F2607" i="3"/>
  <c r="E2607" i="3"/>
  <c r="F2599" i="3"/>
  <c r="E2599" i="3"/>
  <c r="F2591" i="3"/>
  <c r="E2591" i="3"/>
  <c r="E2583" i="3"/>
  <c r="F2583" i="3"/>
  <c r="E2528" i="3"/>
  <c r="G2528" i="3" s="1"/>
  <c r="M2528" i="3" s="1"/>
  <c r="E2624" i="3"/>
  <c r="D2624" i="3" s="1"/>
  <c r="L18" i="3"/>
  <c r="L2626" i="3"/>
  <c r="I2626" i="3"/>
  <c r="L2594" i="3"/>
  <c r="I2594" i="3"/>
  <c r="I2570" i="3"/>
  <c r="I2530" i="3"/>
  <c r="I2490" i="3"/>
  <c r="I2450" i="3"/>
  <c r="I2402" i="3"/>
  <c r="L2362" i="3"/>
  <c r="I2362" i="3"/>
  <c r="I2322" i="3"/>
  <c r="I2290" i="3"/>
  <c r="I2258" i="3"/>
  <c r="I2234" i="3"/>
  <c r="I2194" i="3"/>
  <c r="I2154" i="3"/>
  <c r="I2106" i="3"/>
  <c r="I2074" i="3"/>
  <c r="I2026" i="3"/>
  <c r="I2010" i="3"/>
  <c r="I1978" i="3"/>
  <c r="I1930" i="3"/>
  <c r="I1890" i="3"/>
  <c r="I1850" i="3"/>
  <c r="I1802" i="3"/>
  <c r="I1746" i="3"/>
  <c r="I1706" i="3"/>
  <c r="I1658" i="3"/>
  <c r="I1570" i="3"/>
  <c r="I1522" i="3"/>
  <c r="I1482" i="3"/>
  <c r="I1442" i="3"/>
  <c r="I1402" i="3"/>
  <c r="I1362" i="3"/>
  <c r="I1314" i="3"/>
  <c r="I1266" i="3"/>
  <c r="L1234" i="3"/>
  <c r="L1194" i="3"/>
  <c r="L1170" i="3"/>
  <c r="L1130" i="3"/>
  <c r="L1106" i="3"/>
  <c r="L1058" i="3"/>
  <c r="L1010" i="3"/>
  <c r="L970" i="3"/>
  <c r="L930" i="3"/>
  <c r="L914" i="3"/>
  <c r="L866" i="3"/>
  <c r="L826" i="3"/>
  <c r="L786" i="3"/>
  <c r="L746" i="3"/>
  <c r="L730" i="3"/>
  <c r="L682" i="3"/>
  <c r="L650" i="3"/>
  <c r="L618" i="3"/>
  <c r="L578" i="3"/>
  <c r="L546" i="3"/>
  <c r="L490" i="3"/>
  <c r="L434" i="3"/>
  <c r="L386" i="3"/>
  <c r="L338" i="3"/>
  <c r="L314" i="3"/>
  <c r="L266" i="3"/>
  <c r="L218" i="3"/>
  <c r="L162" i="3"/>
  <c r="F2640" i="3"/>
  <c r="E2640" i="3"/>
  <c r="F2632" i="3"/>
  <c r="E2632" i="3"/>
  <c r="F2616" i="3"/>
  <c r="E2616" i="3"/>
  <c r="F2608" i="3"/>
  <c r="E2608" i="3"/>
  <c r="F2584" i="3"/>
  <c r="E2584" i="3"/>
  <c r="F2568" i="3"/>
  <c r="E2568" i="3"/>
  <c r="F2536" i="3"/>
  <c r="E2536" i="3"/>
  <c r="F2488" i="3"/>
  <c r="E2488" i="3"/>
  <c r="F22" i="3"/>
  <c r="E22" i="3"/>
  <c r="L2641" i="3"/>
  <c r="I2641" i="3"/>
  <c r="L2601" i="3"/>
  <c r="I2601" i="3"/>
  <c r="I2569" i="3"/>
  <c r="I2537" i="3"/>
  <c r="I2505" i="3"/>
  <c r="I2465" i="3"/>
  <c r="I2425" i="3"/>
  <c r="L2377" i="3"/>
  <c r="I2377" i="3"/>
  <c r="L2337" i="3"/>
  <c r="I2337" i="3"/>
  <c r="I2297" i="3"/>
  <c r="I2241" i="3"/>
  <c r="I2201" i="3"/>
  <c r="I2153" i="3"/>
  <c r="I2113" i="3"/>
  <c r="I2065" i="3"/>
  <c r="I2017" i="3"/>
  <c r="I1969" i="3"/>
  <c r="I1889" i="3"/>
  <c r="I1761" i="3"/>
  <c r="L2623" i="3"/>
  <c r="I2623" i="3"/>
  <c r="L2591" i="3"/>
  <c r="I2591" i="3"/>
  <c r="I2551" i="3"/>
  <c r="I2511" i="3"/>
  <c r="I2479" i="3"/>
  <c r="I2447" i="3"/>
  <c r="I2407" i="3"/>
  <c r="L2327" i="3"/>
  <c r="I2327" i="3"/>
  <c r="I2287" i="3"/>
  <c r="I2247" i="3"/>
  <c r="I2199" i="3"/>
  <c r="I2159" i="3"/>
  <c r="I2127" i="3"/>
  <c r="I2103" i="3"/>
  <c r="I2071" i="3"/>
  <c r="I2039" i="3"/>
  <c r="I2007" i="3"/>
  <c r="I1975" i="3"/>
  <c r="I1943" i="3"/>
  <c r="I1911" i="3"/>
  <c r="I1887" i="3"/>
  <c r="I1855" i="3"/>
  <c r="I1823" i="3"/>
  <c r="I1799" i="3"/>
  <c r="I1783" i="3"/>
  <c r="I1743" i="3"/>
  <c r="I1711" i="3"/>
  <c r="I1679" i="3"/>
  <c r="I1647" i="3"/>
  <c r="I1607" i="3"/>
  <c r="I1575" i="3"/>
  <c r="I1543" i="3"/>
  <c r="I1511" i="3"/>
  <c r="I1471" i="3"/>
  <c r="I1431" i="3"/>
  <c r="I1391" i="3"/>
  <c r="I1351" i="3"/>
  <c r="I1311" i="3"/>
  <c r="I1287" i="3"/>
  <c r="I1239" i="3"/>
  <c r="L1199" i="3"/>
  <c r="L1167" i="3"/>
  <c r="L1143" i="3"/>
  <c r="L1111" i="3"/>
  <c r="L1071" i="3"/>
  <c r="L1047" i="3"/>
  <c r="L1007" i="3"/>
  <c r="L983" i="3"/>
  <c r="L951" i="3"/>
  <c r="L927" i="3"/>
  <c r="L903" i="3"/>
  <c r="L871" i="3"/>
  <c r="L831" i="3"/>
  <c r="L767" i="3"/>
  <c r="L727" i="3"/>
  <c r="L695" i="3"/>
  <c r="L663" i="3"/>
  <c r="L655" i="3"/>
  <c r="L615" i="3"/>
  <c r="L575" i="3"/>
  <c r="L551" i="3"/>
  <c r="L519" i="3"/>
  <c r="L487" i="3"/>
  <c r="L447" i="3"/>
  <c r="L415" i="3"/>
  <c r="L391" i="3"/>
  <c r="L351" i="3"/>
  <c r="L303" i="3"/>
  <c r="L263" i="3"/>
  <c r="L231" i="3"/>
  <c r="L199" i="3"/>
  <c r="L167" i="3"/>
  <c r="L143" i="3"/>
  <c r="L110" i="3"/>
  <c r="L70" i="3"/>
  <c r="L46" i="3"/>
  <c r="L29" i="3"/>
  <c r="F2637" i="3"/>
  <c r="E2637" i="3"/>
  <c r="F2629" i="3"/>
  <c r="E2629" i="3"/>
  <c r="F2621" i="3"/>
  <c r="E2621" i="3"/>
  <c r="F2613" i="3"/>
  <c r="E2613" i="3"/>
  <c r="F2605" i="3"/>
  <c r="E2605" i="3"/>
  <c r="F2597" i="3"/>
  <c r="E2597" i="3"/>
  <c r="F2589" i="3"/>
  <c r="E2589" i="3"/>
  <c r="F2581" i="3"/>
  <c r="E2581" i="3"/>
  <c r="F2573" i="3"/>
  <c r="E2573" i="3"/>
  <c r="F2565" i="3"/>
  <c r="E2565" i="3"/>
  <c r="F2557" i="3"/>
  <c r="E2557" i="3"/>
  <c r="F2549" i="3"/>
  <c r="E2549" i="3"/>
  <c r="F2541" i="3"/>
  <c r="E2541" i="3"/>
  <c r="F2533" i="3"/>
  <c r="E2533" i="3"/>
  <c r="F2525" i="3"/>
  <c r="E2525" i="3"/>
  <c r="F2517" i="3"/>
  <c r="E2517" i="3"/>
  <c r="F2509" i="3"/>
  <c r="E2509" i="3"/>
  <c r="F2501" i="3"/>
  <c r="E2501" i="3"/>
  <c r="F2493" i="3"/>
  <c r="E2493" i="3"/>
  <c r="F2485" i="3"/>
  <c r="E2485" i="3"/>
  <c r="F2477" i="3"/>
  <c r="E2477" i="3"/>
  <c r="F2469" i="3"/>
  <c r="E2469" i="3"/>
  <c r="F2461" i="3"/>
  <c r="E2461" i="3"/>
  <c r="F2453" i="3"/>
  <c r="E2453" i="3"/>
  <c r="F2445" i="3"/>
  <c r="E2445" i="3"/>
  <c r="F2437" i="3"/>
  <c r="E2437" i="3"/>
  <c r="F2429" i="3"/>
  <c r="E2429" i="3"/>
  <c r="F2421" i="3"/>
  <c r="E2421" i="3"/>
  <c r="F2413" i="3"/>
  <c r="E2413" i="3"/>
  <c r="F2405" i="3"/>
  <c r="E2405" i="3"/>
  <c r="F2397" i="3"/>
  <c r="E2397" i="3"/>
  <c r="F2389" i="3"/>
  <c r="E2389" i="3"/>
  <c r="F2381" i="3"/>
  <c r="E2381" i="3"/>
  <c r="F2373" i="3"/>
  <c r="E2373" i="3"/>
  <c r="F2365" i="3"/>
  <c r="E2365" i="3"/>
  <c r="F2357" i="3"/>
  <c r="E2357" i="3"/>
  <c r="F2349" i="3"/>
  <c r="E2349" i="3"/>
  <c r="F2341" i="3"/>
  <c r="E2341" i="3"/>
  <c r="F2333" i="3"/>
  <c r="E2333" i="3"/>
  <c r="F2325" i="3"/>
  <c r="E2325" i="3"/>
  <c r="F2317" i="3"/>
  <c r="E2317" i="3"/>
  <c r="F2309" i="3"/>
  <c r="E2309" i="3"/>
  <c r="F2301" i="3"/>
  <c r="E2301" i="3"/>
  <c r="F2293" i="3"/>
  <c r="E2293" i="3"/>
  <c r="F2285" i="3"/>
  <c r="E2285" i="3"/>
  <c r="F2277" i="3"/>
  <c r="E2277" i="3"/>
  <c r="F2269" i="3"/>
  <c r="E2269" i="3"/>
  <c r="F2261" i="3"/>
  <c r="E2261" i="3"/>
  <c r="F2253" i="3"/>
  <c r="E2253" i="3"/>
  <c r="F2245" i="3"/>
  <c r="E2245" i="3"/>
  <c r="F2237" i="3"/>
  <c r="E2237" i="3"/>
  <c r="F2229" i="3"/>
  <c r="E2229" i="3"/>
  <c r="F2221" i="3"/>
  <c r="E2221" i="3"/>
  <c r="F2213" i="3"/>
  <c r="E2213" i="3"/>
  <c r="F2205" i="3"/>
  <c r="E2205" i="3"/>
  <c r="F2197" i="3"/>
  <c r="E2197" i="3"/>
  <c r="F2189" i="3"/>
  <c r="E2189" i="3"/>
  <c r="F2181" i="3"/>
  <c r="E2181" i="3"/>
  <c r="F2173" i="3"/>
  <c r="E2173" i="3"/>
  <c r="F2165" i="3"/>
  <c r="E2165" i="3"/>
  <c r="F2157" i="3"/>
  <c r="E2157" i="3"/>
  <c r="F2149" i="3"/>
  <c r="E2149" i="3"/>
  <c r="F2141" i="3"/>
  <c r="E2141" i="3"/>
  <c r="F2133" i="3"/>
  <c r="E2133" i="3"/>
  <c r="F2125" i="3"/>
  <c r="E2125" i="3"/>
  <c r="F2117" i="3"/>
  <c r="E2117" i="3"/>
  <c r="F2109" i="3"/>
  <c r="E2109" i="3"/>
  <c r="F2101" i="3"/>
  <c r="E2101" i="3"/>
  <c r="F2093" i="3"/>
  <c r="E2093" i="3"/>
  <c r="F2085" i="3"/>
  <c r="E2085" i="3"/>
  <c r="F2077" i="3"/>
  <c r="E2077" i="3"/>
  <c r="F2069" i="3"/>
  <c r="E2069" i="3"/>
  <c r="F2061" i="3"/>
  <c r="E2061" i="3"/>
  <c r="F2053" i="3"/>
  <c r="E2053" i="3"/>
  <c r="F2045" i="3"/>
  <c r="E2045" i="3"/>
  <c r="F2037" i="3"/>
  <c r="E2037" i="3"/>
  <c r="F2029" i="3"/>
  <c r="E2029" i="3"/>
  <c r="F2021" i="3"/>
  <c r="E2021" i="3"/>
  <c r="F2013" i="3"/>
  <c r="E2013" i="3"/>
  <c r="F2005" i="3"/>
  <c r="E2005" i="3"/>
  <c r="F1997" i="3"/>
  <c r="E1997" i="3"/>
  <c r="F1989" i="3"/>
  <c r="E1989" i="3"/>
  <c r="F1981" i="3"/>
  <c r="E1981" i="3"/>
  <c r="F1973" i="3"/>
  <c r="E1973" i="3"/>
  <c r="F1965" i="3"/>
  <c r="E1965" i="3"/>
  <c r="F1957" i="3"/>
  <c r="E1957" i="3"/>
  <c r="F1949" i="3"/>
  <c r="E1949" i="3"/>
  <c r="F1941" i="3"/>
  <c r="E1941" i="3"/>
  <c r="F1933" i="3"/>
  <c r="E1933" i="3"/>
  <c r="F1925" i="3"/>
  <c r="E1925" i="3"/>
  <c r="F1917" i="3"/>
  <c r="E1917" i="3"/>
  <c r="F1909" i="3"/>
  <c r="E1909" i="3"/>
  <c r="F1901" i="3"/>
  <c r="E1901" i="3"/>
  <c r="F1893" i="3"/>
  <c r="E1893" i="3"/>
  <c r="F1885" i="3"/>
  <c r="E1885" i="3"/>
  <c r="F1877" i="3"/>
  <c r="E1877" i="3"/>
  <c r="F1869" i="3"/>
  <c r="E1869" i="3"/>
  <c r="F1861" i="3"/>
  <c r="E1861" i="3"/>
  <c r="F1853" i="3"/>
  <c r="E1853" i="3"/>
  <c r="F1845" i="3"/>
  <c r="E1845" i="3"/>
  <c r="F1837" i="3"/>
  <c r="E1837" i="3"/>
  <c r="F1829" i="3"/>
  <c r="E1829" i="3"/>
  <c r="F1821" i="3"/>
  <c r="E1821" i="3"/>
  <c r="F1813" i="3"/>
  <c r="E1813" i="3"/>
  <c r="F1805" i="3"/>
  <c r="E1805" i="3"/>
  <c r="F1797" i="3"/>
  <c r="E1797" i="3"/>
  <c r="F1789" i="3"/>
  <c r="E1789" i="3"/>
  <c r="F1781" i="3"/>
  <c r="E1781" i="3"/>
  <c r="F1773" i="3"/>
  <c r="E1773" i="3"/>
  <c r="F1765" i="3"/>
  <c r="E1765" i="3"/>
  <c r="F1757" i="3"/>
  <c r="E1757" i="3"/>
  <c r="F1749" i="3"/>
  <c r="E1749" i="3"/>
  <c r="F1741" i="3"/>
  <c r="E1741" i="3"/>
  <c r="F1733" i="3"/>
  <c r="E1733" i="3"/>
  <c r="F1725" i="3"/>
  <c r="E1725" i="3"/>
  <c r="F1717" i="3"/>
  <c r="E1717" i="3"/>
  <c r="F1709" i="3"/>
  <c r="E1709" i="3"/>
  <c r="F1701" i="3"/>
  <c r="E1701" i="3"/>
  <c r="F1693" i="3"/>
  <c r="E1693" i="3"/>
  <c r="F1685" i="3"/>
  <c r="E1685" i="3"/>
  <c r="F1677" i="3"/>
  <c r="E1677" i="3"/>
  <c r="F1669" i="3"/>
  <c r="E1669" i="3"/>
  <c r="F1661" i="3"/>
  <c r="E1661" i="3"/>
  <c r="F1653" i="3"/>
  <c r="E1653" i="3"/>
  <c r="F1645" i="3"/>
  <c r="E1645" i="3"/>
  <c r="F1637" i="3"/>
  <c r="E1637" i="3"/>
  <c r="F1629" i="3"/>
  <c r="E1629" i="3"/>
  <c r="F1621" i="3"/>
  <c r="E1621" i="3"/>
  <c r="F1613" i="3"/>
  <c r="E1613" i="3"/>
  <c r="F1605" i="3"/>
  <c r="E1605" i="3"/>
  <c r="F1597" i="3"/>
  <c r="E1597" i="3"/>
  <c r="F1589" i="3"/>
  <c r="E1589" i="3"/>
  <c r="F1581" i="3"/>
  <c r="E1581" i="3"/>
  <c r="F1573" i="3"/>
  <c r="E1573" i="3"/>
  <c r="F1565" i="3"/>
  <c r="E1565" i="3"/>
  <c r="F1557" i="3"/>
  <c r="E1557" i="3"/>
  <c r="F1549" i="3"/>
  <c r="E1549" i="3"/>
  <c r="F1541" i="3"/>
  <c r="E1541" i="3"/>
  <c r="F1533" i="3"/>
  <c r="E1533" i="3"/>
  <c r="F1525" i="3"/>
  <c r="E1525" i="3"/>
  <c r="F1517" i="3"/>
  <c r="E1517" i="3"/>
  <c r="F1509" i="3"/>
  <c r="E1509" i="3"/>
  <c r="F1501" i="3"/>
  <c r="E1501" i="3"/>
  <c r="F1493" i="3"/>
  <c r="E1493" i="3"/>
  <c r="F1485" i="3"/>
  <c r="E1485" i="3"/>
  <c r="F1477" i="3"/>
  <c r="E1477" i="3"/>
  <c r="F1469" i="3"/>
  <c r="E1469" i="3"/>
  <c r="F1461" i="3"/>
  <c r="E1461" i="3"/>
  <c r="F1453" i="3"/>
  <c r="E1453" i="3"/>
  <c r="F1445" i="3"/>
  <c r="E1445" i="3"/>
  <c r="F1437" i="3"/>
  <c r="E1437" i="3"/>
  <c r="F1429" i="3"/>
  <c r="E1429" i="3"/>
  <c r="F1421" i="3"/>
  <c r="E1421" i="3"/>
  <c r="F1413" i="3"/>
  <c r="E1413" i="3"/>
  <c r="F1405" i="3"/>
  <c r="E1405" i="3"/>
  <c r="F1397" i="3"/>
  <c r="E1397" i="3"/>
  <c r="F1389" i="3"/>
  <c r="E1389" i="3"/>
  <c r="F1381" i="3"/>
  <c r="E1381" i="3"/>
  <c r="F1373" i="3"/>
  <c r="E1373" i="3"/>
  <c r="F1365" i="3"/>
  <c r="E1365" i="3"/>
  <c r="F1357" i="3"/>
  <c r="E1357" i="3"/>
  <c r="F1349" i="3"/>
  <c r="E1349" i="3"/>
  <c r="F1341" i="3"/>
  <c r="E1341" i="3"/>
  <c r="F1333" i="3"/>
  <c r="E1333" i="3"/>
  <c r="F1325" i="3"/>
  <c r="E1325" i="3"/>
  <c r="F1317" i="3"/>
  <c r="E1317" i="3"/>
  <c r="F1309" i="3"/>
  <c r="E1309" i="3"/>
  <c r="F1301" i="3"/>
  <c r="E1301" i="3"/>
  <c r="F1293" i="3"/>
  <c r="E1293" i="3"/>
  <c r="F1285" i="3"/>
  <c r="E1285" i="3"/>
  <c r="F1277" i="3"/>
  <c r="E1277" i="3"/>
  <c r="F1269" i="3"/>
  <c r="E1269" i="3"/>
  <c r="F1261" i="3"/>
  <c r="E1261" i="3"/>
  <c r="F1253" i="3"/>
  <c r="E1253" i="3"/>
  <c r="F1245" i="3"/>
  <c r="E1245" i="3"/>
  <c r="F1237" i="3"/>
  <c r="E1237" i="3"/>
  <c r="F1229" i="3"/>
  <c r="E1229" i="3"/>
  <c r="F1221" i="3"/>
  <c r="E1221" i="3"/>
  <c r="F1213" i="3"/>
  <c r="E1213" i="3"/>
  <c r="F1205" i="3"/>
  <c r="E1205" i="3"/>
  <c r="F1197" i="3"/>
  <c r="E1197" i="3"/>
  <c r="F1189" i="3"/>
  <c r="E1189" i="3"/>
  <c r="F1181" i="3"/>
  <c r="E1181" i="3"/>
  <c r="F1173" i="3"/>
  <c r="E1173" i="3"/>
  <c r="F1165" i="3"/>
  <c r="E1165" i="3"/>
  <c r="F1157" i="3"/>
  <c r="E1157" i="3"/>
  <c r="F1149" i="3"/>
  <c r="E1149" i="3"/>
  <c r="F1141" i="3"/>
  <c r="E1141" i="3"/>
  <c r="F1133" i="3"/>
  <c r="E1133" i="3"/>
  <c r="F1125" i="3"/>
  <c r="E1125" i="3"/>
  <c r="F1117" i="3"/>
  <c r="E1117" i="3"/>
  <c r="F1109" i="3"/>
  <c r="E1109" i="3"/>
  <c r="F1101" i="3"/>
  <c r="E1101" i="3"/>
  <c r="F1093" i="3"/>
  <c r="E1093" i="3"/>
  <c r="F1085" i="3"/>
  <c r="E1085" i="3"/>
  <c r="F1077" i="3"/>
  <c r="E1077" i="3"/>
  <c r="F1069" i="3"/>
  <c r="E1069" i="3"/>
  <c r="F1061" i="3"/>
  <c r="E1061" i="3"/>
  <c r="F1053" i="3"/>
  <c r="E1053" i="3"/>
  <c r="F1045" i="3"/>
  <c r="E1045" i="3"/>
  <c r="F1037" i="3"/>
  <c r="E1037" i="3"/>
  <c r="F1029" i="3"/>
  <c r="E1029" i="3"/>
  <c r="F1021" i="3"/>
  <c r="E1021" i="3"/>
  <c r="F1013" i="3"/>
  <c r="E1013" i="3"/>
  <c r="F1005" i="3"/>
  <c r="E1005" i="3"/>
  <c r="F997" i="3"/>
  <c r="E997" i="3"/>
  <c r="F989" i="3"/>
  <c r="E989" i="3"/>
  <c r="F981" i="3"/>
  <c r="E981" i="3"/>
  <c r="F973" i="3"/>
  <c r="E973" i="3"/>
  <c r="F965" i="3"/>
  <c r="E965" i="3"/>
  <c r="F957" i="3"/>
  <c r="E957" i="3"/>
  <c r="F949" i="3"/>
  <c r="E949" i="3"/>
  <c r="F941" i="3"/>
  <c r="E941" i="3"/>
  <c r="F933" i="3"/>
  <c r="E933" i="3"/>
  <c r="F925" i="3"/>
  <c r="E925" i="3"/>
  <c r="F917" i="3"/>
  <c r="E917" i="3"/>
  <c r="F909" i="3"/>
  <c r="E909" i="3"/>
  <c r="F901" i="3"/>
  <c r="E901" i="3"/>
  <c r="F893" i="3"/>
  <c r="E893" i="3"/>
  <c r="F885" i="3"/>
  <c r="E885" i="3"/>
  <c r="F877" i="3"/>
  <c r="E877" i="3"/>
  <c r="F869" i="3"/>
  <c r="E869" i="3"/>
  <c r="F861" i="3"/>
  <c r="E861" i="3"/>
  <c r="F853" i="3"/>
  <c r="E853" i="3"/>
  <c r="F845" i="3"/>
  <c r="E845" i="3"/>
  <c r="F837" i="3"/>
  <c r="E837" i="3"/>
  <c r="F829" i="3"/>
  <c r="E829" i="3"/>
  <c r="F821" i="3"/>
  <c r="E821" i="3"/>
  <c r="F813" i="3"/>
  <c r="E813" i="3"/>
  <c r="F805" i="3"/>
  <c r="E805" i="3"/>
  <c r="F797" i="3"/>
  <c r="E797" i="3"/>
  <c r="F789" i="3"/>
  <c r="E789" i="3"/>
  <c r="F781" i="3"/>
  <c r="E781" i="3"/>
  <c r="F773" i="3"/>
  <c r="E773" i="3"/>
  <c r="F765" i="3"/>
  <c r="E765" i="3"/>
  <c r="F757" i="3"/>
  <c r="E757" i="3"/>
  <c r="F749" i="3"/>
  <c r="E749" i="3"/>
  <c r="F741" i="3"/>
  <c r="E741" i="3"/>
  <c r="F733" i="3"/>
  <c r="E733" i="3"/>
  <c r="F725" i="3"/>
  <c r="E725" i="3"/>
  <c r="F717" i="3"/>
  <c r="E717" i="3"/>
  <c r="F709" i="3"/>
  <c r="E709" i="3"/>
  <c r="F701" i="3"/>
  <c r="E701" i="3"/>
  <c r="F693" i="3"/>
  <c r="E693" i="3"/>
  <c r="F685" i="3"/>
  <c r="E685" i="3"/>
  <c r="F677" i="3"/>
  <c r="E677" i="3"/>
  <c r="F669" i="3"/>
  <c r="E669" i="3"/>
  <c r="F661" i="3"/>
  <c r="E661" i="3"/>
  <c r="F653" i="3"/>
  <c r="E653" i="3"/>
  <c r="F645" i="3"/>
  <c r="E645" i="3"/>
  <c r="F637" i="3"/>
  <c r="E637" i="3"/>
  <c r="F629" i="3"/>
  <c r="E629" i="3"/>
  <c r="F621" i="3"/>
  <c r="E621" i="3"/>
  <c r="F613" i="3"/>
  <c r="E613" i="3"/>
  <c r="F605" i="3"/>
  <c r="E605" i="3"/>
  <c r="F597" i="3"/>
  <c r="E597" i="3"/>
  <c r="F589" i="3"/>
  <c r="E589" i="3"/>
  <c r="F581" i="3"/>
  <c r="E581" i="3"/>
  <c r="F573" i="3"/>
  <c r="E573" i="3"/>
  <c r="F565" i="3"/>
  <c r="E565" i="3"/>
  <c r="F557" i="3"/>
  <c r="E557" i="3"/>
  <c r="F549" i="3"/>
  <c r="E549" i="3"/>
  <c r="F541" i="3"/>
  <c r="E541" i="3"/>
  <c r="F533" i="3"/>
  <c r="E533" i="3"/>
  <c r="F525" i="3"/>
  <c r="E525" i="3"/>
  <c r="F517" i="3"/>
  <c r="E517" i="3"/>
  <c r="F509" i="3"/>
  <c r="E509" i="3"/>
  <c r="F501" i="3"/>
  <c r="E501" i="3"/>
  <c r="F493" i="3"/>
  <c r="E493" i="3"/>
  <c r="F485" i="3"/>
  <c r="E485" i="3"/>
  <c r="F477" i="3"/>
  <c r="E477" i="3"/>
  <c r="F469" i="3"/>
  <c r="E469" i="3"/>
  <c r="F461" i="3"/>
  <c r="E461" i="3"/>
  <c r="F453" i="3"/>
  <c r="E453" i="3"/>
  <c r="F445" i="3"/>
  <c r="E445" i="3"/>
  <c r="F437" i="3"/>
  <c r="E437" i="3"/>
  <c r="F429" i="3"/>
  <c r="E429" i="3"/>
  <c r="F421" i="3"/>
  <c r="E421" i="3"/>
  <c r="F413" i="3"/>
  <c r="E413" i="3"/>
  <c r="F405" i="3"/>
  <c r="E405" i="3"/>
  <c r="F397" i="3"/>
  <c r="E397" i="3"/>
  <c r="F389" i="3"/>
  <c r="E389" i="3"/>
  <c r="F381" i="3"/>
  <c r="E381" i="3"/>
  <c r="F373" i="3"/>
  <c r="E373" i="3"/>
  <c r="F365" i="3"/>
  <c r="E365" i="3"/>
  <c r="F357" i="3"/>
  <c r="E357" i="3"/>
  <c r="F349" i="3"/>
  <c r="E349" i="3"/>
  <c r="F341" i="3"/>
  <c r="E341" i="3"/>
  <c r="F333" i="3"/>
  <c r="E333" i="3"/>
  <c r="F325" i="3"/>
  <c r="E325" i="3"/>
  <c r="F317" i="3"/>
  <c r="E317" i="3"/>
  <c r="F309" i="3"/>
  <c r="E309" i="3"/>
  <c r="F301" i="3"/>
  <c r="E301" i="3"/>
  <c r="F293" i="3"/>
  <c r="E293" i="3"/>
  <c r="F285" i="3"/>
  <c r="E285" i="3"/>
  <c r="F277" i="3"/>
  <c r="E277" i="3"/>
  <c r="F269" i="3"/>
  <c r="E269" i="3"/>
  <c r="F261" i="3"/>
  <c r="E261" i="3"/>
  <c r="F253" i="3"/>
  <c r="E253" i="3"/>
  <c r="F245" i="3"/>
  <c r="E245" i="3"/>
  <c r="F237" i="3"/>
  <c r="E237" i="3"/>
  <c r="F229" i="3"/>
  <c r="E229" i="3"/>
  <c r="F221" i="3"/>
  <c r="E221" i="3"/>
  <c r="F213" i="3"/>
  <c r="E213" i="3"/>
  <c r="F205" i="3"/>
  <c r="E205" i="3"/>
  <c r="F197" i="3"/>
  <c r="E197" i="3"/>
  <c r="F189" i="3"/>
  <c r="E189" i="3"/>
  <c r="F181" i="3"/>
  <c r="E181" i="3"/>
  <c r="F173" i="3"/>
  <c r="E173" i="3"/>
  <c r="F165" i="3"/>
  <c r="E165" i="3"/>
  <c r="F157" i="3"/>
  <c r="E157" i="3"/>
  <c r="F149" i="3"/>
  <c r="E149" i="3"/>
  <c r="F141" i="3"/>
  <c r="E141" i="3"/>
  <c r="F133" i="3"/>
  <c r="E133" i="3"/>
  <c r="F125" i="3"/>
  <c r="E125" i="3"/>
  <c r="F116" i="3"/>
  <c r="E116" i="3"/>
  <c r="F108" i="3"/>
  <c r="E108" i="3"/>
  <c r="F100" i="3"/>
  <c r="E100" i="3"/>
  <c r="F92" i="3"/>
  <c r="E92" i="3"/>
  <c r="F84" i="3"/>
  <c r="E84" i="3"/>
  <c r="F76" i="3"/>
  <c r="E76" i="3"/>
  <c r="F68" i="3"/>
  <c r="E68" i="3"/>
  <c r="F60" i="3"/>
  <c r="E60" i="3"/>
  <c r="F52" i="3"/>
  <c r="E52" i="3"/>
  <c r="F44" i="3"/>
  <c r="E44" i="3"/>
  <c r="F35" i="3"/>
  <c r="E35" i="3"/>
  <c r="F27" i="3"/>
  <c r="E27" i="3"/>
  <c r="F23" i="3"/>
  <c r="E23" i="3"/>
  <c r="L2618" i="3"/>
  <c r="I2618" i="3"/>
  <c r="I2562" i="3"/>
  <c r="I2522" i="3"/>
  <c r="I2474" i="3"/>
  <c r="I2418" i="3"/>
  <c r="L2354" i="3"/>
  <c r="I2354" i="3"/>
  <c r="I2298" i="3"/>
  <c r="I2226" i="3"/>
  <c r="I2162" i="3"/>
  <c r="I2098" i="3"/>
  <c r="I2042" i="3"/>
  <c r="I1986" i="3"/>
  <c r="I1938" i="3"/>
  <c r="I1866" i="3"/>
  <c r="I1810" i="3"/>
  <c r="I1754" i="3"/>
  <c r="I1698" i="3"/>
  <c r="I1642" i="3"/>
  <c r="I1594" i="3"/>
  <c r="I1546" i="3"/>
  <c r="I1490" i="3"/>
  <c r="I1410" i="3"/>
  <c r="I1346" i="3"/>
  <c r="I1298" i="3"/>
  <c r="I1242" i="3"/>
  <c r="L1186" i="3"/>
  <c r="L1138" i="3"/>
  <c r="L1074" i="3"/>
  <c r="L994" i="3"/>
  <c r="L946" i="3"/>
  <c r="L890" i="3"/>
  <c r="L842" i="3"/>
  <c r="L794" i="3"/>
  <c r="L722" i="3"/>
  <c r="L666" i="3"/>
  <c r="L594" i="3"/>
  <c r="L530" i="3"/>
  <c r="L482" i="3"/>
  <c r="L458" i="3"/>
  <c r="L418" i="3"/>
  <c r="L378" i="3"/>
  <c r="L330" i="3"/>
  <c r="L274" i="3"/>
  <c r="L226" i="3"/>
  <c r="L178" i="3"/>
  <c r="L154" i="3"/>
  <c r="L113" i="3"/>
  <c r="L73" i="3"/>
  <c r="L32" i="3"/>
  <c r="F2520" i="3"/>
  <c r="E2520" i="3"/>
  <c r="L9" i="3"/>
  <c r="I2585" i="3"/>
  <c r="I2529" i="3"/>
  <c r="I2473" i="3"/>
  <c r="I2409" i="3"/>
  <c r="L2361" i="3"/>
  <c r="I2361" i="3"/>
  <c r="I2305" i="3"/>
  <c r="I2249" i="3"/>
  <c r="I2193" i="3"/>
  <c r="I2137" i="3"/>
  <c r="I2089" i="3"/>
  <c r="I2049" i="3"/>
  <c r="I2009" i="3"/>
  <c r="I1961" i="3"/>
  <c r="I1921" i="3"/>
  <c r="I1865" i="3"/>
  <c r="I1721" i="3"/>
  <c r="L15" i="3"/>
  <c r="L2599" i="3"/>
  <c r="I2599" i="3"/>
  <c r="I2559" i="3"/>
  <c r="I2527" i="3"/>
  <c r="I2487" i="3"/>
  <c r="I2455" i="3"/>
  <c r="I2423" i="3"/>
  <c r="L2383" i="3"/>
  <c r="I2383" i="3"/>
  <c r="L2351" i="3"/>
  <c r="I2351" i="3"/>
  <c r="I2311" i="3"/>
  <c r="I2279" i="3"/>
  <c r="I2239" i="3"/>
  <c r="I2207" i="3"/>
  <c r="I2167" i="3"/>
  <c r="I2119" i="3"/>
  <c r="I2087" i="3"/>
  <c r="I2031" i="3"/>
  <c r="I1991" i="3"/>
  <c r="I1959" i="3"/>
  <c r="I1919" i="3"/>
  <c r="I1895" i="3"/>
  <c r="I1847" i="3"/>
  <c r="I1807" i="3"/>
  <c r="I1767" i="3"/>
  <c r="I1735" i="3"/>
  <c r="I1695" i="3"/>
  <c r="I1655" i="3"/>
  <c r="I1623" i="3"/>
  <c r="I1583" i="3"/>
  <c r="I1535" i="3"/>
  <c r="I1495" i="3"/>
  <c r="I1455" i="3"/>
  <c r="I1415" i="3"/>
  <c r="I1375" i="3"/>
  <c r="I1343" i="3"/>
  <c r="I1303" i="3"/>
  <c r="I1263" i="3"/>
  <c r="L1223" i="3"/>
  <c r="L1191" i="3"/>
  <c r="L1151" i="3"/>
  <c r="L1119" i="3"/>
  <c r="L1079" i="3"/>
  <c r="L1023" i="3"/>
  <c r="L967" i="3"/>
  <c r="L919" i="3"/>
  <c r="L855" i="3"/>
  <c r="L815" i="3"/>
  <c r="L783" i="3"/>
  <c r="L735" i="3"/>
  <c r="L679" i="3"/>
  <c r="L623" i="3"/>
  <c r="L583" i="3"/>
  <c r="L535" i="3"/>
  <c r="L495" i="3"/>
  <c r="L439" i="3"/>
  <c r="L399" i="3"/>
  <c r="L359" i="3"/>
  <c r="L319" i="3"/>
  <c r="L295" i="3"/>
  <c r="L255" i="3"/>
  <c r="L207" i="3"/>
  <c r="L159" i="3"/>
  <c r="L118" i="3"/>
  <c r="L78" i="3"/>
  <c r="L22" i="3"/>
  <c r="L2630" i="3"/>
  <c r="I2630" i="3"/>
  <c r="I2582" i="3"/>
  <c r="I2550" i="3"/>
  <c r="I2518" i="3"/>
  <c r="I2478" i="3"/>
  <c r="I2446" i="3"/>
  <c r="I2398" i="3"/>
  <c r="L2350" i="3"/>
  <c r="I2350" i="3"/>
  <c r="I2318" i="3"/>
  <c r="I2294" i="3"/>
  <c r="I2262" i="3"/>
  <c r="I2230" i="3"/>
  <c r="I2206" i="3"/>
  <c r="I2182" i="3"/>
  <c r="I2166" i="3"/>
  <c r="I2134" i="3"/>
  <c r="I2102" i="3"/>
  <c r="I2070" i="3"/>
  <c r="I2038" i="3"/>
  <c r="I2014" i="3"/>
  <c r="I1982" i="3"/>
  <c r="I1950" i="3"/>
  <c r="I1926" i="3"/>
  <c r="I1902" i="3"/>
  <c r="I1870" i="3"/>
  <c r="I1846" i="3"/>
  <c r="I1822" i="3"/>
  <c r="I1798" i="3"/>
  <c r="I1774" i="3"/>
  <c r="I1742" i="3"/>
  <c r="I1710" i="3"/>
  <c r="I1686" i="3"/>
  <c r="I1662" i="3"/>
  <c r="I1638" i="3"/>
  <c r="I1606" i="3"/>
  <c r="I1582" i="3"/>
  <c r="I1558" i="3"/>
  <c r="I1526" i="3"/>
  <c r="I1494" i="3"/>
  <c r="I1478" i="3"/>
  <c r="I1462" i="3"/>
  <c r="I1430" i="3"/>
  <c r="I1406" i="3"/>
  <c r="I1374" i="3"/>
  <c r="I1350" i="3"/>
  <c r="I1326" i="3"/>
  <c r="I1310" i="3"/>
  <c r="I1286" i="3"/>
  <c r="I1254" i="3"/>
  <c r="L1230" i="3"/>
  <c r="L1206" i="3"/>
  <c r="L1174" i="3"/>
  <c r="L1142" i="3"/>
  <c r="L1118" i="3"/>
  <c r="L1094" i="3"/>
  <c r="L1070" i="3"/>
  <c r="L1046" i="3"/>
  <c r="L1006" i="3"/>
  <c r="L974" i="3"/>
  <c r="L950" i="3"/>
  <c r="L926" i="3"/>
  <c r="L902" i="3"/>
  <c r="L870" i="3"/>
  <c r="L846" i="3"/>
  <c r="L806" i="3"/>
  <c r="L790" i="3"/>
  <c r="L758" i="3"/>
  <c r="L734" i="3"/>
  <c r="L702" i="3"/>
  <c r="L678" i="3"/>
  <c r="L654" i="3"/>
  <c r="L630" i="3"/>
  <c r="L614" i="3"/>
  <c r="L590" i="3"/>
  <c r="L550" i="3"/>
  <c r="L526" i="3"/>
  <c r="L494" i="3"/>
  <c r="L470" i="3"/>
  <c r="L430" i="3"/>
  <c r="L10" i="3"/>
  <c r="I2578" i="3"/>
  <c r="I2538" i="3"/>
  <c r="I2498" i="3"/>
  <c r="I2466" i="3"/>
  <c r="I2426" i="3"/>
  <c r="I2386" i="3"/>
  <c r="L2346" i="3"/>
  <c r="I2346" i="3"/>
  <c r="I2306" i="3"/>
  <c r="I2274" i="3"/>
  <c r="I2242" i="3"/>
  <c r="I2210" i="3"/>
  <c r="I2178" i="3"/>
  <c r="I2146" i="3"/>
  <c r="I2114" i="3"/>
  <c r="I2066" i="3"/>
  <c r="I2018" i="3"/>
  <c r="I1954" i="3"/>
  <c r="I1914" i="3"/>
  <c r="I1874" i="3"/>
  <c r="I1834" i="3"/>
  <c r="I1794" i="3"/>
  <c r="I1762" i="3"/>
  <c r="I1722" i="3"/>
  <c r="I1674" i="3"/>
  <c r="I1634" i="3"/>
  <c r="I1602" i="3"/>
  <c r="I1578" i="3"/>
  <c r="I1554" i="3"/>
  <c r="I1514" i="3"/>
  <c r="I1498" i="3"/>
  <c r="I1450" i="3"/>
  <c r="I1418" i="3"/>
  <c r="I1378" i="3"/>
  <c r="I1354" i="3"/>
  <c r="I1322" i="3"/>
  <c r="I1290" i="3"/>
  <c r="I1258" i="3"/>
  <c r="L1218" i="3"/>
  <c r="L1162" i="3"/>
  <c r="L1114" i="3"/>
  <c r="L1082" i="3"/>
  <c r="L1034" i="3"/>
  <c r="L1026" i="3"/>
  <c r="L978" i="3"/>
  <c r="L938" i="3"/>
  <c r="L898" i="3"/>
  <c r="L850" i="3"/>
  <c r="L802" i="3"/>
  <c r="L754" i="3"/>
  <c r="L738" i="3"/>
  <c r="L690" i="3"/>
  <c r="L658" i="3"/>
  <c r="L602" i="3"/>
  <c r="L562" i="3"/>
  <c r="L522" i="3"/>
  <c r="L474" i="3"/>
  <c r="L426" i="3"/>
  <c r="L354" i="3"/>
  <c r="L298" i="3"/>
  <c r="L250" i="3"/>
  <c r="L202" i="3"/>
  <c r="L146" i="3"/>
  <c r="L105" i="3"/>
  <c r="L81" i="3"/>
  <c r="L57" i="3"/>
  <c r="L41" i="3"/>
  <c r="L24" i="3"/>
  <c r="F14" i="3"/>
  <c r="E14" i="3"/>
  <c r="L2633" i="3"/>
  <c r="I2633" i="3"/>
  <c r="L2593" i="3"/>
  <c r="I2593" i="3"/>
  <c r="I2561" i="3"/>
  <c r="I2521" i="3"/>
  <c r="I2489" i="3"/>
  <c r="I2457" i="3"/>
  <c r="I2417" i="3"/>
  <c r="I2385" i="3"/>
  <c r="L2353" i="3"/>
  <c r="I2353" i="3"/>
  <c r="I2321" i="3"/>
  <c r="I2281" i="3"/>
  <c r="I2257" i="3"/>
  <c r="I2217" i="3"/>
  <c r="I2185" i="3"/>
  <c r="I2145" i="3"/>
  <c r="I2097" i="3"/>
  <c r="I2041" i="3"/>
  <c r="I1993" i="3"/>
  <c r="I1929" i="3"/>
  <c r="I1745" i="3"/>
  <c r="F20" i="3"/>
  <c r="E20" i="3"/>
  <c r="L7" i="3"/>
  <c r="L2631" i="3"/>
  <c r="I2631" i="3"/>
  <c r="L2607" i="3"/>
  <c r="I2607" i="3"/>
  <c r="I2567" i="3"/>
  <c r="I2519" i="3"/>
  <c r="I2463" i="3"/>
  <c r="I2415" i="3"/>
  <c r="L2375" i="3"/>
  <c r="I2375" i="3"/>
  <c r="L2343" i="3"/>
  <c r="I2343" i="3"/>
  <c r="I2303" i="3"/>
  <c r="I2263" i="3"/>
  <c r="I2223" i="3"/>
  <c r="I2175" i="3"/>
  <c r="I2143" i="3"/>
  <c r="I2095" i="3"/>
  <c r="I2063" i="3"/>
  <c r="I2047" i="3"/>
  <c r="I2015" i="3"/>
  <c r="I1983" i="3"/>
  <c r="I1935" i="3"/>
  <c r="I1871" i="3"/>
  <c r="I1831" i="3"/>
  <c r="I1759" i="3"/>
  <c r="I1703" i="3"/>
  <c r="I1663" i="3"/>
  <c r="I1615" i="3"/>
  <c r="I1551" i="3"/>
  <c r="I1503" i="3"/>
  <c r="I1463" i="3"/>
  <c r="I1423" i="3"/>
  <c r="I1383" i="3"/>
  <c r="I1327" i="3"/>
  <c r="I1279" i="3"/>
  <c r="I1247" i="3"/>
  <c r="L1183" i="3"/>
  <c r="L1135" i="3"/>
  <c r="L1095" i="3"/>
  <c r="L1055" i="3"/>
  <c r="L1015" i="3"/>
  <c r="L975" i="3"/>
  <c r="L943" i="3"/>
  <c r="L911" i="3"/>
  <c r="L887" i="3"/>
  <c r="L863" i="3"/>
  <c r="L839" i="3"/>
  <c r="L799" i="3"/>
  <c r="L759" i="3"/>
  <c r="L719" i="3"/>
  <c r="L687" i="3"/>
  <c r="L631" i="3"/>
  <c r="L599" i="3"/>
  <c r="L567" i="3"/>
  <c r="L527" i="3"/>
  <c r="L479" i="3"/>
  <c r="L455" i="3"/>
  <c r="L407" i="3"/>
  <c r="L375" i="3"/>
  <c r="L343" i="3"/>
  <c r="L311" i="3"/>
  <c r="L271" i="3"/>
  <c r="L239" i="3"/>
  <c r="L215" i="3"/>
  <c r="L175" i="3"/>
  <c r="L127" i="3"/>
  <c r="L62" i="3"/>
  <c r="L37" i="3"/>
  <c r="F19" i="3"/>
  <c r="E19" i="3"/>
  <c r="L6" i="3"/>
  <c r="L2622" i="3"/>
  <c r="I2622" i="3"/>
  <c r="L2606" i="3"/>
  <c r="I2606" i="3"/>
  <c r="I2574" i="3"/>
  <c r="I2558" i="3"/>
  <c r="I2534" i="3"/>
  <c r="I2502" i="3"/>
  <c r="I2470" i="3"/>
  <c r="I2438" i="3"/>
  <c r="I2414" i="3"/>
  <c r="L2382" i="3"/>
  <c r="I2382" i="3"/>
  <c r="L2366" i="3"/>
  <c r="I2366" i="3"/>
  <c r="L2334" i="3"/>
  <c r="I2334" i="3"/>
  <c r="I2302" i="3"/>
  <c r="I2286" i="3"/>
  <c r="I2270" i="3"/>
  <c r="I2246" i="3"/>
  <c r="I2222" i="3"/>
  <c r="I2198" i="3"/>
  <c r="I2190" i="3"/>
  <c r="I2158" i="3"/>
  <c r="I2142" i="3"/>
  <c r="I2126" i="3"/>
  <c r="I2110" i="3"/>
  <c r="I2094" i="3"/>
  <c r="I2078" i="3"/>
  <c r="I2062" i="3"/>
  <c r="I2046" i="3"/>
  <c r="I2022" i="3"/>
  <c r="I2006" i="3"/>
  <c r="I1990" i="3"/>
  <c r="I1974" i="3"/>
  <c r="I1958" i="3"/>
  <c r="I1942" i="3"/>
  <c r="I1918" i="3"/>
  <c r="I1894" i="3"/>
  <c r="I1878" i="3"/>
  <c r="I1854" i="3"/>
  <c r="I1830" i="3"/>
  <c r="I1814" i="3"/>
  <c r="I1790" i="3"/>
  <c r="I1766" i="3"/>
  <c r="I1758" i="3"/>
  <c r="I1734" i="3"/>
  <c r="I1718" i="3"/>
  <c r="I1694" i="3"/>
  <c r="I1670" i="3"/>
  <c r="I1654" i="3"/>
  <c r="I1630" i="3"/>
  <c r="I1614" i="3"/>
  <c r="I1590" i="3"/>
  <c r="I1574" i="3"/>
  <c r="I1550" i="3"/>
  <c r="I1534" i="3"/>
  <c r="I1510" i="3"/>
  <c r="I1454" i="3"/>
  <c r="I1438" i="3"/>
  <c r="I1414" i="3"/>
  <c r="I1398" i="3"/>
  <c r="I1382" i="3"/>
  <c r="I1358" i="3"/>
  <c r="I1334" i="3"/>
  <c r="I1318" i="3"/>
  <c r="I1294" i="3"/>
  <c r="I1270" i="3"/>
  <c r="I1262" i="3"/>
  <c r="I1238" i="3"/>
  <c r="L1214" i="3"/>
  <c r="L1190" i="3"/>
  <c r="L1166" i="3"/>
  <c r="L1150" i="3"/>
  <c r="L1134" i="3"/>
  <c r="L1110" i="3"/>
  <c r="L1086" i="3"/>
  <c r="L1062" i="3"/>
  <c r="L1038" i="3"/>
  <c r="L1022" i="3"/>
  <c r="L998" i="3"/>
  <c r="L982" i="3"/>
  <c r="L958" i="3"/>
  <c r="L942" i="3"/>
  <c r="L918" i="3"/>
  <c r="L894" i="3"/>
  <c r="L878" i="3"/>
  <c r="L854" i="3"/>
  <c r="L830" i="3"/>
  <c r="L822" i="3"/>
  <c r="L798" i="3"/>
  <c r="L774" i="3"/>
  <c r="L750" i="3"/>
  <c r="L726" i="3"/>
  <c r="L718" i="3"/>
  <c r="L694" i="3"/>
  <c r="L670" i="3"/>
  <c r="L646" i="3"/>
  <c r="L622" i="3"/>
  <c r="L598" i="3"/>
  <c r="L574" i="3"/>
  <c r="L558" i="3"/>
  <c r="L542" i="3"/>
  <c r="L518" i="3"/>
  <c r="L510" i="3"/>
  <c r="L486" i="3"/>
  <c r="L478" i="3"/>
  <c r="L462" i="3"/>
  <c r="L454" i="3"/>
  <c r="L438" i="3"/>
  <c r="E2560" i="3"/>
  <c r="D2560" i="3" s="1"/>
  <c r="E10" i="3"/>
  <c r="F10" i="3"/>
  <c r="L5" i="3"/>
  <c r="L2621" i="3"/>
  <c r="I2621" i="3"/>
  <c r="L2605" i="3"/>
  <c r="I2605" i="3"/>
  <c r="L2597" i="3"/>
  <c r="I2597" i="3"/>
  <c r="I2581" i="3"/>
  <c r="I2573" i="3"/>
  <c r="I2557" i="3"/>
  <c r="I2541" i="3"/>
  <c r="I2525" i="3"/>
  <c r="I2509" i="3"/>
  <c r="I2501" i="3"/>
  <c r="I2485" i="3"/>
  <c r="I2469" i="3"/>
  <c r="I2453" i="3"/>
  <c r="I2437" i="3"/>
  <c r="I2429" i="3"/>
  <c r="I2413" i="3"/>
  <c r="I2405" i="3"/>
  <c r="I2389" i="3"/>
  <c r="L2381" i="3"/>
  <c r="I2381" i="3"/>
  <c r="L2365" i="3"/>
  <c r="I2365" i="3"/>
  <c r="L2349" i="3"/>
  <c r="I2349" i="3"/>
  <c r="L2333" i="3"/>
  <c r="I2333" i="3"/>
  <c r="I2317" i="3"/>
  <c r="I2301" i="3"/>
  <c r="I2285" i="3"/>
  <c r="I2269" i="3"/>
  <c r="I2261" i="3"/>
  <c r="I2245" i="3"/>
  <c r="I2237" i="3"/>
  <c r="I2221" i="3"/>
  <c r="I2205" i="3"/>
  <c r="I2189" i="3"/>
  <c r="I2173" i="3"/>
  <c r="I2157" i="3"/>
  <c r="I2141" i="3"/>
  <c r="I2125" i="3"/>
  <c r="I2117" i="3"/>
  <c r="I2109" i="3"/>
  <c r="I2093" i="3"/>
  <c r="I2077" i="3"/>
  <c r="I2069" i="3"/>
  <c r="I2053" i="3"/>
  <c r="I2045" i="3"/>
  <c r="I2037" i="3"/>
  <c r="I2029" i="3"/>
  <c r="I2021" i="3"/>
  <c r="I2013" i="3"/>
  <c r="I2005" i="3"/>
  <c r="I1997" i="3"/>
  <c r="I1989" i="3"/>
  <c r="I1981" i="3"/>
  <c r="I1973" i="3"/>
  <c r="I1965" i="3"/>
  <c r="I1957" i="3"/>
  <c r="I1941" i="3"/>
  <c r="I1933" i="3"/>
  <c r="I1925" i="3"/>
  <c r="I1917" i="3"/>
  <c r="L2642" i="3"/>
  <c r="I2642" i="3"/>
  <c r="L2602" i="3"/>
  <c r="I2602" i="3"/>
  <c r="I2546" i="3"/>
  <c r="I2482" i="3"/>
  <c r="I2434" i="3"/>
  <c r="L2370" i="3"/>
  <c r="I2370" i="3"/>
  <c r="I2314" i="3"/>
  <c r="I2250" i="3"/>
  <c r="I2186" i="3"/>
  <c r="I2130" i="3"/>
  <c r="I2082" i="3"/>
  <c r="I2034" i="3"/>
  <c r="I1970" i="3"/>
  <c r="I1922" i="3"/>
  <c r="I1882" i="3"/>
  <c r="I1826" i="3"/>
  <c r="I1770" i="3"/>
  <c r="I1714" i="3"/>
  <c r="I1666" i="3"/>
  <c r="I1610" i="3"/>
  <c r="I1562" i="3"/>
  <c r="I1506" i="3"/>
  <c r="I1466" i="3"/>
  <c r="I1434" i="3"/>
  <c r="I1386" i="3"/>
  <c r="I1330" i="3"/>
  <c r="I1274" i="3"/>
  <c r="L1210" i="3"/>
  <c r="L1146" i="3"/>
  <c r="L1090" i="3"/>
  <c r="L1050" i="3"/>
  <c r="L1018" i="3"/>
  <c r="L954" i="3"/>
  <c r="L882" i="3"/>
  <c r="L834" i="3"/>
  <c r="L778" i="3"/>
  <c r="L706" i="3"/>
  <c r="L642" i="3"/>
  <c r="L610" i="3"/>
  <c r="L554" i="3"/>
  <c r="L506" i="3"/>
  <c r="L442" i="3"/>
  <c r="L402" i="3"/>
  <c r="L362" i="3"/>
  <c r="L306" i="3"/>
  <c r="L234" i="3"/>
  <c r="L186" i="3"/>
  <c r="L130" i="3"/>
  <c r="L49" i="3"/>
  <c r="F2600" i="3"/>
  <c r="E2600" i="3"/>
  <c r="F2576" i="3"/>
  <c r="E2576" i="3"/>
  <c r="F2544" i="3"/>
  <c r="E2544" i="3"/>
  <c r="F2512" i="3"/>
  <c r="E2512" i="3"/>
  <c r="F6" i="3"/>
  <c r="E6" i="3"/>
  <c r="L2617" i="3"/>
  <c r="I2617" i="3"/>
  <c r="I2545" i="3"/>
  <c r="I2481" i="3"/>
  <c r="I2433" i="3"/>
  <c r="I2369" i="3"/>
  <c r="L2369" i="3"/>
  <c r="I2313" i="3"/>
  <c r="I2265" i="3"/>
  <c r="I2209" i="3"/>
  <c r="I2169" i="3"/>
  <c r="I2129" i="3"/>
  <c r="I2081" i="3"/>
  <c r="I2033" i="3"/>
  <c r="I1985" i="3"/>
  <c r="I1937" i="3"/>
  <c r="I1897" i="3"/>
  <c r="I1857" i="3"/>
  <c r="I1729" i="3"/>
  <c r="F12" i="3"/>
  <c r="E12" i="3"/>
  <c r="L2639" i="3"/>
  <c r="I2639" i="3"/>
  <c r="I2583" i="3"/>
  <c r="I2543" i="3"/>
  <c r="I2503" i="3"/>
  <c r="I2471" i="3"/>
  <c r="I2431" i="3"/>
  <c r="I2399" i="3"/>
  <c r="L2367" i="3"/>
  <c r="I2367" i="3"/>
  <c r="L2335" i="3"/>
  <c r="I2335" i="3"/>
  <c r="I2295" i="3"/>
  <c r="I2255" i="3"/>
  <c r="I2215" i="3"/>
  <c r="I2183" i="3"/>
  <c r="I2135" i="3"/>
  <c r="I2079" i="3"/>
  <c r="I2023" i="3"/>
  <c r="I1967" i="3"/>
  <c r="I1927" i="3"/>
  <c r="I1879" i="3"/>
  <c r="I1839" i="3"/>
  <c r="I1791" i="3"/>
  <c r="I1751" i="3"/>
  <c r="I1719" i="3"/>
  <c r="I1671" i="3"/>
  <c r="I1631" i="3"/>
  <c r="I1591" i="3"/>
  <c r="I1559" i="3"/>
  <c r="I1519" i="3"/>
  <c r="I1479" i="3"/>
  <c r="I1439" i="3"/>
  <c r="I1399" i="3"/>
  <c r="I1359" i="3"/>
  <c r="I1319" i="3"/>
  <c r="I1271" i="3"/>
  <c r="L1231" i="3"/>
  <c r="L1207" i="3"/>
  <c r="L1159" i="3"/>
  <c r="L1103" i="3"/>
  <c r="L1063" i="3"/>
  <c r="L1031" i="3"/>
  <c r="L991" i="3"/>
  <c r="L959" i="3"/>
  <c r="L895" i="3"/>
  <c r="L847" i="3"/>
  <c r="L807" i="3"/>
  <c r="L791" i="3"/>
  <c r="L751" i="3"/>
  <c r="L711" i="3"/>
  <c r="L671" i="3"/>
  <c r="L639" i="3"/>
  <c r="L607" i="3"/>
  <c r="L559" i="3"/>
  <c r="L511" i="3"/>
  <c r="L463" i="3"/>
  <c r="L423" i="3"/>
  <c r="L367" i="3"/>
  <c r="L327" i="3"/>
  <c r="L287" i="3"/>
  <c r="L247" i="3"/>
  <c r="L191" i="3"/>
  <c r="L151" i="3"/>
  <c r="L86" i="3"/>
  <c r="F11" i="3"/>
  <c r="E11" i="3"/>
  <c r="L2638" i="3"/>
  <c r="I2638" i="3"/>
  <c r="I2598" i="3"/>
  <c r="L2598" i="3"/>
  <c r="I2566" i="3"/>
  <c r="I2526" i="3"/>
  <c r="I2494" i="3"/>
  <c r="I2462" i="3"/>
  <c r="I2430" i="3"/>
  <c r="I2406" i="3"/>
  <c r="L2374" i="3"/>
  <c r="I2374" i="3"/>
  <c r="L2358" i="3"/>
  <c r="I2358" i="3"/>
  <c r="L2326" i="3"/>
  <c r="I2326" i="3"/>
  <c r="I2310" i="3"/>
  <c r="I2278" i="3"/>
  <c r="I2254" i="3"/>
  <c r="I2214" i="3"/>
  <c r="I2174" i="3"/>
  <c r="I2150" i="3"/>
  <c r="I2118" i="3"/>
  <c r="I2086" i="3"/>
  <c r="I2054" i="3"/>
  <c r="I2030" i="3"/>
  <c r="I1998" i="3"/>
  <c r="I1966" i="3"/>
  <c r="I1934" i="3"/>
  <c r="I1910" i="3"/>
  <c r="I1886" i="3"/>
  <c r="I1862" i="3"/>
  <c r="I1838" i="3"/>
  <c r="I1806" i="3"/>
  <c r="I1782" i="3"/>
  <c r="I1750" i="3"/>
  <c r="I1726" i="3"/>
  <c r="I1702" i="3"/>
  <c r="I1678" i="3"/>
  <c r="I1646" i="3"/>
  <c r="I1622" i="3"/>
  <c r="I1598" i="3"/>
  <c r="I1566" i="3"/>
  <c r="I1542" i="3"/>
  <c r="I1518" i="3"/>
  <c r="I1502" i="3"/>
  <c r="I1486" i="3"/>
  <c r="I1470" i="3"/>
  <c r="I1446" i="3"/>
  <c r="I1422" i="3"/>
  <c r="I1390" i="3"/>
  <c r="I1366" i="3"/>
  <c r="I1342" i="3"/>
  <c r="I1302" i="3"/>
  <c r="I1278" i="3"/>
  <c r="I1246" i="3"/>
  <c r="L1222" i="3"/>
  <c r="L1198" i="3"/>
  <c r="L1182" i="3"/>
  <c r="L1158" i="3"/>
  <c r="L1126" i="3"/>
  <c r="L1102" i="3"/>
  <c r="L1078" i="3"/>
  <c r="L1054" i="3"/>
  <c r="L1030" i="3"/>
  <c r="L1014" i="3"/>
  <c r="L990" i="3"/>
  <c r="L966" i="3"/>
  <c r="L934" i="3"/>
  <c r="L910" i="3"/>
  <c r="L886" i="3"/>
  <c r="L862" i="3"/>
  <c r="L838" i="3"/>
  <c r="L814" i="3"/>
  <c r="L782" i="3"/>
  <c r="L766" i="3"/>
  <c r="L742" i="3"/>
  <c r="L710" i="3"/>
  <c r="L686" i="3"/>
  <c r="L662" i="3"/>
  <c r="L638" i="3"/>
  <c r="L606" i="3"/>
  <c r="L582" i="3"/>
  <c r="L566" i="3"/>
  <c r="L534" i="3"/>
  <c r="L502" i="3"/>
  <c r="L446" i="3"/>
  <c r="E18" i="3"/>
  <c r="F18" i="3"/>
  <c r="L21" i="3"/>
  <c r="L13" i="3"/>
  <c r="L2637" i="3"/>
  <c r="I2637" i="3"/>
  <c r="L2629" i="3"/>
  <c r="I2629" i="3"/>
  <c r="L2613" i="3"/>
  <c r="I2613" i="3"/>
  <c r="I2589" i="3"/>
  <c r="I2565" i="3"/>
  <c r="I2549" i="3"/>
  <c r="I2533" i="3"/>
  <c r="I2517" i="3"/>
  <c r="I2493" i="3"/>
  <c r="I2477" i="3"/>
  <c r="I2461" i="3"/>
  <c r="I2445" i="3"/>
  <c r="I2421" i="3"/>
  <c r="I2397" i="3"/>
  <c r="L2373" i="3"/>
  <c r="I2373" i="3"/>
  <c r="L2357" i="3"/>
  <c r="I2357" i="3"/>
  <c r="L2341" i="3"/>
  <c r="I2341" i="3"/>
  <c r="I2325" i="3"/>
  <c r="I2309" i="3"/>
  <c r="I2293" i="3"/>
  <c r="I2277" i="3"/>
  <c r="I2253" i="3"/>
  <c r="I2229" i="3"/>
  <c r="I2213" i="3"/>
  <c r="I2197" i="3"/>
  <c r="I2181" i="3"/>
  <c r="I2165" i="3"/>
  <c r="I2149" i="3"/>
  <c r="I2133" i="3"/>
  <c r="I2101" i="3"/>
  <c r="I2085" i="3"/>
  <c r="I2061" i="3"/>
  <c r="I1949" i="3"/>
  <c r="F17" i="3"/>
  <c r="E17" i="3"/>
  <c r="F9" i="3"/>
  <c r="E9" i="3"/>
  <c r="L20" i="3"/>
  <c r="L12" i="3"/>
  <c r="L2644" i="3"/>
  <c r="I2644" i="3"/>
  <c r="L2636" i="3"/>
  <c r="I2636" i="3"/>
  <c r="L2628" i="3"/>
  <c r="I2628" i="3"/>
  <c r="L2620" i="3"/>
  <c r="I2620" i="3"/>
  <c r="L2612" i="3"/>
  <c r="I2612" i="3"/>
  <c r="L2604" i="3"/>
  <c r="I2604" i="3"/>
  <c r="L2596" i="3"/>
  <c r="I2596" i="3"/>
  <c r="I2588" i="3"/>
  <c r="I2580" i="3"/>
  <c r="I2572" i="3"/>
  <c r="I2564" i="3"/>
  <c r="I2556" i="3"/>
  <c r="I2548" i="3"/>
  <c r="I2540" i="3"/>
  <c r="I2532" i="3"/>
  <c r="I2524" i="3"/>
  <c r="I2516" i="3"/>
  <c r="I2508" i="3"/>
  <c r="I2500" i="3"/>
  <c r="I2492" i="3"/>
  <c r="I2484" i="3"/>
  <c r="I2476" i="3"/>
  <c r="I2468" i="3"/>
  <c r="I2460" i="3"/>
  <c r="I2452" i="3"/>
  <c r="I2444" i="3"/>
  <c r="I2436" i="3"/>
  <c r="I2428" i="3"/>
  <c r="I2420" i="3"/>
  <c r="I2412" i="3"/>
  <c r="I2404" i="3"/>
  <c r="I2396" i="3"/>
  <c r="I2388" i="3"/>
  <c r="L2380" i="3"/>
  <c r="I2380" i="3"/>
  <c r="L2372" i="3"/>
  <c r="I2372" i="3"/>
  <c r="L2364" i="3"/>
  <c r="I2364" i="3"/>
  <c r="L2356" i="3"/>
  <c r="I2356" i="3"/>
  <c r="L2348" i="3"/>
  <c r="I2348" i="3"/>
  <c r="L2340" i="3"/>
  <c r="I2340" i="3"/>
  <c r="L2332" i="3"/>
  <c r="I2332" i="3"/>
  <c r="I2324" i="3"/>
  <c r="I2316" i="3"/>
  <c r="I2308" i="3"/>
  <c r="I2300" i="3"/>
  <c r="I2292" i="3"/>
  <c r="I2284" i="3"/>
  <c r="I2276" i="3"/>
  <c r="I2268" i="3"/>
  <c r="I2260" i="3"/>
  <c r="I2252" i="3"/>
  <c r="I2244" i="3"/>
  <c r="I2236" i="3"/>
  <c r="I2228" i="3"/>
  <c r="I2220" i="3"/>
  <c r="I2212" i="3"/>
  <c r="E2496" i="3"/>
  <c r="H2496" i="3" s="1"/>
  <c r="F2631" i="3"/>
  <c r="D2631" i="3" s="1"/>
  <c r="F15" i="3"/>
  <c r="E15" i="3"/>
  <c r="L2634" i="3"/>
  <c r="I2634" i="3"/>
  <c r="I2586" i="3"/>
  <c r="I2514" i="3"/>
  <c r="I2458" i="3"/>
  <c r="I2410" i="3"/>
  <c r="L2378" i="3"/>
  <c r="I2378" i="3"/>
  <c r="L2338" i="3"/>
  <c r="I2338" i="3"/>
  <c r="I2282" i="3"/>
  <c r="I2218" i="3"/>
  <c r="I2170" i="3"/>
  <c r="I2122" i="3"/>
  <c r="I2058" i="3"/>
  <c r="I1994" i="3"/>
  <c r="I1946" i="3"/>
  <c r="I1898" i="3"/>
  <c r="I1858" i="3"/>
  <c r="I1818" i="3"/>
  <c r="I1778" i="3"/>
  <c r="I1738" i="3"/>
  <c r="I1690" i="3"/>
  <c r="I1650" i="3"/>
  <c r="I1626" i="3"/>
  <c r="I1586" i="3"/>
  <c r="I1530" i="3"/>
  <c r="I1474" i="3"/>
  <c r="I1426" i="3"/>
  <c r="I1370" i="3"/>
  <c r="I1306" i="3"/>
  <c r="I1250" i="3"/>
  <c r="L1202" i="3"/>
  <c r="L1154" i="3"/>
  <c r="L1098" i="3"/>
  <c r="L1042" i="3"/>
  <c r="L986" i="3"/>
  <c r="L922" i="3"/>
  <c r="L874" i="3"/>
  <c r="L818" i="3"/>
  <c r="L770" i="3"/>
  <c r="L714" i="3"/>
  <c r="L674" i="3"/>
  <c r="L626" i="3"/>
  <c r="L570" i="3"/>
  <c r="L514" i="3"/>
  <c r="L466" i="3"/>
  <c r="L394" i="3"/>
  <c r="L346" i="3"/>
  <c r="L290" i="3"/>
  <c r="L242" i="3"/>
  <c r="L194" i="3"/>
  <c r="L138" i="3"/>
  <c r="L89" i="3"/>
  <c r="L2625" i="3"/>
  <c r="I2625" i="3"/>
  <c r="I2577" i="3"/>
  <c r="I2513" i="3"/>
  <c r="I2449" i="3"/>
  <c r="I2401" i="3"/>
  <c r="L2345" i="3"/>
  <c r="I2345" i="3"/>
  <c r="I2289" i="3"/>
  <c r="I2233" i="3"/>
  <c r="I2177" i="3"/>
  <c r="I2121" i="3"/>
  <c r="I2073" i="3"/>
  <c r="I2025" i="3"/>
  <c r="I1977" i="3"/>
  <c r="I1945" i="3"/>
  <c r="I1905" i="3"/>
  <c r="I1873" i="3"/>
  <c r="I1849" i="3"/>
  <c r="I1825" i="3"/>
  <c r="I1705" i="3"/>
  <c r="L23" i="3"/>
  <c r="L2615" i="3"/>
  <c r="I2615" i="3"/>
  <c r="I2575" i="3"/>
  <c r="I2535" i="3"/>
  <c r="I2495" i="3"/>
  <c r="I2439" i="3"/>
  <c r="I2391" i="3"/>
  <c r="L2359" i="3"/>
  <c r="I2359" i="3"/>
  <c r="I2319" i="3"/>
  <c r="I2271" i="3"/>
  <c r="I2231" i="3"/>
  <c r="I2191" i="3"/>
  <c r="I2151" i="3"/>
  <c r="I2111" i="3"/>
  <c r="I2055" i="3"/>
  <c r="I1999" i="3"/>
  <c r="I1951" i="3"/>
  <c r="I1903" i="3"/>
  <c r="I1863" i="3"/>
  <c r="I1815" i="3"/>
  <c r="I1775" i="3"/>
  <c r="I1727" i="3"/>
  <c r="I1687" i="3"/>
  <c r="I1639" i="3"/>
  <c r="I1599" i="3"/>
  <c r="I1567" i="3"/>
  <c r="I1527" i="3"/>
  <c r="I1487" i="3"/>
  <c r="I1447" i="3"/>
  <c r="I1407" i="3"/>
  <c r="I1367" i="3"/>
  <c r="I1335" i="3"/>
  <c r="I1295" i="3"/>
  <c r="I1255" i="3"/>
  <c r="L1215" i="3"/>
  <c r="L1175" i="3"/>
  <c r="L1127" i="3"/>
  <c r="L1087" i="3"/>
  <c r="L1039" i="3"/>
  <c r="L999" i="3"/>
  <c r="L935" i="3"/>
  <c r="L879" i="3"/>
  <c r="L823" i="3"/>
  <c r="L775" i="3"/>
  <c r="L743" i="3"/>
  <c r="L703" i="3"/>
  <c r="L647" i="3"/>
  <c r="L591" i="3"/>
  <c r="L543" i="3"/>
  <c r="L503" i="3"/>
  <c r="L471" i="3"/>
  <c r="L431" i="3"/>
  <c r="L383" i="3"/>
  <c r="L335" i="3"/>
  <c r="L279" i="3"/>
  <c r="L223" i="3"/>
  <c r="L183" i="3"/>
  <c r="L135" i="3"/>
  <c r="L102" i="3"/>
  <c r="L54" i="3"/>
  <c r="L14" i="3"/>
  <c r="L2614" i="3"/>
  <c r="I2614" i="3"/>
  <c r="I2590" i="3"/>
  <c r="I2542" i="3"/>
  <c r="I2510" i="3"/>
  <c r="I2486" i="3"/>
  <c r="I2454" i="3"/>
  <c r="I2422" i="3"/>
  <c r="I2390" i="3"/>
  <c r="L2342" i="3"/>
  <c r="I2342" i="3"/>
  <c r="I2238" i="3"/>
  <c r="F16" i="3"/>
  <c r="E16" i="3"/>
  <c r="F8" i="3"/>
  <c r="L19" i="3"/>
  <c r="L11" i="3"/>
  <c r="L2643" i="3"/>
  <c r="I2643" i="3"/>
  <c r="L2635" i="3"/>
  <c r="I2635" i="3"/>
  <c r="L2627" i="3"/>
  <c r="I2627" i="3"/>
  <c r="L2619" i="3"/>
  <c r="I2619" i="3"/>
  <c r="L2611" i="3"/>
  <c r="I2611" i="3"/>
  <c r="L2603" i="3"/>
  <c r="I2603" i="3"/>
  <c r="L2595" i="3"/>
  <c r="I2595" i="3"/>
  <c r="I2587" i="3"/>
  <c r="I2579" i="3"/>
  <c r="I2571" i="3"/>
  <c r="I2563" i="3"/>
  <c r="I2555" i="3"/>
  <c r="I2547" i="3"/>
  <c r="I2539" i="3"/>
  <c r="I2531" i="3"/>
  <c r="I2523" i="3"/>
  <c r="I2515" i="3"/>
  <c r="I2507" i="3"/>
  <c r="I2499" i="3"/>
  <c r="I2491" i="3"/>
  <c r="I2483" i="3"/>
  <c r="I2475" i="3"/>
  <c r="I2467" i="3"/>
  <c r="I2459" i="3"/>
  <c r="I2451" i="3"/>
  <c r="I2443" i="3"/>
  <c r="I2435" i="3"/>
  <c r="I2427" i="3"/>
  <c r="I2419" i="3"/>
  <c r="I2411" i="3"/>
  <c r="I2403" i="3"/>
  <c r="I2395" i="3"/>
  <c r="I2387" i="3"/>
  <c r="L2379" i="3"/>
  <c r="I2379" i="3"/>
  <c r="L2371" i="3"/>
  <c r="I2371" i="3"/>
  <c r="L2363" i="3"/>
  <c r="I2363" i="3"/>
  <c r="L2355" i="3"/>
  <c r="I2355" i="3"/>
  <c r="L2347" i="3"/>
  <c r="I2347" i="3"/>
  <c r="L2339" i="3"/>
  <c r="I2339" i="3"/>
  <c r="L2331" i="3"/>
  <c r="I2331" i="3"/>
  <c r="I2323" i="3"/>
  <c r="I2315" i="3"/>
  <c r="I2307" i="3"/>
  <c r="I2299" i="3"/>
  <c r="I2291" i="3"/>
  <c r="I2283" i="3"/>
  <c r="I2275" i="3"/>
  <c r="I2267" i="3"/>
  <c r="I2259" i="3"/>
  <c r="I2251" i="3"/>
  <c r="I2243" i="3"/>
  <c r="I2235" i="3"/>
  <c r="I2227" i="3"/>
  <c r="I2219" i="3"/>
  <c r="I2211" i="3"/>
  <c r="I2203" i="3"/>
  <c r="I2195" i="3"/>
  <c r="I2187" i="3"/>
  <c r="I2179" i="3"/>
  <c r="I2171" i="3"/>
  <c r="I2163" i="3"/>
  <c r="I2155" i="3"/>
  <c r="I2147" i="3"/>
  <c r="I2139" i="3"/>
  <c r="I2131" i="3"/>
  <c r="I2123" i="3"/>
  <c r="I2115" i="3"/>
  <c r="I2107" i="3"/>
  <c r="I2099" i="3"/>
  <c r="I2091" i="3"/>
  <c r="I2083" i="3"/>
  <c r="I2075" i="3"/>
  <c r="I2067" i="3"/>
  <c r="I2059" i="3"/>
  <c r="I2051" i="3"/>
  <c r="I2043" i="3"/>
  <c r="I2035" i="3"/>
  <c r="I2027" i="3"/>
  <c r="I2019" i="3"/>
  <c r="I2011" i="3"/>
  <c r="I2003" i="3"/>
  <c r="I1995" i="3"/>
  <c r="I1987" i="3"/>
  <c r="I1979" i="3"/>
  <c r="I1971" i="3"/>
  <c r="I1963" i="3"/>
  <c r="I1955" i="3"/>
  <c r="I1947" i="3"/>
  <c r="I1939" i="3"/>
  <c r="I1931" i="3"/>
  <c r="I1923" i="3"/>
  <c r="I1915" i="3"/>
  <c r="I1907" i="3"/>
  <c r="I1899" i="3"/>
  <c r="I1891" i="3"/>
  <c r="I1883" i="3"/>
  <c r="I1875" i="3"/>
  <c r="I1867" i="3"/>
  <c r="I1859" i="3"/>
  <c r="I1851" i="3"/>
  <c r="I1843" i="3"/>
  <c r="I1835" i="3"/>
  <c r="I1827" i="3"/>
  <c r="I1819" i="3"/>
  <c r="I1811" i="3"/>
  <c r="I1803" i="3"/>
  <c r="I1795" i="3"/>
  <c r="I1787" i="3"/>
  <c r="I1779" i="3"/>
  <c r="I1771" i="3"/>
  <c r="I1763" i="3"/>
  <c r="I1755" i="3"/>
  <c r="I1747" i="3"/>
  <c r="I1739" i="3"/>
  <c r="I1731" i="3"/>
  <c r="I1723" i="3"/>
  <c r="I1715" i="3"/>
  <c r="I1707" i="3"/>
  <c r="I1699" i="3"/>
  <c r="I1691" i="3"/>
  <c r="I1683" i="3"/>
  <c r="I1675" i="3"/>
  <c r="I1667" i="3"/>
  <c r="I1659" i="3"/>
  <c r="I1651" i="3"/>
  <c r="I1643" i="3"/>
  <c r="I1635" i="3"/>
  <c r="I1627" i="3"/>
  <c r="I1619" i="3"/>
  <c r="I1611" i="3"/>
  <c r="I1603" i="3"/>
  <c r="I1595" i="3"/>
  <c r="I1587" i="3"/>
  <c r="I1579" i="3"/>
  <c r="I1571" i="3"/>
  <c r="I1563" i="3"/>
  <c r="I1555" i="3"/>
  <c r="I1547" i="3"/>
  <c r="I1539" i="3"/>
  <c r="I1531" i="3"/>
  <c r="I1523" i="3"/>
  <c r="I1515" i="3"/>
  <c r="I1507" i="3"/>
  <c r="I1499" i="3"/>
  <c r="I1491" i="3"/>
  <c r="I1483" i="3"/>
  <c r="I1475" i="3"/>
  <c r="I1467" i="3"/>
  <c r="I1459" i="3"/>
  <c r="I1451" i="3"/>
  <c r="I1443" i="3"/>
  <c r="I1435" i="3"/>
  <c r="I1427" i="3"/>
  <c r="I1419" i="3"/>
  <c r="I1411" i="3"/>
  <c r="I1403" i="3"/>
  <c r="I1395" i="3"/>
  <c r="I1387" i="3"/>
  <c r="I1379" i="3"/>
  <c r="I1371" i="3"/>
  <c r="I1363" i="3"/>
  <c r="I1355" i="3"/>
  <c r="I1347" i="3"/>
  <c r="I1339" i="3"/>
  <c r="I1331" i="3"/>
  <c r="I1323" i="3"/>
  <c r="I1315" i="3"/>
  <c r="I1307" i="3"/>
  <c r="I1299" i="3"/>
  <c r="I1291" i="3"/>
  <c r="I1283" i="3"/>
  <c r="I1275" i="3"/>
  <c r="I1267" i="3"/>
  <c r="I1259" i="3"/>
  <c r="I1251" i="3"/>
  <c r="I1243" i="3"/>
  <c r="L1235" i="3"/>
  <c r="L1227" i="3"/>
  <c r="L1219" i="3"/>
  <c r="L1211" i="3"/>
  <c r="L1203" i="3"/>
  <c r="L1195" i="3"/>
  <c r="L1187" i="3"/>
  <c r="L1179" i="3"/>
  <c r="L1171" i="3"/>
  <c r="L1163" i="3"/>
  <c r="L1155" i="3"/>
  <c r="L1147" i="3"/>
  <c r="L1139" i="3"/>
  <c r="L1131" i="3"/>
  <c r="L1123" i="3"/>
  <c r="L1115" i="3"/>
  <c r="L1107" i="3"/>
  <c r="L1099" i="3"/>
  <c r="L1091" i="3"/>
  <c r="L1083" i="3"/>
  <c r="L1075" i="3"/>
  <c r="L1067" i="3"/>
  <c r="L1059" i="3"/>
  <c r="L1051" i="3"/>
  <c r="L1043" i="3"/>
  <c r="L1035" i="3"/>
  <c r="L1027" i="3"/>
  <c r="L1019" i="3"/>
  <c r="L1011" i="3"/>
  <c r="L1003" i="3"/>
  <c r="L995" i="3"/>
  <c r="L987" i="3"/>
  <c r="L979" i="3"/>
  <c r="L971" i="3"/>
  <c r="L963" i="3"/>
  <c r="L955" i="3"/>
  <c r="L947" i="3"/>
  <c r="L939" i="3"/>
  <c r="L931" i="3"/>
  <c r="L923" i="3"/>
  <c r="L915" i="3"/>
  <c r="L907" i="3"/>
  <c r="L899" i="3"/>
  <c r="L891" i="3"/>
  <c r="L883" i="3"/>
  <c r="L875" i="3"/>
  <c r="L867" i="3"/>
  <c r="L859" i="3"/>
  <c r="L851" i="3"/>
  <c r="L843" i="3"/>
  <c r="L835" i="3"/>
  <c r="L827" i="3"/>
  <c r="L819" i="3"/>
  <c r="L811" i="3"/>
  <c r="L803" i="3"/>
  <c r="L795" i="3"/>
  <c r="L787" i="3"/>
  <c r="L779" i="3"/>
  <c r="L771" i="3"/>
  <c r="L763" i="3"/>
  <c r="L755" i="3"/>
  <c r="L747" i="3"/>
  <c r="L739" i="3"/>
  <c r="L731" i="3"/>
  <c r="L723" i="3"/>
  <c r="L715" i="3"/>
  <c r="L707" i="3"/>
  <c r="L699" i="3"/>
  <c r="L691" i="3"/>
  <c r="L683" i="3"/>
  <c r="L675" i="3"/>
  <c r="L667" i="3"/>
  <c r="L659" i="3"/>
  <c r="L651" i="3"/>
  <c r="L643" i="3"/>
  <c r="L635" i="3"/>
  <c r="L627" i="3"/>
  <c r="L619" i="3"/>
  <c r="L611" i="3"/>
  <c r="L603" i="3"/>
  <c r="L595" i="3"/>
  <c r="L587" i="3"/>
  <c r="L579" i="3"/>
  <c r="L571" i="3"/>
  <c r="L563" i="3"/>
  <c r="L555" i="3"/>
  <c r="L547" i="3"/>
  <c r="L539" i="3"/>
  <c r="L531" i="3"/>
  <c r="L523" i="3"/>
  <c r="L515" i="3"/>
  <c r="L507" i="3"/>
  <c r="L499" i="3"/>
  <c r="L491" i="3"/>
  <c r="L483" i="3"/>
  <c r="L475" i="3"/>
  <c r="L467" i="3"/>
  <c r="L459" i="3"/>
  <c r="L451" i="3"/>
  <c r="L443" i="3"/>
  <c r="L435" i="3"/>
  <c r="L427" i="3"/>
  <c r="L419" i="3"/>
  <c r="L411" i="3"/>
  <c r="L403" i="3"/>
  <c r="L395" i="3"/>
  <c r="L387" i="3"/>
  <c r="L379" i="3"/>
  <c r="L371" i="3"/>
  <c r="L363" i="3"/>
  <c r="L355" i="3"/>
  <c r="L347" i="3"/>
  <c r="L339" i="3"/>
  <c r="L331" i="3"/>
  <c r="L323" i="3"/>
  <c r="L315" i="3"/>
  <c r="L307" i="3"/>
  <c r="L299" i="3"/>
  <c r="L291" i="3"/>
  <c r="L283" i="3"/>
  <c r="L275" i="3"/>
  <c r="L267" i="3"/>
  <c r="L259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2" i="3"/>
  <c r="L114" i="3"/>
  <c r="L106" i="3"/>
  <c r="L90" i="3"/>
  <c r="L82" i="3"/>
  <c r="L74" i="3"/>
  <c r="L66" i="3"/>
  <c r="L58" i="3"/>
  <c r="L50" i="3"/>
  <c r="L42" i="3"/>
  <c r="L33" i="3"/>
  <c r="L25" i="3"/>
  <c r="E2592" i="3"/>
  <c r="I1909" i="3"/>
  <c r="I1901" i="3"/>
  <c r="I1893" i="3"/>
  <c r="I1885" i="3"/>
  <c r="I1877" i="3"/>
  <c r="I1869" i="3"/>
  <c r="I1861" i="3"/>
  <c r="I1853" i="3"/>
  <c r="I1845" i="3"/>
  <c r="I1837" i="3"/>
  <c r="I1829" i="3"/>
  <c r="I1821" i="3"/>
  <c r="I1813" i="3"/>
  <c r="I1805" i="3"/>
  <c r="I1797" i="3"/>
  <c r="I1789" i="3"/>
  <c r="I1781" i="3"/>
  <c r="I1773" i="3"/>
  <c r="I1765" i="3"/>
  <c r="I1757" i="3"/>
  <c r="I1749" i="3"/>
  <c r="I1741" i="3"/>
  <c r="I1733" i="3"/>
  <c r="I1725" i="3"/>
  <c r="I1717" i="3"/>
  <c r="I1709" i="3"/>
  <c r="I1701" i="3"/>
  <c r="I1693" i="3"/>
  <c r="I1685" i="3"/>
  <c r="I1677" i="3"/>
  <c r="I1669" i="3"/>
  <c r="I1661" i="3"/>
  <c r="I1653" i="3"/>
  <c r="I1645" i="3"/>
  <c r="I1637" i="3"/>
  <c r="I1629" i="3"/>
  <c r="I1621" i="3"/>
  <c r="I1613" i="3"/>
  <c r="I1605" i="3"/>
  <c r="I1597" i="3"/>
  <c r="I1589" i="3"/>
  <c r="I1581" i="3"/>
  <c r="I1573" i="3"/>
  <c r="I1565" i="3"/>
  <c r="I1557" i="3"/>
  <c r="I1549" i="3"/>
  <c r="I1541" i="3"/>
  <c r="I1533" i="3"/>
  <c r="I1525" i="3"/>
  <c r="I1517" i="3"/>
  <c r="I1509" i="3"/>
  <c r="I1501" i="3"/>
  <c r="I1493" i="3"/>
  <c r="I1485" i="3"/>
  <c r="I1477" i="3"/>
  <c r="I1469" i="3"/>
  <c r="I1461" i="3"/>
  <c r="I1453" i="3"/>
  <c r="I1445" i="3"/>
  <c r="I1437" i="3"/>
  <c r="I1429" i="3"/>
  <c r="I1421" i="3"/>
  <c r="I1413" i="3"/>
  <c r="I1405" i="3"/>
  <c r="I1397" i="3"/>
  <c r="I1389" i="3"/>
  <c r="I1381" i="3"/>
  <c r="I1373" i="3"/>
  <c r="I1365" i="3"/>
  <c r="I1357" i="3"/>
  <c r="I1349" i="3"/>
  <c r="I1341" i="3"/>
  <c r="I1333" i="3"/>
  <c r="I1325" i="3"/>
  <c r="I1317" i="3"/>
  <c r="I1309" i="3"/>
  <c r="I1301" i="3"/>
  <c r="I1293" i="3"/>
  <c r="I1285" i="3"/>
  <c r="I1277" i="3"/>
  <c r="I1269" i="3"/>
  <c r="I1261" i="3"/>
  <c r="I1253" i="3"/>
  <c r="I1245" i="3"/>
  <c r="I1237" i="3"/>
  <c r="L1229" i="3"/>
  <c r="L1221" i="3"/>
  <c r="L1213" i="3"/>
  <c r="L1205" i="3"/>
  <c r="L1197" i="3"/>
  <c r="L1189" i="3"/>
  <c r="L1181" i="3"/>
  <c r="L1173" i="3"/>
  <c r="L1165" i="3"/>
  <c r="L1157" i="3"/>
  <c r="L1149" i="3"/>
  <c r="L1141" i="3"/>
  <c r="L1133" i="3"/>
  <c r="L1125" i="3"/>
  <c r="L1117" i="3"/>
  <c r="L1109" i="3"/>
  <c r="L1101" i="3"/>
  <c r="L1093" i="3"/>
  <c r="L1085" i="3"/>
  <c r="L1077" i="3"/>
  <c r="L1069" i="3"/>
  <c r="L1061" i="3"/>
  <c r="L1053" i="3"/>
  <c r="L1045" i="3"/>
  <c r="L1037" i="3"/>
  <c r="L1029" i="3"/>
  <c r="L1021" i="3"/>
  <c r="L1013" i="3"/>
  <c r="L1005" i="3"/>
  <c r="L997" i="3"/>
  <c r="L989" i="3"/>
  <c r="L981" i="3"/>
  <c r="L973" i="3"/>
  <c r="L965" i="3"/>
  <c r="L957" i="3"/>
  <c r="L949" i="3"/>
  <c r="L941" i="3"/>
  <c r="L933" i="3"/>
  <c r="L925" i="3"/>
  <c r="L917" i="3"/>
  <c r="L909" i="3"/>
  <c r="L901" i="3"/>
  <c r="L893" i="3"/>
  <c r="L885" i="3"/>
  <c r="L877" i="3"/>
  <c r="L869" i="3"/>
  <c r="L861" i="3"/>
  <c r="L853" i="3"/>
  <c r="L845" i="3"/>
  <c r="L837" i="3"/>
  <c r="L829" i="3"/>
  <c r="L821" i="3"/>
  <c r="L813" i="3"/>
  <c r="L805" i="3"/>
  <c r="L797" i="3"/>
  <c r="L789" i="3"/>
  <c r="L781" i="3"/>
  <c r="L773" i="3"/>
  <c r="L765" i="3"/>
  <c r="L757" i="3"/>
  <c r="L749" i="3"/>
  <c r="L741" i="3"/>
  <c r="L733" i="3"/>
  <c r="L725" i="3"/>
  <c r="L717" i="3"/>
  <c r="L709" i="3"/>
  <c r="L701" i="3"/>
  <c r="L693" i="3"/>
  <c r="L685" i="3"/>
  <c r="L677" i="3"/>
  <c r="L669" i="3"/>
  <c r="L661" i="3"/>
  <c r="L653" i="3"/>
  <c r="L645" i="3"/>
  <c r="L637" i="3"/>
  <c r="L629" i="3"/>
  <c r="L621" i="3"/>
  <c r="L613" i="3"/>
  <c r="L605" i="3"/>
  <c r="L597" i="3"/>
  <c r="L589" i="3"/>
  <c r="L581" i="3"/>
  <c r="L573" i="3"/>
  <c r="L565" i="3"/>
  <c r="L557" i="3"/>
  <c r="L549" i="3"/>
  <c r="L541" i="3"/>
  <c r="L533" i="3"/>
  <c r="L525" i="3"/>
  <c r="L517" i="3"/>
  <c r="L509" i="3"/>
  <c r="L501" i="3"/>
  <c r="L493" i="3"/>
  <c r="L485" i="3"/>
  <c r="L477" i="3"/>
  <c r="L469" i="3"/>
  <c r="L461" i="3"/>
  <c r="L453" i="3"/>
  <c r="L445" i="3"/>
  <c r="L437" i="3"/>
  <c r="L429" i="3"/>
  <c r="L421" i="3"/>
  <c r="L413" i="3"/>
  <c r="L405" i="3"/>
  <c r="L397" i="3"/>
  <c r="L389" i="3"/>
  <c r="L381" i="3"/>
  <c r="L373" i="3"/>
  <c r="L365" i="3"/>
  <c r="L357" i="3"/>
  <c r="L349" i="3"/>
  <c r="L341" i="3"/>
  <c r="L333" i="3"/>
  <c r="L325" i="3"/>
  <c r="L317" i="3"/>
  <c r="L309" i="3"/>
  <c r="L301" i="3"/>
  <c r="L293" i="3"/>
  <c r="L285" i="3"/>
  <c r="L277" i="3"/>
  <c r="L269" i="3"/>
  <c r="L261" i="3"/>
  <c r="L253" i="3"/>
  <c r="L245" i="3"/>
  <c r="L237" i="3"/>
  <c r="L229" i="3"/>
  <c r="L221" i="3"/>
  <c r="L213" i="3"/>
  <c r="L205" i="3"/>
  <c r="L197" i="3"/>
  <c r="L189" i="3"/>
  <c r="L181" i="3"/>
  <c r="L173" i="3"/>
  <c r="L165" i="3"/>
  <c r="L157" i="3"/>
  <c r="L149" i="3"/>
  <c r="L141" i="3"/>
  <c r="L133" i="3"/>
  <c r="L125" i="3"/>
  <c r="L116" i="3"/>
  <c r="L108" i="3"/>
  <c r="L100" i="3"/>
  <c r="L84" i="3"/>
  <c r="L76" i="3"/>
  <c r="L68" i="3"/>
  <c r="L60" i="3"/>
  <c r="L52" i="3"/>
  <c r="L44" i="3"/>
  <c r="L35" i="3"/>
  <c r="L27" i="3"/>
  <c r="E1879" i="3"/>
  <c r="D1879" i="3" s="1"/>
  <c r="E1840" i="3"/>
  <c r="D1840" i="3" s="1"/>
  <c r="E1777" i="3"/>
  <c r="E1375" i="3"/>
  <c r="E1183" i="3"/>
  <c r="D1183" i="3" s="1"/>
  <c r="E671" i="3"/>
  <c r="I2204" i="3"/>
  <c r="I2196" i="3"/>
  <c r="I2188" i="3"/>
  <c r="I2180" i="3"/>
  <c r="I2172" i="3"/>
  <c r="I2164" i="3"/>
  <c r="I2156" i="3"/>
  <c r="I2148" i="3"/>
  <c r="I2140" i="3"/>
  <c r="I2132" i="3"/>
  <c r="I2124" i="3"/>
  <c r="I2116" i="3"/>
  <c r="I2108" i="3"/>
  <c r="I2100" i="3"/>
  <c r="I2092" i="3"/>
  <c r="I2084" i="3"/>
  <c r="I2076" i="3"/>
  <c r="I2068" i="3"/>
  <c r="I2060" i="3"/>
  <c r="I2052" i="3"/>
  <c r="I2044" i="3"/>
  <c r="I2036" i="3"/>
  <c r="I2028" i="3"/>
  <c r="I2020" i="3"/>
  <c r="I2012" i="3"/>
  <c r="I2004" i="3"/>
  <c r="I1996" i="3"/>
  <c r="I1988" i="3"/>
  <c r="I1980" i="3"/>
  <c r="I1972" i="3"/>
  <c r="I1964" i="3"/>
  <c r="I1956" i="3"/>
  <c r="I1948" i="3"/>
  <c r="I1940" i="3"/>
  <c r="I1932" i="3"/>
  <c r="I1924" i="3"/>
  <c r="I1916" i="3"/>
  <c r="I1908" i="3"/>
  <c r="I1900" i="3"/>
  <c r="I1892" i="3"/>
  <c r="I1884" i="3"/>
  <c r="I1876" i="3"/>
  <c r="I1868" i="3"/>
  <c r="I1860" i="3"/>
  <c r="I1852" i="3"/>
  <c r="I1844" i="3"/>
  <c r="I1836" i="3"/>
  <c r="I1828" i="3"/>
  <c r="I1820" i="3"/>
  <c r="I1812" i="3"/>
  <c r="I1804" i="3"/>
  <c r="I1796" i="3"/>
  <c r="I1788" i="3"/>
  <c r="I1780" i="3"/>
  <c r="I1772" i="3"/>
  <c r="I1764" i="3"/>
  <c r="I1756" i="3"/>
  <c r="I1748" i="3"/>
  <c r="I1740" i="3"/>
  <c r="I1732" i="3"/>
  <c r="I1724" i="3"/>
  <c r="I1716" i="3"/>
  <c r="I1708" i="3"/>
  <c r="I1700" i="3"/>
  <c r="I1692" i="3"/>
  <c r="I1684" i="3"/>
  <c r="I1676" i="3"/>
  <c r="I1668" i="3"/>
  <c r="I1660" i="3"/>
  <c r="I1652" i="3"/>
  <c r="I1644" i="3"/>
  <c r="I1636" i="3"/>
  <c r="I1628" i="3"/>
  <c r="I1620" i="3"/>
  <c r="I1612" i="3"/>
  <c r="I1604" i="3"/>
  <c r="I1596" i="3"/>
  <c r="I1588" i="3"/>
  <c r="I1580" i="3"/>
  <c r="I1572" i="3"/>
  <c r="I1564" i="3"/>
  <c r="I1556" i="3"/>
  <c r="I1548" i="3"/>
  <c r="I1540" i="3"/>
  <c r="I1532" i="3"/>
  <c r="I1524" i="3"/>
  <c r="I1516" i="3"/>
  <c r="I1508" i="3"/>
  <c r="I1500" i="3"/>
  <c r="I1492" i="3"/>
  <c r="I1484" i="3"/>
  <c r="I1476" i="3"/>
  <c r="I1468" i="3"/>
  <c r="I1460" i="3"/>
  <c r="I1452" i="3"/>
  <c r="I1444" i="3"/>
  <c r="I1436" i="3"/>
  <c r="I1428" i="3"/>
  <c r="I1420" i="3"/>
  <c r="I1412" i="3"/>
  <c r="I1404" i="3"/>
  <c r="I1396" i="3"/>
  <c r="I1388" i="3"/>
  <c r="I1380" i="3"/>
  <c r="I1372" i="3"/>
  <c r="I1364" i="3"/>
  <c r="I1356" i="3"/>
  <c r="I1348" i="3"/>
  <c r="I1340" i="3"/>
  <c r="I1332" i="3"/>
  <c r="I1324" i="3"/>
  <c r="I1316" i="3"/>
  <c r="I1308" i="3"/>
  <c r="I1300" i="3"/>
  <c r="I1292" i="3"/>
  <c r="I1284" i="3"/>
  <c r="I1276" i="3"/>
  <c r="I1268" i="3"/>
  <c r="I1260" i="3"/>
  <c r="I1252" i="3"/>
  <c r="I1244" i="3"/>
  <c r="I1236" i="3"/>
  <c r="L1228" i="3"/>
  <c r="L1220" i="3"/>
  <c r="L1212" i="3"/>
  <c r="L1204" i="3"/>
  <c r="L1196" i="3"/>
  <c r="L1188" i="3"/>
  <c r="L1180" i="3"/>
  <c r="L1172" i="3"/>
  <c r="L1164" i="3"/>
  <c r="L1156" i="3"/>
  <c r="L1148" i="3"/>
  <c r="L1140" i="3"/>
  <c r="L1132" i="3"/>
  <c r="L1124" i="3"/>
  <c r="L1116" i="3"/>
  <c r="L1108" i="3"/>
  <c r="L1100" i="3"/>
  <c r="L1092" i="3"/>
  <c r="L1084" i="3"/>
  <c r="L1076" i="3"/>
  <c r="L1068" i="3"/>
  <c r="L1060" i="3"/>
  <c r="L1052" i="3"/>
  <c r="L1044" i="3"/>
  <c r="L1036" i="3"/>
  <c r="L1028" i="3"/>
  <c r="L1020" i="3"/>
  <c r="L1012" i="3"/>
  <c r="L1004" i="3"/>
  <c r="L996" i="3"/>
  <c r="L988" i="3"/>
  <c r="L980" i="3"/>
  <c r="L972" i="3"/>
  <c r="L964" i="3"/>
  <c r="L956" i="3"/>
  <c r="L948" i="3"/>
  <c r="L940" i="3"/>
  <c r="L932" i="3"/>
  <c r="L924" i="3"/>
  <c r="L916" i="3"/>
  <c r="L908" i="3"/>
  <c r="L900" i="3"/>
  <c r="L892" i="3"/>
  <c r="L884" i="3"/>
  <c r="L876" i="3"/>
  <c r="L868" i="3"/>
  <c r="L860" i="3"/>
  <c r="L852" i="3"/>
  <c r="L844" i="3"/>
  <c r="L836" i="3"/>
  <c r="L828" i="3"/>
  <c r="L820" i="3"/>
  <c r="L812" i="3"/>
  <c r="L804" i="3"/>
  <c r="L796" i="3"/>
  <c r="L788" i="3"/>
  <c r="L780" i="3"/>
  <c r="L772" i="3"/>
  <c r="L764" i="3"/>
  <c r="L756" i="3"/>
  <c r="L748" i="3"/>
  <c r="L740" i="3"/>
  <c r="L732" i="3"/>
  <c r="L724" i="3"/>
  <c r="L716" i="3"/>
  <c r="L708" i="3"/>
  <c r="L700" i="3"/>
  <c r="L692" i="3"/>
  <c r="L684" i="3"/>
  <c r="L676" i="3"/>
  <c r="L668" i="3"/>
  <c r="L660" i="3"/>
  <c r="L652" i="3"/>
  <c r="L644" i="3"/>
  <c r="L636" i="3"/>
  <c r="L628" i="3"/>
  <c r="L620" i="3"/>
  <c r="L612" i="3"/>
  <c r="L604" i="3"/>
  <c r="L596" i="3"/>
  <c r="L588" i="3"/>
  <c r="L580" i="3"/>
  <c r="L572" i="3"/>
  <c r="L564" i="3"/>
  <c r="L556" i="3"/>
  <c r="L548" i="3"/>
  <c r="L540" i="3"/>
  <c r="L532" i="3"/>
  <c r="L524" i="3"/>
  <c r="L516" i="3"/>
  <c r="L508" i="3"/>
  <c r="L500" i="3"/>
  <c r="L492" i="3"/>
  <c r="L484" i="3"/>
  <c r="L476" i="3"/>
  <c r="L468" i="3"/>
  <c r="L460" i="3"/>
  <c r="L452" i="3"/>
  <c r="L444" i="3"/>
  <c r="L436" i="3"/>
  <c r="L428" i="3"/>
  <c r="L420" i="3"/>
  <c r="L412" i="3"/>
  <c r="L404" i="3"/>
  <c r="L396" i="3"/>
  <c r="L388" i="3"/>
  <c r="L380" i="3"/>
  <c r="L372" i="3"/>
  <c r="L364" i="3"/>
  <c r="L356" i="3"/>
  <c r="L348" i="3"/>
  <c r="L340" i="3"/>
  <c r="L332" i="3"/>
  <c r="L324" i="3"/>
  <c r="L316" i="3"/>
  <c r="L308" i="3"/>
  <c r="L300" i="3"/>
  <c r="L292" i="3"/>
  <c r="L284" i="3"/>
  <c r="L276" i="3"/>
  <c r="L268" i="3"/>
  <c r="L260" i="3"/>
  <c r="L252" i="3"/>
  <c r="L244" i="3"/>
  <c r="L236" i="3"/>
  <c r="L228" i="3"/>
  <c r="L220" i="3"/>
  <c r="L212" i="3"/>
  <c r="L204" i="3"/>
  <c r="L196" i="3"/>
  <c r="L188" i="3"/>
  <c r="L180" i="3"/>
  <c r="L172" i="3"/>
  <c r="L164" i="3"/>
  <c r="L156" i="3"/>
  <c r="L148" i="3"/>
  <c r="L140" i="3"/>
  <c r="L132" i="3"/>
  <c r="L123" i="3"/>
  <c r="L115" i="3"/>
  <c r="L107" i="3"/>
  <c r="L83" i="3"/>
  <c r="L75" i="3"/>
  <c r="L67" i="3"/>
  <c r="L59" i="3"/>
  <c r="L51" i="3"/>
  <c r="L43" i="3"/>
  <c r="L34" i="3"/>
  <c r="L26" i="3"/>
  <c r="E2456" i="3"/>
  <c r="D2456" i="3" s="1"/>
  <c r="E2424" i="3"/>
  <c r="E2392" i="3"/>
  <c r="E2360" i="3"/>
  <c r="E2328" i="3"/>
  <c r="D2328" i="3" s="1"/>
  <c r="E2296" i="3"/>
  <c r="D2296" i="3" s="1"/>
  <c r="E2264" i="3"/>
  <c r="E2232" i="3"/>
  <c r="E2200" i="3"/>
  <c r="D2200" i="3" s="1"/>
  <c r="E2168" i="3"/>
  <c r="E2136" i="3"/>
  <c r="E2104" i="3"/>
  <c r="E2072" i="3"/>
  <c r="D2072" i="3" s="1"/>
  <c r="E2040" i="3"/>
  <c r="D2040" i="3" s="1"/>
  <c r="E2008" i="3"/>
  <c r="D2008" i="3" s="1"/>
  <c r="E1976" i="3"/>
  <c r="E1944" i="3"/>
  <c r="D1944" i="3" s="1"/>
  <c r="E1912" i="3"/>
  <c r="D1912" i="3" s="1"/>
  <c r="E1775" i="3"/>
  <c r="D1775" i="3" s="1"/>
  <c r="E1711" i="3"/>
  <c r="E1647" i="3"/>
  <c r="D1647" i="3" s="1"/>
  <c r="E1583" i="3"/>
  <c r="D1583" i="3" s="1"/>
  <c r="E1519" i="3"/>
  <c r="E1455" i="3"/>
  <c r="E863" i="3"/>
  <c r="D863" i="3" s="1"/>
  <c r="E351" i="3"/>
  <c r="H351" i="3" s="1"/>
  <c r="N351" i="3" s="1"/>
  <c r="F2001" i="3"/>
  <c r="F2641" i="3"/>
  <c r="E2641" i="3"/>
  <c r="F2633" i="3"/>
  <c r="E2633" i="3"/>
  <c r="F2625" i="3"/>
  <c r="E2625" i="3"/>
  <c r="F2617" i="3"/>
  <c r="E2617" i="3"/>
  <c r="F2609" i="3"/>
  <c r="E2609" i="3"/>
  <c r="F2601" i="3"/>
  <c r="E2601" i="3"/>
  <c r="F2593" i="3"/>
  <c r="E2593" i="3"/>
  <c r="F2577" i="3"/>
  <c r="E2577" i="3"/>
  <c r="F2569" i="3"/>
  <c r="E2569" i="3"/>
  <c r="F2561" i="3"/>
  <c r="E2561" i="3"/>
  <c r="F2553" i="3"/>
  <c r="E2553" i="3"/>
  <c r="F2545" i="3"/>
  <c r="E2545" i="3"/>
  <c r="F2537" i="3"/>
  <c r="E2537" i="3"/>
  <c r="F2529" i="3"/>
  <c r="E2529" i="3"/>
  <c r="F2521" i="3"/>
  <c r="E2521" i="3"/>
  <c r="F2513" i="3"/>
  <c r="E2513" i="3"/>
  <c r="F2505" i="3"/>
  <c r="E2505" i="3"/>
  <c r="F2497" i="3"/>
  <c r="E2497" i="3"/>
  <c r="F2489" i="3"/>
  <c r="E2489" i="3"/>
  <c r="F2481" i="3"/>
  <c r="E2481" i="3"/>
  <c r="F2473" i="3"/>
  <c r="E2473" i="3"/>
  <c r="F2465" i="3"/>
  <c r="E2465" i="3"/>
  <c r="F2449" i="3"/>
  <c r="E2449" i="3"/>
  <c r="F2441" i="3"/>
  <c r="E2441" i="3"/>
  <c r="F2433" i="3"/>
  <c r="E2433" i="3"/>
  <c r="F2425" i="3"/>
  <c r="E2425" i="3"/>
  <c r="F2417" i="3"/>
  <c r="E2417" i="3"/>
  <c r="F2409" i="3"/>
  <c r="E2409" i="3"/>
  <c r="F2401" i="3"/>
  <c r="E2401" i="3"/>
  <c r="F2393" i="3"/>
  <c r="E2393" i="3"/>
  <c r="F2385" i="3"/>
  <c r="E2385" i="3"/>
  <c r="F2377" i="3"/>
  <c r="E2377" i="3"/>
  <c r="F2369" i="3"/>
  <c r="E2369" i="3"/>
  <c r="F2361" i="3"/>
  <c r="E2361" i="3"/>
  <c r="F2353" i="3"/>
  <c r="E2353" i="3"/>
  <c r="F2345" i="3"/>
  <c r="E2345" i="3"/>
  <c r="F2337" i="3"/>
  <c r="E2337" i="3"/>
  <c r="F2321" i="3"/>
  <c r="E2321" i="3"/>
  <c r="F2313" i="3"/>
  <c r="E2313" i="3"/>
  <c r="F2305" i="3"/>
  <c r="E2305" i="3"/>
  <c r="F2297" i="3"/>
  <c r="E2297" i="3"/>
  <c r="F2289" i="3"/>
  <c r="E2289" i="3"/>
  <c r="F2281" i="3"/>
  <c r="E2281" i="3"/>
  <c r="F2273" i="3"/>
  <c r="E2273" i="3"/>
  <c r="F2265" i="3"/>
  <c r="E2265" i="3"/>
  <c r="F2257" i="3"/>
  <c r="E2257" i="3"/>
  <c r="F2249" i="3"/>
  <c r="E2249" i="3"/>
  <c r="F2241" i="3"/>
  <c r="E2241" i="3"/>
  <c r="F2233" i="3"/>
  <c r="E2233" i="3"/>
  <c r="F2225" i="3"/>
  <c r="E2225" i="3"/>
  <c r="F2217" i="3"/>
  <c r="E2217" i="3"/>
  <c r="F2209" i="3"/>
  <c r="E2209" i="3"/>
  <c r="F2193" i="3"/>
  <c r="E2193" i="3"/>
  <c r="F2185" i="3"/>
  <c r="E2185" i="3"/>
  <c r="F2177" i="3"/>
  <c r="E2177" i="3"/>
  <c r="F2169" i="3"/>
  <c r="E2169" i="3"/>
  <c r="F2161" i="3"/>
  <c r="E2161" i="3"/>
  <c r="F2153" i="3"/>
  <c r="E2153" i="3"/>
  <c r="F2145" i="3"/>
  <c r="E2145" i="3"/>
  <c r="F2137" i="3"/>
  <c r="E2137" i="3"/>
  <c r="F2129" i="3"/>
  <c r="E2129" i="3"/>
  <c r="F2121" i="3"/>
  <c r="E2121" i="3"/>
  <c r="F2113" i="3"/>
  <c r="E2113" i="3"/>
  <c r="F2105" i="3"/>
  <c r="E2105" i="3"/>
  <c r="F2097" i="3"/>
  <c r="E2097" i="3"/>
  <c r="F2089" i="3"/>
  <c r="E2089" i="3"/>
  <c r="F2081" i="3"/>
  <c r="E2081" i="3"/>
  <c r="F2073" i="3"/>
  <c r="E2073" i="3"/>
  <c r="F2065" i="3"/>
  <c r="E2065" i="3"/>
  <c r="F2057" i="3"/>
  <c r="E2057" i="3"/>
  <c r="F2049" i="3"/>
  <c r="E2049" i="3"/>
  <c r="F2041" i="3"/>
  <c r="E2041" i="3"/>
  <c r="F2033" i="3"/>
  <c r="E2033" i="3"/>
  <c r="F2025" i="3"/>
  <c r="E2025" i="3"/>
  <c r="F2017" i="3"/>
  <c r="E2017" i="3"/>
  <c r="F2009" i="3"/>
  <c r="E2009" i="3"/>
  <c r="F1993" i="3"/>
  <c r="E1993" i="3"/>
  <c r="F1985" i="3"/>
  <c r="E1985" i="3"/>
  <c r="F1977" i="3"/>
  <c r="E1977" i="3"/>
  <c r="F1969" i="3"/>
  <c r="E1969" i="3"/>
  <c r="F1961" i="3"/>
  <c r="E1961" i="3"/>
  <c r="F1945" i="3"/>
  <c r="E1945" i="3"/>
  <c r="F1937" i="3"/>
  <c r="E1937" i="3"/>
  <c r="F1929" i="3"/>
  <c r="E1929" i="3"/>
  <c r="F1921" i="3"/>
  <c r="E1921" i="3"/>
  <c r="F1913" i="3"/>
  <c r="E1913" i="3"/>
  <c r="F1905" i="3"/>
  <c r="E1905" i="3"/>
  <c r="E1889" i="3"/>
  <c r="F1889" i="3"/>
  <c r="F1881" i="3"/>
  <c r="E1881" i="3"/>
  <c r="E1873" i="3"/>
  <c r="F1873" i="3"/>
  <c r="F1865" i="3"/>
  <c r="E1865" i="3"/>
  <c r="F1857" i="3"/>
  <c r="E1857" i="3"/>
  <c r="F1849" i="3"/>
  <c r="E1849" i="3"/>
  <c r="F1841" i="3"/>
  <c r="E1841" i="3"/>
  <c r="F1833" i="3"/>
  <c r="E1833" i="3"/>
  <c r="F1817" i="3"/>
  <c r="E1817" i="3"/>
  <c r="F1801" i="3"/>
  <c r="E1801" i="3"/>
  <c r="F1785" i="3"/>
  <c r="E1785" i="3"/>
  <c r="F1769" i="3"/>
  <c r="E1769" i="3"/>
  <c r="F1753" i="3"/>
  <c r="E1753" i="3"/>
  <c r="F1737" i="3"/>
  <c r="E1737" i="3"/>
  <c r="F1721" i="3"/>
  <c r="E1721" i="3"/>
  <c r="E1825" i="3"/>
  <c r="D1825" i="3" s="1"/>
  <c r="E1761" i="3"/>
  <c r="E1439" i="3"/>
  <c r="D1439" i="3" s="1"/>
  <c r="E1055" i="3"/>
  <c r="D1055" i="3" s="1"/>
  <c r="E543" i="3"/>
  <c r="D543" i="3" s="1"/>
  <c r="F2503" i="3"/>
  <c r="D2503" i="3" s="1"/>
  <c r="F2247" i="3"/>
  <c r="D2247" i="3" s="1"/>
  <c r="F1511" i="3"/>
  <c r="D1511" i="3" s="1"/>
  <c r="F1896" i="3"/>
  <c r="E1896" i="3"/>
  <c r="F1880" i="3"/>
  <c r="E1880" i="3"/>
  <c r="F1872" i="3"/>
  <c r="E1872" i="3"/>
  <c r="F1864" i="3"/>
  <c r="E1864" i="3"/>
  <c r="F1856" i="3"/>
  <c r="E1856" i="3"/>
  <c r="F1832" i="3"/>
  <c r="E1832" i="3"/>
  <c r="F1824" i="3"/>
  <c r="E1824" i="3"/>
  <c r="F1816" i="3"/>
  <c r="E1816" i="3"/>
  <c r="F1808" i="3"/>
  <c r="E1808" i="3"/>
  <c r="F1800" i="3"/>
  <c r="E1800" i="3"/>
  <c r="F1792" i="3"/>
  <c r="E1792" i="3"/>
  <c r="F1784" i="3"/>
  <c r="E1784" i="3"/>
  <c r="F1776" i="3"/>
  <c r="E1776" i="3"/>
  <c r="F1768" i="3"/>
  <c r="E1768" i="3"/>
  <c r="F1760" i="3"/>
  <c r="E1760" i="3"/>
  <c r="F1752" i="3"/>
  <c r="E1752" i="3"/>
  <c r="F1744" i="3"/>
  <c r="E1744" i="3"/>
  <c r="F1736" i="3"/>
  <c r="E1736" i="3"/>
  <c r="F1728" i="3"/>
  <c r="E1728" i="3"/>
  <c r="F1720" i="3"/>
  <c r="E1720" i="3"/>
  <c r="F1712" i="3"/>
  <c r="E1712" i="3"/>
  <c r="F1704" i="3"/>
  <c r="E1704" i="3"/>
  <c r="F1696" i="3"/>
  <c r="E1696" i="3"/>
  <c r="F1688" i="3"/>
  <c r="E1688" i="3"/>
  <c r="F1680" i="3"/>
  <c r="E1680" i="3"/>
  <c r="F1672" i="3"/>
  <c r="E1672" i="3"/>
  <c r="F1664" i="3"/>
  <c r="E1664" i="3"/>
  <c r="F1656" i="3"/>
  <c r="E1656" i="3"/>
  <c r="F1648" i="3"/>
  <c r="E1648" i="3"/>
  <c r="F1640" i="3"/>
  <c r="E1640" i="3"/>
  <c r="F1632" i="3"/>
  <c r="E1632" i="3"/>
  <c r="F1624" i="3"/>
  <c r="E1624" i="3"/>
  <c r="F1616" i="3"/>
  <c r="E1616" i="3"/>
  <c r="F1608" i="3"/>
  <c r="E1608" i="3"/>
  <c r="F1600" i="3"/>
  <c r="E1600" i="3"/>
  <c r="F1592" i="3"/>
  <c r="E1592" i="3"/>
  <c r="F1584" i="3"/>
  <c r="E1584" i="3"/>
  <c r="F1576" i="3"/>
  <c r="E1576" i="3"/>
  <c r="F1568" i="3"/>
  <c r="E1568" i="3"/>
  <c r="F1560" i="3"/>
  <c r="E1560" i="3"/>
  <c r="F1552" i="3"/>
  <c r="E1552" i="3"/>
  <c r="F1544" i="3"/>
  <c r="E1544" i="3"/>
  <c r="F1536" i="3"/>
  <c r="E1536" i="3"/>
  <c r="F1528" i="3"/>
  <c r="E1528" i="3"/>
  <c r="F1520" i="3"/>
  <c r="E1520" i="3"/>
  <c r="F1512" i="3"/>
  <c r="E1512" i="3"/>
  <c r="F1504" i="3"/>
  <c r="E1504" i="3"/>
  <c r="F1496" i="3"/>
  <c r="E1496" i="3"/>
  <c r="F1488" i="3"/>
  <c r="E1488" i="3"/>
  <c r="F1480" i="3"/>
  <c r="E1480" i="3"/>
  <c r="F1472" i="3"/>
  <c r="E1472" i="3"/>
  <c r="F1464" i="3"/>
  <c r="E1464" i="3"/>
  <c r="F1456" i="3"/>
  <c r="E1456" i="3"/>
  <c r="E2480" i="3"/>
  <c r="H2480" i="3" s="1"/>
  <c r="E2448" i="3"/>
  <c r="E2416" i="3"/>
  <c r="D2416" i="3" s="1"/>
  <c r="E2384" i="3"/>
  <c r="D2384" i="3" s="1"/>
  <c r="E2352" i="3"/>
  <c r="D2352" i="3" s="1"/>
  <c r="E2320" i="3"/>
  <c r="H2320" i="3" s="1"/>
  <c r="E2288" i="3"/>
  <c r="D2288" i="3" s="1"/>
  <c r="E2256" i="3"/>
  <c r="E2224" i="3"/>
  <c r="D2224" i="3" s="1"/>
  <c r="E2192" i="3"/>
  <c r="E2160" i="3"/>
  <c r="D2160" i="3" s="1"/>
  <c r="E2128" i="3"/>
  <c r="D2128" i="3" s="1"/>
  <c r="E2096" i="3"/>
  <c r="E2064" i="3"/>
  <c r="H2064" i="3" s="1"/>
  <c r="E2032" i="3"/>
  <c r="D2032" i="3" s="1"/>
  <c r="E2000" i="3"/>
  <c r="E1968" i="3"/>
  <c r="D1968" i="3" s="1"/>
  <c r="E1936" i="3"/>
  <c r="E1904" i="3"/>
  <c r="D1904" i="3" s="1"/>
  <c r="E1823" i="3"/>
  <c r="D1823" i="3" s="1"/>
  <c r="E1759" i="3"/>
  <c r="E1695" i="3"/>
  <c r="D1695" i="3" s="1"/>
  <c r="E1631" i="3"/>
  <c r="E1567" i="3"/>
  <c r="E1503" i="3"/>
  <c r="E1247" i="3"/>
  <c r="D1247" i="3" s="1"/>
  <c r="E735" i="3"/>
  <c r="D735" i="3" s="1"/>
  <c r="E62" i="3"/>
  <c r="F2457" i="3"/>
  <c r="G2457" i="3" s="1"/>
  <c r="M2457" i="3" s="1"/>
  <c r="F2201" i="3"/>
  <c r="D2201" i="3" s="1"/>
  <c r="F1953" i="3"/>
  <c r="F2487" i="3"/>
  <c r="E2487" i="3"/>
  <c r="F2471" i="3"/>
  <c r="E2471" i="3"/>
  <c r="E2455" i="3"/>
  <c r="F2455" i="3"/>
  <c r="F2439" i="3"/>
  <c r="E2439" i="3"/>
  <c r="F2431" i="3"/>
  <c r="E2431" i="3"/>
  <c r="F2423" i="3"/>
  <c r="E2423" i="3"/>
  <c r="F2415" i="3"/>
  <c r="E2415" i="3"/>
  <c r="E2407" i="3"/>
  <c r="F2407" i="3"/>
  <c r="F2399" i="3"/>
  <c r="E2399" i="3"/>
  <c r="F2391" i="3"/>
  <c r="E2391" i="3"/>
  <c r="F2383" i="3"/>
  <c r="E2383" i="3"/>
  <c r="F2367" i="3"/>
  <c r="E2367" i="3"/>
  <c r="F2335" i="3"/>
  <c r="E2335" i="3"/>
  <c r="F2231" i="3"/>
  <c r="E2231" i="3"/>
  <c r="F2215" i="3"/>
  <c r="E2215" i="3"/>
  <c r="E2199" i="3"/>
  <c r="F2199" i="3"/>
  <c r="F2191" i="3"/>
  <c r="E2191" i="3"/>
  <c r="F2175" i="3"/>
  <c r="E2175" i="3"/>
  <c r="F2167" i="3"/>
  <c r="E2167" i="3"/>
  <c r="F2159" i="3"/>
  <c r="E2159" i="3"/>
  <c r="E2151" i="3"/>
  <c r="F2151" i="3"/>
  <c r="F2143" i="3"/>
  <c r="E2143" i="3"/>
  <c r="F2135" i="3"/>
  <c r="E2135" i="3"/>
  <c r="F2127" i="3"/>
  <c r="E2127" i="3"/>
  <c r="F2047" i="3"/>
  <c r="E2047" i="3"/>
  <c r="F2031" i="3"/>
  <c r="E2031" i="3"/>
  <c r="F2015" i="3"/>
  <c r="E2015" i="3"/>
  <c r="E1999" i="3"/>
  <c r="F1999" i="3"/>
  <c r="F1983" i="3"/>
  <c r="E1983" i="3"/>
  <c r="F1967" i="3"/>
  <c r="E1967" i="3"/>
  <c r="F1951" i="3"/>
  <c r="E1951" i="3"/>
  <c r="F1927" i="3"/>
  <c r="E1927" i="3"/>
  <c r="F1887" i="3"/>
  <c r="E1887" i="3"/>
  <c r="F1799" i="3"/>
  <c r="E1799" i="3"/>
  <c r="F1751" i="3"/>
  <c r="E1751" i="3"/>
  <c r="F1719" i="3"/>
  <c r="E1719" i="3"/>
  <c r="F1687" i="3"/>
  <c r="E1687" i="3"/>
  <c r="F1655" i="3"/>
  <c r="E1655" i="3"/>
  <c r="F1623" i="3"/>
  <c r="E1623" i="3"/>
  <c r="F1591" i="3"/>
  <c r="E1591" i="3"/>
  <c r="F1559" i="3"/>
  <c r="E1559" i="3"/>
  <c r="F1527" i="3"/>
  <c r="E1527" i="3"/>
  <c r="F1479" i="3"/>
  <c r="E1479" i="3"/>
  <c r="F1447" i="3"/>
  <c r="E1447" i="3"/>
  <c r="F1431" i="3"/>
  <c r="E1431" i="3"/>
  <c r="F1415" i="3"/>
  <c r="E1415" i="3"/>
  <c r="F1407" i="3"/>
  <c r="E1407" i="3"/>
  <c r="F1399" i="3"/>
  <c r="E1399" i="3"/>
  <c r="E1383" i="3"/>
  <c r="F1383" i="3"/>
  <c r="F1367" i="3"/>
  <c r="E1367" i="3"/>
  <c r="E1319" i="3"/>
  <c r="F1319" i="3"/>
  <c r="F1303" i="3"/>
  <c r="E1303" i="3"/>
  <c r="E1295" i="3"/>
  <c r="F1295" i="3"/>
  <c r="F1287" i="3"/>
  <c r="E1287" i="3"/>
  <c r="F1279" i="3"/>
  <c r="E1279" i="3"/>
  <c r="F1271" i="3"/>
  <c r="E1271" i="3"/>
  <c r="F1239" i="3"/>
  <c r="E1239" i="3"/>
  <c r="E1231" i="3"/>
  <c r="F1231" i="3"/>
  <c r="F1223" i="3"/>
  <c r="E1223" i="3"/>
  <c r="F1215" i="3"/>
  <c r="E1215" i="3"/>
  <c r="F1207" i="3"/>
  <c r="E1207" i="3"/>
  <c r="F1199" i="3"/>
  <c r="E1199" i="3"/>
  <c r="F1191" i="3"/>
  <c r="E1191" i="3"/>
  <c r="F1175" i="3"/>
  <c r="E1175" i="3"/>
  <c r="E1167" i="3"/>
  <c r="F1167" i="3"/>
  <c r="F1159" i="3"/>
  <c r="E1159" i="3"/>
  <c r="F1151" i="3"/>
  <c r="E1151" i="3"/>
  <c r="F1143" i="3"/>
  <c r="E1143" i="3"/>
  <c r="F1135" i="3"/>
  <c r="E1135" i="3"/>
  <c r="E1127" i="3"/>
  <c r="F1127" i="3"/>
  <c r="F1111" i="3"/>
  <c r="E1111" i="3"/>
  <c r="F1103" i="3"/>
  <c r="E1103" i="3"/>
  <c r="F1095" i="3"/>
  <c r="E1095" i="3"/>
  <c r="F1087" i="3"/>
  <c r="E1087" i="3"/>
  <c r="F1079" i="3"/>
  <c r="E1079" i="3"/>
  <c r="F1071" i="3"/>
  <c r="E1071" i="3"/>
  <c r="F1063" i="3"/>
  <c r="E1063" i="3"/>
  <c r="F1047" i="3"/>
  <c r="E1047" i="3"/>
  <c r="F1039" i="3"/>
  <c r="E1039" i="3"/>
  <c r="F1031" i="3"/>
  <c r="E1031" i="3"/>
  <c r="E1023" i="3"/>
  <c r="F1023" i="3"/>
  <c r="F1015" i="3"/>
  <c r="E1015" i="3"/>
  <c r="F1007" i="3"/>
  <c r="E1007" i="3"/>
  <c r="F999" i="3"/>
  <c r="E999" i="3"/>
  <c r="F983" i="3"/>
  <c r="E983" i="3"/>
  <c r="F975" i="3"/>
  <c r="E975" i="3"/>
  <c r="F967" i="3"/>
  <c r="E967" i="3"/>
  <c r="F959" i="3"/>
  <c r="E959" i="3"/>
  <c r="F951" i="3"/>
  <c r="E951" i="3"/>
  <c r="F943" i="3"/>
  <c r="E943" i="3"/>
  <c r="F935" i="3"/>
  <c r="E935" i="3"/>
  <c r="F919" i="3"/>
  <c r="E919" i="3"/>
  <c r="F911" i="3"/>
  <c r="E911" i="3"/>
  <c r="F903" i="3"/>
  <c r="E903" i="3"/>
  <c r="F895" i="3"/>
  <c r="E895" i="3"/>
  <c r="F887" i="3"/>
  <c r="E887" i="3"/>
  <c r="F879" i="3"/>
  <c r="E879" i="3"/>
  <c r="F871" i="3"/>
  <c r="E871" i="3"/>
  <c r="F855" i="3"/>
  <c r="E855" i="3"/>
  <c r="F847" i="3"/>
  <c r="E847" i="3"/>
  <c r="F839" i="3"/>
  <c r="E839" i="3"/>
  <c r="F831" i="3"/>
  <c r="E831" i="3"/>
  <c r="F823" i="3"/>
  <c r="E823" i="3"/>
  <c r="F815" i="3"/>
  <c r="E815" i="3"/>
  <c r="F807" i="3"/>
  <c r="E807" i="3"/>
  <c r="F791" i="3"/>
  <c r="E791" i="3"/>
  <c r="F783" i="3"/>
  <c r="E783" i="3"/>
  <c r="F775" i="3"/>
  <c r="E775" i="3"/>
  <c r="F767" i="3"/>
  <c r="E767" i="3"/>
  <c r="F759" i="3"/>
  <c r="E759" i="3"/>
  <c r="F751" i="3"/>
  <c r="E751" i="3"/>
  <c r="F743" i="3"/>
  <c r="E743" i="3"/>
  <c r="F727" i="3"/>
  <c r="E727" i="3"/>
  <c r="F719" i="3"/>
  <c r="E719" i="3"/>
  <c r="F711" i="3"/>
  <c r="E711" i="3"/>
  <c r="F703" i="3"/>
  <c r="E703" i="3"/>
  <c r="F695" i="3"/>
  <c r="E695" i="3"/>
  <c r="F687" i="3"/>
  <c r="E687" i="3"/>
  <c r="F679" i="3"/>
  <c r="E679" i="3"/>
  <c r="F663" i="3"/>
  <c r="E663" i="3"/>
  <c r="F655" i="3"/>
  <c r="E655" i="3"/>
  <c r="F647" i="3"/>
  <c r="E647" i="3"/>
  <c r="F639" i="3"/>
  <c r="E639" i="3"/>
  <c r="F623" i="3"/>
  <c r="E623" i="3"/>
  <c r="F615" i="3"/>
  <c r="E615" i="3"/>
  <c r="F599" i="3"/>
  <c r="E599" i="3"/>
  <c r="F591" i="3"/>
  <c r="E591" i="3"/>
  <c r="F583" i="3"/>
  <c r="E583" i="3"/>
  <c r="E575" i="3"/>
  <c r="F575" i="3"/>
  <c r="E567" i="3"/>
  <c r="F567" i="3"/>
  <c r="F559" i="3"/>
  <c r="E559" i="3"/>
  <c r="F551" i="3"/>
  <c r="E551" i="3"/>
  <c r="F535" i="3"/>
  <c r="E535" i="3"/>
  <c r="F527" i="3"/>
  <c r="E527" i="3"/>
  <c r="F519" i="3"/>
  <c r="E519" i="3"/>
  <c r="F511" i="3"/>
  <c r="E511" i="3"/>
  <c r="F503" i="3"/>
  <c r="E503" i="3"/>
  <c r="F495" i="3"/>
  <c r="E495" i="3"/>
  <c r="F487" i="3"/>
  <c r="E487" i="3"/>
  <c r="F471" i="3"/>
  <c r="E471" i="3"/>
  <c r="F463" i="3"/>
  <c r="E463" i="3"/>
  <c r="F455" i="3"/>
  <c r="E455" i="3"/>
  <c r="F447" i="3"/>
  <c r="E447" i="3"/>
  <c r="F439" i="3"/>
  <c r="E439" i="3"/>
  <c r="F431" i="3"/>
  <c r="E431" i="3"/>
  <c r="F423" i="3"/>
  <c r="E423" i="3"/>
  <c r="F407" i="3"/>
  <c r="E407" i="3"/>
  <c r="F399" i="3"/>
  <c r="E399" i="3"/>
  <c r="F391" i="3"/>
  <c r="E391" i="3"/>
  <c r="F383" i="3"/>
  <c r="E383" i="3"/>
  <c r="F375" i="3"/>
  <c r="E375" i="3"/>
  <c r="F367" i="3"/>
  <c r="E367" i="3"/>
  <c r="F359" i="3"/>
  <c r="E359" i="3"/>
  <c r="F343" i="3"/>
  <c r="E343" i="3"/>
  <c r="F335" i="3"/>
  <c r="E335" i="3"/>
  <c r="F327" i="3"/>
  <c r="E327" i="3"/>
  <c r="E319" i="3"/>
  <c r="F319" i="3"/>
  <c r="E311" i="3"/>
  <c r="F311" i="3"/>
  <c r="F303" i="3"/>
  <c r="E303" i="3"/>
  <c r="F295" i="3"/>
  <c r="E295" i="3"/>
  <c r="F287" i="3"/>
  <c r="E287" i="3"/>
  <c r="F271" i="3"/>
  <c r="E271" i="3"/>
  <c r="E263" i="3"/>
  <c r="F263" i="3"/>
  <c r="F255" i="3"/>
  <c r="E255" i="3"/>
  <c r="F247" i="3"/>
  <c r="E247" i="3"/>
  <c r="F239" i="3"/>
  <c r="E239" i="3"/>
  <c r="F231" i="3"/>
  <c r="E231" i="3"/>
  <c r="F223" i="3"/>
  <c r="E223" i="3"/>
  <c r="F215" i="3"/>
  <c r="E215" i="3"/>
  <c r="F207" i="3"/>
  <c r="E207" i="3"/>
  <c r="E199" i="3"/>
  <c r="F199" i="3"/>
  <c r="F191" i="3"/>
  <c r="E191" i="3"/>
  <c r="F183" i="3"/>
  <c r="E183" i="3"/>
  <c r="F175" i="3"/>
  <c r="E175" i="3"/>
  <c r="F167" i="3"/>
  <c r="E167" i="3"/>
  <c r="F159" i="3"/>
  <c r="E159" i="3"/>
  <c r="F151" i="3"/>
  <c r="E151" i="3"/>
  <c r="F143" i="3"/>
  <c r="E143" i="3"/>
  <c r="F135" i="3"/>
  <c r="E135" i="3"/>
  <c r="F127" i="3"/>
  <c r="E127" i="3"/>
  <c r="E118" i="3"/>
  <c r="F118" i="3"/>
  <c r="F110" i="3"/>
  <c r="E110" i="3"/>
  <c r="F102" i="3"/>
  <c r="E102" i="3"/>
  <c r="F94" i="3"/>
  <c r="E94" i="3"/>
  <c r="F86" i="3"/>
  <c r="E86" i="3"/>
  <c r="F78" i="3"/>
  <c r="E78" i="3"/>
  <c r="F70" i="3"/>
  <c r="E70" i="3"/>
  <c r="E54" i="3"/>
  <c r="F54" i="3"/>
  <c r="F46" i="3"/>
  <c r="E46" i="3"/>
  <c r="F37" i="3"/>
  <c r="E37" i="3"/>
  <c r="F29" i="3"/>
  <c r="E29" i="3"/>
  <c r="E1897" i="3"/>
  <c r="D1897" i="3" s="1"/>
  <c r="E1809" i="3"/>
  <c r="D1809" i="3" s="1"/>
  <c r="E1745" i="3"/>
  <c r="E927" i="3"/>
  <c r="H927" i="3" s="1"/>
  <c r="N927" i="3" s="1"/>
  <c r="E415" i="3"/>
  <c r="D415" i="3" s="1"/>
  <c r="F2575" i="3"/>
  <c r="E2575" i="3"/>
  <c r="F2567" i="3"/>
  <c r="E2567" i="3"/>
  <c r="F2559" i="3"/>
  <c r="E2559" i="3"/>
  <c r="F2551" i="3"/>
  <c r="E2551" i="3"/>
  <c r="F2543" i="3"/>
  <c r="E2543" i="3"/>
  <c r="E2535" i="3"/>
  <c r="F2535" i="3"/>
  <c r="F2527" i="3"/>
  <c r="E2527" i="3"/>
  <c r="F2519" i="3"/>
  <c r="E2519" i="3"/>
  <c r="F2511" i="3"/>
  <c r="E2511" i="3"/>
  <c r="F2495" i="3"/>
  <c r="E2495" i="3"/>
  <c r="F2479" i="3"/>
  <c r="E2479" i="3"/>
  <c r="F2463" i="3"/>
  <c r="E2463" i="3"/>
  <c r="F2447" i="3"/>
  <c r="E2447" i="3"/>
  <c r="F2359" i="3"/>
  <c r="E2359" i="3"/>
  <c r="F2351" i="3"/>
  <c r="E2351" i="3"/>
  <c r="F2343" i="3"/>
  <c r="E2343" i="3"/>
  <c r="E2327" i="3"/>
  <c r="F2327" i="3"/>
  <c r="F2319" i="3"/>
  <c r="E2319" i="3"/>
  <c r="F2311" i="3"/>
  <c r="E2311" i="3"/>
  <c r="F2303" i="3"/>
  <c r="E2303" i="3"/>
  <c r="F2295" i="3"/>
  <c r="E2295" i="3"/>
  <c r="F2287" i="3"/>
  <c r="E2287" i="3"/>
  <c r="E2279" i="3"/>
  <c r="F2279" i="3"/>
  <c r="F2271" i="3"/>
  <c r="E2271" i="3"/>
  <c r="F2263" i="3"/>
  <c r="E2263" i="3"/>
  <c r="F2255" i="3"/>
  <c r="E2255" i="3"/>
  <c r="F2239" i="3"/>
  <c r="E2239" i="3"/>
  <c r="F2223" i="3"/>
  <c r="E2223" i="3"/>
  <c r="F2207" i="3"/>
  <c r="E2207" i="3"/>
  <c r="F2183" i="3"/>
  <c r="E2183" i="3"/>
  <c r="F2111" i="3"/>
  <c r="E2111" i="3"/>
  <c r="F2103" i="3"/>
  <c r="E2103" i="3"/>
  <c r="F2095" i="3"/>
  <c r="E2095" i="3"/>
  <c r="F2087" i="3"/>
  <c r="E2087" i="3"/>
  <c r="F2079" i="3"/>
  <c r="E2079" i="3"/>
  <c r="F2071" i="3"/>
  <c r="E2071" i="3"/>
  <c r="F2055" i="3"/>
  <c r="E2055" i="3"/>
  <c r="F2039" i="3"/>
  <c r="E2039" i="3"/>
  <c r="F2023" i="3"/>
  <c r="E2023" i="3"/>
  <c r="F2007" i="3"/>
  <c r="E2007" i="3"/>
  <c r="F1991" i="3"/>
  <c r="E1991" i="3"/>
  <c r="F1975" i="3"/>
  <c r="E1975" i="3"/>
  <c r="F1959" i="3"/>
  <c r="E1959" i="3"/>
  <c r="F1943" i="3"/>
  <c r="E1943" i="3"/>
  <c r="E1935" i="3"/>
  <c r="F1935" i="3"/>
  <c r="F1919" i="3"/>
  <c r="E1919" i="3"/>
  <c r="F1911" i="3"/>
  <c r="E1911" i="3"/>
  <c r="F1903" i="3"/>
  <c r="E1903" i="3"/>
  <c r="E1871" i="3"/>
  <c r="F1871" i="3"/>
  <c r="F1863" i="3"/>
  <c r="E1863" i="3"/>
  <c r="F1855" i="3"/>
  <c r="E1855" i="3"/>
  <c r="F1847" i="3"/>
  <c r="E1847" i="3"/>
  <c r="F1839" i="3"/>
  <c r="E1839" i="3"/>
  <c r="F1815" i="3"/>
  <c r="E1815" i="3"/>
  <c r="F1783" i="3"/>
  <c r="E1783" i="3"/>
  <c r="F1735" i="3"/>
  <c r="E1735" i="3"/>
  <c r="F1703" i="3"/>
  <c r="E1703" i="3"/>
  <c r="F1671" i="3"/>
  <c r="E1671" i="3"/>
  <c r="E1639" i="3"/>
  <c r="F1639" i="3"/>
  <c r="F1607" i="3"/>
  <c r="E1607" i="3"/>
  <c r="E1575" i="3"/>
  <c r="F1575" i="3"/>
  <c r="F1543" i="3"/>
  <c r="E1543" i="3"/>
  <c r="F1495" i="3"/>
  <c r="E1495" i="3"/>
  <c r="F1463" i="3"/>
  <c r="E1463" i="3"/>
  <c r="E1423" i="3"/>
  <c r="F1423" i="3"/>
  <c r="F1359" i="3"/>
  <c r="E1359" i="3"/>
  <c r="F1351" i="3"/>
  <c r="E1351" i="3"/>
  <c r="F1343" i="3"/>
  <c r="E1343" i="3"/>
  <c r="F1335" i="3"/>
  <c r="E1335" i="3"/>
  <c r="F1263" i="3"/>
  <c r="E1263" i="3"/>
  <c r="F21" i="3"/>
  <c r="E21" i="3"/>
  <c r="F13" i="3"/>
  <c r="E13" i="3"/>
  <c r="E5" i="3"/>
  <c r="F5" i="3"/>
  <c r="L16" i="3"/>
  <c r="L8" i="3"/>
  <c r="L2640" i="3"/>
  <c r="I2640" i="3"/>
  <c r="L2632" i="3"/>
  <c r="I2632" i="3"/>
  <c r="L2624" i="3"/>
  <c r="I2624" i="3"/>
  <c r="L2616" i="3"/>
  <c r="I2616" i="3"/>
  <c r="L2608" i="3"/>
  <c r="I2608" i="3"/>
  <c r="L2600" i="3"/>
  <c r="I2600" i="3"/>
  <c r="L2592" i="3"/>
  <c r="I2592" i="3"/>
  <c r="I2584" i="3"/>
  <c r="I2576" i="3"/>
  <c r="I2568" i="3"/>
  <c r="I2560" i="3"/>
  <c r="I2552" i="3"/>
  <c r="I2544" i="3"/>
  <c r="I2536" i="3"/>
  <c r="I2528" i="3"/>
  <c r="I2520" i="3"/>
  <c r="I2512" i="3"/>
  <c r="I2504" i="3"/>
  <c r="I2496" i="3"/>
  <c r="I2488" i="3"/>
  <c r="I2480" i="3"/>
  <c r="I2472" i="3"/>
  <c r="I2464" i="3"/>
  <c r="I2456" i="3"/>
  <c r="I2448" i="3"/>
  <c r="I2440" i="3"/>
  <c r="I2432" i="3"/>
  <c r="I2424" i="3"/>
  <c r="I2416" i="3"/>
  <c r="I2408" i="3"/>
  <c r="I2400" i="3"/>
  <c r="I2392" i="3"/>
  <c r="L2384" i="3"/>
  <c r="I2384" i="3"/>
  <c r="L2376" i="3"/>
  <c r="I2376" i="3"/>
  <c r="L2368" i="3"/>
  <c r="I2368" i="3"/>
  <c r="L2360" i="3"/>
  <c r="I2360" i="3"/>
  <c r="L2352" i="3"/>
  <c r="I2352" i="3"/>
  <c r="L2344" i="3"/>
  <c r="I2344" i="3"/>
  <c r="L2336" i="3"/>
  <c r="I2336" i="3"/>
  <c r="L2328" i="3"/>
  <c r="I2328" i="3"/>
  <c r="I2320" i="3"/>
  <c r="I2312" i="3"/>
  <c r="I2304" i="3"/>
  <c r="I2296" i="3"/>
  <c r="I2288" i="3"/>
  <c r="I2280" i="3"/>
  <c r="I2272" i="3"/>
  <c r="I2264" i="3"/>
  <c r="I2256" i="3"/>
  <c r="I2248" i="3"/>
  <c r="I2240" i="3"/>
  <c r="I2232" i="3"/>
  <c r="I2224" i="3"/>
  <c r="I2216" i="3"/>
  <c r="I2208" i="3"/>
  <c r="I2200" i="3"/>
  <c r="I2192" i="3"/>
  <c r="I2184" i="3"/>
  <c r="I2176" i="3"/>
  <c r="I2168" i="3"/>
  <c r="I2160" i="3"/>
  <c r="I2152" i="3"/>
  <c r="I2144" i="3"/>
  <c r="I2136" i="3"/>
  <c r="I2128" i="3"/>
  <c r="I2120" i="3"/>
  <c r="I2112" i="3"/>
  <c r="I2104" i="3"/>
  <c r="I2096" i="3"/>
  <c r="I2088" i="3"/>
  <c r="I2080" i="3"/>
  <c r="I2072" i="3"/>
  <c r="I2064" i="3"/>
  <c r="I2056" i="3"/>
  <c r="I2048" i="3"/>
  <c r="I2040" i="3"/>
  <c r="I2032" i="3"/>
  <c r="I2024" i="3"/>
  <c r="I2016" i="3"/>
  <c r="I2008" i="3"/>
  <c r="I2000" i="3"/>
  <c r="I1992" i="3"/>
  <c r="I1984" i="3"/>
  <c r="I1976" i="3"/>
  <c r="I1968" i="3"/>
  <c r="I1960" i="3"/>
  <c r="I1952" i="3"/>
  <c r="I1944" i="3"/>
  <c r="I1936" i="3"/>
  <c r="I1928" i="3"/>
  <c r="I1920" i="3"/>
  <c r="I1912" i="3"/>
  <c r="I1904" i="3"/>
  <c r="I1896" i="3"/>
  <c r="I1888" i="3"/>
  <c r="I1880" i="3"/>
  <c r="I1872" i="3"/>
  <c r="I1864" i="3"/>
  <c r="I1856" i="3"/>
  <c r="I1848" i="3"/>
  <c r="I1840" i="3"/>
  <c r="I1832" i="3"/>
  <c r="I1824" i="3"/>
  <c r="I1816" i="3"/>
  <c r="I1808" i="3"/>
  <c r="I1800" i="3"/>
  <c r="I1792" i="3"/>
  <c r="I1784" i="3"/>
  <c r="I1776" i="3"/>
  <c r="I1768" i="3"/>
  <c r="I1760" i="3"/>
  <c r="I1752" i="3"/>
  <c r="I1744" i="3"/>
  <c r="I1736" i="3"/>
  <c r="I1728" i="3"/>
  <c r="I1720" i="3"/>
  <c r="I1712" i="3"/>
  <c r="I1704" i="3"/>
  <c r="I1696" i="3"/>
  <c r="I1688" i="3"/>
  <c r="I1680" i="3"/>
  <c r="I1672" i="3"/>
  <c r="I1664" i="3"/>
  <c r="I1656" i="3"/>
  <c r="I1648" i="3"/>
  <c r="I1640" i="3"/>
  <c r="I1632" i="3"/>
  <c r="I1624" i="3"/>
  <c r="I1616" i="3"/>
  <c r="I1608" i="3"/>
  <c r="I1600" i="3"/>
  <c r="I1592" i="3"/>
  <c r="I1584" i="3"/>
  <c r="I1576" i="3"/>
  <c r="I1568" i="3"/>
  <c r="I1560" i="3"/>
  <c r="I1552" i="3"/>
  <c r="I1544" i="3"/>
  <c r="I1536" i="3"/>
  <c r="I1528" i="3"/>
  <c r="I1520" i="3"/>
  <c r="I1512" i="3"/>
  <c r="I1504" i="3"/>
  <c r="I1496" i="3"/>
  <c r="I1488" i="3"/>
  <c r="I1480" i="3"/>
  <c r="I1472" i="3"/>
  <c r="I1464" i="3"/>
  <c r="I1456" i="3"/>
  <c r="I1448" i="3"/>
  <c r="I1440" i="3"/>
  <c r="I1432" i="3"/>
  <c r="I1424" i="3"/>
  <c r="I1416" i="3"/>
  <c r="I1408" i="3"/>
  <c r="I1400" i="3"/>
  <c r="I1392" i="3"/>
  <c r="I1384" i="3"/>
  <c r="I1376" i="3"/>
  <c r="I1368" i="3"/>
  <c r="I1360" i="3"/>
  <c r="I1352" i="3"/>
  <c r="I1344" i="3"/>
  <c r="I1336" i="3"/>
  <c r="I1328" i="3"/>
  <c r="I1320" i="3"/>
  <c r="I1312" i="3"/>
  <c r="I1304" i="3"/>
  <c r="I1296" i="3"/>
  <c r="I1288" i="3"/>
  <c r="I1280" i="3"/>
  <c r="I1272" i="3"/>
  <c r="I1264" i="3"/>
  <c r="I1256" i="3"/>
  <c r="I1248" i="3"/>
  <c r="I1240" i="3"/>
  <c r="L1232" i="3"/>
  <c r="L1224" i="3"/>
  <c r="L1216" i="3"/>
  <c r="L1208" i="3"/>
  <c r="L1200" i="3"/>
  <c r="L1192" i="3"/>
  <c r="L1184" i="3"/>
  <c r="L1176" i="3"/>
  <c r="L1168" i="3"/>
  <c r="L1160" i="3"/>
  <c r="L1152" i="3"/>
  <c r="L1144" i="3"/>
  <c r="L1136" i="3"/>
  <c r="L1128" i="3"/>
  <c r="L1120" i="3"/>
  <c r="L1112" i="3"/>
  <c r="L1104" i="3"/>
  <c r="L1096" i="3"/>
  <c r="L1088" i="3"/>
  <c r="L1080" i="3"/>
  <c r="L1072" i="3"/>
  <c r="L1064" i="3"/>
  <c r="L1056" i="3"/>
  <c r="L1048" i="3"/>
  <c r="L1040" i="3"/>
  <c r="L1032" i="3"/>
  <c r="L1024" i="3"/>
  <c r="L1016" i="3"/>
  <c r="L1008" i="3"/>
  <c r="L1000" i="3"/>
  <c r="L992" i="3"/>
  <c r="L984" i="3"/>
  <c r="L976" i="3"/>
  <c r="L968" i="3"/>
  <c r="L960" i="3"/>
  <c r="L952" i="3"/>
  <c r="L944" i="3"/>
  <c r="L936" i="3"/>
  <c r="L928" i="3"/>
  <c r="L920" i="3"/>
  <c r="L912" i="3"/>
  <c r="L904" i="3"/>
  <c r="L896" i="3"/>
  <c r="L888" i="3"/>
  <c r="L880" i="3"/>
  <c r="L872" i="3"/>
  <c r="L864" i="3"/>
  <c r="L856" i="3"/>
  <c r="L848" i="3"/>
  <c r="L840" i="3"/>
  <c r="L832" i="3"/>
  <c r="L824" i="3"/>
  <c r="L816" i="3"/>
  <c r="L808" i="3"/>
  <c r="L800" i="3"/>
  <c r="L792" i="3"/>
  <c r="L784" i="3"/>
  <c r="L776" i="3"/>
  <c r="L768" i="3"/>
  <c r="L760" i="3"/>
  <c r="L752" i="3"/>
  <c r="L744" i="3"/>
  <c r="L736" i="3"/>
  <c r="L728" i="3"/>
  <c r="L720" i="3"/>
  <c r="L712" i="3"/>
  <c r="L704" i="3"/>
  <c r="L696" i="3"/>
  <c r="L688" i="3"/>
  <c r="L680" i="3"/>
  <c r="L672" i="3"/>
  <c r="L664" i="3"/>
  <c r="L656" i="3"/>
  <c r="L648" i="3"/>
  <c r="L640" i="3"/>
  <c r="L632" i="3"/>
  <c r="L624" i="3"/>
  <c r="L616" i="3"/>
  <c r="L608" i="3"/>
  <c r="L600" i="3"/>
  <c r="L592" i="3"/>
  <c r="L584" i="3"/>
  <c r="L576" i="3"/>
  <c r="L568" i="3"/>
  <c r="L560" i="3"/>
  <c r="L552" i="3"/>
  <c r="L544" i="3"/>
  <c r="L536" i="3"/>
  <c r="L528" i="3"/>
  <c r="L520" i="3"/>
  <c r="L512" i="3"/>
  <c r="L504" i="3"/>
  <c r="L496" i="3"/>
  <c r="L488" i="3"/>
  <c r="L480" i="3"/>
  <c r="L472" i="3"/>
  <c r="L464" i="3"/>
  <c r="L456" i="3"/>
  <c r="L448" i="3"/>
  <c r="L440" i="3"/>
  <c r="L432" i="3"/>
  <c r="L424" i="3"/>
  <c r="L416" i="3"/>
  <c r="L408" i="3"/>
  <c r="L400" i="3"/>
  <c r="L392" i="3"/>
  <c r="L384" i="3"/>
  <c r="L376" i="3"/>
  <c r="L368" i="3"/>
  <c r="L360" i="3"/>
  <c r="L352" i="3"/>
  <c r="L344" i="3"/>
  <c r="L336" i="3"/>
  <c r="L328" i="3"/>
  <c r="L320" i="3"/>
  <c r="L312" i="3"/>
  <c r="L304" i="3"/>
  <c r="L296" i="3"/>
  <c r="L288" i="3"/>
  <c r="L280" i="3"/>
  <c r="L272" i="3"/>
  <c r="L264" i="3"/>
  <c r="L256" i="3"/>
  <c r="L248" i="3"/>
  <c r="L240" i="3"/>
  <c r="L232" i="3"/>
  <c r="L224" i="3"/>
  <c r="L216" i="3"/>
  <c r="L208" i="3"/>
  <c r="L200" i="3"/>
  <c r="L192" i="3"/>
  <c r="L184" i="3"/>
  <c r="L176" i="3"/>
  <c r="L168" i="3"/>
  <c r="L160" i="3"/>
  <c r="L152" i="3"/>
  <c r="L144" i="3"/>
  <c r="L136" i="3"/>
  <c r="L128" i="3"/>
  <c r="L119" i="3"/>
  <c r="L111" i="3"/>
  <c r="L103" i="3"/>
  <c r="L87" i="3"/>
  <c r="L79" i="3"/>
  <c r="L71" i="3"/>
  <c r="L63" i="3"/>
  <c r="L55" i="3"/>
  <c r="L47" i="3"/>
  <c r="L38" i="3"/>
  <c r="L30" i="3"/>
  <c r="E2472" i="3"/>
  <c r="H2472" i="3" s="1"/>
  <c r="E2440" i="3"/>
  <c r="D2440" i="3" s="1"/>
  <c r="E2408" i="3"/>
  <c r="D2408" i="3" s="1"/>
  <c r="E2376" i="3"/>
  <c r="E2344" i="3"/>
  <c r="H2344" i="3" s="1"/>
  <c r="N2344" i="3" s="1"/>
  <c r="E2312" i="3"/>
  <c r="D2312" i="3" s="1"/>
  <c r="E2280" i="3"/>
  <c r="E2248" i="3"/>
  <c r="D2248" i="3" s="1"/>
  <c r="E2216" i="3"/>
  <c r="H2216" i="3" s="1"/>
  <c r="E2184" i="3"/>
  <c r="H2184" i="3" s="1"/>
  <c r="E2152" i="3"/>
  <c r="D2152" i="3" s="1"/>
  <c r="E2120" i="3"/>
  <c r="D2120" i="3" s="1"/>
  <c r="E2088" i="3"/>
  <c r="E2056" i="3"/>
  <c r="D2056" i="3" s="1"/>
  <c r="E2024" i="3"/>
  <c r="E1992" i="3"/>
  <c r="D1992" i="3" s="1"/>
  <c r="E1960" i="3"/>
  <c r="H1960" i="3" s="1"/>
  <c r="E1928" i="3"/>
  <c r="E1895" i="3"/>
  <c r="D1895" i="3" s="1"/>
  <c r="E1807" i="3"/>
  <c r="E1743" i="3"/>
  <c r="D1743" i="3" s="1"/>
  <c r="E1679" i="3"/>
  <c r="D1679" i="3" s="1"/>
  <c r="E1615" i="3"/>
  <c r="D1615" i="3" s="1"/>
  <c r="E1551" i="3"/>
  <c r="E1487" i="3"/>
  <c r="D1487" i="3" s="1"/>
  <c r="E1327" i="3"/>
  <c r="D1327" i="3" s="1"/>
  <c r="E1119" i="3"/>
  <c r="E607" i="3"/>
  <c r="F1831" i="3"/>
  <c r="H1831" i="3" s="1"/>
  <c r="F631" i="3"/>
  <c r="G631" i="3" s="1"/>
  <c r="F1838" i="3"/>
  <c r="E1838" i="3"/>
  <c r="F1830" i="3"/>
  <c r="E1830" i="3"/>
  <c r="F1822" i="3"/>
  <c r="E1822" i="3"/>
  <c r="F1814" i="3"/>
  <c r="E1814" i="3"/>
  <c r="F1806" i="3"/>
  <c r="E1806" i="3"/>
  <c r="F1798" i="3"/>
  <c r="E1798" i="3"/>
  <c r="F1790" i="3"/>
  <c r="E1790" i="3"/>
  <c r="F1782" i="3"/>
  <c r="E1782" i="3"/>
  <c r="F1774" i="3"/>
  <c r="E1774" i="3"/>
  <c r="F1766" i="3"/>
  <c r="E1766" i="3"/>
  <c r="F1758" i="3"/>
  <c r="E1758" i="3"/>
  <c r="F1750" i="3"/>
  <c r="E1750" i="3"/>
  <c r="F1742" i="3"/>
  <c r="E1742" i="3"/>
  <c r="F1734" i="3"/>
  <c r="E1734" i="3"/>
  <c r="F1726" i="3"/>
  <c r="E1726" i="3"/>
  <c r="F1718" i="3"/>
  <c r="E1718" i="3"/>
  <c r="F1710" i="3"/>
  <c r="E1710" i="3"/>
  <c r="F1702" i="3"/>
  <c r="E1702" i="3"/>
  <c r="F1694" i="3"/>
  <c r="E1694" i="3"/>
  <c r="F1686" i="3"/>
  <c r="E1686" i="3"/>
  <c r="F1678" i="3"/>
  <c r="E1678" i="3"/>
  <c r="F1670" i="3"/>
  <c r="E1670" i="3"/>
  <c r="F1662" i="3"/>
  <c r="E1662" i="3"/>
  <c r="F1654" i="3"/>
  <c r="E1654" i="3"/>
  <c r="F1646" i="3"/>
  <c r="E1646" i="3"/>
  <c r="F1638" i="3"/>
  <c r="E1638" i="3"/>
  <c r="F1630" i="3"/>
  <c r="E1630" i="3"/>
  <c r="F1622" i="3"/>
  <c r="E1622" i="3"/>
  <c r="F1614" i="3"/>
  <c r="E1614" i="3"/>
  <c r="F1606" i="3"/>
  <c r="E1606" i="3"/>
  <c r="F1598" i="3"/>
  <c r="E1598" i="3"/>
  <c r="F1590" i="3"/>
  <c r="E1590" i="3"/>
  <c r="F1582" i="3"/>
  <c r="E1582" i="3"/>
  <c r="F1574" i="3"/>
  <c r="E1574" i="3"/>
  <c r="F1566" i="3"/>
  <c r="E1566" i="3"/>
  <c r="F1558" i="3"/>
  <c r="E1558" i="3"/>
  <c r="F1550" i="3"/>
  <c r="E1550" i="3"/>
  <c r="F1542" i="3"/>
  <c r="E1542" i="3"/>
  <c r="F1534" i="3"/>
  <c r="E1534" i="3"/>
  <c r="F1526" i="3"/>
  <c r="E1526" i="3"/>
  <c r="F1518" i="3"/>
  <c r="E1518" i="3"/>
  <c r="F1510" i="3"/>
  <c r="E1510" i="3"/>
  <c r="F1502" i="3"/>
  <c r="E1502" i="3"/>
  <c r="F1494" i="3"/>
  <c r="E1494" i="3"/>
  <c r="F1486" i="3"/>
  <c r="E1486" i="3"/>
  <c r="F1478" i="3"/>
  <c r="E1478" i="3"/>
  <c r="F1470" i="3"/>
  <c r="E1470" i="3"/>
  <c r="F1462" i="3"/>
  <c r="E1462" i="3"/>
  <c r="F1454" i="3"/>
  <c r="E1454" i="3"/>
  <c r="F1446" i="3"/>
  <c r="E1446" i="3"/>
  <c r="F1438" i="3"/>
  <c r="E1438" i="3"/>
  <c r="F1430" i="3"/>
  <c r="E1430" i="3"/>
  <c r="F1422" i="3"/>
  <c r="E1422" i="3"/>
  <c r="F1414" i="3"/>
  <c r="E1414" i="3"/>
  <c r="F1406" i="3"/>
  <c r="E1406" i="3"/>
  <c r="F1398" i="3"/>
  <c r="E1398" i="3"/>
  <c r="F1390" i="3"/>
  <c r="E1390" i="3"/>
  <c r="F1382" i="3"/>
  <c r="E1382" i="3"/>
  <c r="F1374" i="3"/>
  <c r="E1374" i="3"/>
  <c r="F1366" i="3"/>
  <c r="E1366" i="3"/>
  <c r="F1358" i="3"/>
  <c r="E1358" i="3"/>
  <c r="F1350" i="3"/>
  <c r="E1350" i="3"/>
  <c r="F1342" i="3"/>
  <c r="E1342" i="3"/>
  <c r="F1334" i="3"/>
  <c r="E1334" i="3"/>
  <c r="F1326" i="3"/>
  <c r="E1326" i="3"/>
  <c r="F1318" i="3"/>
  <c r="E1318" i="3"/>
  <c r="F1310" i="3"/>
  <c r="E1310" i="3"/>
  <c r="F1302" i="3"/>
  <c r="E1302" i="3"/>
  <c r="F1294" i="3"/>
  <c r="E1294" i="3"/>
  <c r="F1286" i="3"/>
  <c r="E1286" i="3"/>
  <c r="F1278" i="3"/>
  <c r="E1278" i="3"/>
  <c r="F1270" i="3"/>
  <c r="E1270" i="3"/>
  <c r="F1262" i="3"/>
  <c r="E1262" i="3"/>
  <c r="F1254" i="3"/>
  <c r="E1254" i="3"/>
  <c r="F1246" i="3"/>
  <c r="E1246" i="3"/>
  <c r="F1238" i="3"/>
  <c r="E1238" i="3"/>
  <c r="F1230" i="3"/>
  <c r="E1230" i="3"/>
  <c r="F1222" i="3"/>
  <c r="E1222" i="3"/>
  <c r="F1214" i="3"/>
  <c r="E1214" i="3"/>
  <c r="F1206" i="3"/>
  <c r="E1206" i="3"/>
  <c r="F1198" i="3"/>
  <c r="E1198" i="3"/>
  <c r="F1190" i="3"/>
  <c r="E1190" i="3"/>
  <c r="F1182" i="3"/>
  <c r="E1182" i="3"/>
  <c r="F1174" i="3"/>
  <c r="E1174" i="3"/>
  <c r="F1166" i="3"/>
  <c r="E1166" i="3"/>
  <c r="F1158" i="3"/>
  <c r="E1158" i="3"/>
  <c r="F1150" i="3"/>
  <c r="E1150" i="3"/>
  <c r="F1142" i="3"/>
  <c r="E1142" i="3"/>
  <c r="F1134" i="3"/>
  <c r="E1134" i="3"/>
  <c r="F1126" i="3"/>
  <c r="E1126" i="3"/>
  <c r="F1118" i="3"/>
  <c r="E1118" i="3"/>
  <c r="F1110" i="3"/>
  <c r="E1110" i="3"/>
  <c r="F1102" i="3"/>
  <c r="E1102" i="3"/>
  <c r="F1094" i="3"/>
  <c r="E1094" i="3"/>
  <c r="F1086" i="3"/>
  <c r="E1086" i="3"/>
  <c r="E1070" i="3"/>
  <c r="F1070" i="3"/>
  <c r="F1062" i="3"/>
  <c r="E1062" i="3"/>
  <c r="F1054" i="3"/>
  <c r="E1054" i="3"/>
  <c r="F1046" i="3"/>
  <c r="E1046" i="3"/>
  <c r="F1038" i="3"/>
  <c r="E1038" i="3"/>
  <c r="F1030" i="3"/>
  <c r="E1030" i="3"/>
  <c r="F1022" i="3"/>
  <c r="E1022" i="3"/>
  <c r="F1014" i="3"/>
  <c r="E1014" i="3"/>
  <c r="F1006" i="3"/>
  <c r="E1006" i="3"/>
  <c r="F998" i="3"/>
  <c r="E998" i="3"/>
  <c r="F990" i="3"/>
  <c r="E990" i="3"/>
  <c r="F982" i="3"/>
  <c r="E982" i="3"/>
  <c r="F974" i="3"/>
  <c r="E974" i="3"/>
  <c r="F966" i="3"/>
  <c r="E966" i="3"/>
  <c r="F958" i="3"/>
  <c r="E958" i="3"/>
  <c r="F950" i="3"/>
  <c r="E950" i="3"/>
  <c r="F942" i="3"/>
  <c r="E942" i="3"/>
  <c r="F934" i="3"/>
  <c r="E934" i="3"/>
  <c r="F926" i="3"/>
  <c r="E926" i="3"/>
  <c r="F918" i="3"/>
  <c r="E918" i="3"/>
  <c r="F910" i="3"/>
  <c r="E910" i="3"/>
  <c r="F902" i="3"/>
  <c r="E902" i="3"/>
  <c r="F894" i="3"/>
  <c r="E894" i="3"/>
  <c r="F886" i="3"/>
  <c r="E886" i="3"/>
  <c r="F878" i="3"/>
  <c r="E878" i="3"/>
  <c r="F870" i="3"/>
  <c r="E870" i="3"/>
  <c r="F862" i="3"/>
  <c r="E862" i="3"/>
  <c r="F854" i="3"/>
  <c r="E854" i="3"/>
  <c r="F846" i="3"/>
  <c r="E846" i="3"/>
  <c r="F838" i="3"/>
  <c r="E838" i="3"/>
  <c r="F830" i="3"/>
  <c r="E830" i="3"/>
  <c r="F822" i="3"/>
  <c r="E822" i="3"/>
  <c r="F814" i="3"/>
  <c r="E814" i="3"/>
  <c r="F806" i="3"/>
  <c r="E806" i="3"/>
  <c r="F798" i="3"/>
  <c r="E798" i="3"/>
  <c r="F790" i="3"/>
  <c r="E790" i="3"/>
  <c r="F782" i="3"/>
  <c r="E782" i="3"/>
  <c r="F774" i="3"/>
  <c r="E774" i="3"/>
  <c r="F766" i="3"/>
  <c r="E766" i="3"/>
  <c r="F758" i="3"/>
  <c r="E758" i="3"/>
  <c r="F750" i="3"/>
  <c r="E750" i="3"/>
  <c r="F742" i="3"/>
  <c r="E742" i="3"/>
  <c r="F734" i="3"/>
  <c r="E734" i="3"/>
  <c r="F726" i="3"/>
  <c r="E726" i="3"/>
  <c r="F718" i="3"/>
  <c r="E718" i="3"/>
  <c r="F710" i="3"/>
  <c r="E710" i="3"/>
  <c r="F702" i="3"/>
  <c r="E702" i="3"/>
  <c r="F694" i="3"/>
  <c r="E694" i="3"/>
  <c r="F686" i="3"/>
  <c r="E686" i="3"/>
  <c r="F678" i="3"/>
  <c r="E678" i="3"/>
  <c r="F670" i="3"/>
  <c r="E670" i="3"/>
  <c r="F662" i="3"/>
  <c r="E662" i="3"/>
  <c r="F654" i="3"/>
  <c r="E654" i="3"/>
  <c r="F646" i="3"/>
  <c r="E646" i="3"/>
  <c r="F638" i="3"/>
  <c r="E638" i="3"/>
  <c r="F630" i="3"/>
  <c r="E630" i="3"/>
  <c r="F622" i="3"/>
  <c r="E622" i="3"/>
  <c r="F614" i="3"/>
  <c r="E614" i="3"/>
  <c r="F606" i="3"/>
  <c r="E606" i="3"/>
  <c r="F598" i="3"/>
  <c r="E598" i="3"/>
  <c r="F590" i="3"/>
  <c r="E590" i="3"/>
  <c r="F582" i="3"/>
  <c r="E582" i="3"/>
  <c r="F574" i="3"/>
  <c r="E574" i="3"/>
  <c r="F566" i="3"/>
  <c r="E566" i="3"/>
  <c r="F558" i="3"/>
  <c r="E558" i="3"/>
  <c r="F550" i="3"/>
  <c r="E550" i="3"/>
  <c r="F542" i="3"/>
  <c r="E542" i="3"/>
  <c r="F534" i="3"/>
  <c r="E534" i="3"/>
  <c r="F526" i="3"/>
  <c r="E526" i="3"/>
  <c r="F518" i="3"/>
  <c r="E518" i="3"/>
  <c r="F510" i="3"/>
  <c r="E510" i="3"/>
  <c r="F502" i="3"/>
  <c r="E502" i="3"/>
  <c r="F494" i="3"/>
  <c r="E494" i="3"/>
  <c r="F486" i="3"/>
  <c r="E486" i="3"/>
  <c r="F478" i="3"/>
  <c r="E478" i="3"/>
  <c r="F470" i="3"/>
  <c r="E470" i="3"/>
  <c r="F462" i="3"/>
  <c r="E462" i="3"/>
  <c r="F454" i="3"/>
  <c r="E454" i="3"/>
  <c r="F446" i="3"/>
  <c r="E446" i="3"/>
  <c r="F438" i="3"/>
  <c r="E438" i="3"/>
  <c r="F430" i="3"/>
  <c r="E430" i="3"/>
  <c r="F422" i="3"/>
  <c r="E422" i="3"/>
  <c r="F414" i="3"/>
  <c r="E414" i="3"/>
  <c r="F406" i="3"/>
  <c r="E406" i="3"/>
  <c r="F398" i="3"/>
  <c r="E398" i="3"/>
  <c r="F390" i="3"/>
  <c r="E390" i="3"/>
  <c r="F382" i="3"/>
  <c r="E382" i="3"/>
  <c r="F374" i="3"/>
  <c r="E374" i="3"/>
  <c r="F366" i="3"/>
  <c r="E366" i="3"/>
  <c r="F358" i="3"/>
  <c r="E358" i="3"/>
  <c r="F350" i="3"/>
  <c r="E350" i="3"/>
  <c r="F342" i="3"/>
  <c r="E342" i="3"/>
  <c r="F310" i="3"/>
  <c r="E310" i="3"/>
  <c r="F302" i="3"/>
  <c r="E302" i="3"/>
  <c r="F294" i="3"/>
  <c r="E294" i="3"/>
  <c r="F286" i="3"/>
  <c r="E286" i="3"/>
  <c r="F278" i="3"/>
  <c r="E278" i="3"/>
  <c r="F262" i="3"/>
  <c r="E262" i="3"/>
  <c r="F254" i="3"/>
  <c r="E254" i="3"/>
  <c r="F246" i="3"/>
  <c r="E246" i="3"/>
  <c r="F230" i="3"/>
  <c r="E230" i="3"/>
  <c r="F222" i="3"/>
  <c r="E222" i="3"/>
  <c r="F214" i="3"/>
  <c r="E214" i="3"/>
  <c r="F198" i="3"/>
  <c r="E198" i="3"/>
  <c r="F190" i="3"/>
  <c r="E190" i="3"/>
  <c r="F182" i="3"/>
  <c r="E182" i="3"/>
  <c r="F166" i="3"/>
  <c r="E166" i="3"/>
  <c r="F158" i="3"/>
  <c r="E158" i="3"/>
  <c r="F150" i="3"/>
  <c r="E150" i="3"/>
  <c r="F134" i="3"/>
  <c r="E134" i="3"/>
  <c r="F117" i="3"/>
  <c r="E117" i="3"/>
  <c r="F109" i="3"/>
  <c r="E109" i="3"/>
  <c r="F93" i="3"/>
  <c r="E93" i="3"/>
  <c r="F85" i="3"/>
  <c r="E85" i="3"/>
  <c r="F69" i="3"/>
  <c r="E69" i="3"/>
  <c r="F53" i="3"/>
  <c r="E53" i="3"/>
  <c r="F45" i="3"/>
  <c r="E45" i="3"/>
  <c r="F28" i="3"/>
  <c r="E28" i="3"/>
  <c r="E1878" i="3"/>
  <c r="D1878" i="3" s="1"/>
  <c r="E1860" i="3"/>
  <c r="H1860" i="3" s="1"/>
  <c r="E1433" i="3"/>
  <c r="E1392" i="3"/>
  <c r="D1392" i="3" s="1"/>
  <c r="E1369" i="3"/>
  <c r="D1369" i="3" s="1"/>
  <c r="E1328" i="3"/>
  <c r="D1328" i="3" s="1"/>
  <c r="E1305" i="3"/>
  <c r="E1264" i="3"/>
  <c r="D1264" i="3" s="1"/>
  <c r="E1241" i="3"/>
  <c r="D1241" i="3" s="1"/>
  <c r="E1200" i="3"/>
  <c r="H1200" i="3" s="1"/>
  <c r="N1200" i="3" s="1"/>
  <c r="E1177" i="3"/>
  <c r="E1136" i="3"/>
  <c r="D1136" i="3" s="1"/>
  <c r="E1113" i="3"/>
  <c r="H1113" i="3" s="1"/>
  <c r="N1113" i="3" s="1"/>
  <c r="E1072" i="3"/>
  <c r="E1049" i="3"/>
  <c r="E1008" i="3"/>
  <c r="D1008" i="3" s="1"/>
  <c r="E985" i="3"/>
  <c r="D985" i="3" s="1"/>
  <c r="E944" i="3"/>
  <c r="D944" i="3" s="1"/>
  <c r="E921" i="3"/>
  <c r="E880" i="3"/>
  <c r="D880" i="3" s="1"/>
  <c r="E857" i="3"/>
  <c r="E816" i="3"/>
  <c r="E793" i="3"/>
  <c r="E752" i="3"/>
  <c r="H752" i="3" s="1"/>
  <c r="N752" i="3" s="1"/>
  <c r="E729" i="3"/>
  <c r="D729" i="3" s="1"/>
  <c r="E688" i="3"/>
  <c r="D688" i="3" s="1"/>
  <c r="E665" i="3"/>
  <c r="H665" i="3" s="1"/>
  <c r="N665" i="3" s="1"/>
  <c r="E624" i="3"/>
  <c r="D624" i="3" s="1"/>
  <c r="E601" i="3"/>
  <c r="E560" i="3"/>
  <c r="E537" i="3"/>
  <c r="E496" i="3"/>
  <c r="G496" i="3" s="1"/>
  <c r="E473" i="3"/>
  <c r="D473" i="3" s="1"/>
  <c r="E432" i="3"/>
  <c r="D432" i="3" s="1"/>
  <c r="E409" i="3"/>
  <c r="E368" i="3"/>
  <c r="D368" i="3" s="1"/>
  <c r="E345" i="3"/>
  <c r="E298" i="3"/>
  <c r="D298" i="3" s="1"/>
  <c r="E216" i="3"/>
  <c r="E185" i="3"/>
  <c r="H185" i="3" s="1"/>
  <c r="N185" i="3" s="1"/>
  <c r="E161" i="3"/>
  <c r="D161" i="3" s="1"/>
  <c r="E88" i="3"/>
  <c r="E61" i="3"/>
  <c r="H61" i="3" s="1"/>
  <c r="J61" i="3" s="1"/>
  <c r="F2620" i="3"/>
  <c r="G2620" i="3" s="1"/>
  <c r="M2620" i="3" s="1"/>
  <c r="F2492" i="3"/>
  <c r="F2364" i="3"/>
  <c r="F2236" i="3"/>
  <c r="H2236" i="3" s="1"/>
  <c r="L2236" i="3" s="1"/>
  <c r="F2108" i="3"/>
  <c r="H2108" i="3" s="1"/>
  <c r="F2060" i="3"/>
  <c r="G2060" i="3" s="1"/>
  <c r="M2060" i="3" s="1"/>
  <c r="F1828" i="3"/>
  <c r="D1828" i="3" s="1"/>
  <c r="F1764" i="3"/>
  <c r="F1593" i="3"/>
  <c r="D1593" i="3" s="1"/>
  <c r="F1508" i="3"/>
  <c r="H1508" i="3" s="1"/>
  <c r="F1337" i="3"/>
  <c r="F1252" i="3"/>
  <c r="F852" i="3"/>
  <c r="H852" i="3" s="1"/>
  <c r="N852" i="3" s="1"/>
  <c r="F396" i="3"/>
  <c r="D396" i="3" s="1"/>
  <c r="F169" i="3"/>
  <c r="L422" i="3"/>
  <c r="L414" i="3"/>
  <c r="L406" i="3"/>
  <c r="L398" i="3"/>
  <c r="L390" i="3"/>
  <c r="L382" i="3"/>
  <c r="L374" i="3"/>
  <c r="L366" i="3"/>
  <c r="L358" i="3"/>
  <c r="L350" i="3"/>
  <c r="L342" i="3"/>
  <c r="L334" i="3"/>
  <c r="L326" i="3"/>
  <c r="L318" i="3"/>
  <c r="L310" i="3"/>
  <c r="L302" i="3"/>
  <c r="L294" i="3"/>
  <c r="L286" i="3"/>
  <c r="L278" i="3"/>
  <c r="L270" i="3"/>
  <c r="L262" i="3"/>
  <c r="L254" i="3"/>
  <c r="L246" i="3"/>
  <c r="L238" i="3"/>
  <c r="L230" i="3"/>
  <c r="L222" i="3"/>
  <c r="L214" i="3"/>
  <c r="L206" i="3"/>
  <c r="L198" i="3"/>
  <c r="L190" i="3"/>
  <c r="L182" i="3"/>
  <c r="L174" i="3"/>
  <c r="L166" i="3"/>
  <c r="L158" i="3"/>
  <c r="L150" i="3"/>
  <c r="L142" i="3"/>
  <c r="L134" i="3"/>
  <c r="L126" i="3"/>
  <c r="L117" i="3"/>
  <c r="L109" i="3"/>
  <c r="L101" i="3"/>
  <c r="L85" i="3"/>
  <c r="L77" i="3"/>
  <c r="L69" i="3"/>
  <c r="L61" i="3"/>
  <c r="L53" i="3"/>
  <c r="L45" i="3"/>
  <c r="L36" i="3"/>
  <c r="L28" i="3"/>
  <c r="E1844" i="3"/>
  <c r="F1844" i="3"/>
  <c r="F1836" i="3"/>
  <c r="E1836" i="3"/>
  <c r="E1820" i="3"/>
  <c r="F1820" i="3"/>
  <c r="F1812" i="3"/>
  <c r="E1812" i="3"/>
  <c r="F1796" i="3"/>
  <c r="E1796" i="3"/>
  <c r="E1780" i="3"/>
  <c r="F1780" i="3"/>
  <c r="F1772" i="3"/>
  <c r="E1772" i="3"/>
  <c r="E1756" i="3"/>
  <c r="F1756" i="3"/>
  <c r="F1748" i="3"/>
  <c r="E1748" i="3"/>
  <c r="E1740" i="3"/>
  <c r="F1740" i="3"/>
  <c r="F1732" i="3"/>
  <c r="E1732" i="3"/>
  <c r="E1716" i="3"/>
  <c r="F1716" i="3"/>
  <c r="F1708" i="3"/>
  <c r="E1708" i="3"/>
  <c r="E1692" i="3"/>
  <c r="F1692" i="3"/>
  <c r="F1684" i="3"/>
  <c r="E1684" i="3"/>
  <c r="E1676" i="3"/>
  <c r="F1676" i="3"/>
  <c r="F1668" i="3"/>
  <c r="E1668" i="3"/>
  <c r="E1652" i="3"/>
  <c r="F1652" i="3"/>
  <c r="F1644" i="3"/>
  <c r="E1644" i="3"/>
  <c r="E1628" i="3"/>
  <c r="F1628" i="3"/>
  <c r="F1620" i="3"/>
  <c r="E1620" i="3"/>
  <c r="E1612" i="3"/>
  <c r="F1612" i="3"/>
  <c r="F1604" i="3"/>
  <c r="E1604" i="3"/>
  <c r="E1588" i="3"/>
  <c r="F1588" i="3"/>
  <c r="F1580" i="3"/>
  <c r="E1580" i="3"/>
  <c r="E1564" i="3"/>
  <c r="F1564" i="3"/>
  <c r="F1556" i="3"/>
  <c r="E1556" i="3"/>
  <c r="E1548" i="3"/>
  <c r="F1548" i="3"/>
  <c r="F1540" i="3"/>
  <c r="E1540" i="3"/>
  <c r="E1524" i="3"/>
  <c r="F1524" i="3"/>
  <c r="F1516" i="3"/>
  <c r="E1516" i="3"/>
  <c r="E1500" i="3"/>
  <c r="F1500" i="3"/>
  <c r="F1492" i="3"/>
  <c r="E1492" i="3"/>
  <c r="E1484" i="3"/>
  <c r="F1484" i="3"/>
  <c r="F1476" i="3"/>
  <c r="E1476" i="3"/>
  <c r="E1460" i="3"/>
  <c r="F1460" i="3"/>
  <c r="F1452" i="3"/>
  <c r="E1452" i="3"/>
  <c r="E1436" i="3"/>
  <c r="F1436" i="3"/>
  <c r="F1428" i="3"/>
  <c r="E1428" i="3"/>
  <c r="E1420" i="3"/>
  <c r="F1420" i="3"/>
  <c r="F1412" i="3"/>
  <c r="E1412" i="3"/>
  <c r="E1396" i="3"/>
  <c r="F1396" i="3"/>
  <c r="F1388" i="3"/>
  <c r="E1388" i="3"/>
  <c r="E1372" i="3"/>
  <c r="F1372" i="3"/>
  <c r="F1364" i="3"/>
  <c r="E1364" i="3"/>
  <c r="E1356" i="3"/>
  <c r="F1356" i="3"/>
  <c r="F1348" i="3"/>
  <c r="E1348" i="3"/>
  <c r="E1332" i="3"/>
  <c r="F1332" i="3"/>
  <c r="F1324" i="3"/>
  <c r="E1324" i="3"/>
  <c r="E1308" i="3"/>
  <c r="F1308" i="3"/>
  <c r="F1300" i="3"/>
  <c r="E1300" i="3"/>
  <c r="E1292" i="3"/>
  <c r="F1292" i="3"/>
  <c r="F1284" i="3"/>
  <c r="E1284" i="3"/>
  <c r="E1268" i="3"/>
  <c r="F1268" i="3"/>
  <c r="F1260" i="3"/>
  <c r="E1260" i="3"/>
  <c r="E1244" i="3"/>
  <c r="F1244" i="3"/>
  <c r="F1236" i="3"/>
  <c r="E1236" i="3"/>
  <c r="E1228" i="3"/>
  <c r="F1228" i="3"/>
  <c r="F1220" i="3"/>
  <c r="E1220" i="3"/>
  <c r="E1204" i="3"/>
  <c r="F1204" i="3"/>
  <c r="F1196" i="3"/>
  <c r="E1196" i="3"/>
  <c r="E1180" i="3"/>
  <c r="F1180" i="3"/>
  <c r="F1172" i="3"/>
  <c r="E1172" i="3"/>
  <c r="E1164" i="3"/>
  <c r="F1164" i="3"/>
  <c r="F1156" i="3"/>
  <c r="E1156" i="3"/>
  <c r="E1140" i="3"/>
  <c r="F1140" i="3"/>
  <c r="F1132" i="3"/>
  <c r="E1132" i="3"/>
  <c r="E1116" i="3"/>
  <c r="F1116" i="3"/>
  <c r="F1108" i="3"/>
  <c r="E1108" i="3"/>
  <c r="E1100" i="3"/>
  <c r="F1100" i="3"/>
  <c r="F1092" i="3"/>
  <c r="E1092" i="3"/>
  <c r="F1084" i="3"/>
  <c r="E1084" i="3"/>
  <c r="F1076" i="3"/>
  <c r="E1076" i="3"/>
  <c r="F1068" i="3"/>
  <c r="E1068" i="3"/>
  <c r="F1060" i="3"/>
  <c r="E1060" i="3"/>
  <c r="F1052" i="3"/>
  <c r="E1052" i="3"/>
  <c r="F1044" i="3"/>
  <c r="E1044" i="3"/>
  <c r="F1036" i="3"/>
  <c r="E1036" i="3"/>
  <c r="F1028" i="3"/>
  <c r="E1028" i="3"/>
  <c r="F1020" i="3"/>
  <c r="E1020" i="3"/>
  <c r="F1012" i="3"/>
  <c r="E1012" i="3"/>
  <c r="F1004" i="3"/>
  <c r="E1004" i="3"/>
  <c r="F996" i="3"/>
  <c r="E996" i="3"/>
  <c r="F988" i="3"/>
  <c r="E988" i="3"/>
  <c r="F980" i="3"/>
  <c r="E980" i="3"/>
  <c r="F964" i="3"/>
  <c r="E964" i="3"/>
  <c r="F956" i="3"/>
  <c r="E956" i="3"/>
  <c r="F948" i="3"/>
  <c r="E948" i="3"/>
  <c r="F940" i="3"/>
  <c r="E940" i="3"/>
  <c r="F932" i="3"/>
  <c r="E932" i="3"/>
  <c r="F924" i="3"/>
  <c r="E924" i="3"/>
  <c r="F900" i="3"/>
  <c r="E900" i="3"/>
  <c r="F892" i="3"/>
  <c r="E892" i="3"/>
  <c r="F884" i="3"/>
  <c r="E884" i="3"/>
  <c r="F876" i="3"/>
  <c r="E876" i="3"/>
  <c r="F868" i="3"/>
  <c r="E868" i="3"/>
  <c r="E844" i="3"/>
  <c r="F844" i="3"/>
  <c r="F836" i="3"/>
  <c r="E836" i="3"/>
  <c r="F828" i="3"/>
  <c r="E828" i="3"/>
  <c r="F820" i="3"/>
  <c r="E820" i="3"/>
  <c r="F812" i="3"/>
  <c r="E812" i="3"/>
  <c r="F804" i="3"/>
  <c r="E804" i="3"/>
  <c r="E788" i="3"/>
  <c r="F788" i="3"/>
  <c r="E780" i="3"/>
  <c r="F780" i="3"/>
  <c r="F772" i="3"/>
  <c r="E772" i="3"/>
  <c r="F764" i="3"/>
  <c r="E764" i="3"/>
  <c r="F756" i="3"/>
  <c r="E756" i="3"/>
  <c r="F748" i="3"/>
  <c r="E748" i="3"/>
  <c r="F740" i="3"/>
  <c r="E740" i="3"/>
  <c r="E732" i="3"/>
  <c r="F732" i="3"/>
  <c r="E724" i="3"/>
  <c r="F724" i="3"/>
  <c r="E716" i="3"/>
  <c r="F716" i="3"/>
  <c r="F708" i="3"/>
  <c r="E708" i="3"/>
  <c r="F700" i="3"/>
  <c r="E700" i="3"/>
  <c r="F692" i="3"/>
  <c r="E692" i="3"/>
  <c r="F684" i="3"/>
  <c r="E684" i="3"/>
  <c r="F676" i="3"/>
  <c r="E676" i="3"/>
  <c r="E668" i="3"/>
  <c r="F668" i="3"/>
  <c r="E660" i="3"/>
  <c r="F660" i="3"/>
  <c r="F652" i="3"/>
  <c r="E652" i="3"/>
  <c r="F644" i="3"/>
  <c r="E644" i="3"/>
  <c r="F636" i="3"/>
  <c r="E636" i="3"/>
  <c r="F628" i="3"/>
  <c r="E628" i="3"/>
  <c r="F620" i="3"/>
  <c r="E620" i="3"/>
  <c r="F612" i="3"/>
  <c r="E612" i="3"/>
  <c r="E604" i="3"/>
  <c r="F604" i="3"/>
  <c r="F596" i="3"/>
  <c r="E596" i="3"/>
  <c r="F588" i="3"/>
  <c r="E588" i="3"/>
  <c r="F580" i="3"/>
  <c r="E580" i="3"/>
  <c r="F572" i="3"/>
  <c r="E572" i="3"/>
  <c r="F564" i="3"/>
  <c r="E564" i="3"/>
  <c r="F556" i="3"/>
  <c r="E556" i="3"/>
  <c r="F548" i="3"/>
  <c r="E548" i="3"/>
  <c r="F540" i="3"/>
  <c r="E540" i="3"/>
  <c r="F532" i="3"/>
  <c r="E532" i="3"/>
  <c r="F524" i="3"/>
  <c r="E524" i="3"/>
  <c r="F516" i="3"/>
  <c r="E516" i="3"/>
  <c r="F508" i="3"/>
  <c r="E508" i="3"/>
  <c r="F500" i="3"/>
  <c r="E500" i="3"/>
  <c r="F492" i="3"/>
  <c r="E492" i="3"/>
  <c r="F484" i="3"/>
  <c r="E484" i="3"/>
  <c r="F476" i="3"/>
  <c r="E476" i="3"/>
  <c r="F468" i="3"/>
  <c r="E468" i="3"/>
  <c r="F452" i="3"/>
  <c r="E452" i="3"/>
  <c r="F444" i="3"/>
  <c r="E444" i="3"/>
  <c r="F436" i="3"/>
  <c r="E436" i="3"/>
  <c r="F428" i="3"/>
  <c r="E428" i="3"/>
  <c r="F420" i="3"/>
  <c r="E420" i="3"/>
  <c r="F412" i="3"/>
  <c r="E412" i="3"/>
  <c r="F388" i="3"/>
  <c r="E388" i="3"/>
  <c r="F380" i="3"/>
  <c r="E380" i="3"/>
  <c r="F372" i="3"/>
  <c r="E372" i="3"/>
  <c r="F364" i="3"/>
  <c r="E364" i="3"/>
  <c r="F356" i="3"/>
  <c r="E356" i="3"/>
  <c r="E332" i="3"/>
  <c r="F332" i="3"/>
  <c r="E324" i="3"/>
  <c r="F324" i="3"/>
  <c r="E316" i="3"/>
  <c r="F316" i="3"/>
  <c r="E308" i="3"/>
  <c r="F308" i="3"/>
  <c r="E300" i="3"/>
  <c r="F300" i="3"/>
  <c r="F292" i="3"/>
  <c r="E292" i="3"/>
  <c r="E276" i="3"/>
  <c r="F276" i="3"/>
  <c r="E268" i="3"/>
  <c r="F268" i="3"/>
  <c r="E260" i="3"/>
  <c r="F260" i="3"/>
  <c r="E252" i="3"/>
  <c r="F252" i="3"/>
  <c r="E244" i="3"/>
  <c r="F244" i="3"/>
  <c r="E236" i="3"/>
  <c r="F236" i="3"/>
  <c r="F228" i="3"/>
  <c r="E228" i="3"/>
  <c r="E220" i="3"/>
  <c r="F220" i="3"/>
  <c r="E212" i="3"/>
  <c r="F212" i="3"/>
  <c r="E204" i="3"/>
  <c r="F204" i="3"/>
  <c r="E196" i="3"/>
  <c r="F196" i="3"/>
  <c r="E188" i="3"/>
  <c r="F188" i="3"/>
  <c r="E180" i="3"/>
  <c r="F180" i="3"/>
  <c r="E172" i="3"/>
  <c r="F172" i="3"/>
  <c r="F164" i="3"/>
  <c r="E164" i="3"/>
  <c r="E156" i="3"/>
  <c r="F156" i="3"/>
  <c r="E148" i="3"/>
  <c r="F148" i="3"/>
  <c r="E140" i="3"/>
  <c r="F140" i="3"/>
  <c r="E132" i="3"/>
  <c r="F132" i="3"/>
  <c r="E123" i="3"/>
  <c r="F123" i="3"/>
  <c r="E115" i="3"/>
  <c r="F115" i="3"/>
  <c r="E107" i="3"/>
  <c r="F107" i="3"/>
  <c r="F99" i="3"/>
  <c r="E99" i="3"/>
  <c r="E91" i="3"/>
  <c r="F91" i="3"/>
  <c r="E83" i="3"/>
  <c r="F83" i="3"/>
  <c r="E75" i="3"/>
  <c r="F75" i="3"/>
  <c r="E67" i="3"/>
  <c r="F67" i="3"/>
  <c r="E59" i="3"/>
  <c r="F59" i="3"/>
  <c r="E51" i="3"/>
  <c r="F51" i="3"/>
  <c r="E43" i="3"/>
  <c r="F43" i="3"/>
  <c r="F34" i="3"/>
  <c r="E34" i="3"/>
  <c r="E26" i="3"/>
  <c r="F26" i="3"/>
  <c r="E1894" i="3"/>
  <c r="D1894" i="3" s="1"/>
  <c r="E1876" i="3"/>
  <c r="H1876" i="3" s="1"/>
  <c r="E1867" i="3"/>
  <c r="H1867" i="3" s="1"/>
  <c r="L1867" i="3" s="1"/>
  <c r="E1835" i="3"/>
  <c r="H1835" i="3" s="1"/>
  <c r="L1835" i="3" s="1"/>
  <c r="E1449" i="3"/>
  <c r="E1408" i="3"/>
  <c r="D1408" i="3" s="1"/>
  <c r="E1385" i="3"/>
  <c r="D1385" i="3" s="1"/>
  <c r="E1344" i="3"/>
  <c r="D1344" i="3" s="1"/>
  <c r="E1321" i="3"/>
  <c r="D1321" i="3" s="1"/>
  <c r="E1280" i="3"/>
  <c r="D1280" i="3" s="1"/>
  <c r="E1257" i="3"/>
  <c r="H1257" i="3" s="1"/>
  <c r="E1216" i="3"/>
  <c r="D1216" i="3" s="1"/>
  <c r="E1193" i="3"/>
  <c r="H1193" i="3" s="1"/>
  <c r="N1193" i="3" s="1"/>
  <c r="E1152" i="3"/>
  <c r="H1152" i="3" s="1"/>
  <c r="N1152" i="3" s="1"/>
  <c r="E1129" i="3"/>
  <c r="D1129" i="3" s="1"/>
  <c r="E1088" i="3"/>
  <c r="H1088" i="3" s="1"/>
  <c r="N1088" i="3" s="1"/>
  <c r="E1065" i="3"/>
  <c r="D1065" i="3" s="1"/>
  <c r="E1024" i="3"/>
  <c r="D1024" i="3" s="1"/>
  <c r="E1001" i="3"/>
  <c r="E960" i="3"/>
  <c r="D960" i="3" s="1"/>
  <c r="E937" i="3"/>
  <c r="E896" i="3"/>
  <c r="D896" i="3" s="1"/>
  <c r="E873" i="3"/>
  <c r="D873" i="3" s="1"/>
  <c r="E832" i="3"/>
  <c r="E809" i="3"/>
  <c r="H809" i="3" s="1"/>
  <c r="N809" i="3" s="1"/>
  <c r="E768" i="3"/>
  <c r="D768" i="3" s="1"/>
  <c r="E745" i="3"/>
  <c r="D745" i="3" s="1"/>
  <c r="E704" i="3"/>
  <c r="D704" i="3" s="1"/>
  <c r="E681" i="3"/>
  <c r="E640" i="3"/>
  <c r="D640" i="3" s="1"/>
  <c r="E617" i="3"/>
  <c r="H617" i="3" s="1"/>
  <c r="N617" i="3" s="1"/>
  <c r="E576" i="3"/>
  <c r="E553" i="3"/>
  <c r="D553" i="3" s="1"/>
  <c r="E512" i="3"/>
  <c r="D512" i="3" s="1"/>
  <c r="E489" i="3"/>
  <c r="E448" i="3"/>
  <c r="D448" i="3" s="1"/>
  <c r="E425" i="3"/>
  <c r="E384" i="3"/>
  <c r="D384" i="3" s="1"/>
  <c r="E361" i="3"/>
  <c r="H361" i="3" s="1"/>
  <c r="N361" i="3" s="1"/>
  <c r="E290" i="3"/>
  <c r="D290" i="3" s="1"/>
  <c r="E267" i="3"/>
  <c r="H267" i="3" s="1"/>
  <c r="N267" i="3" s="1"/>
  <c r="E238" i="3"/>
  <c r="D238" i="3" s="1"/>
  <c r="E152" i="3"/>
  <c r="D152" i="3" s="1"/>
  <c r="E114" i="3"/>
  <c r="H114" i="3" s="1"/>
  <c r="E48" i="3"/>
  <c r="D48" i="3" s="1"/>
  <c r="F2524" i="3"/>
  <c r="G2524" i="3" s="1"/>
  <c r="M2524" i="3" s="1"/>
  <c r="F2396" i="3"/>
  <c r="G2396" i="3" s="1"/>
  <c r="M2396" i="3" s="1"/>
  <c r="F2268" i="3"/>
  <c r="F2140" i="3"/>
  <c r="H2140" i="3" s="1"/>
  <c r="F1980" i="3"/>
  <c r="H1980" i="3" s="1"/>
  <c r="L1980" i="3" s="1"/>
  <c r="F1932" i="3"/>
  <c r="G1932" i="3" s="1"/>
  <c r="M1932" i="3" s="1"/>
  <c r="F1657" i="3"/>
  <c r="D1657" i="3" s="1"/>
  <c r="F1572" i="3"/>
  <c r="G1572" i="3" s="1"/>
  <c r="M1572" i="3" s="1"/>
  <c r="F1401" i="3"/>
  <c r="G1401" i="3" s="1"/>
  <c r="M1401" i="3" s="1"/>
  <c r="F1316" i="3"/>
  <c r="G1316" i="3" s="1"/>
  <c r="M1316" i="3" s="1"/>
  <c r="F1145" i="3"/>
  <c r="F796" i="3"/>
  <c r="H796" i="3" s="1"/>
  <c r="N796" i="3" s="1"/>
  <c r="F340" i="3"/>
  <c r="H340" i="3" s="1"/>
  <c r="N340" i="3" s="1"/>
  <c r="F112" i="3"/>
  <c r="D112" i="3" s="1"/>
  <c r="F1827" i="3"/>
  <c r="E1827" i="3"/>
  <c r="F1819" i="3"/>
  <c r="E1819" i="3"/>
  <c r="F1811" i="3"/>
  <c r="E1811" i="3"/>
  <c r="F1803" i="3"/>
  <c r="E1803" i="3"/>
  <c r="F1795" i="3"/>
  <c r="E1795" i="3"/>
  <c r="F1787" i="3"/>
  <c r="E1787" i="3"/>
  <c r="F1779" i="3"/>
  <c r="E1779" i="3"/>
  <c r="F1771" i="3"/>
  <c r="E1771" i="3"/>
  <c r="F1763" i="3"/>
  <c r="E1763" i="3"/>
  <c r="F1755" i="3"/>
  <c r="E1755" i="3"/>
  <c r="F1747" i="3"/>
  <c r="E1747" i="3"/>
  <c r="F1739" i="3"/>
  <c r="E1739" i="3"/>
  <c r="F1731" i="3"/>
  <c r="E1731" i="3"/>
  <c r="F1723" i="3"/>
  <c r="E1723" i="3"/>
  <c r="F1715" i="3"/>
  <c r="E1715" i="3"/>
  <c r="F1707" i="3"/>
  <c r="E1707" i="3"/>
  <c r="F1699" i="3"/>
  <c r="E1699" i="3"/>
  <c r="F1691" i="3"/>
  <c r="E1691" i="3"/>
  <c r="F1683" i="3"/>
  <c r="E1683" i="3"/>
  <c r="F1675" i="3"/>
  <c r="E1675" i="3"/>
  <c r="F1667" i="3"/>
  <c r="E1667" i="3"/>
  <c r="F1659" i="3"/>
  <c r="E1659" i="3"/>
  <c r="F1651" i="3"/>
  <c r="E1651" i="3"/>
  <c r="F1643" i="3"/>
  <c r="E1643" i="3"/>
  <c r="F1635" i="3"/>
  <c r="E1635" i="3"/>
  <c r="F1627" i="3"/>
  <c r="E1627" i="3"/>
  <c r="F1619" i="3"/>
  <c r="E1619" i="3"/>
  <c r="F1611" i="3"/>
  <c r="E1611" i="3"/>
  <c r="F1603" i="3"/>
  <c r="E1603" i="3"/>
  <c r="F1595" i="3"/>
  <c r="E1595" i="3"/>
  <c r="F1587" i="3"/>
  <c r="E1587" i="3"/>
  <c r="F1579" i="3"/>
  <c r="E1579" i="3"/>
  <c r="F1571" i="3"/>
  <c r="E1571" i="3"/>
  <c r="F1563" i="3"/>
  <c r="E1563" i="3"/>
  <c r="F1555" i="3"/>
  <c r="E1555" i="3"/>
  <c r="F1547" i="3"/>
  <c r="E1547" i="3"/>
  <c r="F1539" i="3"/>
  <c r="E1539" i="3"/>
  <c r="F1531" i="3"/>
  <c r="E1531" i="3"/>
  <c r="F1523" i="3"/>
  <c r="E1523" i="3"/>
  <c r="F1515" i="3"/>
  <c r="E1515" i="3"/>
  <c r="F1507" i="3"/>
  <c r="E1507" i="3"/>
  <c r="F1499" i="3"/>
  <c r="E1499" i="3"/>
  <c r="F1491" i="3"/>
  <c r="E1491" i="3"/>
  <c r="F1483" i="3"/>
  <c r="E1483" i="3"/>
  <c r="F1475" i="3"/>
  <c r="E1475" i="3"/>
  <c r="F1467" i="3"/>
  <c r="E1467" i="3"/>
  <c r="F1459" i="3"/>
  <c r="E1459" i="3"/>
  <c r="F1451" i="3"/>
  <c r="E1451" i="3"/>
  <c r="F1443" i="3"/>
  <c r="E1443" i="3"/>
  <c r="F1435" i="3"/>
  <c r="E1435" i="3"/>
  <c r="F1427" i="3"/>
  <c r="E1427" i="3"/>
  <c r="F1419" i="3"/>
  <c r="E1419" i="3"/>
  <c r="F1411" i="3"/>
  <c r="E1411" i="3"/>
  <c r="F1403" i="3"/>
  <c r="E1403" i="3"/>
  <c r="F1395" i="3"/>
  <c r="E1395" i="3"/>
  <c r="F1387" i="3"/>
  <c r="E1387" i="3"/>
  <c r="F1379" i="3"/>
  <c r="E1379" i="3"/>
  <c r="F1371" i="3"/>
  <c r="E1371" i="3"/>
  <c r="F1363" i="3"/>
  <c r="E1363" i="3"/>
  <c r="F1355" i="3"/>
  <c r="E1355" i="3"/>
  <c r="F1347" i="3"/>
  <c r="E1347" i="3"/>
  <c r="F1339" i="3"/>
  <c r="E1339" i="3"/>
  <c r="F1331" i="3"/>
  <c r="E1331" i="3"/>
  <c r="F1323" i="3"/>
  <c r="E1323" i="3"/>
  <c r="F1315" i="3"/>
  <c r="E1315" i="3"/>
  <c r="F1307" i="3"/>
  <c r="E1307" i="3"/>
  <c r="F1299" i="3"/>
  <c r="E1299" i="3"/>
  <c r="F1291" i="3"/>
  <c r="E1291" i="3"/>
  <c r="F1283" i="3"/>
  <c r="E1283" i="3"/>
  <c r="F1275" i="3"/>
  <c r="E1275" i="3"/>
  <c r="F1267" i="3"/>
  <c r="E1267" i="3"/>
  <c r="F1259" i="3"/>
  <c r="E1259" i="3"/>
  <c r="F1251" i="3"/>
  <c r="E1251" i="3"/>
  <c r="F1243" i="3"/>
  <c r="E1243" i="3"/>
  <c r="F1235" i="3"/>
  <c r="E1235" i="3"/>
  <c r="F1227" i="3"/>
  <c r="E1227" i="3"/>
  <c r="F1219" i="3"/>
  <c r="E1219" i="3"/>
  <c r="F1211" i="3"/>
  <c r="E1211" i="3"/>
  <c r="F1203" i="3"/>
  <c r="E1203" i="3"/>
  <c r="F1195" i="3"/>
  <c r="E1195" i="3"/>
  <c r="F1187" i="3"/>
  <c r="E1187" i="3"/>
  <c r="F1179" i="3"/>
  <c r="E1179" i="3"/>
  <c r="F1171" i="3"/>
  <c r="E1171" i="3"/>
  <c r="F1163" i="3"/>
  <c r="E1163" i="3"/>
  <c r="F1155" i="3"/>
  <c r="E1155" i="3"/>
  <c r="F1147" i="3"/>
  <c r="E1147" i="3"/>
  <c r="F1139" i="3"/>
  <c r="E1139" i="3"/>
  <c r="F1131" i="3"/>
  <c r="E1131" i="3"/>
  <c r="F1123" i="3"/>
  <c r="E1123" i="3"/>
  <c r="F1115" i="3"/>
  <c r="E1115" i="3"/>
  <c r="F1107" i="3"/>
  <c r="E1107" i="3"/>
  <c r="F1099" i="3"/>
  <c r="E1099" i="3"/>
  <c r="F1091" i="3"/>
  <c r="E1091" i="3"/>
  <c r="F1083" i="3"/>
  <c r="E1083" i="3"/>
  <c r="F1075" i="3"/>
  <c r="E1075" i="3"/>
  <c r="F1067" i="3"/>
  <c r="E1067" i="3"/>
  <c r="F1059" i="3"/>
  <c r="E1059" i="3"/>
  <c r="F1051" i="3"/>
  <c r="E1051" i="3"/>
  <c r="F1043" i="3"/>
  <c r="E1043" i="3"/>
  <c r="F1035" i="3"/>
  <c r="E1035" i="3"/>
  <c r="F1027" i="3"/>
  <c r="E1027" i="3"/>
  <c r="F1019" i="3"/>
  <c r="E1019" i="3"/>
  <c r="F1011" i="3"/>
  <c r="E1011" i="3"/>
  <c r="F1003" i="3"/>
  <c r="E1003" i="3"/>
  <c r="F995" i="3"/>
  <c r="E995" i="3"/>
  <c r="F987" i="3"/>
  <c r="E987" i="3"/>
  <c r="F979" i="3"/>
  <c r="E979" i="3"/>
  <c r="F971" i="3"/>
  <c r="E971" i="3"/>
  <c r="F963" i="3"/>
  <c r="E963" i="3"/>
  <c r="F955" i="3"/>
  <c r="E955" i="3"/>
  <c r="F947" i="3"/>
  <c r="E947" i="3"/>
  <c r="F939" i="3"/>
  <c r="E939" i="3"/>
  <c r="F931" i="3"/>
  <c r="E931" i="3"/>
  <c r="F923" i="3"/>
  <c r="E923" i="3"/>
  <c r="F915" i="3"/>
  <c r="E915" i="3"/>
  <c r="F907" i="3"/>
  <c r="E907" i="3"/>
  <c r="F899" i="3"/>
  <c r="E899" i="3"/>
  <c r="F891" i="3"/>
  <c r="E891" i="3"/>
  <c r="F883" i="3"/>
  <c r="E883" i="3"/>
  <c r="F875" i="3"/>
  <c r="E875" i="3"/>
  <c r="F867" i="3"/>
  <c r="E867" i="3"/>
  <c r="F859" i="3"/>
  <c r="E859" i="3"/>
  <c r="F851" i="3"/>
  <c r="E851" i="3"/>
  <c r="F843" i="3"/>
  <c r="E843" i="3"/>
  <c r="F835" i="3"/>
  <c r="E835" i="3"/>
  <c r="F827" i="3"/>
  <c r="E827" i="3"/>
  <c r="F819" i="3"/>
  <c r="E819" i="3"/>
  <c r="F811" i="3"/>
  <c r="E811" i="3"/>
  <c r="F803" i="3"/>
  <c r="E803" i="3"/>
  <c r="F795" i="3"/>
  <c r="E795" i="3"/>
  <c r="F787" i="3"/>
  <c r="E787" i="3"/>
  <c r="F779" i="3"/>
  <c r="E779" i="3"/>
  <c r="F771" i="3"/>
  <c r="E771" i="3"/>
  <c r="F763" i="3"/>
  <c r="E763" i="3"/>
  <c r="F755" i="3"/>
  <c r="E755" i="3"/>
  <c r="F747" i="3"/>
  <c r="E747" i="3"/>
  <c r="F739" i="3"/>
  <c r="E739" i="3"/>
  <c r="F731" i="3"/>
  <c r="E731" i="3"/>
  <c r="F723" i="3"/>
  <c r="E723" i="3"/>
  <c r="F715" i="3"/>
  <c r="E715" i="3"/>
  <c r="F707" i="3"/>
  <c r="E707" i="3"/>
  <c r="F699" i="3"/>
  <c r="E699" i="3"/>
  <c r="F691" i="3"/>
  <c r="E691" i="3"/>
  <c r="F683" i="3"/>
  <c r="E683" i="3"/>
  <c r="F675" i="3"/>
  <c r="E675" i="3"/>
  <c r="F667" i="3"/>
  <c r="E667" i="3"/>
  <c r="F659" i="3"/>
  <c r="E659" i="3"/>
  <c r="F651" i="3"/>
  <c r="E651" i="3"/>
  <c r="F643" i="3"/>
  <c r="E643" i="3"/>
  <c r="F635" i="3"/>
  <c r="E635" i="3"/>
  <c r="F627" i="3"/>
  <c r="E627" i="3"/>
  <c r="F619" i="3"/>
  <c r="E619" i="3"/>
  <c r="F611" i="3"/>
  <c r="E611" i="3"/>
  <c r="F603" i="3"/>
  <c r="E603" i="3"/>
  <c r="F595" i="3"/>
  <c r="E595" i="3"/>
  <c r="F587" i="3"/>
  <c r="E587" i="3"/>
  <c r="F579" i="3"/>
  <c r="E579" i="3"/>
  <c r="F571" i="3"/>
  <c r="E571" i="3"/>
  <c r="F563" i="3"/>
  <c r="E563" i="3"/>
  <c r="F555" i="3"/>
  <c r="E555" i="3"/>
  <c r="F547" i="3"/>
  <c r="E547" i="3"/>
  <c r="F539" i="3"/>
  <c r="E539" i="3"/>
  <c r="F531" i="3"/>
  <c r="E531" i="3"/>
  <c r="F523" i="3"/>
  <c r="E523" i="3"/>
  <c r="F515" i="3"/>
  <c r="E515" i="3"/>
  <c r="F507" i="3"/>
  <c r="E507" i="3"/>
  <c r="F499" i="3"/>
  <c r="E499" i="3"/>
  <c r="F491" i="3"/>
  <c r="E491" i="3"/>
  <c r="F483" i="3"/>
  <c r="E483" i="3"/>
  <c r="F475" i="3"/>
  <c r="E475" i="3"/>
  <c r="F467" i="3"/>
  <c r="E467" i="3"/>
  <c r="F459" i="3"/>
  <c r="E459" i="3"/>
  <c r="F451" i="3"/>
  <c r="E451" i="3"/>
  <c r="F443" i="3"/>
  <c r="E443" i="3"/>
  <c r="F435" i="3"/>
  <c r="E435" i="3"/>
  <c r="F427" i="3"/>
  <c r="E427" i="3"/>
  <c r="F419" i="3"/>
  <c r="E419" i="3"/>
  <c r="F411" i="3"/>
  <c r="E411" i="3"/>
  <c r="F403" i="3"/>
  <c r="E403" i="3"/>
  <c r="F395" i="3"/>
  <c r="E395" i="3"/>
  <c r="F387" i="3"/>
  <c r="E387" i="3"/>
  <c r="F379" i="3"/>
  <c r="E379" i="3"/>
  <c r="F371" i="3"/>
  <c r="E371" i="3"/>
  <c r="F363" i="3"/>
  <c r="E363" i="3"/>
  <c r="F355" i="3"/>
  <c r="E355" i="3"/>
  <c r="F347" i="3"/>
  <c r="E347" i="3"/>
  <c r="F339" i="3"/>
  <c r="E339" i="3"/>
  <c r="F331" i="3"/>
  <c r="E331" i="3"/>
  <c r="F323" i="3"/>
  <c r="E323" i="3"/>
  <c r="F291" i="3"/>
  <c r="E291" i="3"/>
  <c r="F283" i="3"/>
  <c r="E283" i="3"/>
  <c r="F275" i="3"/>
  <c r="E275" i="3"/>
  <c r="F251" i="3"/>
  <c r="E251" i="3"/>
  <c r="F243" i="3"/>
  <c r="E243" i="3"/>
  <c r="F219" i="3"/>
  <c r="E219" i="3"/>
  <c r="F211" i="3"/>
  <c r="E211" i="3"/>
  <c r="F187" i="3"/>
  <c r="E187" i="3"/>
  <c r="F179" i="3"/>
  <c r="E179" i="3"/>
  <c r="F155" i="3"/>
  <c r="E155" i="3"/>
  <c r="F147" i="3"/>
  <c r="E147" i="3"/>
  <c r="F131" i="3"/>
  <c r="E131" i="3"/>
  <c r="F122" i="3"/>
  <c r="E122" i="3"/>
  <c r="F106" i="3"/>
  <c r="E106" i="3"/>
  <c r="F90" i="3"/>
  <c r="E90" i="3"/>
  <c r="F82" i="3"/>
  <c r="E82" i="3"/>
  <c r="F66" i="3"/>
  <c r="E66" i="3"/>
  <c r="F58" i="3"/>
  <c r="E58" i="3"/>
  <c r="F42" i="3"/>
  <c r="E42" i="3"/>
  <c r="F25" i="3"/>
  <c r="E25" i="3"/>
  <c r="E2638" i="3"/>
  <c r="D2638" i="3" s="1"/>
  <c r="E2630" i="3"/>
  <c r="D2630" i="3" s="1"/>
  <c r="E2622" i="3"/>
  <c r="E2614" i="3"/>
  <c r="H2614" i="3" s="1"/>
  <c r="N2614" i="3" s="1"/>
  <c r="E2606" i="3"/>
  <c r="D2606" i="3" s="1"/>
  <c r="E2598" i="3"/>
  <c r="E2590" i="3"/>
  <c r="D2590" i="3" s="1"/>
  <c r="E2582" i="3"/>
  <c r="E2574" i="3"/>
  <c r="D2574" i="3" s="1"/>
  <c r="E2566" i="3"/>
  <c r="H2566" i="3" s="1"/>
  <c r="N2566" i="3" s="1"/>
  <c r="E2558" i="3"/>
  <c r="E2550" i="3"/>
  <c r="D2550" i="3" s="1"/>
  <c r="E2542" i="3"/>
  <c r="E2534" i="3"/>
  <c r="E2526" i="3"/>
  <c r="D2526" i="3" s="1"/>
  <c r="E2518" i="3"/>
  <c r="E2510" i="3"/>
  <c r="D2510" i="3" s="1"/>
  <c r="E2502" i="3"/>
  <c r="D2502" i="3" s="1"/>
  <c r="E2494" i="3"/>
  <c r="G2494" i="3" s="1"/>
  <c r="M2494" i="3" s="1"/>
  <c r="E2486" i="3"/>
  <c r="D2486" i="3" s="1"/>
  <c r="E2478" i="3"/>
  <c r="D2478" i="3" s="1"/>
  <c r="E2470" i="3"/>
  <c r="E2462" i="3"/>
  <c r="D2462" i="3" s="1"/>
  <c r="E2454" i="3"/>
  <c r="E2446" i="3"/>
  <c r="D2446" i="3" s="1"/>
  <c r="E2438" i="3"/>
  <c r="H2438" i="3" s="1"/>
  <c r="N2438" i="3" s="1"/>
  <c r="E2430" i="3"/>
  <c r="E2422" i="3"/>
  <c r="H2422" i="3" s="1"/>
  <c r="N2422" i="3" s="1"/>
  <c r="E2414" i="3"/>
  <c r="D2414" i="3" s="1"/>
  <c r="E2406" i="3"/>
  <c r="E2398" i="3"/>
  <c r="D2398" i="3" s="1"/>
  <c r="E2390" i="3"/>
  <c r="E2382" i="3"/>
  <c r="D2382" i="3" s="1"/>
  <c r="E2374" i="3"/>
  <c r="D2374" i="3" s="1"/>
  <c r="E2366" i="3"/>
  <c r="E2358" i="3"/>
  <c r="D2358" i="3" s="1"/>
  <c r="E2350" i="3"/>
  <c r="G2350" i="3" s="1"/>
  <c r="M2350" i="3" s="1"/>
  <c r="E2342" i="3"/>
  <c r="D2342" i="3" s="1"/>
  <c r="E2334" i="3"/>
  <c r="D2334" i="3" s="1"/>
  <c r="E2326" i="3"/>
  <c r="E2318" i="3"/>
  <c r="D2318" i="3" s="1"/>
  <c r="E2310" i="3"/>
  <c r="H2310" i="3" s="1"/>
  <c r="E2302" i="3"/>
  <c r="H2302" i="3" s="1"/>
  <c r="E2294" i="3"/>
  <c r="D2294" i="3" s="1"/>
  <c r="E2286" i="3"/>
  <c r="E2278" i="3"/>
  <c r="H2278" i="3" s="1"/>
  <c r="E2270" i="3"/>
  <c r="D2270" i="3" s="1"/>
  <c r="E2262" i="3"/>
  <c r="E2254" i="3"/>
  <c r="D2254" i="3" s="1"/>
  <c r="E2246" i="3"/>
  <c r="H2246" i="3" s="1"/>
  <c r="E2238" i="3"/>
  <c r="D2238" i="3" s="1"/>
  <c r="E2230" i="3"/>
  <c r="D2230" i="3" s="1"/>
  <c r="E2222" i="3"/>
  <c r="G2222" i="3" s="1"/>
  <c r="M2222" i="3" s="1"/>
  <c r="E2214" i="3"/>
  <c r="E2206" i="3"/>
  <c r="D2206" i="3" s="1"/>
  <c r="E2198" i="3"/>
  <c r="E2190" i="3"/>
  <c r="D2190" i="3" s="1"/>
  <c r="E2182" i="3"/>
  <c r="D2182" i="3" s="1"/>
  <c r="E2174" i="3"/>
  <c r="G2174" i="3" s="1"/>
  <c r="M2174" i="3" s="1"/>
  <c r="E2166" i="3"/>
  <c r="H2166" i="3" s="1"/>
  <c r="E2158" i="3"/>
  <c r="H2158" i="3" s="1"/>
  <c r="E2150" i="3"/>
  <c r="E2142" i="3"/>
  <c r="D2142" i="3" s="1"/>
  <c r="E2134" i="3"/>
  <c r="G2134" i="3" s="1"/>
  <c r="M2134" i="3" s="1"/>
  <c r="E2126" i="3"/>
  <c r="D2126" i="3" s="1"/>
  <c r="E2118" i="3"/>
  <c r="H2118" i="3" s="1"/>
  <c r="E2110" i="3"/>
  <c r="G2110" i="3" s="1"/>
  <c r="M2110" i="3" s="1"/>
  <c r="E2102" i="3"/>
  <c r="D2102" i="3" s="1"/>
  <c r="E2094" i="3"/>
  <c r="H2094" i="3" s="1"/>
  <c r="E2086" i="3"/>
  <c r="D2086" i="3" s="1"/>
  <c r="E2078" i="3"/>
  <c r="D2078" i="3" s="1"/>
  <c r="E2070" i="3"/>
  <c r="E2062" i="3"/>
  <c r="D2062" i="3" s="1"/>
  <c r="E2054" i="3"/>
  <c r="D2054" i="3" s="1"/>
  <c r="E2046" i="3"/>
  <c r="H2046" i="3" s="1"/>
  <c r="E2038" i="3"/>
  <c r="D2038" i="3" s="1"/>
  <c r="E2030" i="3"/>
  <c r="D2030" i="3" s="1"/>
  <c r="E2022" i="3"/>
  <c r="H2022" i="3" s="1"/>
  <c r="E2014" i="3"/>
  <c r="D2014" i="3" s="1"/>
  <c r="E2006" i="3"/>
  <c r="E1998" i="3"/>
  <c r="H1998" i="3" s="1"/>
  <c r="L1998" i="3" s="1"/>
  <c r="E1990" i="3"/>
  <c r="H1990" i="3" s="1"/>
  <c r="E1982" i="3"/>
  <c r="E1974" i="3"/>
  <c r="D1974" i="3" s="1"/>
  <c r="E1966" i="3"/>
  <c r="H1966" i="3" s="1"/>
  <c r="E1958" i="3"/>
  <c r="E1950" i="3"/>
  <c r="D1950" i="3" s="1"/>
  <c r="E1942" i="3"/>
  <c r="E1934" i="3"/>
  <c r="D1934" i="3" s="1"/>
  <c r="E1926" i="3"/>
  <c r="G1926" i="3" s="1"/>
  <c r="M1926" i="3" s="1"/>
  <c r="E1918" i="3"/>
  <c r="E1910" i="3"/>
  <c r="D1910" i="3" s="1"/>
  <c r="E1902" i="3"/>
  <c r="D1902" i="3" s="1"/>
  <c r="E1884" i="3"/>
  <c r="H1884" i="3" s="1"/>
  <c r="N1884" i="3" s="1"/>
  <c r="E1875" i="3"/>
  <c r="H1875" i="3" s="1"/>
  <c r="E1846" i="3"/>
  <c r="D1846" i="3" s="1"/>
  <c r="E1705" i="3"/>
  <c r="D1705" i="3" s="1"/>
  <c r="E1689" i="3"/>
  <c r="H1689" i="3" s="1"/>
  <c r="L1689" i="3" s="1"/>
  <c r="E1673" i="3"/>
  <c r="E1641" i="3"/>
  <c r="H1641" i="3" s="1"/>
  <c r="E1625" i="3"/>
  <c r="D1625" i="3" s="1"/>
  <c r="E1609" i="3"/>
  <c r="E1577" i="3"/>
  <c r="D1577" i="3" s="1"/>
  <c r="E1561" i="3"/>
  <c r="E1545" i="3"/>
  <c r="H1545" i="3" s="1"/>
  <c r="E1529" i="3"/>
  <c r="H1529" i="3" s="1"/>
  <c r="E1513" i="3"/>
  <c r="H1513" i="3" s="1"/>
  <c r="L1513" i="3" s="1"/>
  <c r="E1497" i="3"/>
  <c r="D1497" i="3" s="1"/>
  <c r="E1481" i="3"/>
  <c r="D1481" i="3" s="1"/>
  <c r="E1465" i="3"/>
  <c r="E1448" i="3"/>
  <c r="H1448" i="3" s="1"/>
  <c r="E1384" i="3"/>
  <c r="E1361" i="3"/>
  <c r="H1361" i="3" s="1"/>
  <c r="E1320" i="3"/>
  <c r="D1320" i="3" s="1"/>
  <c r="E1297" i="3"/>
  <c r="E1256" i="3"/>
  <c r="H1256" i="3" s="1"/>
  <c r="E1192" i="3"/>
  <c r="D1192" i="3" s="1"/>
  <c r="E1128" i="3"/>
  <c r="H1128" i="3" s="1"/>
  <c r="N1128" i="3" s="1"/>
  <c r="E1105" i="3"/>
  <c r="E1064" i="3"/>
  <c r="E1041" i="3"/>
  <c r="H1041" i="3" s="1"/>
  <c r="N1041" i="3" s="1"/>
  <c r="E1000" i="3"/>
  <c r="H1000" i="3" s="1"/>
  <c r="N1000" i="3" s="1"/>
  <c r="E977" i="3"/>
  <c r="E936" i="3"/>
  <c r="D936" i="3" s="1"/>
  <c r="E913" i="3"/>
  <c r="D913" i="3" s="1"/>
  <c r="E872" i="3"/>
  <c r="H872" i="3" s="1"/>
  <c r="N872" i="3" s="1"/>
  <c r="E849" i="3"/>
  <c r="E808" i="3"/>
  <c r="E785" i="3"/>
  <c r="D785" i="3" s="1"/>
  <c r="E744" i="3"/>
  <c r="H744" i="3" s="1"/>
  <c r="N744" i="3" s="1"/>
  <c r="E721" i="3"/>
  <c r="E680" i="3"/>
  <c r="H680" i="3" s="1"/>
  <c r="N680" i="3" s="1"/>
  <c r="E657" i="3"/>
  <c r="D657" i="3" s="1"/>
  <c r="E616" i="3"/>
  <c r="H616" i="3" s="1"/>
  <c r="N616" i="3" s="1"/>
  <c r="E593" i="3"/>
  <c r="H593" i="3" s="1"/>
  <c r="N593" i="3" s="1"/>
  <c r="E552" i="3"/>
  <c r="E529" i="3"/>
  <c r="H529" i="3" s="1"/>
  <c r="N529" i="3" s="1"/>
  <c r="E488" i="3"/>
  <c r="D488" i="3" s="1"/>
  <c r="E465" i="3"/>
  <c r="D465" i="3" s="1"/>
  <c r="E424" i="3"/>
  <c r="G424" i="3" s="1"/>
  <c r="E401" i="3"/>
  <c r="D401" i="3" s="1"/>
  <c r="E360" i="3"/>
  <c r="E336" i="3"/>
  <c r="H336" i="3" s="1"/>
  <c r="N336" i="3" s="1"/>
  <c r="E315" i="3"/>
  <c r="H315" i="3" s="1"/>
  <c r="N315" i="3" s="1"/>
  <c r="E289" i="3"/>
  <c r="H289" i="3" s="1"/>
  <c r="N289" i="3" s="1"/>
  <c r="E259" i="3"/>
  <c r="H259" i="3" s="1"/>
  <c r="N259" i="3" s="1"/>
  <c r="E235" i="3"/>
  <c r="H235" i="3" s="1"/>
  <c r="N235" i="3" s="1"/>
  <c r="E206" i="3"/>
  <c r="D206" i="3" s="1"/>
  <c r="E77" i="3"/>
  <c r="D77" i="3" s="1"/>
  <c r="E47" i="3"/>
  <c r="G47" i="3" s="1"/>
  <c r="F2604" i="3"/>
  <c r="H2604" i="3" s="1"/>
  <c r="N2604" i="3" s="1"/>
  <c r="F2476" i="3"/>
  <c r="H2476" i="3" s="1"/>
  <c r="F2348" i="3"/>
  <c r="H2348" i="3" s="1"/>
  <c r="N2348" i="3" s="1"/>
  <c r="F2220" i="3"/>
  <c r="G2220" i="3" s="1"/>
  <c r="M2220" i="3" s="1"/>
  <c r="F1916" i="3"/>
  <c r="H1916" i="3" s="1"/>
  <c r="F1724" i="3"/>
  <c r="F1468" i="3"/>
  <c r="D1468" i="3" s="1"/>
  <c r="F1212" i="3"/>
  <c r="H1212" i="3" s="1"/>
  <c r="N1212" i="3" s="1"/>
  <c r="F972" i="3"/>
  <c r="H972" i="3" s="1"/>
  <c r="N972" i="3" s="1"/>
  <c r="F1898" i="3"/>
  <c r="E1898" i="3"/>
  <c r="F1890" i="3"/>
  <c r="E1890" i="3"/>
  <c r="F1882" i="3"/>
  <c r="E1882" i="3"/>
  <c r="F1874" i="3"/>
  <c r="E1874" i="3"/>
  <c r="F1866" i="3"/>
  <c r="E1866" i="3"/>
  <c r="F1858" i="3"/>
  <c r="E1858" i="3"/>
  <c r="F1850" i="3"/>
  <c r="E1850" i="3"/>
  <c r="F1842" i="3"/>
  <c r="E1842" i="3"/>
  <c r="F1834" i="3"/>
  <c r="E1834" i="3"/>
  <c r="F1826" i="3"/>
  <c r="E1826" i="3"/>
  <c r="F1818" i="3"/>
  <c r="E1818" i="3"/>
  <c r="F1810" i="3"/>
  <c r="E1810" i="3"/>
  <c r="F1802" i="3"/>
  <c r="E1802" i="3"/>
  <c r="F1794" i="3"/>
  <c r="E1794" i="3"/>
  <c r="F1786" i="3"/>
  <c r="E1786" i="3"/>
  <c r="F1778" i="3"/>
  <c r="E1778" i="3"/>
  <c r="F1770" i="3"/>
  <c r="E1770" i="3"/>
  <c r="F1762" i="3"/>
  <c r="E1762" i="3"/>
  <c r="F1754" i="3"/>
  <c r="E1754" i="3"/>
  <c r="F1746" i="3"/>
  <c r="E1746" i="3"/>
  <c r="F1738" i="3"/>
  <c r="E1738" i="3"/>
  <c r="F1730" i="3"/>
  <c r="E1730" i="3"/>
  <c r="F1722" i="3"/>
  <c r="E1722" i="3"/>
  <c r="F1714" i="3"/>
  <c r="E1714" i="3"/>
  <c r="F1706" i="3"/>
  <c r="E1706" i="3"/>
  <c r="F1698" i="3"/>
  <c r="E1698" i="3"/>
  <c r="F1690" i="3"/>
  <c r="E1690" i="3"/>
  <c r="F1682" i="3"/>
  <c r="E1682" i="3"/>
  <c r="F1674" i="3"/>
  <c r="E1674" i="3"/>
  <c r="F1666" i="3"/>
  <c r="E1666" i="3"/>
  <c r="F1658" i="3"/>
  <c r="E1658" i="3"/>
  <c r="F1650" i="3"/>
  <c r="E1650" i="3"/>
  <c r="F1642" i="3"/>
  <c r="E1642" i="3"/>
  <c r="F1634" i="3"/>
  <c r="E1634" i="3"/>
  <c r="F1626" i="3"/>
  <c r="E1626" i="3"/>
  <c r="F1618" i="3"/>
  <c r="E1618" i="3"/>
  <c r="F1610" i="3"/>
  <c r="E1610" i="3"/>
  <c r="F1602" i="3"/>
  <c r="E1602" i="3"/>
  <c r="F1594" i="3"/>
  <c r="E1594" i="3"/>
  <c r="F1586" i="3"/>
  <c r="E1586" i="3"/>
  <c r="F1578" i="3"/>
  <c r="E1578" i="3"/>
  <c r="F1570" i="3"/>
  <c r="E1570" i="3"/>
  <c r="F1562" i="3"/>
  <c r="E1562" i="3"/>
  <c r="F1554" i="3"/>
  <c r="E1554" i="3"/>
  <c r="F1546" i="3"/>
  <c r="E1546" i="3"/>
  <c r="F1538" i="3"/>
  <c r="E1538" i="3"/>
  <c r="F1530" i="3"/>
  <c r="E1530" i="3"/>
  <c r="F1522" i="3"/>
  <c r="E1522" i="3"/>
  <c r="F1514" i="3"/>
  <c r="E1514" i="3"/>
  <c r="F1506" i="3"/>
  <c r="E1506" i="3"/>
  <c r="F1498" i="3"/>
  <c r="E1498" i="3"/>
  <c r="F1490" i="3"/>
  <c r="E1490" i="3"/>
  <c r="F1482" i="3"/>
  <c r="E1482" i="3"/>
  <c r="F1474" i="3"/>
  <c r="E1474" i="3"/>
  <c r="F1466" i="3"/>
  <c r="E1466" i="3"/>
  <c r="F1458" i="3"/>
  <c r="E1458" i="3"/>
  <c r="F1450" i="3"/>
  <c r="E1450" i="3"/>
  <c r="F1442" i="3"/>
  <c r="E1442" i="3"/>
  <c r="F1434" i="3"/>
  <c r="E1434" i="3"/>
  <c r="F1426" i="3"/>
  <c r="E1426" i="3"/>
  <c r="F1418" i="3"/>
  <c r="E1418" i="3"/>
  <c r="F1410" i="3"/>
  <c r="E1410" i="3"/>
  <c r="F1402" i="3"/>
  <c r="E1402" i="3"/>
  <c r="F1394" i="3"/>
  <c r="E1394" i="3"/>
  <c r="F1386" i="3"/>
  <c r="E1386" i="3"/>
  <c r="F1378" i="3"/>
  <c r="E1378" i="3"/>
  <c r="F1370" i="3"/>
  <c r="E1370" i="3"/>
  <c r="F1362" i="3"/>
  <c r="E1362" i="3"/>
  <c r="F1354" i="3"/>
  <c r="E1354" i="3"/>
  <c r="F1346" i="3"/>
  <c r="E1346" i="3"/>
  <c r="F1338" i="3"/>
  <c r="E1338" i="3"/>
  <c r="F1330" i="3"/>
  <c r="E1330" i="3"/>
  <c r="F1322" i="3"/>
  <c r="E1322" i="3"/>
  <c r="F1314" i="3"/>
  <c r="E1314" i="3"/>
  <c r="F1306" i="3"/>
  <c r="E1306" i="3"/>
  <c r="F1298" i="3"/>
  <c r="E1298" i="3"/>
  <c r="F1290" i="3"/>
  <c r="E1290" i="3"/>
  <c r="F1282" i="3"/>
  <c r="E1282" i="3"/>
  <c r="F1274" i="3"/>
  <c r="E1274" i="3"/>
  <c r="F1266" i="3"/>
  <c r="E1266" i="3"/>
  <c r="F1258" i="3"/>
  <c r="E1258" i="3"/>
  <c r="F1250" i="3"/>
  <c r="E1250" i="3"/>
  <c r="F1242" i="3"/>
  <c r="E1242" i="3"/>
  <c r="F1234" i="3"/>
  <c r="E1234" i="3"/>
  <c r="F1226" i="3"/>
  <c r="E1226" i="3"/>
  <c r="F1218" i="3"/>
  <c r="E1218" i="3"/>
  <c r="F1210" i="3"/>
  <c r="E1210" i="3"/>
  <c r="F1202" i="3"/>
  <c r="E1202" i="3"/>
  <c r="F1194" i="3"/>
  <c r="E1194" i="3"/>
  <c r="F1186" i="3"/>
  <c r="E1186" i="3"/>
  <c r="F1178" i="3"/>
  <c r="E1178" i="3"/>
  <c r="F1170" i="3"/>
  <c r="E1170" i="3"/>
  <c r="F1162" i="3"/>
  <c r="E1162" i="3"/>
  <c r="F1154" i="3"/>
  <c r="E1154" i="3"/>
  <c r="F1146" i="3"/>
  <c r="E1146" i="3"/>
  <c r="F1138" i="3"/>
  <c r="E1138" i="3"/>
  <c r="F1130" i="3"/>
  <c r="E1130" i="3"/>
  <c r="F1122" i="3"/>
  <c r="E1122" i="3"/>
  <c r="F1114" i="3"/>
  <c r="E1114" i="3"/>
  <c r="F1106" i="3"/>
  <c r="E1106" i="3"/>
  <c r="F1098" i="3"/>
  <c r="E1098" i="3"/>
  <c r="F1090" i="3"/>
  <c r="E1090" i="3"/>
  <c r="F1082" i="3"/>
  <c r="E1082" i="3"/>
  <c r="F1074" i="3"/>
  <c r="E1074" i="3"/>
  <c r="F1066" i="3"/>
  <c r="E1066" i="3"/>
  <c r="F1058" i="3"/>
  <c r="E1058" i="3"/>
  <c r="F1050" i="3"/>
  <c r="E1050" i="3"/>
  <c r="F1042" i="3"/>
  <c r="E1042" i="3"/>
  <c r="F1034" i="3"/>
  <c r="E1034" i="3"/>
  <c r="F1026" i="3"/>
  <c r="E1026" i="3"/>
  <c r="F1018" i="3"/>
  <c r="E1018" i="3"/>
  <c r="F1010" i="3"/>
  <c r="E1010" i="3"/>
  <c r="F1002" i="3"/>
  <c r="E1002" i="3"/>
  <c r="F994" i="3"/>
  <c r="E994" i="3"/>
  <c r="F986" i="3"/>
  <c r="E986" i="3"/>
  <c r="F978" i="3"/>
  <c r="E978" i="3"/>
  <c r="F970" i="3"/>
  <c r="E970" i="3"/>
  <c r="F962" i="3"/>
  <c r="E962" i="3"/>
  <c r="F954" i="3"/>
  <c r="E954" i="3"/>
  <c r="F946" i="3"/>
  <c r="E946" i="3"/>
  <c r="F938" i="3"/>
  <c r="E938" i="3"/>
  <c r="F930" i="3"/>
  <c r="E930" i="3"/>
  <c r="F922" i="3"/>
  <c r="E922" i="3"/>
  <c r="F914" i="3"/>
  <c r="E914" i="3"/>
  <c r="F906" i="3"/>
  <c r="E906" i="3"/>
  <c r="F898" i="3"/>
  <c r="E898" i="3"/>
  <c r="F890" i="3"/>
  <c r="E890" i="3"/>
  <c r="F882" i="3"/>
  <c r="E882" i="3"/>
  <c r="F874" i="3"/>
  <c r="E874" i="3"/>
  <c r="F866" i="3"/>
  <c r="E866" i="3"/>
  <c r="F858" i="3"/>
  <c r="E858" i="3"/>
  <c r="F850" i="3"/>
  <c r="E850" i="3"/>
  <c r="F842" i="3"/>
  <c r="E842" i="3"/>
  <c r="F834" i="3"/>
  <c r="E834" i="3"/>
  <c r="F826" i="3"/>
  <c r="E826" i="3"/>
  <c r="F818" i="3"/>
  <c r="E818" i="3"/>
  <c r="F810" i="3"/>
  <c r="E810" i="3"/>
  <c r="F802" i="3"/>
  <c r="E802" i="3"/>
  <c r="F794" i="3"/>
  <c r="E794" i="3"/>
  <c r="F786" i="3"/>
  <c r="E786" i="3"/>
  <c r="F778" i="3"/>
  <c r="E778" i="3"/>
  <c r="F770" i="3"/>
  <c r="E770" i="3"/>
  <c r="F762" i="3"/>
  <c r="E762" i="3"/>
  <c r="F754" i="3"/>
  <c r="E754" i="3"/>
  <c r="F746" i="3"/>
  <c r="E746" i="3"/>
  <c r="F738" i="3"/>
  <c r="E738" i="3"/>
  <c r="F730" i="3"/>
  <c r="E730" i="3"/>
  <c r="F722" i="3"/>
  <c r="E722" i="3"/>
  <c r="F714" i="3"/>
  <c r="E714" i="3"/>
  <c r="F706" i="3"/>
  <c r="E706" i="3"/>
  <c r="F698" i="3"/>
  <c r="E698" i="3"/>
  <c r="F690" i="3"/>
  <c r="E690" i="3"/>
  <c r="F682" i="3"/>
  <c r="E682" i="3"/>
  <c r="F674" i="3"/>
  <c r="E674" i="3"/>
  <c r="F666" i="3"/>
  <c r="E666" i="3"/>
  <c r="F658" i="3"/>
  <c r="E658" i="3"/>
  <c r="F650" i="3"/>
  <c r="E650" i="3"/>
  <c r="F642" i="3"/>
  <c r="E642" i="3"/>
  <c r="F634" i="3"/>
  <c r="E634" i="3"/>
  <c r="F626" i="3"/>
  <c r="E626" i="3"/>
  <c r="F618" i="3"/>
  <c r="E618" i="3"/>
  <c r="F610" i="3"/>
  <c r="E610" i="3"/>
  <c r="F602" i="3"/>
  <c r="E602" i="3"/>
  <c r="F594" i="3"/>
  <c r="E594" i="3"/>
  <c r="F586" i="3"/>
  <c r="E586" i="3"/>
  <c r="F578" i="3"/>
  <c r="E578" i="3"/>
  <c r="F570" i="3"/>
  <c r="E570" i="3"/>
  <c r="F562" i="3"/>
  <c r="E562" i="3"/>
  <c r="F554" i="3"/>
  <c r="E554" i="3"/>
  <c r="F546" i="3"/>
  <c r="E546" i="3"/>
  <c r="F538" i="3"/>
  <c r="E538" i="3"/>
  <c r="F530" i="3"/>
  <c r="E530" i="3"/>
  <c r="F522" i="3"/>
  <c r="E522" i="3"/>
  <c r="F514" i="3"/>
  <c r="E514" i="3"/>
  <c r="F506" i="3"/>
  <c r="E506" i="3"/>
  <c r="F498" i="3"/>
  <c r="E498" i="3"/>
  <c r="F490" i="3"/>
  <c r="E490" i="3"/>
  <c r="F482" i="3"/>
  <c r="E482" i="3"/>
  <c r="F474" i="3"/>
  <c r="E474" i="3"/>
  <c r="F466" i="3"/>
  <c r="E466" i="3"/>
  <c r="F458" i="3"/>
  <c r="E458" i="3"/>
  <c r="F450" i="3"/>
  <c r="E450" i="3"/>
  <c r="F442" i="3"/>
  <c r="E442" i="3"/>
  <c r="F434" i="3"/>
  <c r="E434" i="3"/>
  <c r="F426" i="3"/>
  <c r="E426" i="3"/>
  <c r="F418" i="3"/>
  <c r="E418" i="3"/>
  <c r="F410" i="3"/>
  <c r="E410" i="3"/>
  <c r="F402" i="3"/>
  <c r="E402" i="3"/>
  <c r="F394" i="3"/>
  <c r="E394" i="3"/>
  <c r="F386" i="3"/>
  <c r="E386" i="3"/>
  <c r="F378" i="3"/>
  <c r="E378" i="3"/>
  <c r="F370" i="3"/>
  <c r="E370" i="3"/>
  <c r="F362" i="3"/>
  <c r="E362" i="3"/>
  <c r="F354" i="3"/>
  <c r="E354" i="3"/>
  <c r="F346" i="3"/>
  <c r="E346" i="3"/>
  <c r="F338" i="3"/>
  <c r="E338" i="3"/>
  <c r="F330" i="3"/>
  <c r="E330" i="3"/>
  <c r="F322" i="3"/>
  <c r="E322" i="3"/>
  <c r="F314" i="3"/>
  <c r="E314" i="3"/>
  <c r="F282" i="3"/>
  <c r="E282" i="3"/>
  <c r="F274" i="3"/>
  <c r="E274" i="3"/>
  <c r="F266" i="3"/>
  <c r="E266" i="3"/>
  <c r="F250" i="3"/>
  <c r="E250" i="3"/>
  <c r="F242" i="3"/>
  <c r="E242" i="3"/>
  <c r="F234" i="3"/>
  <c r="E234" i="3"/>
  <c r="F218" i="3"/>
  <c r="E218" i="3"/>
  <c r="F210" i="3"/>
  <c r="E210" i="3"/>
  <c r="F202" i="3"/>
  <c r="E202" i="3"/>
  <c r="F186" i="3"/>
  <c r="E186" i="3"/>
  <c r="F178" i="3"/>
  <c r="E178" i="3"/>
  <c r="F170" i="3"/>
  <c r="E170" i="3"/>
  <c r="F154" i="3"/>
  <c r="E154" i="3"/>
  <c r="F146" i="3"/>
  <c r="E146" i="3"/>
  <c r="F138" i="3"/>
  <c r="E138" i="3"/>
  <c r="F130" i="3"/>
  <c r="E130" i="3"/>
  <c r="F121" i="3"/>
  <c r="E121" i="3"/>
  <c r="F113" i="3"/>
  <c r="E113" i="3"/>
  <c r="F105" i="3"/>
  <c r="E105" i="3"/>
  <c r="F97" i="3"/>
  <c r="E97" i="3"/>
  <c r="F89" i="3"/>
  <c r="E89" i="3"/>
  <c r="F81" i="3"/>
  <c r="E81" i="3"/>
  <c r="F73" i="3"/>
  <c r="E73" i="3"/>
  <c r="F65" i="3"/>
  <c r="E65" i="3"/>
  <c r="F57" i="3"/>
  <c r="E57" i="3"/>
  <c r="F49" i="3"/>
  <c r="E49" i="3"/>
  <c r="F41" i="3"/>
  <c r="E41" i="3"/>
  <c r="F32" i="3"/>
  <c r="E32" i="3"/>
  <c r="F24" i="3"/>
  <c r="E24" i="3"/>
  <c r="E1883" i="3"/>
  <c r="H1883" i="3" s="1"/>
  <c r="N1883" i="3" s="1"/>
  <c r="E1424" i="3"/>
  <c r="H1424" i="3" s="1"/>
  <c r="E1360" i="3"/>
  <c r="H1360" i="3" s="1"/>
  <c r="E1296" i="3"/>
  <c r="H1296" i="3" s="1"/>
  <c r="E1273" i="3"/>
  <c r="E1232" i="3"/>
  <c r="E1209" i="3"/>
  <c r="D1209" i="3" s="1"/>
  <c r="E1168" i="3"/>
  <c r="G1168" i="3" s="1"/>
  <c r="E1104" i="3"/>
  <c r="D1104" i="3" s="1"/>
  <c r="E1081" i="3"/>
  <c r="E1040" i="3"/>
  <c r="H1040" i="3" s="1"/>
  <c r="N1040" i="3" s="1"/>
  <c r="E1017" i="3"/>
  <c r="E976" i="3"/>
  <c r="D976" i="3" s="1"/>
  <c r="E953" i="3"/>
  <c r="D953" i="3" s="1"/>
  <c r="E912" i="3"/>
  <c r="D912" i="3" s="1"/>
  <c r="E889" i="3"/>
  <c r="D889" i="3" s="1"/>
  <c r="E848" i="3"/>
  <c r="D848" i="3" s="1"/>
  <c r="E825" i="3"/>
  <c r="E784" i="3"/>
  <c r="E761" i="3"/>
  <c r="E720" i="3"/>
  <c r="E697" i="3"/>
  <c r="E656" i="3"/>
  <c r="E633" i="3"/>
  <c r="D633" i="3" s="1"/>
  <c r="E592" i="3"/>
  <c r="D592" i="3" s="1"/>
  <c r="E569" i="3"/>
  <c r="E528" i="3"/>
  <c r="D528" i="3" s="1"/>
  <c r="E505" i="3"/>
  <c r="H505" i="3" s="1"/>
  <c r="N505" i="3" s="1"/>
  <c r="E464" i="3"/>
  <c r="D464" i="3" s="1"/>
  <c r="E441" i="3"/>
  <c r="E400" i="3"/>
  <c r="E377" i="3"/>
  <c r="E288" i="3"/>
  <c r="D288" i="3" s="1"/>
  <c r="E258" i="3"/>
  <c r="H258" i="3" s="1"/>
  <c r="N258" i="3" s="1"/>
  <c r="E227" i="3"/>
  <c r="H227" i="3" s="1"/>
  <c r="N227" i="3" s="1"/>
  <c r="E203" i="3"/>
  <c r="H203" i="3" s="1"/>
  <c r="N203" i="3" s="1"/>
  <c r="E174" i="3"/>
  <c r="D174" i="3" s="1"/>
  <c r="E142" i="3"/>
  <c r="H142" i="3" s="1"/>
  <c r="N142" i="3" s="1"/>
  <c r="E111" i="3"/>
  <c r="D111" i="3" s="1"/>
  <c r="E74" i="3"/>
  <c r="H74" i="3" s="1"/>
  <c r="J74" i="3" s="1"/>
  <c r="F2556" i="3"/>
  <c r="H2556" i="3" s="1"/>
  <c r="N2556" i="3" s="1"/>
  <c r="F2428" i="3"/>
  <c r="F2300" i="3"/>
  <c r="H2300" i="3" s="1"/>
  <c r="F2172" i="3"/>
  <c r="H2172" i="3" s="1"/>
  <c r="F2084" i="3"/>
  <c r="H2084" i="3" s="1"/>
  <c r="F1852" i="3"/>
  <c r="H1852" i="3" s="1"/>
  <c r="N1852" i="3" s="1"/>
  <c r="F1804" i="3"/>
  <c r="H1804" i="3" s="1"/>
  <c r="F1636" i="3"/>
  <c r="H1636" i="3" s="1"/>
  <c r="F1380" i="3"/>
  <c r="H1380" i="3" s="1"/>
  <c r="F1124" i="3"/>
  <c r="H1124" i="3" s="1"/>
  <c r="N1124" i="3" s="1"/>
  <c r="F737" i="3"/>
  <c r="F284" i="3"/>
  <c r="F337" i="3"/>
  <c r="E337" i="3"/>
  <c r="F329" i="3"/>
  <c r="E329" i="3"/>
  <c r="F321" i="3"/>
  <c r="E321" i="3"/>
  <c r="F313" i="3"/>
  <c r="E313" i="3"/>
  <c r="F305" i="3"/>
  <c r="E305" i="3"/>
  <c r="F273" i="3"/>
  <c r="E273" i="3"/>
  <c r="F265" i="3"/>
  <c r="E265" i="3"/>
  <c r="F241" i="3"/>
  <c r="E241" i="3"/>
  <c r="F209" i="3"/>
  <c r="E209" i="3"/>
  <c r="F201" i="3"/>
  <c r="E201" i="3"/>
  <c r="F145" i="3"/>
  <c r="E145" i="3"/>
  <c r="F129" i="3"/>
  <c r="E129" i="3"/>
  <c r="F120" i="3"/>
  <c r="E120" i="3"/>
  <c r="E104" i="3"/>
  <c r="F104" i="3"/>
  <c r="F96" i="3"/>
  <c r="E96" i="3"/>
  <c r="F80" i="3"/>
  <c r="E80" i="3"/>
  <c r="F64" i="3"/>
  <c r="E64" i="3"/>
  <c r="F56" i="3"/>
  <c r="E56" i="3"/>
  <c r="E40" i="3"/>
  <c r="F40" i="3"/>
  <c r="F31" i="3"/>
  <c r="E31" i="3"/>
  <c r="E2644" i="3"/>
  <c r="H2644" i="3" s="1"/>
  <c r="N2644" i="3" s="1"/>
  <c r="E2636" i="3"/>
  <c r="H2636" i="3" s="1"/>
  <c r="N2636" i="3" s="1"/>
  <c r="E2628" i="3"/>
  <c r="H2628" i="3" s="1"/>
  <c r="N2628" i="3" s="1"/>
  <c r="E2612" i="3"/>
  <c r="H2612" i="3" s="1"/>
  <c r="N2612" i="3" s="1"/>
  <c r="E2596" i="3"/>
  <c r="H2596" i="3" s="1"/>
  <c r="N2596" i="3" s="1"/>
  <c r="E2588" i="3"/>
  <c r="E2580" i="3"/>
  <c r="H2580" i="3" s="1"/>
  <c r="N2580" i="3" s="1"/>
  <c r="E2564" i="3"/>
  <c r="H2564" i="3" s="1"/>
  <c r="N2564" i="3" s="1"/>
  <c r="E2548" i="3"/>
  <c r="H2548" i="3" s="1"/>
  <c r="N2548" i="3" s="1"/>
  <c r="E2532" i="3"/>
  <c r="H2532" i="3" s="1"/>
  <c r="N2532" i="3" s="1"/>
  <c r="E2516" i="3"/>
  <c r="H2516" i="3" s="1"/>
  <c r="N2516" i="3" s="1"/>
  <c r="E2508" i="3"/>
  <c r="H2508" i="3" s="1"/>
  <c r="N2508" i="3" s="1"/>
  <c r="E2500" i="3"/>
  <c r="H2500" i="3" s="1"/>
  <c r="E2484" i="3"/>
  <c r="H2484" i="3" s="1"/>
  <c r="E2468" i="3"/>
  <c r="E2460" i="3"/>
  <c r="H2460" i="3" s="1"/>
  <c r="E2452" i="3"/>
  <c r="E2436" i="3"/>
  <c r="H2436" i="3" s="1"/>
  <c r="N2436" i="3" s="1"/>
  <c r="E2420" i="3"/>
  <c r="E2404" i="3"/>
  <c r="H2404" i="3" s="1"/>
  <c r="N2404" i="3" s="1"/>
  <c r="E2388" i="3"/>
  <c r="H2388" i="3" s="1"/>
  <c r="N2388" i="3" s="1"/>
  <c r="E2380" i="3"/>
  <c r="E2372" i="3"/>
  <c r="E2356" i="3"/>
  <c r="H2356" i="3" s="1"/>
  <c r="N2356" i="3" s="1"/>
  <c r="E2340" i="3"/>
  <c r="H2340" i="3" s="1"/>
  <c r="N2340" i="3" s="1"/>
  <c r="E2332" i="3"/>
  <c r="H2332" i="3" s="1"/>
  <c r="N2332" i="3" s="1"/>
  <c r="E2324" i="3"/>
  <c r="H2324" i="3" s="1"/>
  <c r="L2324" i="3" s="1"/>
  <c r="E2308" i="3"/>
  <c r="H2308" i="3" s="1"/>
  <c r="E2292" i="3"/>
  <c r="H2292" i="3" s="1"/>
  <c r="E2276" i="3"/>
  <c r="E2260" i="3"/>
  <c r="H2260" i="3" s="1"/>
  <c r="E2252" i="3"/>
  <c r="H2252" i="3" s="1"/>
  <c r="E2244" i="3"/>
  <c r="H2244" i="3" s="1"/>
  <c r="E2228" i="3"/>
  <c r="H2228" i="3" s="1"/>
  <c r="E2212" i="3"/>
  <c r="H2212" i="3" s="1"/>
  <c r="E2204" i="3"/>
  <c r="H2204" i="3" s="1"/>
  <c r="E2196" i="3"/>
  <c r="H2196" i="3" s="1"/>
  <c r="L2196" i="3" s="1"/>
  <c r="E2180" i="3"/>
  <c r="E2164" i="3"/>
  <c r="H2164" i="3" s="1"/>
  <c r="E2148" i="3"/>
  <c r="H2148" i="3" s="1"/>
  <c r="L2148" i="3" s="1"/>
  <c r="E2132" i="3"/>
  <c r="H2132" i="3" s="1"/>
  <c r="E2124" i="3"/>
  <c r="H2124" i="3" s="1"/>
  <c r="E2116" i="3"/>
  <c r="H2116" i="3" s="1"/>
  <c r="E2100" i="3"/>
  <c r="H2100" i="3" s="1"/>
  <c r="L2100" i="3" s="1"/>
  <c r="E2092" i="3"/>
  <c r="H2092" i="3" s="1"/>
  <c r="E2076" i="3"/>
  <c r="E2068" i="3"/>
  <c r="H2068" i="3" s="1"/>
  <c r="E2052" i="3"/>
  <c r="H2052" i="3" s="1"/>
  <c r="E2036" i="3"/>
  <c r="H2036" i="3" s="1"/>
  <c r="E2028" i="3"/>
  <c r="H2028" i="3" s="1"/>
  <c r="E2020" i="3"/>
  <c r="H2020" i="3" s="1"/>
  <c r="L2020" i="3" s="1"/>
  <c r="E2012" i="3"/>
  <c r="H2012" i="3" s="1"/>
  <c r="E2004" i="3"/>
  <c r="H2004" i="3" s="1"/>
  <c r="E1988" i="3"/>
  <c r="E1972" i="3"/>
  <c r="H1972" i="3" s="1"/>
  <c r="E1964" i="3"/>
  <c r="H1964" i="3" s="1"/>
  <c r="E1956" i="3"/>
  <c r="E1948" i="3"/>
  <c r="H1948" i="3" s="1"/>
  <c r="E1940" i="3"/>
  <c r="H1940" i="3" s="1"/>
  <c r="L1940" i="3" s="1"/>
  <c r="E1924" i="3"/>
  <c r="H1924" i="3" s="1"/>
  <c r="E1908" i="3"/>
  <c r="H1908" i="3" s="1"/>
  <c r="E1900" i="3"/>
  <c r="H1900" i="3" s="1"/>
  <c r="L1900" i="3" s="1"/>
  <c r="E1891" i="3"/>
  <c r="H1891" i="3" s="1"/>
  <c r="N1891" i="3" s="1"/>
  <c r="E1854" i="3"/>
  <c r="E1843" i="3"/>
  <c r="H1843" i="3" s="1"/>
  <c r="E1441" i="3"/>
  <c r="E1400" i="3"/>
  <c r="H1400" i="3" s="1"/>
  <c r="E1377" i="3"/>
  <c r="D1377" i="3" s="1"/>
  <c r="E1336" i="3"/>
  <c r="D1336" i="3" s="1"/>
  <c r="E1313" i="3"/>
  <c r="G1313" i="3" s="1"/>
  <c r="M1313" i="3" s="1"/>
  <c r="E1272" i="3"/>
  <c r="G1272" i="3" s="1"/>
  <c r="M1272" i="3" s="1"/>
  <c r="E1249" i="3"/>
  <c r="E1208" i="3"/>
  <c r="D1208" i="3" s="1"/>
  <c r="E1185" i="3"/>
  <c r="H1185" i="3" s="1"/>
  <c r="N1185" i="3" s="1"/>
  <c r="E1144" i="3"/>
  <c r="E1121" i="3"/>
  <c r="D1121" i="3" s="1"/>
  <c r="E1080" i="3"/>
  <c r="D1080" i="3" s="1"/>
  <c r="E1057" i="3"/>
  <c r="G1057" i="3" s="1"/>
  <c r="I1057" i="3" s="1"/>
  <c r="E1016" i="3"/>
  <c r="D1016" i="3" s="1"/>
  <c r="E993" i="3"/>
  <c r="E952" i="3"/>
  <c r="E929" i="3"/>
  <c r="E888" i="3"/>
  <c r="E865" i="3"/>
  <c r="E824" i="3"/>
  <c r="E760" i="3"/>
  <c r="E696" i="3"/>
  <c r="D696" i="3" s="1"/>
  <c r="E673" i="3"/>
  <c r="G673" i="3" s="1"/>
  <c r="E632" i="3"/>
  <c r="D632" i="3" s="1"/>
  <c r="E609" i="3"/>
  <c r="E568" i="3"/>
  <c r="D568" i="3" s="1"/>
  <c r="E545" i="3"/>
  <c r="E504" i="3"/>
  <c r="D504" i="3" s="1"/>
  <c r="E481" i="3"/>
  <c r="G481" i="3" s="1"/>
  <c r="E440" i="3"/>
  <c r="H440" i="3" s="1"/>
  <c r="N440" i="3" s="1"/>
  <c r="E417" i="3"/>
  <c r="E376" i="3"/>
  <c r="D376" i="3" s="1"/>
  <c r="E353" i="3"/>
  <c r="E334" i="3"/>
  <c r="H334" i="3" s="1"/>
  <c r="N334" i="3" s="1"/>
  <c r="E307" i="3"/>
  <c r="H307" i="3" s="1"/>
  <c r="N307" i="3" s="1"/>
  <c r="E281" i="3"/>
  <c r="D281" i="3" s="1"/>
  <c r="E257" i="3"/>
  <c r="H257" i="3" s="1"/>
  <c r="N257" i="3" s="1"/>
  <c r="E226" i="3"/>
  <c r="D226" i="3" s="1"/>
  <c r="E195" i="3"/>
  <c r="H195" i="3" s="1"/>
  <c r="N195" i="3" s="1"/>
  <c r="E171" i="3"/>
  <c r="H171" i="3" s="1"/>
  <c r="N171" i="3" s="1"/>
  <c r="E139" i="3"/>
  <c r="H139" i="3" s="1"/>
  <c r="N139" i="3" s="1"/>
  <c r="E72" i="3"/>
  <c r="D72" i="3" s="1"/>
  <c r="E36" i="3"/>
  <c r="D36" i="3" s="1"/>
  <c r="F1788" i="3"/>
  <c r="H1788" i="3" s="1"/>
  <c r="F1532" i="3"/>
  <c r="H1532" i="3" s="1"/>
  <c r="L1532" i="3" s="1"/>
  <c r="F1276" i="3"/>
  <c r="H1276" i="3" s="1"/>
  <c r="F916" i="3"/>
  <c r="H916" i="3" s="1"/>
  <c r="N916" i="3" s="1"/>
  <c r="F460" i="3"/>
  <c r="G460" i="3" s="1"/>
  <c r="I460" i="3" s="1"/>
  <c r="F233" i="3"/>
  <c r="F328" i="3"/>
  <c r="E328" i="3"/>
  <c r="F320" i="3"/>
  <c r="E320" i="3"/>
  <c r="F312" i="3"/>
  <c r="E312" i="3"/>
  <c r="F304" i="3"/>
  <c r="E304" i="3"/>
  <c r="F296" i="3"/>
  <c r="E296" i="3"/>
  <c r="F272" i="3"/>
  <c r="E272" i="3"/>
  <c r="F264" i="3"/>
  <c r="E264" i="3"/>
  <c r="F256" i="3"/>
  <c r="E256" i="3"/>
  <c r="F240" i="3"/>
  <c r="E240" i="3"/>
  <c r="F232" i="3"/>
  <c r="E232" i="3"/>
  <c r="F224" i="3"/>
  <c r="E224" i="3"/>
  <c r="F208" i="3"/>
  <c r="E208" i="3"/>
  <c r="F200" i="3"/>
  <c r="E200" i="3"/>
  <c r="F192" i="3"/>
  <c r="E192" i="3"/>
  <c r="F176" i="3"/>
  <c r="E176" i="3"/>
  <c r="F168" i="3"/>
  <c r="E168" i="3"/>
  <c r="F160" i="3"/>
  <c r="E160" i="3"/>
  <c r="F144" i="3"/>
  <c r="E144" i="3"/>
  <c r="F136" i="3"/>
  <c r="E136" i="3"/>
  <c r="F119" i="3"/>
  <c r="E119" i="3"/>
  <c r="F103" i="3"/>
  <c r="E103" i="3"/>
  <c r="F95" i="3"/>
  <c r="E95" i="3"/>
  <c r="F79" i="3"/>
  <c r="E79" i="3"/>
  <c r="F71" i="3"/>
  <c r="E71" i="3"/>
  <c r="F55" i="3"/>
  <c r="E55" i="3"/>
  <c r="F38" i="3"/>
  <c r="E38" i="3"/>
  <c r="F30" i="3"/>
  <c r="E30" i="3"/>
  <c r="E2643" i="3"/>
  <c r="H2643" i="3" s="1"/>
  <c r="N2643" i="3" s="1"/>
  <c r="E2635" i="3"/>
  <c r="H2635" i="3" s="1"/>
  <c r="N2635" i="3" s="1"/>
  <c r="E2627" i="3"/>
  <c r="H2627" i="3" s="1"/>
  <c r="N2627" i="3" s="1"/>
  <c r="E2619" i="3"/>
  <c r="H2619" i="3" s="1"/>
  <c r="N2619" i="3" s="1"/>
  <c r="E2611" i="3"/>
  <c r="H2611" i="3" s="1"/>
  <c r="N2611" i="3" s="1"/>
  <c r="E2603" i="3"/>
  <c r="H2603" i="3" s="1"/>
  <c r="N2603" i="3" s="1"/>
  <c r="E2595" i="3"/>
  <c r="H2595" i="3" s="1"/>
  <c r="N2595" i="3" s="1"/>
  <c r="E2587" i="3"/>
  <c r="H2587" i="3" s="1"/>
  <c r="N2587" i="3" s="1"/>
  <c r="E2579" i="3"/>
  <c r="H2579" i="3" s="1"/>
  <c r="N2579" i="3" s="1"/>
  <c r="E2571" i="3"/>
  <c r="H2571" i="3" s="1"/>
  <c r="N2571" i="3" s="1"/>
  <c r="E2563" i="3"/>
  <c r="E2555" i="3"/>
  <c r="H2555" i="3" s="1"/>
  <c r="N2555" i="3" s="1"/>
  <c r="E2547" i="3"/>
  <c r="H2547" i="3" s="1"/>
  <c r="N2547" i="3" s="1"/>
  <c r="E2539" i="3"/>
  <c r="H2539" i="3" s="1"/>
  <c r="N2539" i="3" s="1"/>
  <c r="E2531" i="3"/>
  <c r="H2531" i="3" s="1"/>
  <c r="N2531" i="3" s="1"/>
  <c r="E2523" i="3"/>
  <c r="H2523" i="3" s="1"/>
  <c r="N2523" i="3" s="1"/>
  <c r="E2515" i="3"/>
  <c r="E2507" i="3"/>
  <c r="H2507" i="3" s="1"/>
  <c r="N2507" i="3" s="1"/>
  <c r="E2499" i="3"/>
  <c r="H2499" i="3" s="1"/>
  <c r="E2491" i="3"/>
  <c r="H2491" i="3" s="1"/>
  <c r="L2491" i="3" s="1"/>
  <c r="E2483" i="3"/>
  <c r="H2483" i="3" s="1"/>
  <c r="E2475" i="3"/>
  <c r="H2475" i="3" s="1"/>
  <c r="E2467" i="3"/>
  <c r="H2467" i="3" s="1"/>
  <c r="E2459" i="3"/>
  <c r="H2459" i="3" s="1"/>
  <c r="L2459" i="3" s="1"/>
  <c r="E2451" i="3"/>
  <c r="H2451" i="3" s="1"/>
  <c r="N2451" i="3" s="1"/>
  <c r="E2443" i="3"/>
  <c r="H2443" i="3" s="1"/>
  <c r="N2443" i="3" s="1"/>
  <c r="E2435" i="3"/>
  <c r="E2427" i="3"/>
  <c r="H2427" i="3" s="1"/>
  <c r="N2427" i="3" s="1"/>
  <c r="E2419" i="3"/>
  <c r="H2419" i="3" s="1"/>
  <c r="N2419" i="3" s="1"/>
  <c r="E2411" i="3"/>
  <c r="H2411" i="3" s="1"/>
  <c r="N2411" i="3" s="1"/>
  <c r="E2403" i="3"/>
  <c r="H2403" i="3" s="1"/>
  <c r="N2403" i="3" s="1"/>
  <c r="E2395" i="3"/>
  <c r="H2395" i="3" s="1"/>
  <c r="N2395" i="3" s="1"/>
  <c r="E2387" i="3"/>
  <c r="H2387" i="3" s="1"/>
  <c r="N2387" i="3" s="1"/>
  <c r="E2379" i="3"/>
  <c r="H2379" i="3" s="1"/>
  <c r="N2379" i="3" s="1"/>
  <c r="E2371" i="3"/>
  <c r="H2371" i="3" s="1"/>
  <c r="N2371" i="3" s="1"/>
  <c r="E2363" i="3"/>
  <c r="H2363" i="3" s="1"/>
  <c r="N2363" i="3" s="1"/>
  <c r="E2355" i="3"/>
  <c r="H2355" i="3" s="1"/>
  <c r="N2355" i="3" s="1"/>
  <c r="E2347" i="3"/>
  <c r="H2347" i="3" s="1"/>
  <c r="N2347" i="3" s="1"/>
  <c r="E2339" i="3"/>
  <c r="H2339" i="3" s="1"/>
  <c r="N2339" i="3" s="1"/>
  <c r="E2331" i="3"/>
  <c r="H2331" i="3" s="1"/>
  <c r="N2331" i="3" s="1"/>
  <c r="E2323" i="3"/>
  <c r="H2323" i="3" s="1"/>
  <c r="E2315" i="3"/>
  <c r="H2315" i="3" s="1"/>
  <c r="L2315" i="3" s="1"/>
  <c r="E2307" i="3"/>
  <c r="H2307" i="3" s="1"/>
  <c r="E2299" i="3"/>
  <c r="H2299" i="3" s="1"/>
  <c r="E2291" i="3"/>
  <c r="H2291" i="3" s="1"/>
  <c r="E2283" i="3"/>
  <c r="H2283" i="3" s="1"/>
  <c r="E2275" i="3"/>
  <c r="H2275" i="3" s="1"/>
  <c r="L2275" i="3" s="1"/>
  <c r="E2267" i="3"/>
  <c r="H2267" i="3" s="1"/>
  <c r="E2259" i="3"/>
  <c r="H2259" i="3" s="1"/>
  <c r="E2251" i="3"/>
  <c r="H2251" i="3" s="1"/>
  <c r="E2243" i="3"/>
  <c r="H2243" i="3" s="1"/>
  <c r="L2243" i="3" s="1"/>
  <c r="E2235" i="3"/>
  <c r="H2235" i="3" s="1"/>
  <c r="E2227" i="3"/>
  <c r="H2227" i="3" s="1"/>
  <c r="E2219" i="3"/>
  <c r="H2219" i="3" s="1"/>
  <c r="E2211" i="3"/>
  <c r="H2211" i="3" s="1"/>
  <c r="E2203" i="3"/>
  <c r="H2203" i="3" s="1"/>
  <c r="L2203" i="3" s="1"/>
  <c r="E2195" i="3"/>
  <c r="H2195" i="3" s="1"/>
  <c r="E2187" i="3"/>
  <c r="H2187" i="3" s="1"/>
  <c r="E2179" i="3"/>
  <c r="H2179" i="3" s="1"/>
  <c r="E2171" i="3"/>
  <c r="H2171" i="3" s="1"/>
  <c r="L2171" i="3" s="1"/>
  <c r="E2163" i="3"/>
  <c r="H2163" i="3" s="1"/>
  <c r="E2155" i="3"/>
  <c r="H2155" i="3" s="1"/>
  <c r="E2147" i="3"/>
  <c r="H2147" i="3" s="1"/>
  <c r="E2139" i="3"/>
  <c r="H2139" i="3" s="1"/>
  <c r="L2139" i="3" s="1"/>
  <c r="E2131" i="3"/>
  <c r="H2131" i="3" s="1"/>
  <c r="E2123" i="3"/>
  <c r="H2123" i="3" s="1"/>
  <c r="E2115" i="3"/>
  <c r="H2115" i="3" s="1"/>
  <c r="E2107" i="3"/>
  <c r="H2107" i="3" s="1"/>
  <c r="E2099" i="3"/>
  <c r="H2099" i="3" s="1"/>
  <c r="E2091" i="3"/>
  <c r="H2091" i="3" s="1"/>
  <c r="L2091" i="3" s="1"/>
  <c r="E2083" i="3"/>
  <c r="H2083" i="3" s="1"/>
  <c r="E2075" i="3"/>
  <c r="H2075" i="3" s="1"/>
  <c r="E2067" i="3"/>
  <c r="H2067" i="3" s="1"/>
  <c r="E2059" i="3"/>
  <c r="H2059" i="3" s="1"/>
  <c r="E2051" i="3"/>
  <c r="E2043" i="3"/>
  <c r="H2043" i="3" s="1"/>
  <c r="E2035" i="3"/>
  <c r="H2035" i="3" s="1"/>
  <c r="E2027" i="3"/>
  <c r="H2027" i="3" s="1"/>
  <c r="E2019" i="3"/>
  <c r="H2019" i="3" s="1"/>
  <c r="E2011" i="3"/>
  <c r="H2011" i="3" s="1"/>
  <c r="L2011" i="3" s="1"/>
  <c r="E2003" i="3"/>
  <c r="E1995" i="3"/>
  <c r="H1995" i="3" s="1"/>
  <c r="E1987" i="3"/>
  <c r="H1987" i="3" s="1"/>
  <c r="E1979" i="3"/>
  <c r="H1979" i="3" s="1"/>
  <c r="L1979" i="3" s="1"/>
  <c r="E1971" i="3"/>
  <c r="H1971" i="3" s="1"/>
  <c r="E1963" i="3"/>
  <c r="H1963" i="3" s="1"/>
  <c r="E1955" i="3"/>
  <c r="H1955" i="3" s="1"/>
  <c r="E1947" i="3"/>
  <c r="H1947" i="3" s="1"/>
  <c r="L1947" i="3" s="1"/>
  <c r="E1939" i="3"/>
  <c r="H1939" i="3" s="1"/>
  <c r="E1931" i="3"/>
  <c r="H1931" i="3" s="1"/>
  <c r="E1923" i="3"/>
  <c r="E1915" i="3"/>
  <c r="H1915" i="3" s="1"/>
  <c r="E1907" i="3"/>
  <c r="H1907" i="3" s="1"/>
  <c r="L1907" i="3" s="1"/>
  <c r="E1899" i="3"/>
  <c r="H1899" i="3" s="1"/>
  <c r="N1899" i="3" s="1"/>
  <c r="E1862" i="3"/>
  <c r="E1440" i="3"/>
  <c r="E1417" i="3"/>
  <c r="D1417" i="3" s="1"/>
  <c r="E1376" i="3"/>
  <c r="D1376" i="3" s="1"/>
  <c r="E1353" i="3"/>
  <c r="E1312" i="3"/>
  <c r="E1289" i="3"/>
  <c r="D1289" i="3" s="1"/>
  <c r="E1248" i="3"/>
  <c r="E1225" i="3"/>
  <c r="H1225" i="3" s="1"/>
  <c r="N1225" i="3" s="1"/>
  <c r="E1184" i="3"/>
  <c r="H1184" i="3" s="1"/>
  <c r="N1184" i="3" s="1"/>
  <c r="E1161" i="3"/>
  <c r="H1161" i="3" s="1"/>
  <c r="N1161" i="3" s="1"/>
  <c r="E1120" i="3"/>
  <c r="H1120" i="3" s="1"/>
  <c r="N1120" i="3" s="1"/>
  <c r="E1097" i="3"/>
  <c r="H1097" i="3" s="1"/>
  <c r="N1097" i="3" s="1"/>
  <c r="E1056" i="3"/>
  <c r="D1056" i="3" s="1"/>
  <c r="E1033" i="3"/>
  <c r="D1033" i="3" s="1"/>
  <c r="E992" i="3"/>
  <c r="E969" i="3"/>
  <c r="H969" i="3" s="1"/>
  <c r="N969" i="3" s="1"/>
  <c r="E928" i="3"/>
  <c r="H928" i="3" s="1"/>
  <c r="N928" i="3" s="1"/>
  <c r="E905" i="3"/>
  <c r="D905" i="3" s="1"/>
  <c r="E864" i="3"/>
  <c r="E841" i="3"/>
  <c r="D841" i="3" s="1"/>
  <c r="E800" i="3"/>
  <c r="E777" i="3"/>
  <c r="D777" i="3" s="1"/>
  <c r="E736" i="3"/>
  <c r="E713" i="3"/>
  <c r="H713" i="3" s="1"/>
  <c r="N713" i="3" s="1"/>
  <c r="E672" i="3"/>
  <c r="D672" i="3" s="1"/>
  <c r="E649" i="3"/>
  <c r="D649" i="3" s="1"/>
  <c r="E608" i="3"/>
  <c r="H608" i="3" s="1"/>
  <c r="N608" i="3" s="1"/>
  <c r="E585" i="3"/>
  <c r="D585" i="3" s="1"/>
  <c r="E544" i="3"/>
  <c r="D544" i="3" s="1"/>
  <c r="E521" i="3"/>
  <c r="D521" i="3" s="1"/>
  <c r="E480" i="3"/>
  <c r="G480" i="3" s="1"/>
  <c r="E457" i="3"/>
  <c r="D457" i="3" s="1"/>
  <c r="E416" i="3"/>
  <c r="D416" i="3" s="1"/>
  <c r="E393" i="3"/>
  <c r="G393" i="3" s="1"/>
  <c r="E352" i="3"/>
  <c r="E306" i="3"/>
  <c r="H306" i="3" s="1"/>
  <c r="N306" i="3" s="1"/>
  <c r="E280" i="3"/>
  <c r="E249" i="3"/>
  <c r="D249" i="3" s="1"/>
  <c r="E225" i="3"/>
  <c r="G225" i="3" s="1"/>
  <c r="E194" i="3"/>
  <c r="H194" i="3" s="1"/>
  <c r="N194" i="3" s="1"/>
  <c r="E163" i="3"/>
  <c r="H163" i="3" s="1"/>
  <c r="N163" i="3" s="1"/>
  <c r="E137" i="3"/>
  <c r="E101" i="3"/>
  <c r="D101" i="3" s="1"/>
  <c r="E63" i="3"/>
  <c r="E33" i="3"/>
  <c r="H33" i="3" s="1"/>
  <c r="F1700" i="3"/>
  <c r="H1700" i="3" s="1"/>
  <c r="F1444" i="3"/>
  <c r="F1188" i="3"/>
  <c r="F908" i="3"/>
  <c r="G1713" i="3"/>
  <c r="M1713" i="3" s="1"/>
  <c r="G776" i="3"/>
  <c r="G1457" i="3"/>
  <c r="M1457" i="3" s="1"/>
  <c r="G753" i="3"/>
  <c r="I753" i="3" s="1"/>
  <c r="H2506" i="3"/>
  <c r="N2506" i="3" s="1"/>
  <c r="H2338" i="3"/>
  <c r="N2338" i="3" s="1"/>
  <c r="H2274" i="3"/>
  <c r="L2274" i="3" s="1"/>
  <c r="H2194" i="3"/>
  <c r="L2194" i="3" s="1"/>
  <c r="H2114" i="3"/>
  <c r="L2114" i="3" s="1"/>
  <c r="H2090" i="3"/>
  <c r="L2090" i="3" s="1"/>
  <c r="G1471" i="3"/>
  <c r="M1471" i="3" s="1"/>
  <c r="G126" i="3"/>
  <c r="G2634" i="3"/>
  <c r="M2634" i="3" s="1"/>
  <c r="G2538" i="3"/>
  <c r="M2538" i="3" s="1"/>
  <c r="G2506" i="3"/>
  <c r="M2506" i="3" s="1"/>
  <c r="G2282" i="3"/>
  <c r="M2282" i="3" s="1"/>
  <c r="G2274" i="3"/>
  <c r="M2274" i="3" s="1"/>
  <c r="G2090" i="3"/>
  <c r="M2090" i="3" s="1"/>
  <c r="H1009" i="3"/>
  <c r="N1009" i="3" s="1"/>
  <c r="H753" i="3"/>
  <c r="N753" i="3" s="1"/>
  <c r="H153" i="3"/>
  <c r="N153" i="3" s="1"/>
  <c r="H1663" i="3"/>
  <c r="H1471" i="3"/>
  <c r="H776" i="3"/>
  <c r="N776" i="3" s="1"/>
  <c r="G1681" i="3" l="1"/>
  <c r="M1681" i="3" s="1"/>
  <c r="H1767" i="3"/>
  <c r="N1767" i="3" s="1"/>
  <c r="G1649" i="3"/>
  <c r="M1649" i="3" s="1"/>
  <c r="G2368" i="3"/>
  <c r="M2368" i="3" s="1"/>
  <c r="D2080" i="3"/>
  <c r="H2540" i="3"/>
  <c r="N2540" i="3" s="1"/>
  <c r="H991" i="3"/>
  <c r="N991" i="3" s="1"/>
  <c r="G2314" i="3"/>
  <c r="M2314" i="3" s="1"/>
  <c r="H2368" i="3"/>
  <c r="N2368" i="3" s="1"/>
  <c r="H2442" i="3"/>
  <c r="N2442" i="3" s="1"/>
  <c r="G2322" i="3"/>
  <c r="M2322" i="3" s="1"/>
  <c r="H2080" i="3"/>
  <c r="N2080" i="3" s="1"/>
  <c r="G318" i="3"/>
  <c r="M318" i="3" s="1"/>
  <c r="G991" i="3"/>
  <c r="M991" i="3" s="1"/>
  <c r="H728" i="3"/>
  <c r="N728" i="3" s="1"/>
  <c r="H2098" i="3"/>
  <c r="L2098" i="3" s="1"/>
  <c r="H2444" i="3"/>
  <c r="N2444" i="3" s="1"/>
  <c r="G1391" i="3"/>
  <c r="M1391" i="3" s="1"/>
  <c r="G2098" i="3"/>
  <c r="M2098" i="3" s="1"/>
  <c r="G2514" i="3"/>
  <c r="M2514" i="3" s="1"/>
  <c r="H1914" i="3"/>
  <c r="L1914" i="3" s="1"/>
  <c r="G369" i="3"/>
  <c r="M369" i="3" s="1"/>
  <c r="G728" i="3"/>
  <c r="M728" i="3" s="1"/>
  <c r="G2074" i="3"/>
  <c r="M2074" i="3" s="1"/>
  <c r="G856" i="3"/>
  <c r="M856" i="3" s="1"/>
  <c r="H2514" i="3"/>
  <c r="N2514" i="3" s="1"/>
  <c r="G472" i="3"/>
  <c r="M472" i="3" s="1"/>
  <c r="H2034" i="3"/>
  <c r="L2034" i="3" s="1"/>
  <c r="H2298" i="3"/>
  <c r="L2298" i="3" s="1"/>
  <c r="G577" i="3"/>
  <c r="M577" i="3" s="1"/>
  <c r="G1176" i="3"/>
  <c r="M1176" i="3" s="1"/>
  <c r="G2442" i="3"/>
  <c r="M2442" i="3" s="1"/>
  <c r="H856" i="3"/>
  <c r="N856" i="3" s="1"/>
  <c r="H299" i="3"/>
  <c r="N299" i="3" s="1"/>
  <c r="H1265" i="3"/>
  <c r="N1265" i="3" s="1"/>
  <c r="H2058" i="3"/>
  <c r="L2058" i="3" s="1"/>
  <c r="H2314" i="3"/>
  <c r="L2314" i="3" s="1"/>
  <c r="G1288" i="3"/>
  <c r="M1288" i="3" s="1"/>
  <c r="H577" i="3"/>
  <c r="N577" i="3" s="1"/>
  <c r="H2258" i="3"/>
  <c r="L2258" i="3" s="1"/>
  <c r="H318" i="3"/>
  <c r="N318" i="3" s="1"/>
  <c r="H1416" i="3"/>
  <c r="N1416" i="3" s="1"/>
  <c r="H1649" i="3"/>
  <c r="N1649" i="3" s="1"/>
  <c r="G2298" i="3"/>
  <c r="M2298" i="3" s="1"/>
  <c r="H2322" i="3"/>
  <c r="L2322" i="3" s="1"/>
  <c r="G945" i="3"/>
  <c r="M945" i="3" s="1"/>
  <c r="H1848" i="3"/>
  <c r="N1848" i="3" s="1"/>
  <c r="H1425" i="3"/>
  <c r="N1425" i="3" s="1"/>
  <c r="D2482" i="3"/>
  <c r="H584" i="3"/>
  <c r="N584" i="3" s="1"/>
  <c r="H2156" i="3"/>
  <c r="N2156" i="3" s="1"/>
  <c r="G1791" i="3"/>
  <c r="M1791" i="3" s="1"/>
  <c r="H2394" i="3"/>
  <c r="N2394" i="3" s="1"/>
  <c r="G1281" i="3"/>
  <c r="M1281" i="3" s="1"/>
  <c r="G2119" i="3"/>
  <c r="M2119" i="3" s="1"/>
  <c r="G1425" i="3"/>
  <c r="M1425" i="3" s="1"/>
  <c r="H348" i="3"/>
  <c r="N348" i="3" s="1"/>
  <c r="H2119" i="3"/>
  <c r="N2119" i="3" s="1"/>
  <c r="G2394" i="3"/>
  <c r="M2394" i="3" s="1"/>
  <c r="H1986" i="3"/>
  <c r="L1986" i="3" s="1"/>
  <c r="G348" i="3"/>
  <c r="M348" i="3" s="1"/>
  <c r="H2272" i="3"/>
  <c r="N2272" i="3" s="1"/>
  <c r="G2208" i="3"/>
  <c r="M2208" i="3" s="1"/>
  <c r="G2434" i="3"/>
  <c r="M2434" i="3" s="1"/>
  <c r="G162" i="3"/>
  <c r="I162" i="3" s="1"/>
  <c r="H184" i="3"/>
  <c r="N184" i="3" s="1"/>
  <c r="H1791" i="3"/>
  <c r="N1791" i="3" s="1"/>
  <c r="H1537" i="3"/>
  <c r="N1537" i="3" s="1"/>
  <c r="G297" i="3"/>
  <c r="I297" i="3" s="1"/>
  <c r="H433" i="3"/>
  <c r="N433" i="3" s="1"/>
  <c r="G344" i="3"/>
  <c r="M344" i="3" s="1"/>
  <c r="G2048" i="3"/>
  <c r="M2048" i="3" s="1"/>
  <c r="H2434" i="3"/>
  <c r="N2434" i="3" s="1"/>
  <c r="G881" i="3"/>
  <c r="M881" i="3" s="1"/>
  <c r="H2208" i="3"/>
  <c r="N2208" i="3" s="1"/>
  <c r="H1137" i="3"/>
  <c r="N1137" i="3" s="1"/>
  <c r="G1986" i="3"/>
  <c r="M1986" i="3" s="1"/>
  <c r="G600" i="3"/>
  <c r="M600" i="3" s="1"/>
  <c r="G1906" i="3"/>
  <c r="M1906" i="3" s="1"/>
  <c r="G2578" i="3"/>
  <c r="M2578" i="3" s="1"/>
  <c r="G1535" i="3"/>
  <c r="M1535" i="3" s="1"/>
  <c r="G705" i="3"/>
  <c r="M705" i="3" s="1"/>
  <c r="H1994" i="3"/>
  <c r="L1994" i="3" s="1"/>
  <c r="G1793" i="3"/>
  <c r="M1793" i="3" s="1"/>
  <c r="G248" i="3"/>
  <c r="M248" i="3" s="1"/>
  <c r="H217" i="3"/>
  <c r="N217" i="3" s="1"/>
  <c r="G1994" i="3"/>
  <c r="M1994" i="3" s="1"/>
  <c r="G456" i="3"/>
  <c r="M456" i="3" s="1"/>
  <c r="H1665" i="3"/>
  <c r="N1665" i="3" s="1"/>
  <c r="G2402" i="3"/>
  <c r="M2402" i="3" s="1"/>
  <c r="H2154" i="3"/>
  <c r="L2154" i="3" s="1"/>
  <c r="H2378" i="3"/>
  <c r="N2378" i="3" s="1"/>
  <c r="H2586" i="3"/>
  <c r="N2586" i="3" s="1"/>
  <c r="H705" i="3"/>
  <c r="N705" i="3" s="1"/>
  <c r="H1906" i="3"/>
  <c r="L1906" i="3" s="1"/>
  <c r="H2146" i="3"/>
  <c r="L2146" i="3" s="1"/>
  <c r="D270" i="3"/>
  <c r="H860" i="3"/>
  <c r="N860" i="3" s="1"/>
  <c r="G2400" i="3"/>
  <c r="M2400" i="3" s="1"/>
  <c r="H1404" i="3"/>
  <c r="N1404" i="3" s="1"/>
  <c r="G1596" i="3"/>
  <c r="M1596" i="3" s="1"/>
  <c r="H2572" i="3"/>
  <c r="N2572" i="3" s="1"/>
  <c r="H2375" i="3"/>
  <c r="N2375" i="3" s="1"/>
  <c r="H1153" i="3"/>
  <c r="N1153" i="3" s="1"/>
  <c r="H2218" i="3"/>
  <c r="L2218" i="3" s="1"/>
  <c r="H1201" i="3"/>
  <c r="N1201" i="3" s="1"/>
  <c r="G1404" i="3"/>
  <c r="M1404" i="3" s="1"/>
  <c r="D2194" i="3"/>
  <c r="H2585" i="3"/>
  <c r="N2585" i="3" s="1"/>
  <c r="G1009" i="3"/>
  <c r="M1009" i="3" s="1"/>
  <c r="H1596" i="3"/>
  <c r="N1596" i="3" s="1"/>
  <c r="G1153" i="3"/>
  <c r="M1153" i="3" s="1"/>
  <c r="H248" i="3"/>
  <c r="N248" i="3" s="1"/>
  <c r="H625" i="3"/>
  <c r="N625" i="3" s="1"/>
  <c r="H1660" i="3"/>
  <c r="N1660" i="3" s="1"/>
  <c r="G1930" i="3"/>
  <c r="M1930" i="3" s="1"/>
  <c r="G2154" i="3"/>
  <c r="M2154" i="3" s="1"/>
  <c r="G2338" i="3"/>
  <c r="M2338" i="3" s="1"/>
  <c r="H2402" i="3"/>
  <c r="N2402" i="3" s="1"/>
  <c r="G625" i="3"/>
  <c r="M625" i="3" s="1"/>
  <c r="G1201" i="3"/>
  <c r="M1201" i="3" s="1"/>
  <c r="G217" i="3"/>
  <c r="M217" i="3" s="1"/>
  <c r="G860" i="3"/>
  <c r="I860" i="3" s="1"/>
  <c r="H1032" i="3"/>
  <c r="N1032" i="3" s="1"/>
  <c r="H1345" i="3"/>
  <c r="N1345" i="3" s="1"/>
  <c r="G1970" i="3"/>
  <c r="M1970" i="3" s="1"/>
  <c r="H1930" i="3"/>
  <c r="L1930" i="3" s="1"/>
  <c r="G1660" i="3"/>
  <c r="M1660" i="3" s="1"/>
  <c r="H1432" i="3"/>
  <c r="N1432" i="3" s="1"/>
  <c r="G2375" i="3"/>
  <c r="M2375" i="3" s="1"/>
  <c r="H2386" i="3"/>
  <c r="N2386" i="3" s="1"/>
  <c r="H2634" i="3"/>
  <c r="N2634" i="3" s="1"/>
  <c r="G2585" i="3"/>
  <c r="M2585" i="3" s="1"/>
  <c r="H456" i="3"/>
  <c r="N456" i="3" s="1"/>
  <c r="H1892" i="3"/>
  <c r="N1892" i="3" s="1"/>
  <c r="G2378" i="3"/>
  <c r="M2378" i="3" s="1"/>
  <c r="H126" i="3"/>
  <c r="G1978" i="3"/>
  <c r="M1978" i="3" s="1"/>
  <c r="G2218" i="3"/>
  <c r="M2218" i="3" s="1"/>
  <c r="G2386" i="3"/>
  <c r="M2386" i="3" s="1"/>
  <c r="H1970" i="3"/>
  <c r="L1970" i="3" s="1"/>
  <c r="G1345" i="3"/>
  <c r="M1345" i="3" s="1"/>
  <c r="G1032" i="3"/>
  <c r="M1032" i="3" s="1"/>
  <c r="G1665" i="3"/>
  <c r="M1665" i="3" s="1"/>
  <c r="H1793" i="3"/>
  <c r="N1793" i="3" s="1"/>
  <c r="H769" i="3"/>
  <c r="N769" i="3" s="1"/>
  <c r="G2586" i="3"/>
  <c r="M2586" i="3" s="1"/>
  <c r="H1978" i="3"/>
  <c r="L1978" i="3" s="1"/>
  <c r="G769" i="3"/>
  <c r="M769" i="3" s="1"/>
  <c r="G1432" i="3"/>
  <c r="M1432" i="3" s="1"/>
  <c r="D369" i="3"/>
  <c r="H2010" i="3"/>
  <c r="L2010" i="3" s="1"/>
  <c r="H2048" i="3"/>
  <c r="N2048" i="3" s="1"/>
  <c r="G479" i="3"/>
  <c r="M479" i="3" s="1"/>
  <c r="H344" i="3"/>
  <c r="N344" i="3" s="1"/>
  <c r="H1984" i="3"/>
  <c r="N1984" i="3" s="1"/>
  <c r="H2018" i="3"/>
  <c r="L2018" i="3" s="1"/>
  <c r="G1160" i="3"/>
  <c r="M1160" i="3" s="1"/>
  <c r="H1048" i="3"/>
  <c r="N1048" i="3" s="1"/>
  <c r="G2162" i="3"/>
  <c r="M2162" i="3" s="1"/>
  <c r="H2458" i="3"/>
  <c r="L2458" i="3" s="1"/>
  <c r="G1137" i="3"/>
  <c r="M1137" i="3" s="1"/>
  <c r="G1537" i="3"/>
  <c r="M1537" i="3" s="1"/>
  <c r="H472" i="3"/>
  <c r="N472" i="3" s="1"/>
  <c r="H1160" i="3"/>
  <c r="N1160" i="3" s="1"/>
  <c r="G1914" i="3"/>
  <c r="M1914" i="3" s="1"/>
  <c r="H2162" i="3"/>
  <c r="L2162" i="3" s="1"/>
  <c r="H2482" i="3"/>
  <c r="L2482" i="3" s="1"/>
  <c r="H2570" i="3"/>
  <c r="N2570" i="3" s="1"/>
  <c r="G2432" i="3"/>
  <c r="M2432" i="3" s="1"/>
  <c r="D297" i="3"/>
  <c r="D1288" i="3"/>
  <c r="G2570" i="3"/>
  <c r="M2570" i="3" s="1"/>
  <c r="H2432" i="3"/>
  <c r="N2432" i="3" s="1"/>
  <c r="H162" i="3"/>
  <c r="N162" i="3" s="1"/>
  <c r="H1176" i="3"/>
  <c r="N1176" i="3" s="1"/>
  <c r="G1984" i="3"/>
  <c r="M1984" i="3" s="1"/>
  <c r="D2034" i="3"/>
  <c r="H270" i="3"/>
  <c r="N270" i="3" s="1"/>
  <c r="G2010" i="3"/>
  <c r="M2010" i="3" s="1"/>
  <c r="G433" i="3"/>
  <c r="M433" i="3" s="1"/>
  <c r="G2112" i="3"/>
  <c r="M2112" i="3" s="1"/>
  <c r="G2018" i="3"/>
  <c r="M2018" i="3" s="1"/>
  <c r="G2458" i="3"/>
  <c r="M2458" i="3" s="1"/>
  <c r="G1311" i="3"/>
  <c r="M1311" i="3" s="1"/>
  <c r="H2026" i="3"/>
  <c r="L2026" i="3" s="1"/>
  <c r="G2272" i="3"/>
  <c r="M2272" i="3" s="1"/>
  <c r="H1311" i="3"/>
  <c r="N1311" i="3" s="1"/>
  <c r="H1281" i="3"/>
  <c r="L1281" i="3" s="1"/>
  <c r="G2026" i="3"/>
  <c r="M2026" i="3" s="1"/>
  <c r="G184" i="3"/>
  <c r="M184" i="3" s="1"/>
  <c r="H1391" i="3"/>
  <c r="N1391" i="3" s="1"/>
  <c r="H2112" i="3"/>
  <c r="N2112" i="3" s="1"/>
  <c r="H881" i="3"/>
  <c r="N881" i="3" s="1"/>
  <c r="G2490" i="3"/>
  <c r="M2490" i="3" s="1"/>
  <c r="H2490" i="3"/>
  <c r="L2490" i="3" s="1"/>
  <c r="G1416" i="3"/>
  <c r="M1416" i="3" s="1"/>
  <c r="H50" i="3"/>
  <c r="H479" i="3"/>
  <c r="N479" i="3" s="1"/>
  <c r="H600" i="3"/>
  <c r="N600" i="3" s="1"/>
  <c r="H2144" i="3"/>
  <c r="N2144" i="3" s="1"/>
  <c r="G2058" i="3"/>
  <c r="M2058" i="3" s="1"/>
  <c r="G2258" i="3"/>
  <c r="M2258" i="3" s="1"/>
  <c r="H2074" i="3"/>
  <c r="L2074" i="3" s="1"/>
  <c r="G1265" i="3"/>
  <c r="M1265" i="3" s="1"/>
  <c r="G1848" i="3"/>
  <c r="M1848" i="3" s="1"/>
  <c r="G2144" i="3"/>
  <c r="M2144" i="3" s="1"/>
  <c r="G299" i="3"/>
  <c r="I299" i="3" s="1"/>
  <c r="N1946" i="3"/>
  <c r="L2048" i="3"/>
  <c r="I577" i="3"/>
  <c r="I1176" i="3"/>
  <c r="L1700" i="3"/>
  <c r="N1700" i="3"/>
  <c r="L2099" i="3"/>
  <c r="N2099" i="3"/>
  <c r="L2291" i="3"/>
  <c r="N2291" i="3"/>
  <c r="L2483" i="3"/>
  <c r="N2483" i="3"/>
  <c r="L2092" i="3"/>
  <c r="N2092" i="3"/>
  <c r="L2500" i="3"/>
  <c r="N2500" i="3"/>
  <c r="L2476" i="3"/>
  <c r="N2476" i="3"/>
  <c r="L1663" i="3"/>
  <c r="N1663" i="3"/>
  <c r="L1416" i="3"/>
  <c r="L2208" i="3"/>
  <c r="L1537" i="3"/>
  <c r="I318" i="3"/>
  <c r="I769" i="3"/>
  <c r="I344" i="3"/>
  <c r="I472" i="3"/>
  <c r="I393" i="3"/>
  <c r="M393" i="3"/>
  <c r="L1939" i="3"/>
  <c r="N1939" i="3"/>
  <c r="L2067" i="3"/>
  <c r="N2067" i="3"/>
  <c r="L2131" i="3"/>
  <c r="N2131" i="3"/>
  <c r="L2195" i="3"/>
  <c r="N2195" i="3"/>
  <c r="L2259" i="3"/>
  <c r="N2259" i="3"/>
  <c r="L2323" i="3"/>
  <c r="N2323" i="3"/>
  <c r="L1843" i="3"/>
  <c r="N1843" i="3"/>
  <c r="L2036" i="3"/>
  <c r="N2036" i="3"/>
  <c r="L2132" i="3"/>
  <c r="N2132" i="3"/>
  <c r="L2244" i="3"/>
  <c r="N2244" i="3"/>
  <c r="L2084" i="3"/>
  <c r="N2084" i="3"/>
  <c r="I424" i="3"/>
  <c r="M424" i="3"/>
  <c r="L1256" i="3"/>
  <c r="N1256" i="3"/>
  <c r="L1641" i="3"/>
  <c r="N1641" i="3"/>
  <c r="L2166" i="3"/>
  <c r="N2166" i="3"/>
  <c r="L2140" i="3"/>
  <c r="N2140" i="3"/>
  <c r="L1960" i="3"/>
  <c r="N1960" i="3"/>
  <c r="L2216" i="3"/>
  <c r="N2216" i="3"/>
  <c r="L2472" i="3"/>
  <c r="N2472" i="3"/>
  <c r="L1535" i="3"/>
  <c r="N1535" i="3"/>
  <c r="L1368" i="3"/>
  <c r="N1368" i="3"/>
  <c r="M460" i="3"/>
  <c r="N2020" i="3"/>
  <c r="L2272" i="3"/>
  <c r="I881" i="3"/>
  <c r="I600" i="3"/>
  <c r="L2267" i="3"/>
  <c r="N2267" i="3"/>
  <c r="L1296" i="3"/>
  <c r="N1296" i="3"/>
  <c r="I968" i="3"/>
  <c r="M968" i="3"/>
  <c r="N1689" i="3"/>
  <c r="N1947" i="3"/>
  <c r="N2243" i="3"/>
  <c r="N1532" i="3"/>
  <c r="N1900" i="3"/>
  <c r="N2236" i="3"/>
  <c r="L2460" i="3"/>
  <c r="N2460" i="3"/>
  <c r="L2302" i="3"/>
  <c r="N2302" i="3"/>
  <c r="L1955" i="3"/>
  <c r="N1955" i="3"/>
  <c r="L2083" i="3"/>
  <c r="N2083" i="3"/>
  <c r="L1972" i="3"/>
  <c r="N1972" i="3"/>
  <c r="L2164" i="3"/>
  <c r="N2164" i="3"/>
  <c r="L2310" i="3"/>
  <c r="N2310" i="3"/>
  <c r="L2496" i="3"/>
  <c r="N2496" i="3"/>
  <c r="I392" i="3"/>
  <c r="M392" i="3"/>
  <c r="I1148" i="3"/>
  <c r="M1148" i="3"/>
  <c r="N2090" i="3"/>
  <c r="N1835" i="3"/>
  <c r="N2139" i="3"/>
  <c r="N2100" i="3"/>
  <c r="L1964" i="3"/>
  <c r="N1964" i="3"/>
  <c r="L2108" i="3"/>
  <c r="N2108" i="3"/>
  <c r="L1791" i="3"/>
  <c r="L1665" i="3"/>
  <c r="I479" i="3"/>
  <c r="I369" i="3"/>
  <c r="I945" i="3"/>
  <c r="I856" i="3"/>
  <c r="I728" i="3"/>
  <c r="I217" i="3"/>
  <c r="L2019" i="3"/>
  <c r="N2019" i="3"/>
  <c r="L2147" i="3"/>
  <c r="N2147" i="3"/>
  <c r="L2211" i="3"/>
  <c r="N2211" i="3"/>
  <c r="L2467" i="3"/>
  <c r="N2467" i="3"/>
  <c r="L1276" i="3"/>
  <c r="N1276" i="3"/>
  <c r="L2068" i="3"/>
  <c r="N2068" i="3"/>
  <c r="L2260" i="3"/>
  <c r="N2260" i="3"/>
  <c r="L2300" i="3"/>
  <c r="N2300" i="3"/>
  <c r="L1360" i="3"/>
  <c r="N1360" i="3"/>
  <c r="L1529" i="3"/>
  <c r="N1529" i="3"/>
  <c r="L1990" i="3"/>
  <c r="N1990" i="3"/>
  <c r="L2118" i="3"/>
  <c r="N2118" i="3"/>
  <c r="L2246" i="3"/>
  <c r="N2246" i="3"/>
  <c r="L2119" i="3"/>
  <c r="L1984" i="3"/>
  <c r="L1793" i="3"/>
  <c r="I991" i="3"/>
  <c r="I433" i="3"/>
  <c r="I1009" i="3"/>
  <c r="I1032" i="3"/>
  <c r="I1160" i="3"/>
  <c r="I225" i="3"/>
  <c r="M225" i="3"/>
  <c r="I480" i="3"/>
  <c r="M480" i="3"/>
  <c r="L1963" i="3"/>
  <c r="N1963" i="3"/>
  <c r="L2027" i="3"/>
  <c r="N2027" i="3"/>
  <c r="L2155" i="3"/>
  <c r="N2155" i="3"/>
  <c r="L2219" i="3"/>
  <c r="N2219" i="3"/>
  <c r="L2283" i="3"/>
  <c r="N2283" i="3"/>
  <c r="L2475" i="3"/>
  <c r="N2475" i="3"/>
  <c r="I481" i="3"/>
  <c r="M481" i="3"/>
  <c r="L2484" i="3"/>
  <c r="N2484" i="3"/>
  <c r="L1424" i="3"/>
  <c r="N1424" i="3"/>
  <c r="L1361" i="3"/>
  <c r="N1361" i="3"/>
  <c r="L1545" i="3"/>
  <c r="N1545" i="3"/>
  <c r="I631" i="3"/>
  <c r="M631" i="3"/>
  <c r="L2480" i="3"/>
  <c r="N2480" i="3"/>
  <c r="N2011" i="3"/>
  <c r="N2315" i="3"/>
  <c r="N1980" i="3"/>
  <c r="N2324" i="3"/>
  <c r="L1432" i="3"/>
  <c r="L2075" i="3"/>
  <c r="N2075" i="3"/>
  <c r="L2052" i="3"/>
  <c r="N2052" i="3"/>
  <c r="L1265" i="3"/>
  <c r="I1137" i="3"/>
  <c r="L2035" i="3"/>
  <c r="N2035" i="3"/>
  <c r="L2227" i="3"/>
  <c r="N2227" i="3"/>
  <c r="L1788" i="3"/>
  <c r="N1788" i="3"/>
  <c r="L2004" i="3"/>
  <c r="N2004" i="3"/>
  <c r="L2292" i="3"/>
  <c r="N2292" i="3"/>
  <c r="L1380" i="3"/>
  <c r="N1380" i="3"/>
  <c r="N1907" i="3"/>
  <c r="N2203" i="3"/>
  <c r="N2491" i="3"/>
  <c r="N2196" i="3"/>
  <c r="I776" i="3"/>
  <c r="M776" i="3"/>
  <c r="I673" i="3"/>
  <c r="M673" i="3"/>
  <c r="L2252" i="3"/>
  <c r="N2252" i="3"/>
  <c r="L1916" i="3"/>
  <c r="N1916" i="3"/>
  <c r="L1596" i="3"/>
  <c r="L1831" i="3"/>
  <c r="N1831" i="3"/>
  <c r="I625" i="3"/>
  <c r="I184" i="3"/>
  <c r="L1915" i="3"/>
  <c r="N1915" i="3"/>
  <c r="L2107" i="3"/>
  <c r="N2107" i="3"/>
  <c r="L2299" i="3"/>
  <c r="N2299" i="3"/>
  <c r="L1924" i="3"/>
  <c r="N1924" i="3"/>
  <c r="L2204" i="3"/>
  <c r="N2204" i="3"/>
  <c r="L2308" i="3"/>
  <c r="N2308" i="3"/>
  <c r="L1636" i="3"/>
  <c r="N1636" i="3"/>
  <c r="I1168" i="3"/>
  <c r="M1168" i="3"/>
  <c r="L1448" i="3"/>
  <c r="N1448" i="3"/>
  <c r="L1875" i="3"/>
  <c r="N1875" i="3"/>
  <c r="I348" i="3"/>
  <c r="N2091" i="3"/>
  <c r="L1767" i="3"/>
  <c r="L1649" i="3"/>
  <c r="L2172" i="3"/>
  <c r="N2172" i="3"/>
  <c r="L2046" i="3"/>
  <c r="N2046" i="3"/>
  <c r="I496" i="3"/>
  <c r="M496" i="3"/>
  <c r="L1971" i="3"/>
  <c r="N1971" i="3"/>
  <c r="L2163" i="3"/>
  <c r="N2163" i="3"/>
  <c r="L1908" i="3"/>
  <c r="N1908" i="3"/>
  <c r="L1508" i="3"/>
  <c r="N1508" i="3"/>
  <c r="I1153" i="3"/>
  <c r="L2043" i="3"/>
  <c r="N2043" i="3"/>
  <c r="L2235" i="3"/>
  <c r="N2235" i="3"/>
  <c r="L1404" i="3"/>
  <c r="L1391" i="3"/>
  <c r="L2112" i="3"/>
  <c r="L1345" i="3"/>
  <c r="I126" i="3"/>
  <c r="M126" i="3"/>
  <c r="I705" i="3"/>
  <c r="I1201" i="3"/>
  <c r="I248" i="3"/>
  <c r="L1987" i="3"/>
  <c r="N1987" i="3"/>
  <c r="L2115" i="3"/>
  <c r="N2115" i="3"/>
  <c r="L2179" i="3"/>
  <c r="N2179" i="3"/>
  <c r="L2307" i="3"/>
  <c r="N2307" i="3"/>
  <c r="L2499" i="3"/>
  <c r="N2499" i="3"/>
  <c r="L1400" i="3"/>
  <c r="N1400" i="3"/>
  <c r="L2116" i="3"/>
  <c r="N2116" i="3"/>
  <c r="L2212" i="3"/>
  <c r="N2212" i="3"/>
  <c r="L1804" i="3"/>
  <c r="N1804" i="3"/>
  <c r="L2022" i="3"/>
  <c r="N2022" i="3"/>
  <c r="L2278" i="3"/>
  <c r="N2278" i="3"/>
  <c r="L1257" i="3"/>
  <c r="N1257" i="3"/>
  <c r="L2064" i="3"/>
  <c r="N2064" i="3"/>
  <c r="L2320" i="3"/>
  <c r="N2320" i="3"/>
  <c r="I1048" i="3"/>
  <c r="M1048" i="3"/>
  <c r="N2066" i="3"/>
  <c r="N2082" i="3"/>
  <c r="N2114" i="3"/>
  <c r="N2194" i="3"/>
  <c r="N2274" i="3"/>
  <c r="N2498" i="3"/>
  <c r="N1979" i="3"/>
  <c r="N2275" i="3"/>
  <c r="N1940" i="3"/>
  <c r="N1998" i="3"/>
  <c r="L1311" i="3"/>
  <c r="L2080" i="3"/>
  <c r="L1660" i="3"/>
  <c r="L2012" i="3"/>
  <c r="N2012" i="3"/>
  <c r="L1471" i="3"/>
  <c r="N1471" i="3"/>
  <c r="L1288" i="3"/>
  <c r="N1288" i="3"/>
  <c r="L2144" i="3"/>
  <c r="L1425" i="3"/>
  <c r="L2156" i="3"/>
  <c r="I270" i="3"/>
  <c r="M270" i="3"/>
  <c r="I456" i="3"/>
  <c r="L1931" i="3"/>
  <c r="N1931" i="3"/>
  <c r="L1995" i="3"/>
  <c r="N1995" i="3"/>
  <c r="L2059" i="3"/>
  <c r="N2059" i="3"/>
  <c r="L2123" i="3"/>
  <c r="N2123" i="3"/>
  <c r="L2187" i="3"/>
  <c r="N2187" i="3"/>
  <c r="L2251" i="3"/>
  <c r="N2251" i="3"/>
  <c r="L1948" i="3"/>
  <c r="N1948" i="3"/>
  <c r="L2028" i="3"/>
  <c r="N2028" i="3"/>
  <c r="L2124" i="3"/>
  <c r="N2124" i="3"/>
  <c r="L2228" i="3"/>
  <c r="N2228" i="3"/>
  <c r="L1966" i="3"/>
  <c r="N1966" i="3"/>
  <c r="L2094" i="3"/>
  <c r="N2094" i="3"/>
  <c r="L2158" i="3"/>
  <c r="N2158" i="3"/>
  <c r="L1876" i="3"/>
  <c r="N1876" i="3"/>
  <c r="L1860" i="3"/>
  <c r="N1860" i="3"/>
  <c r="L2184" i="3"/>
  <c r="N2184" i="3"/>
  <c r="M753" i="3"/>
  <c r="M1057" i="3"/>
  <c r="N1513" i="3"/>
  <c r="N1867" i="3"/>
  <c r="N2171" i="3"/>
  <c r="N2459" i="3"/>
  <c r="N2148" i="3"/>
  <c r="G2138" i="3"/>
  <c r="M2138" i="3" s="1"/>
  <c r="H2562" i="3"/>
  <c r="N2562" i="3" s="1"/>
  <c r="G1952" i="3"/>
  <c r="M1952" i="3" s="1"/>
  <c r="H2618" i="3"/>
  <c r="N2618" i="3" s="1"/>
  <c r="H279" i="3"/>
  <c r="N279" i="3" s="1"/>
  <c r="G2426" i="3"/>
  <c r="M2426" i="3" s="1"/>
  <c r="H1599" i="3"/>
  <c r="H1409" i="3"/>
  <c r="G817" i="3"/>
  <c r="H2138" i="3"/>
  <c r="I47" i="3"/>
  <c r="H2400" i="3"/>
  <c r="N2400" i="3" s="1"/>
  <c r="G2266" i="3"/>
  <c r="M2266" i="3" s="1"/>
  <c r="H2042" i="3"/>
  <c r="H1681" i="3"/>
  <c r="G1767" i="3"/>
  <c r="M1767" i="3" s="1"/>
  <c r="H904" i="3"/>
  <c r="N904" i="3" s="1"/>
  <c r="H2240" i="3"/>
  <c r="H1713" i="3"/>
  <c r="G1870" i="3"/>
  <c r="M1870" i="3" s="1"/>
  <c r="H2282" i="3"/>
  <c r="H2538" i="3"/>
  <c r="N2538" i="3" s="1"/>
  <c r="G904" i="3"/>
  <c r="G2240" i="3"/>
  <c r="M2240" i="3" s="1"/>
  <c r="H513" i="3"/>
  <c r="N513" i="3" s="1"/>
  <c r="H1851" i="3"/>
  <c r="N1851" i="3" s="1"/>
  <c r="H2594" i="3"/>
  <c r="N2594" i="3" s="1"/>
  <c r="G153" i="3"/>
  <c r="H1457" i="3"/>
  <c r="G2210" i="3"/>
  <c r="M2210" i="3" s="1"/>
  <c r="G1663" i="3"/>
  <c r="M1663" i="3" s="1"/>
  <c r="H1859" i="3"/>
  <c r="N1859" i="3" s="1"/>
  <c r="H1870" i="3"/>
  <c r="G2594" i="3"/>
  <c r="M2594" i="3" s="1"/>
  <c r="G799" i="3"/>
  <c r="H799" i="3"/>
  <c r="N799" i="3" s="1"/>
  <c r="G2114" i="3"/>
  <c r="M2114" i="3" s="1"/>
  <c r="H2210" i="3"/>
  <c r="G513" i="3"/>
  <c r="H2063" i="3"/>
  <c r="H2316" i="3"/>
  <c r="H2188" i="3"/>
  <c r="G2063" i="3"/>
  <c r="M2063" i="3" s="1"/>
  <c r="H1617" i="3"/>
  <c r="H920" i="3"/>
  <c r="N920" i="3" s="1"/>
  <c r="G1617" i="3"/>
  <c r="M1617" i="3" s="1"/>
  <c r="G1409" i="3"/>
  <c r="M1409" i="3" s="1"/>
  <c r="H177" i="3"/>
  <c r="N177" i="3" s="1"/>
  <c r="G2042" i="3"/>
  <c r="M2042" i="3" s="1"/>
  <c r="G177" i="3"/>
  <c r="H2266" i="3"/>
  <c r="G193" i="3"/>
  <c r="H193" i="3"/>
  <c r="N193" i="3" s="1"/>
  <c r="H817" i="3"/>
  <c r="N817" i="3" s="1"/>
  <c r="G897" i="3"/>
  <c r="G2560" i="3"/>
  <c r="M2560" i="3" s="1"/>
  <c r="G50" i="3"/>
  <c r="G2602" i="3"/>
  <c r="M2602" i="3" s="1"/>
  <c r="H1569" i="3"/>
  <c r="G2156" i="3"/>
  <c r="M2156" i="3" s="1"/>
  <c r="D1892" i="3"/>
  <c r="G801" i="3"/>
  <c r="D2412" i="3"/>
  <c r="G2412" i="3"/>
  <c r="M2412" i="3" s="1"/>
  <c r="H1553" i="3"/>
  <c r="G1922" i="3"/>
  <c r="M1922" i="3" s="1"/>
  <c r="H2522" i="3"/>
  <c r="N2522" i="3" s="1"/>
  <c r="G641" i="3"/>
  <c r="G1920" i="3"/>
  <c r="M1920" i="3" s="1"/>
  <c r="H897" i="3"/>
  <c r="N897" i="3" s="1"/>
  <c r="H2602" i="3"/>
  <c r="N2602" i="3" s="1"/>
  <c r="H326" i="3"/>
  <c r="N326" i="3" s="1"/>
  <c r="H2106" i="3"/>
  <c r="G1553" i="3"/>
  <c r="M1553" i="3" s="1"/>
  <c r="H1922" i="3"/>
  <c r="G1569" i="3"/>
  <c r="M1569" i="3" s="1"/>
  <c r="D2444" i="3"/>
  <c r="G2354" i="3"/>
  <c r="M2354" i="3" s="1"/>
  <c r="G497" i="3"/>
  <c r="G2336" i="3"/>
  <c r="M2336" i="3" s="1"/>
  <c r="H98" i="3"/>
  <c r="H1148" i="3"/>
  <c r="N1148" i="3" s="1"/>
  <c r="H497" i="3"/>
  <c r="N497" i="3" s="1"/>
  <c r="H1521" i="3"/>
  <c r="G2170" i="3"/>
  <c r="M2170" i="3" s="1"/>
  <c r="G2290" i="3"/>
  <c r="M2290" i="3" s="1"/>
  <c r="H2170" i="3"/>
  <c r="H2290" i="3"/>
  <c r="G1521" i="3"/>
  <c r="M1521" i="3" s="1"/>
  <c r="H1329" i="3"/>
  <c r="H1920" i="3"/>
  <c r="H641" i="3"/>
  <c r="N641" i="3" s="1"/>
  <c r="G2330" i="3"/>
  <c r="M2330" i="3" s="1"/>
  <c r="G2522" i="3"/>
  <c r="M2522" i="3" s="1"/>
  <c r="G326" i="3"/>
  <c r="H1938" i="3"/>
  <c r="H2330" i="3"/>
  <c r="N2330" i="3" s="1"/>
  <c r="H2450" i="3"/>
  <c r="N2450" i="3" s="1"/>
  <c r="G87" i="3"/>
  <c r="I87" i="3" s="1"/>
  <c r="G920" i="3"/>
  <c r="G2106" i="3"/>
  <c r="M2106" i="3" s="1"/>
  <c r="G1329" i="3"/>
  <c r="M1329" i="3" s="1"/>
  <c r="H2336" i="3"/>
  <c r="N2336" i="3" s="1"/>
  <c r="H1025" i="3"/>
  <c r="N1025" i="3" s="1"/>
  <c r="G1938" i="3"/>
  <c r="M1938" i="3" s="1"/>
  <c r="G1078" i="3"/>
  <c r="G1025" i="3"/>
  <c r="H1868" i="3"/>
  <c r="G2450" i="3"/>
  <c r="M2450" i="3" s="1"/>
  <c r="G1727" i="3"/>
  <c r="M1727" i="3" s="1"/>
  <c r="H689" i="3"/>
  <c r="N689" i="3" s="1"/>
  <c r="G648" i="3"/>
  <c r="H1078" i="3"/>
  <c r="N1078" i="3" s="1"/>
  <c r="D1148" i="3"/>
  <c r="H2284" i="3"/>
  <c r="G1868" i="3"/>
  <c r="M1868" i="3" s="1"/>
  <c r="G2188" i="3"/>
  <c r="M2188" i="3" s="1"/>
  <c r="D2284" i="3"/>
  <c r="H269" i="3"/>
  <c r="N269" i="3" s="1"/>
  <c r="H813" i="3"/>
  <c r="N813" i="3" s="1"/>
  <c r="H1933" i="3"/>
  <c r="H2381" i="3"/>
  <c r="N2381" i="3" s="1"/>
  <c r="H1727" i="3"/>
  <c r="H1304" i="3"/>
  <c r="G1255" i="3"/>
  <c r="M1255" i="3" s="1"/>
  <c r="G1233" i="3"/>
  <c r="G2346" i="3"/>
  <c r="M2346" i="3" s="1"/>
  <c r="H1255" i="3"/>
  <c r="G2186" i="3"/>
  <c r="M2186" i="3" s="1"/>
  <c r="H1954" i="3"/>
  <c r="H385" i="3"/>
  <c r="N385" i="3" s="1"/>
  <c r="G385" i="3"/>
  <c r="G1304" i="3"/>
  <c r="M1304" i="3" s="1"/>
  <c r="H801" i="3"/>
  <c r="N801" i="3" s="1"/>
  <c r="G689" i="3"/>
  <c r="H792" i="3"/>
  <c r="N792" i="3" s="1"/>
  <c r="H1169" i="3"/>
  <c r="N1169" i="3" s="1"/>
  <c r="H1233" i="3"/>
  <c r="N1233" i="3" s="1"/>
  <c r="G1954" i="3"/>
  <c r="M1954" i="3" s="1"/>
  <c r="D1859" i="3"/>
  <c r="H768" i="3"/>
  <c r="N768" i="3" s="1"/>
  <c r="G1851" i="3"/>
  <c r="M1851" i="3" s="1"/>
  <c r="G98" i="3"/>
  <c r="K98" i="3" s="1"/>
  <c r="G1096" i="3"/>
  <c r="H2466" i="3"/>
  <c r="H968" i="3"/>
  <c r="N968" i="3" s="1"/>
  <c r="H833" i="3"/>
  <c r="N833" i="3" s="1"/>
  <c r="G1240" i="3"/>
  <c r="M1240" i="3" s="1"/>
  <c r="G1729" i="3"/>
  <c r="M1729" i="3" s="1"/>
  <c r="H1096" i="3"/>
  <c r="N1096" i="3" s="1"/>
  <c r="H1240" i="3"/>
  <c r="G2466" i="3"/>
  <c r="M2466" i="3" s="1"/>
  <c r="G279" i="3"/>
  <c r="G2016" i="3"/>
  <c r="M2016" i="3" s="1"/>
  <c r="H2016" i="3"/>
  <c r="H2426" i="3"/>
  <c r="N2426" i="3" s="1"/>
  <c r="H1729" i="3"/>
  <c r="G664" i="3"/>
  <c r="D2316" i="3"/>
  <c r="D2540" i="3"/>
  <c r="H2226" i="3"/>
  <c r="G1224" i="3"/>
  <c r="H2410" i="3"/>
  <c r="N2410" i="3" s="1"/>
  <c r="G2626" i="3"/>
  <c r="M2626" i="3" s="1"/>
  <c r="G1886" i="3"/>
  <c r="M1886" i="3" s="1"/>
  <c r="H2234" i="3"/>
  <c r="G1697" i="3"/>
  <c r="M1697" i="3" s="1"/>
  <c r="H2329" i="3"/>
  <c r="N2329" i="3" s="1"/>
  <c r="G1169" i="3"/>
  <c r="H648" i="3"/>
  <c r="N648" i="3" s="1"/>
  <c r="H1697" i="3"/>
  <c r="G2226" i="3"/>
  <c r="M2226" i="3" s="1"/>
  <c r="H2002" i="3"/>
  <c r="G1089" i="3"/>
  <c r="H1089" i="3"/>
  <c r="N1089" i="3" s="1"/>
  <c r="G2234" i="3"/>
  <c r="M2234" i="3" s="1"/>
  <c r="H2186" i="3"/>
  <c r="H2346" i="3"/>
  <c r="N2346" i="3" s="1"/>
  <c r="G1585" i="3"/>
  <c r="M1585" i="3" s="1"/>
  <c r="H1224" i="3"/>
  <c r="N1224" i="3" s="1"/>
  <c r="H1585" i="3"/>
  <c r="G2066" i="3"/>
  <c r="M2066" i="3" s="1"/>
  <c r="G2410" i="3"/>
  <c r="M2410" i="3" s="1"/>
  <c r="H2530" i="3"/>
  <c r="G1601" i="3"/>
  <c r="M1601" i="3" s="1"/>
  <c r="H2626" i="3"/>
  <c r="N2626" i="3" s="1"/>
  <c r="G792" i="3"/>
  <c r="H1886" i="3"/>
  <c r="H2304" i="3"/>
  <c r="H1601" i="3"/>
  <c r="G2002" i="3"/>
  <c r="M2002" i="3" s="1"/>
  <c r="H76" i="3"/>
  <c r="J76" i="3" s="1"/>
  <c r="H108" i="3"/>
  <c r="N108" i="3" s="1"/>
  <c r="H205" i="3"/>
  <c r="N205" i="3" s="1"/>
  <c r="H301" i="3"/>
  <c r="N301" i="3" s="1"/>
  <c r="H333" i="3"/>
  <c r="N333" i="3" s="1"/>
  <c r="H365" i="3"/>
  <c r="N365" i="3" s="1"/>
  <c r="H461" i="3"/>
  <c r="N461" i="3" s="1"/>
  <c r="H525" i="3"/>
  <c r="N525" i="3" s="1"/>
  <c r="H557" i="3"/>
  <c r="N557" i="3" s="1"/>
  <c r="H589" i="3"/>
  <c r="N589" i="3" s="1"/>
  <c r="H621" i="3"/>
  <c r="N621" i="3" s="1"/>
  <c r="H717" i="3"/>
  <c r="N717" i="3" s="1"/>
  <c r="H781" i="3"/>
  <c r="N781" i="3" s="1"/>
  <c r="H845" i="3"/>
  <c r="N845" i="3" s="1"/>
  <c r="H877" i="3"/>
  <c r="N877" i="3" s="1"/>
  <c r="H909" i="3"/>
  <c r="N909" i="3" s="1"/>
  <c r="H973" i="3"/>
  <c r="N973" i="3" s="1"/>
  <c r="H1037" i="3"/>
  <c r="N1037" i="3" s="1"/>
  <c r="H1069" i="3"/>
  <c r="N1069" i="3" s="1"/>
  <c r="H1101" i="3"/>
  <c r="N1101" i="3" s="1"/>
  <c r="H1133" i="3"/>
  <c r="N1133" i="3" s="1"/>
  <c r="H1165" i="3"/>
  <c r="N1165" i="3" s="1"/>
  <c r="H1229" i="3"/>
  <c r="N1229" i="3" s="1"/>
  <c r="H1293" i="3"/>
  <c r="H1325" i="3"/>
  <c r="H1357" i="3"/>
  <c r="H1581" i="3"/>
  <c r="H1805" i="3"/>
  <c r="H2029" i="3"/>
  <c r="H2093" i="3"/>
  <c r="H2157" i="3"/>
  <c r="H2317" i="3"/>
  <c r="H2445" i="3"/>
  <c r="H2541" i="3"/>
  <c r="N2541" i="3" s="1"/>
  <c r="H2605" i="3"/>
  <c r="N2605" i="3" s="1"/>
  <c r="H2591" i="3"/>
  <c r="N2591" i="3" s="1"/>
  <c r="H2623" i="3"/>
  <c r="N2623" i="3" s="1"/>
  <c r="H1633" i="3"/>
  <c r="G2202" i="3"/>
  <c r="M2202" i="3" s="1"/>
  <c r="H2202" i="3"/>
  <c r="G2642" i="3"/>
  <c r="M2642" i="3" s="1"/>
  <c r="G712" i="3"/>
  <c r="G2623" i="3"/>
  <c r="M2623" i="3" s="1"/>
  <c r="H1340" i="3"/>
  <c r="G1633" i="3"/>
  <c r="M1633" i="3" s="1"/>
  <c r="H712" i="3"/>
  <c r="N712" i="3" s="1"/>
  <c r="G1340" i="3"/>
  <c r="M1340" i="3" s="1"/>
  <c r="H2642" i="3"/>
  <c r="N2642" i="3" s="1"/>
  <c r="H1743" i="3"/>
  <c r="G1369" i="3"/>
  <c r="M1369" i="3" s="1"/>
  <c r="H141" i="3"/>
  <c r="N141" i="3" s="1"/>
  <c r="H173" i="3"/>
  <c r="N173" i="3" s="1"/>
  <c r="H237" i="3"/>
  <c r="N237" i="3" s="1"/>
  <c r="H397" i="3"/>
  <c r="N397" i="3" s="1"/>
  <c r="H429" i="3"/>
  <c r="N429" i="3" s="1"/>
  <c r="H493" i="3"/>
  <c r="N493" i="3" s="1"/>
  <c r="H653" i="3"/>
  <c r="N653" i="3" s="1"/>
  <c r="H685" i="3"/>
  <c r="N685" i="3" s="1"/>
  <c r="H749" i="3"/>
  <c r="N749" i="3" s="1"/>
  <c r="H941" i="3"/>
  <c r="N941" i="3" s="1"/>
  <c r="H1005" i="3"/>
  <c r="N1005" i="3" s="1"/>
  <c r="H1197" i="3"/>
  <c r="N1197" i="3" s="1"/>
  <c r="H1261" i="3"/>
  <c r="D2572" i="3"/>
  <c r="H1247" i="3"/>
  <c r="D2362" i="3"/>
  <c r="H1996" i="3"/>
  <c r="G2306" i="3"/>
  <c r="M2306" i="3" s="1"/>
  <c r="G1368" i="3"/>
  <c r="M1368" i="3" s="1"/>
  <c r="H2370" i="3"/>
  <c r="N2370" i="3" s="1"/>
  <c r="G2250" i="3"/>
  <c r="M2250" i="3" s="1"/>
  <c r="G833" i="3"/>
  <c r="G984" i="3"/>
  <c r="H1888" i="3"/>
  <c r="H2250" i="3"/>
  <c r="H1369" i="3"/>
  <c r="H840" i="3"/>
  <c r="N840" i="3" s="1"/>
  <c r="G2418" i="3"/>
  <c r="M2418" i="3" s="1"/>
  <c r="G128" i="3"/>
  <c r="G2130" i="3"/>
  <c r="M2130" i="3" s="1"/>
  <c r="H2306" i="3"/>
  <c r="G2304" i="3"/>
  <c r="M2304" i="3" s="1"/>
  <c r="H961" i="3"/>
  <c r="N961" i="3" s="1"/>
  <c r="G1888" i="3"/>
  <c r="M1888" i="3" s="1"/>
  <c r="H44" i="3"/>
  <c r="D2578" i="3"/>
  <c r="D2498" i="3"/>
  <c r="H408" i="3"/>
  <c r="N408" i="3" s="1"/>
  <c r="H984" i="3"/>
  <c r="N984" i="3" s="1"/>
  <c r="G2554" i="3"/>
  <c r="M2554" i="3" s="1"/>
  <c r="H1962" i="3"/>
  <c r="G961" i="3"/>
  <c r="G840" i="3"/>
  <c r="G2329" i="3"/>
  <c r="M2329" i="3" s="1"/>
  <c r="D404" i="3"/>
  <c r="D1996" i="3"/>
  <c r="D1962" i="3"/>
  <c r="H449" i="3"/>
  <c r="N449" i="3" s="1"/>
  <c r="H1393" i="3"/>
  <c r="G1946" i="3"/>
  <c r="M1946" i="3" s="1"/>
  <c r="G2082" i="3"/>
  <c r="M2082" i="3" s="1"/>
  <c r="G2362" i="3"/>
  <c r="M2362" i="3" s="1"/>
  <c r="G2498" i="3"/>
  <c r="M2498" i="3" s="1"/>
  <c r="G1393" i="3"/>
  <c r="M1393" i="3" s="1"/>
  <c r="G1112" i="3"/>
  <c r="D2082" i="3"/>
  <c r="H1952" i="3"/>
  <c r="G2370" i="3"/>
  <c r="M2370" i="3" s="1"/>
  <c r="H2122" i="3"/>
  <c r="G449" i="3"/>
  <c r="G536" i="3"/>
  <c r="D1112" i="3"/>
  <c r="D2546" i="3"/>
  <c r="D1073" i="3"/>
  <c r="D1048" i="3"/>
  <c r="H87" i="3"/>
  <c r="J87" i="3" s="1"/>
  <c r="H128" i="3"/>
  <c r="N128" i="3" s="1"/>
  <c r="H2130" i="3"/>
  <c r="G408" i="3"/>
  <c r="D968" i="3"/>
  <c r="D536" i="3"/>
  <c r="D2122" i="3"/>
  <c r="D2554" i="3"/>
  <c r="D2418" i="3"/>
  <c r="D1368" i="3"/>
  <c r="D1489" i="3"/>
  <c r="H2354" i="3"/>
  <c r="N2354" i="3" s="1"/>
  <c r="G1073" i="3"/>
  <c r="D1946" i="3"/>
  <c r="H2546" i="3"/>
  <c r="H1489" i="3"/>
  <c r="H2474" i="3"/>
  <c r="D2050" i="3"/>
  <c r="D1599" i="3"/>
  <c r="D1217" i="3"/>
  <c r="H2176" i="3"/>
  <c r="H1473" i="3"/>
  <c r="G2146" i="3"/>
  <c r="M2146" i="3" s="1"/>
  <c r="G2530" i="3"/>
  <c r="M2530" i="3" s="1"/>
  <c r="H392" i="3"/>
  <c r="N392" i="3" s="1"/>
  <c r="H2464" i="3"/>
  <c r="G2474" i="3"/>
  <c r="M2474" i="3" s="1"/>
  <c r="G1217" i="3"/>
  <c r="G1352" i="3"/>
  <c r="M1352" i="3" s="1"/>
  <c r="D392" i="3"/>
  <c r="D2178" i="3"/>
  <c r="D2618" i="3"/>
  <c r="D2464" i="3"/>
  <c r="H1505" i="3"/>
  <c r="H2044" i="3"/>
  <c r="G2610" i="3"/>
  <c r="M2610" i="3" s="1"/>
  <c r="G561" i="3"/>
  <c r="D520" i="3"/>
  <c r="D664" i="3"/>
  <c r="D1535" i="3"/>
  <c r="H1352" i="3"/>
  <c r="H2050" i="3"/>
  <c r="H2178" i="3"/>
  <c r="H2242" i="3"/>
  <c r="G520" i="3"/>
  <c r="G2176" i="3"/>
  <c r="M2176" i="3" s="1"/>
  <c r="D1473" i="3"/>
  <c r="D2610" i="3"/>
  <c r="G2242" i="3"/>
  <c r="M2242" i="3" s="1"/>
  <c r="G2562" i="3"/>
  <c r="M2562" i="3" s="1"/>
  <c r="G404" i="3"/>
  <c r="D2066" i="3"/>
  <c r="D561" i="3"/>
  <c r="D1505" i="3"/>
  <c r="G584" i="3"/>
  <c r="D2044" i="3"/>
  <c r="H581" i="3"/>
  <c r="N581" i="3" s="1"/>
  <c r="H645" i="3"/>
  <c r="N645" i="3" s="1"/>
  <c r="H709" i="3"/>
  <c r="N709" i="3" s="1"/>
  <c r="H773" i="3"/>
  <c r="N773" i="3" s="1"/>
  <c r="H837" i="3"/>
  <c r="N837" i="3" s="1"/>
  <c r="H901" i="3"/>
  <c r="N901" i="3" s="1"/>
  <c r="H965" i="3"/>
  <c r="N965" i="3" s="1"/>
  <c r="H1029" i="3"/>
  <c r="N1029" i="3" s="1"/>
  <c r="H1093" i="3"/>
  <c r="N1093" i="3" s="1"/>
  <c r="H1157" i="3"/>
  <c r="N1157" i="3" s="1"/>
  <c r="H1221" i="3"/>
  <c r="N1221" i="3" s="1"/>
  <c r="H1285" i="3"/>
  <c r="H1349" i="3"/>
  <c r="H1413" i="3"/>
  <c r="H1477" i="3"/>
  <c r="H1541" i="3"/>
  <c r="H1605" i="3"/>
  <c r="H1669" i="3"/>
  <c r="H1733" i="3"/>
  <c r="H1797" i="3"/>
  <c r="H1861" i="3"/>
  <c r="H1925" i="3"/>
  <c r="H1989" i="3"/>
  <c r="H2053" i="3"/>
  <c r="H2117" i="3"/>
  <c r="H2181" i="3"/>
  <c r="H2245" i="3"/>
  <c r="H2309" i="3"/>
  <c r="H2373" i="3"/>
  <c r="N2373" i="3" s="1"/>
  <c r="H2437" i="3"/>
  <c r="H2536" i="3"/>
  <c r="G2583" i="3"/>
  <c r="M2583" i="3" s="1"/>
  <c r="H2615" i="3"/>
  <c r="N2615" i="3" s="1"/>
  <c r="H880" i="3"/>
  <c r="N880" i="3" s="1"/>
  <c r="G368" i="3"/>
  <c r="H238" i="3"/>
  <c r="N238" i="3" s="1"/>
  <c r="H2328" i="3"/>
  <c r="N2328" i="3" s="1"/>
  <c r="H2620" i="3"/>
  <c r="N2620" i="3" s="1"/>
  <c r="G1593" i="3"/>
  <c r="M1593" i="3" s="1"/>
  <c r="H2312" i="3"/>
  <c r="G543" i="3"/>
  <c r="G2160" i="3"/>
  <c r="M2160" i="3" s="1"/>
  <c r="H415" i="3"/>
  <c r="N415" i="3" s="1"/>
  <c r="G1247" i="3"/>
  <c r="M1247" i="3" s="1"/>
  <c r="G1679" i="3"/>
  <c r="M1679" i="3" s="1"/>
  <c r="G2473" i="3"/>
  <c r="M2473" i="3" s="1"/>
  <c r="H2505" i="3"/>
  <c r="H2537" i="3"/>
  <c r="G2503" i="3"/>
  <c r="M2503" i="3" s="1"/>
  <c r="H512" i="3"/>
  <c r="N512" i="3" s="1"/>
  <c r="G2303" i="3"/>
  <c r="M2303" i="3" s="1"/>
  <c r="H1439" i="3"/>
  <c r="H1024" i="3"/>
  <c r="N1024" i="3" s="1"/>
  <c r="G1136" i="3"/>
  <c r="H368" i="3"/>
  <c r="N368" i="3" s="1"/>
  <c r="H1136" i="3"/>
  <c r="N1136" i="3" s="1"/>
  <c r="H401" i="3"/>
  <c r="N401" i="3" s="1"/>
  <c r="G1392" i="3"/>
  <c r="M1392" i="3" s="1"/>
  <c r="H624" i="3"/>
  <c r="N624" i="3" s="1"/>
  <c r="H37" i="3"/>
  <c r="H78" i="3"/>
  <c r="J78" i="3" s="1"/>
  <c r="H110" i="3"/>
  <c r="N110" i="3" s="1"/>
  <c r="H143" i="3"/>
  <c r="N143" i="3" s="1"/>
  <c r="H175" i="3"/>
  <c r="N175" i="3" s="1"/>
  <c r="G207" i="3"/>
  <c r="H271" i="3"/>
  <c r="N271" i="3" s="1"/>
  <c r="H311" i="3"/>
  <c r="N311" i="3" s="1"/>
  <c r="H343" i="3"/>
  <c r="N343" i="3" s="1"/>
  <c r="H383" i="3"/>
  <c r="N383" i="3" s="1"/>
  <c r="H423" i="3"/>
  <c r="N423" i="3" s="1"/>
  <c r="H455" i="3"/>
  <c r="N455" i="3" s="1"/>
  <c r="H495" i="3"/>
  <c r="N495" i="3" s="1"/>
  <c r="H527" i="3"/>
  <c r="N527" i="3" s="1"/>
  <c r="H567" i="3"/>
  <c r="N567" i="3" s="1"/>
  <c r="H599" i="3"/>
  <c r="N599" i="3" s="1"/>
  <c r="G647" i="3"/>
  <c r="G687" i="3"/>
  <c r="G719" i="3"/>
  <c r="H759" i="3"/>
  <c r="N759" i="3" s="1"/>
  <c r="G791" i="3"/>
  <c r="H831" i="3"/>
  <c r="N831" i="3" s="1"/>
  <c r="G871" i="3"/>
  <c r="H903" i="3"/>
  <c r="N903" i="3" s="1"/>
  <c r="H943" i="3"/>
  <c r="N943" i="3" s="1"/>
  <c r="H975" i="3"/>
  <c r="N975" i="3" s="1"/>
  <c r="H1015" i="3"/>
  <c r="N1015" i="3" s="1"/>
  <c r="H1047" i="3"/>
  <c r="N1047" i="3" s="1"/>
  <c r="G1087" i="3"/>
  <c r="G1159" i="3"/>
  <c r="H1199" i="3"/>
  <c r="N1199" i="3" s="1"/>
  <c r="H1231" i="3"/>
  <c r="N1231" i="3" s="1"/>
  <c r="H1287" i="3"/>
  <c r="H1367" i="3"/>
  <c r="G1527" i="3"/>
  <c r="M1527" i="3" s="1"/>
  <c r="H1655" i="3"/>
  <c r="G1799" i="3"/>
  <c r="M1799" i="3" s="1"/>
  <c r="H1967" i="3"/>
  <c r="H2031" i="3"/>
  <c r="H2143" i="3"/>
  <c r="G2175" i="3"/>
  <c r="M2175" i="3" s="1"/>
  <c r="H2391" i="3"/>
  <c r="N2391" i="3" s="1"/>
  <c r="G2423" i="3"/>
  <c r="M2423" i="3" s="1"/>
  <c r="H2471" i="3"/>
  <c r="G1504" i="3"/>
  <c r="M1504" i="3" s="1"/>
  <c r="G1536" i="3"/>
  <c r="M1536" i="3" s="1"/>
  <c r="G1568" i="3"/>
  <c r="M1568" i="3" s="1"/>
  <c r="H1600" i="3"/>
  <c r="H1664" i="3"/>
  <c r="H1696" i="3"/>
  <c r="H1728" i="3"/>
  <c r="H1760" i="3"/>
  <c r="G1792" i="3"/>
  <c r="M1792" i="3" s="1"/>
  <c r="G1824" i="3"/>
  <c r="M1824" i="3" s="1"/>
  <c r="H1872" i="3"/>
  <c r="G1737" i="3"/>
  <c r="M1737" i="3" s="1"/>
  <c r="G1801" i="3"/>
  <c r="M1801" i="3" s="1"/>
  <c r="H1849" i="3"/>
  <c r="G1881" i="3"/>
  <c r="M1881" i="3" s="1"/>
  <c r="H1921" i="3"/>
  <c r="G1961" i="3"/>
  <c r="M1961" i="3" s="1"/>
  <c r="H1993" i="3"/>
  <c r="H2033" i="3"/>
  <c r="H2065" i="3"/>
  <c r="H2129" i="3"/>
  <c r="H2161" i="3"/>
  <c r="G2193" i="3"/>
  <c r="M2193" i="3" s="1"/>
  <c r="H2233" i="3"/>
  <c r="G2265" i="3"/>
  <c r="M2265" i="3" s="1"/>
  <c r="G2297" i="3"/>
  <c r="M2297" i="3" s="1"/>
  <c r="H2337" i="3"/>
  <c r="N2337" i="3" s="1"/>
  <c r="H2369" i="3"/>
  <c r="N2369" i="3" s="1"/>
  <c r="G2433" i="3"/>
  <c r="M2433" i="3" s="1"/>
  <c r="H2569" i="3"/>
  <c r="G2609" i="3"/>
  <c r="M2609" i="3" s="1"/>
  <c r="G2641" i="3"/>
  <c r="M2641" i="3" s="1"/>
  <c r="H1879" i="3"/>
  <c r="H1647" i="3"/>
  <c r="H2560" i="3"/>
  <c r="N2560" i="3" s="1"/>
  <c r="G20" i="3"/>
  <c r="H1292" i="3"/>
  <c r="G1743" i="3"/>
  <c r="M1743" i="3" s="1"/>
  <c r="H555" i="3"/>
  <c r="N555" i="3" s="1"/>
  <c r="H1544" i="3"/>
  <c r="H1932" i="3"/>
  <c r="H1238" i="3"/>
  <c r="H1127" i="3"/>
  <c r="N1127" i="3" s="1"/>
  <c r="H1593" i="3"/>
  <c r="H543" i="3"/>
  <c r="N543" i="3" s="1"/>
  <c r="H2160" i="3"/>
  <c r="H1679" i="3"/>
  <c r="G415" i="3"/>
  <c r="H687" i="3"/>
  <c r="N687" i="3" s="1"/>
  <c r="G1904" i="3"/>
  <c r="M1904" i="3" s="1"/>
  <c r="G2416" i="3"/>
  <c r="M2416" i="3" s="1"/>
  <c r="H1792" i="3"/>
  <c r="H2416" i="3"/>
  <c r="H2056" i="3"/>
  <c r="G943" i="3"/>
  <c r="G1879" i="3"/>
  <c r="M1879" i="3" s="1"/>
  <c r="H2072" i="3"/>
  <c r="G2056" i="3"/>
  <c r="M2056" i="3" s="1"/>
  <c r="H1904" i="3"/>
  <c r="G1647" i="3"/>
  <c r="M1647" i="3" s="1"/>
  <c r="G2328" i="3"/>
  <c r="M2328" i="3" s="1"/>
  <c r="G2312" i="3"/>
  <c r="M2312" i="3" s="1"/>
  <c r="G2072" i="3"/>
  <c r="M2072" i="3" s="1"/>
  <c r="G7" i="3"/>
  <c r="H2175" i="3"/>
  <c r="H1824" i="3"/>
  <c r="G2369" i="3"/>
  <c r="M2369" i="3" s="1"/>
  <c r="H1840" i="3"/>
  <c r="H2433" i="3"/>
  <c r="G1967" i="3"/>
  <c r="M1967" i="3" s="1"/>
  <c r="G2384" i="3"/>
  <c r="M2384" i="3" s="1"/>
  <c r="G495" i="3"/>
  <c r="G1664" i="3"/>
  <c r="M1664" i="3" s="1"/>
  <c r="H2473" i="3"/>
  <c r="G2031" i="3"/>
  <c r="M2031" i="3" s="1"/>
  <c r="G2040" i="3"/>
  <c r="M2040" i="3" s="1"/>
  <c r="H1799" i="3"/>
  <c r="H2503" i="3"/>
  <c r="H1801" i="3"/>
  <c r="H207" i="3"/>
  <c r="N207" i="3" s="1"/>
  <c r="G1367" i="3"/>
  <c r="M1367" i="3" s="1"/>
  <c r="H1536" i="3"/>
  <c r="G567" i="3"/>
  <c r="H2296" i="3"/>
  <c r="H647" i="3"/>
  <c r="N647" i="3" s="1"/>
  <c r="H1087" i="3"/>
  <c r="N1087" i="3" s="1"/>
  <c r="H1568" i="3"/>
  <c r="H2128" i="3"/>
  <c r="H2193" i="3"/>
  <c r="G78" i="3"/>
  <c r="I78" i="3" s="1"/>
  <c r="G2033" i="3"/>
  <c r="M2033" i="3" s="1"/>
  <c r="H419" i="3"/>
  <c r="N419" i="3" s="1"/>
  <c r="H451" i="3"/>
  <c r="N451" i="3" s="1"/>
  <c r="H739" i="3"/>
  <c r="N739" i="3" s="1"/>
  <c r="H771" i="3"/>
  <c r="N771" i="3" s="1"/>
  <c r="H1251" i="3"/>
  <c r="H1283" i="3"/>
  <c r="H1411" i="3"/>
  <c r="H1667" i="3"/>
  <c r="H1731" i="3"/>
  <c r="H380" i="3"/>
  <c r="N380" i="3" s="1"/>
  <c r="H988" i="3"/>
  <c r="N988" i="3" s="1"/>
  <c r="H1052" i="3"/>
  <c r="N1052" i="3" s="1"/>
  <c r="H1084" i="3"/>
  <c r="N1084" i="3" s="1"/>
  <c r="H1652" i="3"/>
  <c r="H16" i="3"/>
  <c r="H17" i="3"/>
  <c r="H10" i="3"/>
  <c r="H2008" i="3"/>
  <c r="H20" i="3"/>
  <c r="H735" i="3"/>
  <c r="N735" i="3" s="1"/>
  <c r="H2423" i="3"/>
  <c r="H2265" i="3"/>
  <c r="G1015" i="3"/>
  <c r="G1696" i="3"/>
  <c r="M1696" i="3" s="1"/>
  <c r="G2129" i="3"/>
  <c r="M2129" i="3" s="1"/>
  <c r="H2297" i="3"/>
  <c r="H791" i="3"/>
  <c r="N791" i="3" s="1"/>
  <c r="H2609" i="3"/>
  <c r="N2609" i="3" s="1"/>
  <c r="G383" i="3"/>
  <c r="H1527" i="3"/>
  <c r="H1583" i="3"/>
  <c r="H2040" i="3"/>
  <c r="G1760" i="3"/>
  <c r="M1760" i="3" s="1"/>
  <c r="H448" i="3"/>
  <c r="N448" i="3" s="1"/>
  <c r="H1216" i="3"/>
  <c r="N1216" i="3" s="1"/>
  <c r="G960" i="3"/>
  <c r="H1504" i="3"/>
  <c r="H2384" i="3"/>
  <c r="N2384" i="3" s="1"/>
  <c r="H913" i="3"/>
  <c r="N913" i="3" s="1"/>
  <c r="G1840" i="3"/>
  <c r="M1840" i="3" s="1"/>
  <c r="D1942" i="3"/>
  <c r="G1942" i="3"/>
  <c r="M1942" i="3" s="1"/>
  <c r="H1942" i="3"/>
  <c r="D2390" i="3"/>
  <c r="G2390" i="3"/>
  <c r="M2390" i="3" s="1"/>
  <c r="D1519" i="3"/>
  <c r="H1519" i="3"/>
  <c r="D2528" i="3"/>
  <c r="H2528" i="3"/>
  <c r="N2528" i="3" s="1"/>
  <c r="D2262" i="3"/>
  <c r="H2262" i="3"/>
  <c r="G2262" i="3"/>
  <c r="M2262" i="3" s="1"/>
  <c r="D1449" i="3"/>
  <c r="H1449" i="3"/>
  <c r="G1449" i="3"/>
  <c r="M1449" i="3" s="1"/>
  <c r="D62" i="3"/>
  <c r="H62" i="3"/>
  <c r="J62" i="3" s="1"/>
  <c r="D2264" i="3"/>
  <c r="H2264" i="3"/>
  <c r="G48" i="3"/>
  <c r="H131" i="3"/>
  <c r="N131" i="3" s="1"/>
  <c r="H187" i="3"/>
  <c r="N187" i="3" s="1"/>
  <c r="H251" i="3"/>
  <c r="N251" i="3" s="1"/>
  <c r="H387" i="3"/>
  <c r="N387" i="3" s="1"/>
  <c r="H483" i="3"/>
  <c r="N483" i="3" s="1"/>
  <c r="H579" i="3"/>
  <c r="N579" i="3" s="1"/>
  <c r="H803" i="3"/>
  <c r="N803" i="3" s="1"/>
  <c r="H835" i="3"/>
  <c r="N835" i="3" s="1"/>
  <c r="H995" i="3"/>
  <c r="N995" i="3" s="1"/>
  <c r="H1027" i="3"/>
  <c r="N1027" i="3" s="1"/>
  <c r="H1059" i="3"/>
  <c r="N1059" i="3" s="1"/>
  <c r="H1091" i="3"/>
  <c r="N1091" i="3" s="1"/>
  <c r="H1315" i="3"/>
  <c r="H1347" i="3"/>
  <c r="H1443" i="3"/>
  <c r="H1635" i="3"/>
  <c r="H1699" i="3"/>
  <c r="D824" i="3"/>
  <c r="H824" i="3"/>
  <c r="N824" i="3" s="1"/>
  <c r="D808" i="3"/>
  <c r="G808" i="3"/>
  <c r="H808" i="3"/>
  <c r="N808" i="3" s="1"/>
  <c r="D2006" i="3"/>
  <c r="G2006" i="3"/>
  <c r="M2006" i="3" s="1"/>
  <c r="D2454" i="3"/>
  <c r="G2454" i="3"/>
  <c r="M2454" i="3" s="1"/>
  <c r="H2454" i="3"/>
  <c r="D681" i="3"/>
  <c r="H681" i="3"/>
  <c r="N681" i="3" s="1"/>
  <c r="G681" i="3"/>
  <c r="D552" i="3"/>
  <c r="G552" i="3"/>
  <c r="H552" i="3"/>
  <c r="N552" i="3" s="1"/>
  <c r="D2070" i="3"/>
  <c r="H2070" i="3"/>
  <c r="G2070" i="3"/>
  <c r="M2070" i="3" s="1"/>
  <c r="D2518" i="3"/>
  <c r="G2518" i="3"/>
  <c r="M2518" i="3" s="1"/>
  <c r="H2518" i="3"/>
  <c r="D425" i="3"/>
  <c r="H425" i="3"/>
  <c r="N425" i="3" s="1"/>
  <c r="G425" i="3"/>
  <c r="D1551" i="3"/>
  <c r="G1551" i="3"/>
  <c r="M1551" i="3" s="1"/>
  <c r="H1551" i="3"/>
  <c r="H2544" i="3"/>
  <c r="N2544" i="3" s="1"/>
  <c r="G2544" i="3"/>
  <c r="M2544" i="3" s="1"/>
  <c r="H48" i="3"/>
  <c r="D1561" i="3"/>
  <c r="H1561" i="3"/>
  <c r="G1561" i="3"/>
  <c r="M1561" i="3" s="1"/>
  <c r="D2326" i="3"/>
  <c r="H2326" i="3"/>
  <c r="N2326" i="3" s="1"/>
  <c r="G2326" i="3"/>
  <c r="M2326" i="3" s="1"/>
  <c r="H2006" i="3"/>
  <c r="D1384" i="3"/>
  <c r="G1384" i="3"/>
  <c r="M1384" i="3" s="1"/>
  <c r="H1384" i="3"/>
  <c r="D2198" i="3"/>
  <c r="G2198" i="3"/>
  <c r="M2198" i="3" s="1"/>
  <c r="H2198" i="3"/>
  <c r="D1193" i="3"/>
  <c r="G1193" i="3"/>
  <c r="D1777" i="3"/>
  <c r="H1777" i="3"/>
  <c r="G1846" i="3"/>
  <c r="M1846" i="3" s="1"/>
  <c r="H2390" i="3"/>
  <c r="G16" i="3"/>
  <c r="D1064" i="3"/>
  <c r="G1064" i="3"/>
  <c r="H1064" i="3"/>
  <c r="N1064" i="3" s="1"/>
  <c r="D2134" i="3"/>
  <c r="H2134" i="3"/>
  <c r="D2582" i="3"/>
  <c r="G2582" i="3"/>
  <c r="M2582" i="3" s="1"/>
  <c r="H2582" i="3"/>
  <c r="D937" i="3"/>
  <c r="G937" i="3"/>
  <c r="H937" i="3"/>
  <c r="N937" i="3" s="1"/>
  <c r="D2096" i="3"/>
  <c r="H2096" i="3"/>
  <c r="H1846" i="3"/>
  <c r="G1654" i="3"/>
  <c r="M1654" i="3" s="1"/>
  <c r="H2206" i="3"/>
  <c r="H1950" i="3"/>
  <c r="H2590" i="3"/>
  <c r="H1577" i="3"/>
  <c r="H2270" i="3"/>
  <c r="G2398" i="3"/>
  <c r="M2398" i="3" s="1"/>
  <c r="G1657" i="3"/>
  <c r="M1657" i="3" s="1"/>
  <c r="G2590" i="3"/>
  <c r="M2590" i="3" s="1"/>
  <c r="H67" i="3"/>
  <c r="J67" i="3" s="1"/>
  <c r="H196" i="3"/>
  <c r="N196" i="3" s="1"/>
  <c r="H332" i="3"/>
  <c r="N332" i="3" s="1"/>
  <c r="H1524" i="3"/>
  <c r="H1873" i="3"/>
  <c r="H125" i="3"/>
  <c r="H157" i="3"/>
  <c r="N157" i="3" s="1"/>
  <c r="H253" i="3"/>
  <c r="N253" i="3" s="1"/>
  <c r="H285" i="3"/>
  <c r="N285" i="3" s="1"/>
  <c r="H381" i="3"/>
  <c r="N381" i="3" s="1"/>
  <c r="H413" i="3"/>
  <c r="N413" i="3" s="1"/>
  <c r="H509" i="3"/>
  <c r="N509" i="3" s="1"/>
  <c r="H541" i="3"/>
  <c r="N541" i="3" s="1"/>
  <c r="H573" i="3"/>
  <c r="N573" i="3" s="1"/>
  <c r="H669" i="3"/>
  <c r="N669" i="3" s="1"/>
  <c r="H701" i="3"/>
  <c r="N701" i="3" s="1"/>
  <c r="H765" i="3"/>
  <c r="N765" i="3" s="1"/>
  <c r="H797" i="3"/>
  <c r="N797" i="3" s="1"/>
  <c r="H829" i="3"/>
  <c r="N829" i="3" s="1"/>
  <c r="H861" i="3"/>
  <c r="N861" i="3" s="1"/>
  <c r="H893" i="3"/>
  <c r="N893" i="3" s="1"/>
  <c r="H925" i="3"/>
  <c r="N925" i="3" s="1"/>
  <c r="H957" i="3"/>
  <c r="N957" i="3" s="1"/>
  <c r="H989" i="3"/>
  <c r="N989" i="3" s="1"/>
  <c r="H1053" i="3"/>
  <c r="N1053" i="3" s="1"/>
  <c r="H1085" i="3"/>
  <c r="N1085" i="3" s="1"/>
  <c r="H1181" i="3"/>
  <c r="N1181" i="3" s="1"/>
  <c r="H1213" i="3"/>
  <c r="N1213" i="3" s="1"/>
  <c r="H1277" i="3"/>
  <c r="H1341" i="3"/>
  <c r="H1373" i="3"/>
  <c r="H1437" i="3"/>
  <c r="H1469" i="3"/>
  <c r="H1501" i="3"/>
  <c r="H1597" i="3"/>
  <c r="H1629" i="3"/>
  <c r="H1661" i="3"/>
  <c r="H1693" i="3"/>
  <c r="H1757" i="3"/>
  <c r="H1789" i="3"/>
  <c r="H1853" i="3"/>
  <c r="H1885" i="3"/>
  <c r="H1917" i="3"/>
  <c r="H1949" i="3"/>
  <c r="H2045" i="3"/>
  <c r="H2077" i="3"/>
  <c r="H2173" i="3"/>
  <c r="H2205" i="3"/>
  <c r="H2237" i="3"/>
  <c r="H2269" i="3"/>
  <c r="H2333" i="3"/>
  <c r="N2333" i="3" s="1"/>
  <c r="H2365" i="3"/>
  <c r="N2365" i="3" s="1"/>
  <c r="H2397" i="3"/>
  <c r="H2461" i="3"/>
  <c r="H2493" i="3"/>
  <c r="H2525" i="3"/>
  <c r="H2557" i="3"/>
  <c r="H2621" i="3"/>
  <c r="N2621" i="3" s="1"/>
  <c r="G2488" i="3"/>
  <c r="M2488" i="3" s="1"/>
  <c r="H2608" i="3"/>
  <c r="N2608" i="3" s="1"/>
  <c r="G2607" i="3"/>
  <c r="M2607" i="3" s="1"/>
  <c r="H2552" i="3"/>
  <c r="H7" i="3"/>
  <c r="H27" i="3"/>
  <c r="H1309" i="3"/>
  <c r="H848" i="3"/>
  <c r="N848" i="3" s="1"/>
  <c r="H1336" i="3"/>
  <c r="H1572" i="3"/>
  <c r="H2247" i="3"/>
  <c r="H25" i="3"/>
  <c r="H82" i="3"/>
  <c r="J82" i="3" s="1"/>
  <c r="H323" i="3"/>
  <c r="N323" i="3" s="1"/>
  <c r="H355" i="3"/>
  <c r="N355" i="3" s="1"/>
  <c r="H515" i="3"/>
  <c r="N515" i="3" s="1"/>
  <c r="H547" i="3"/>
  <c r="N547" i="3" s="1"/>
  <c r="H611" i="3"/>
  <c r="N611" i="3" s="1"/>
  <c r="H643" i="3"/>
  <c r="N643" i="3" s="1"/>
  <c r="H675" i="3"/>
  <c r="N675" i="3" s="1"/>
  <c r="H707" i="3"/>
  <c r="N707" i="3" s="1"/>
  <c r="H867" i="3"/>
  <c r="N867" i="3" s="1"/>
  <c r="H899" i="3"/>
  <c r="N899" i="3" s="1"/>
  <c r="H931" i="3"/>
  <c r="N931" i="3" s="1"/>
  <c r="H963" i="3"/>
  <c r="N963" i="3" s="1"/>
  <c r="H1123" i="3"/>
  <c r="N1123" i="3" s="1"/>
  <c r="H1155" i="3"/>
  <c r="N1155" i="3" s="1"/>
  <c r="H1187" i="3"/>
  <c r="N1187" i="3" s="1"/>
  <c r="H1219" i="3"/>
  <c r="N1219" i="3" s="1"/>
  <c r="H1475" i="3"/>
  <c r="H1507" i="3"/>
  <c r="H1571" i="3"/>
  <c r="H1603" i="3"/>
  <c r="H1763" i="3"/>
  <c r="H1795" i="3"/>
  <c r="H1827" i="3"/>
  <c r="H948" i="3"/>
  <c r="N948" i="3" s="1"/>
  <c r="H1020" i="3"/>
  <c r="N1020" i="3" s="1"/>
  <c r="H1364" i="3"/>
  <c r="G311" i="3"/>
  <c r="G1231" i="3"/>
  <c r="H1657" i="3"/>
  <c r="G2624" i="3"/>
  <c r="M2624" i="3" s="1"/>
  <c r="H15" i="3"/>
  <c r="H11" i="3"/>
  <c r="H12" i="3"/>
  <c r="H6" i="3"/>
  <c r="H2600" i="3"/>
  <c r="N2600" i="3" s="1"/>
  <c r="G1359" i="3"/>
  <c r="M1359" i="3" s="1"/>
  <c r="H9" i="3"/>
  <c r="H960" i="3"/>
  <c r="N960" i="3" s="1"/>
  <c r="G238" i="3"/>
  <c r="G448" i="3"/>
  <c r="H1116" i="3"/>
  <c r="N1116" i="3" s="1"/>
  <c r="H2607" i="3"/>
  <c r="N2607" i="3" s="1"/>
  <c r="H704" i="3"/>
  <c r="N704" i="3" s="1"/>
  <c r="H1392" i="3"/>
  <c r="G2334" i="3"/>
  <c r="M2334" i="3" s="1"/>
  <c r="G624" i="3"/>
  <c r="G1216" i="3"/>
  <c r="H2624" i="3"/>
  <c r="N2624" i="3" s="1"/>
  <c r="H2526" i="3"/>
  <c r="G2526" i="3"/>
  <c r="M2526" i="3" s="1"/>
  <c r="G880" i="3"/>
  <c r="H1183" i="3"/>
  <c r="N1183" i="3" s="1"/>
  <c r="H2440" i="3"/>
  <c r="H60" i="3"/>
  <c r="J60" i="3" s="1"/>
  <c r="H92" i="3"/>
  <c r="H189" i="3"/>
  <c r="N189" i="3" s="1"/>
  <c r="H221" i="3"/>
  <c r="N221" i="3" s="1"/>
  <c r="H317" i="3"/>
  <c r="N317" i="3" s="1"/>
  <c r="H349" i="3"/>
  <c r="N349" i="3" s="1"/>
  <c r="H445" i="3"/>
  <c r="N445" i="3" s="1"/>
  <c r="H477" i="3"/>
  <c r="N477" i="3" s="1"/>
  <c r="H605" i="3"/>
  <c r="N605" i="3" s="1"/>
  <c r="H637" i="3"/>
  <c r="N637" i="3" s="1"/>
  <c r="H733" i="3"/>
  <c r="N733" i="3" s="1"/>
  <c r="H1021" i="3"/>
  <c r="N1021" i="3" s="1"/>
  <c r="H1117" i="3"/>
  <c r="N1117" i="3" s="1"/>
  <c r="H1149" i="3"/>
  <c r="N1149" i="3" s="1"/>
  <c r="H1245" i="3"/>
  <c r="H1405" i="3"/>
  <c r="H1533" i="3"/>
  <c r="H1565" i="3"/>
  <c r="H1725" i="3"/>
  <c r="H1821" i="3"/>
  <c r="H1981" i="3"/>
  <c r="H2013" i="3"/>
  <c r="H2109" i="3"/>
  <c r="H2141" i="3"/>
  <c r="H2301" i="3"/>
  <c r="H2429" i="3"/>
  <c r="H2589" i="3"/>
  <c r="N2589" i="3" s="1"/>
  <c r="H2488" i="3"/>
  <c r="G2608" i="3"/>
  <c r="M2608" i="3" s="1"/>
  <c r="G2552" i="3"/>
  <c r="M2552" i="3" s="1"/>
  <c r="H281" i="3"/>
  <c r="N281" i="3" s="1"/>
  <c r="G2032" i="3"/>
  <c r="M2032" i="3" s="1"/>
  <c r="G2456" i="3"/>
  <c r="M2456" i="3" s="1"/>
  <c r="G1897" i="3"/>
  <c r="M1897" i="3" s="1"/>
  <c r="H2200" i="3"/>
  <c r="G1104" i="3"/>
  <c r="H1080" i="3"/>
  <c r="N1080" i="3" s="1"/>
  <c r="H521" i="3"/>
  <c r="N521" i="3" s="1"/>
  <c r="G2200" i="3"/>
  <c r="M2200" i="3" s="1"/>
  <c r="H51" i="3"/>
  <c r="J51" i="3" s="1"/>
  <c r="H83" i="3"/>
  <c r="J83" i="3" s="1"/>
  <c r="H115" i="3"/>
  <c r="H148" i="3"/>
  <c r="N148" i="3" s="1"/>
  <c r="H180" i="3"/>
  <c r="N180" i="3" s="1"/>
  <c r="H212" i="3"/>
  <c r="N212" i="3" s="1"/>
  <c r="H244" i="3"/>
  <c r="N244" i="3" s="1"/>
  <c r="H276" i="3"/>
  <c r="N276" i="3" s="1"/>
  <c r="H316" i="3"/>
  <c r="N316" i="3" s="1"/>
  <c r="H604" i="3"/>
  <c r="N604" i="3" s="1"/>
  <c r="H668" i="3"/>
  <c r="N668" i="3" s="1"/>
  <c r="H732" i="3"/>
  <c r="N732" i="3" s="1"/>
  <c r="H2456" i="3"/>
  <c r="H592" i="3"/>
  <c r="N592" i="3" s="1"/>
  <c r="H2032" i="3"/>
  <c r="H288" i="3"/>
  <c r="N288" i="3" s="1"/>
  <c r="H504" i="3"/>
  <c r="N504" i="3" s="1"/>
  <c r="H1104" i="3"/>
  <c r="N1104" i="3" s="1"/>
  <c r="H2288" i="3"/>
  <c r="H777" i="3"/>
  <c r="N777" i="3" s="1"/>
  <c r="G1183" i="3"/>
  <c r="G848" i="3"/>
  <c r="G54" i="3"/>
  <c r="I54" i="3" s="1"/>
  <c r="H2199" i="3"/>
  <c r="H2407" i="3"/>
  <c r="H228" i="3"/>
  <c r="N228" i="3" s="1"/>
  <c r="H1236" i="3"/>
  <c r="H2201" i="3"/>
  <c r="G2247" i="3"/>
  <c r="M2247" i="3" s="1"/>
  <c r="H127" i="3"/>
  <c r="N127" i="3" s="1"/>
  <c r="H191" i="3"/>
  <c r="N191" i="3" s="1"/>
  <c r="G223" i="3"/>
  <c r="G255" i="3"/>
  <c r="H367" i="3"/>
  <c r="N367" i="3" s="1"/>
  <c r="G399" i="3"/>
  <c r="G471" i="3"/>
  <c r="H511" i="3"/>
  <c r="N511" i="3" s="1"/>
  <c r="G551" i="3"/>
  <c r="G583" i="3"/>
  <c r="G623" i="3"/>
  <c r="G703" i="3"/>
  <c r="G743" i="3"/>
  <c r="G815" i="3"/>
  <c r="G847" i="3"/>
  <c r="G919" i="3"/>
  <c r="G959" i="3"/>
  <c r="G1031" i="3"/>
  <c r="G1071" i="3"/>
  <c r="G1143" i="3"/>
  <c r="G1175" i="3"/>
  <c r="G1215" i="3"/>
  <c r="G1271" i="3"/>
  <c r="M1271" i="3" s="1"/>
  <c r="H1399" i="3"/>
  <c r="G1447" i="3"/>
  <c r="M1447" i="3" s="1"/>
  <c r="H1719" i="3"/>
  <c r="G2127" i="3"/>
  <c r="M2127" i="3" s="1"/>
  <c r="H1456" i="3"/>
  <c r="G1488" i="3"/>
  <c r="M1488" i="3" s="1"/>
  <c r="H1520" i="3"/>
  <c r="H1552" i="3"/>
  <c r="H1584" i="3"/>
  <c r="H1680" i="3"/>
  <c r="G1712" i="3"/>
  <c r="M1712" i="3" s="1"/>
  <c r="G1808" i="3"/>
  <c r="M1808" i="3" s="1"/>
  <c r="H1856" i="3"/>
  <c r="N1856" i="3" s="1"/>
  <c r="H1865" i="3"/>
  <c r="G1905" i="3"/>
  <c r="M1905" i="3" s="1"/>
  <c r="H1977" i="3"/>
  <c r="H2017" i="3"/>
  <c r="H2049" i="3"/>
  <c r="H2113" i="3"/>
  <c r="G2177" i="3"/>
  <c r="M2177" i="3" s="1"/>
  <c r="H2249" i="3"/>
  <c r="H2313" i="3"/>
  <c r="H2417" i="3"/>
  <c r="G2449" i="3"/>
  <c r="M2449" i="3" s="1"/>
  <c r="H2489" i="3"/>
  <c r="G2553" i="3"/>
  <c r="M2553" i="3" s="1"/>
  <c r="G2593" i="3"/>
  <c r="M2593" i="3" s="1"/>
  <c r="H19" i="3"/>
  <c r="G14" i="3"/>
  <c r="H23" i="3"/>
  <c r="H52" i="3"/>
  <c r="J52" i="3" s="1"/>
  <c r="H84" i="3"/>
  <c r="J84" i="3" s="1"/>
  <c r="H116" i="3"/>
  <c r="H149" i="3"/>
  <c r="N149" i="3" s="1"/>
  <c r="H181" i="3"/>
  <c r="N181" i="3" s="1"/>
  <c r="H213" i="3"/>
  <c r="N213" i="3" s="1"/>
  <c r="H245" i="3"/>
  <c r="N245" i="3" s="1"/>
  <c r="H277" i="3"/>
  <c r="N277" i="3" s="1"/>
  <c r="H309" i="3"/>
  <c r="N309" i="3" s="1"/>
  <c r="H341" i="3"/>
  <c r="N341" i="3" s="1"/>
  <c r="H373" i="3"/>
  <c r="N373" i="3" s="1"/>
  <c r="H405" i="3"/>
  <c r="N405" i="3" s="1"/>
  <c r="H437" i="3"/>
  <c r="N437" i="3" s="1"/>
  <c r="H469" i="3"/>
  <c r="N469" i="3" s="1"/>
  <c r="H501" i="3"/>
  <c r="N501" i="3" s="1"/>
  <c r="H533" i="3"/>
  <c r="N533" i="3" s="1"/>
  <c r="H565" i="3"/>
  <c r="N565" i="3" s="1"/>
  <c r="H597" i="3"/>
  <c r="N597" i="3" s="1"/>
  <c r="H629" i="3"/>
  <c r="N629" i="3" s="1"/>
  <c r="H661" i="3"/>
  <c r="N661" i="3" s="1"/>
  <c r="H693" i="3"/>
  <c r="N693" i="3" s="1"/>
  <c r="H725" i="3"/>
  <c r="N725" i="3" s="1"/>
  <c r="H757" i="3"/>
  <c r="N757" i="3" s="1"/>
  <c r="H789" i="3"/>
  <c r="N789" i="3" s="1"/>
  <c r="H821" i="3"/>
  <c r="N821" i="3" s="1"/>
  <c r="H853" i="3"/>
  <c r="N853" i="3" s="1"/>
  <c r="H885" i="3"/>
  <c r="N885" i="3" s="1"/>
  <c r="H917" i="3"/>
  <c r="N917" i="3" s="1"/>
  <c r="H949" i="3"/>
  <c r="N949" i="3" s="1"/>
  <c r="H981" i="3"/>
  <c r="N981" i="3" s="1"/>
  <c r="H1013" i="3"/>
  <c r="N1013" i="3" s="1"/>
  <c r="H1045" i="3"/>
  <c r="N1045" i="3" s="1"/>
  <c r="H1077" i="3"/>
  <c r="N1077" i="3" s="1"/>
  <c r="H1109" i="3"/>
  <c r="N1109" i="3" s="1"/>
  <c r="H1141" i="3"/>
  <c r="N1141" i="3" s="1"/>
  <c r="H1173" i="3"/>
  <c r="N1173" i="3" s="1"/>
  <c r="H1205" i="3"/>
  <c r="N1205" i="3" s="1"/>
  <c r="H1237" i="3"/>
  <c r="H1269" i="3"/>
  <c r="H1301" i="3"/>
  <c r="H1333" i="3"/>
  <c r="H1365" i="3"/>
  <c r="H1397" i="3"/>
  <c r="H1429" i="3"/>
  <c r="H1461" i="3"/>
  <c r="H1493" i="3"/>
  <c r="H1525" i="3"/>
  <c r="H1557" i="3"/>
  <c r="H1589" i="3"/>
  <c r="H1621" i="3"/>
  <c r="H1653" i="3"/>
  <c r="H1685" i="3"/>
  <c r="H1717" i="3"/>
  <c r="H1749" i="3"/>
  <c r="H1781" i="3"/>
  <c r="H1813" i="3"/>
  <c r="H1845" i="3"/>
  <c r="H1877" i="3"/>
  <c r="H1909" i="3"/>
  <c r="H1941" i="3"/>
  <c r="H1973" i="3"/>
  <c r="H2005" i="3"/>
  <c r="H2037" i="3"/>
  <c r="H2069" i="3"/>
  <c r="H2101" i="3"/>
  <c r="H2133" i="3"/>
  <c r="H2165" i="3"/>
  <c r="H2197" i="3"/>
  <c r="H2229" i="3"/>
  <c r="H2261" i="3"/>
  <c r="H2293" i="3"/>
  <c r="H2325" i="3"/>
  <c r="H2357" i="3"/>
  <c r="N2357" i="3" s="1"/>
  <c r="H2389" i="3"/>
  <c r="N2389" i="3" s="1"/>
  <c r="H2421" i="3"/>
  <c r="H2453" i="3"/>
  <c r="H2485" i="3"/>
  <c r="H2517" i="3"/>
  <c r="H2549" i="3"/>
  <c r="H2581" i="3"/>
  <c r="N2581" i="3" s="1"/>
  <c r="H2613" i="3"/>
  <c r="N2613" i="3" s="1"/>
  <c r="G2584" i="3"/>
  <c r="M2584" i="3" s="1"/>
  <c r="H2640" i="3"/>
  <c r="N2640" i="3" s="1"/>
  <c r="G2639" i="3"/>
  <c r="M2639" i="3" s="1"/>
  <c r="H2078" i="3"/>
  <c r="G1950" i="3"/>
  <c r="M1950" i="3" s="1"/>
  <c r="G2062" i="3"/>
  <c r="M2062" i="3" s="1"/>
  <c r="H384" i="3"/>
  <c r="N384" i="3" s="1"/>
  <c r="H1500" i="3"/>
  <c r="H118" i="3"/>
  <c r="G512" i="3"/>
  <c r="H2414" i="3"/>
  <c r="N2414" i="3" s="1"/>
  <c r="H1902" i="3"/>
  <c r="H1220" i="3"/>
  <c r="N1220" i="3" s="1"/>
  <c r="G2137" i="3"/>
  <c r="M2137" i="3" s="1"/>
  <c r="H2409" i="3"/>
  <c r="G288" i="3"/>
  <c r="H249" i="3"/>
  <c r="N249" i="3" s="1"/>
  <c r="G938" i="3"/>
  <c r="H132" i="3"/>
  <c r="N132" i="3" s="1"/>
  <c r="H260" i="3"/>
  <c r="N260" i="3" s="1"/>
  <c r="H300" i="3"/>
  <c r="N300" i="3" s="1"/>
  <c r="H716" i="3"/>
  <c r="N716" i="3" s="1"/>
  <c r="H780" i="3"/>
  <c r="N780" i="3" s="1"/>
  <c r="H1436" i="3"/>
  <c r="H1484" i="3"/>
  <c r="H1564" i="3"/>
  <c r="H1820" i="3"/>
  <c r="G521" i="3"/>
  <c r="G1321" i="3"/>
  <c r="M1321" i="3" s="1"/>
  <c r="H1417" i="3"/>
  <c r="G1439" i="3"/>
  <c r="M1439" i="3" s="1"/>
  <c r="G777" i="3"/>
  <c r="H1897" i="3"/>
  <c r="H1121" i="3"/>
  <c r="N1121" i="3" s="1"/>
  <c r="H863" i="3"/>
  <c r="N863" i="3" s="1"/>
  <c r="H1280" i="3"/>
  <c r="H657" i="3"/>
  <c r="N657" i="3" s="1"/>
  <c r="H1625" i="3"/>
  <c r="G704" i="3"/>
  <c r="G1024" i="3"/>
  <c r="G2288" i="3"/>
  <c r="M2288" i="3" s="1"/>
  <c r="H81" i="3"/>
  <c r="J81" i="3" s="1"/>
  <c r="H134" i="3"/>
  <c r="N134" i="3" s="1"/>
  <c r="H710" i="3"/>
  <c r="N710" i="3" s="1"/>
  <c r="H77" i="3"/>
  <c r="J77" i="3" s="1"/>
  <c r="G2014" i="3"/>
  <c r="M2014" i="3" s="1"/>
  <c r="G863" i="3"/>
  <c r="G1695" i="3"/>
  <c r="M1695" i="3" s="1"/>
  <c r="G1481" i="3"/>
  <c r="M1481" i="3" s="1"/>
  <c r="G1280" i="3"/>
  <c r="M1280" i="3" s="1"/>
  <c r="G768" i="3"/>
  <c r="H1695" i="3"/>
  <c r="H1192" i="3"/>
  <c r="N1192" i="3" s="1"/>
  <c r="H1944" i="3"/>
  <c r="H1377" i="3"/>
  <c r="H1825" i="3"/>
  <c r="G77" i="3"/>
  <c r="I77" i="3" s="1"/>
  <c r="G2414" i="3"/>
  <c r="M2414" i="3" s="1"/>
  <c r="G1944" i="3"/>
  <c r="M1944" i="3" s="1"/>
  <c r="G2440" i="3"/>
  <c r="M2440" i="3" s="1"/>
  <c r="G1825" i="3"/>
  <c r="M1825" i="3" s="1"/>
  <c r="H1882" i="3"/>
  <c r="H436" i="3"/>
  <c r="N436" i="3" s="1"/>
  <c r="H476" i="3"/>
  <c r="N476" i="3" s="1"/>
  <c r="H508" i="3"/>
  <c r="N508" i="3" s="1"/>
  <c r="H540" i="3"/>
  <c r="N540" i="3" s="1"/>
  <c r="H572" i="3"/>
  <c r="N572" i="3" s="1"/>
  <c r="H636" i="3"/>
  <c r="N636" i="3" s="1"/>
  <c r="H700" i="3"/>
  <c r="N700" i="3" s="1"/>
  <c r="H764" i="3"/>
  <c r="N764" i="3" s="1"/>
  <c r="H804" i="3"/>
  <c r="N804" i="3" s="1"/>
  <c r="H836" i="3"/>
  <c r="N836" i="3" s="1"/>
  <c r="H1260" i="3"/>
  <c r="H1300" i="3"/>
  <c r="G598" i="3"/>
  <c r="H950" i="3"/>
  <c r="N950" i="3" s="1"/>
  <c r="G1598" i="3"/>
  <c r="M1598" i="3" s="1"/>
  <c r="G247" i="3"/>
  <c r="H463" i="3"/>
  <c r="N463" i="3" s="1"/>
  <c r="H727" i="3"/>
  <c r="N727" i="3" s="1"/>
  <c r="H807" i="3"/>
  <c r="N807" i="3" s="1"/>
  <c r="G951" i="3"/>
  <c r="H983" i="3"/>
  <c r="N983" i="3" s="1"/>
  <c r="G1063" i="3"/>
  <c r="H1239" i="3"/>
  <c r="H2335" i="3"/>
  <c r="N2335" i="3" s="1"/>
  <c r="H40" i="3"/>
  <c r="H210" i="3"/>
  <c r="N210" i="3" s="1"/>
  <c r="G1306" i="3"/>
  <c r="M1306" i="3" s="1"/>
  <c r="H1530" i="3"/>
  <c r="H1420" i="3"/>
  <c r="H38" i="3"/>
  <c r="H144" i="3"/>
  <c r="N144" i="3" s="1"/>
  <c r="H232" i="3"/>
  <c r="N232" i="3" s="1"/>
  <c r="H272" i="3"/>
  <c r="N272" i="3" s="1"/>
  <c r="H145" i="3"/>
  <c r="N145" i="3" s="1"/>
  <c r="H265" i="3"/>
  <c r="N265" i="3" s="1"/>
  <c r="H321" i="3"/>
  <c r="N321" i="3" s="1"/>
  <c r="H49" i="3"/>
  <c r="G81" i="3"/>
  <c r="I81" i="3" s="1"/>
  <c r="H113" i="3"/>
  <c r="G146" i="3"/>
  <c r="G2631" i="3"/>
  <c r="M2631" i="3" s="1"/>
  <c r="G2201" i="3"/>
  <c r="M2201" i="3" s="1"/>
  <c r="H915" i="3"/>
  <c r="N915" i="3" s="1"/>
  <c r="H553" i="3"/>
  <c r="N553" i="3" s="1"/>
  <c r="H58" i="3"/>
  <c r="J58" i="3" s="1"/>
  <c r="H106" i="3"/>
  <c r="N106" i="3" s="1"/>
  <c r="H155" i="3"/>
  <c r="N155" i="3" s="1"/>
  <c r="H219" i="3"/>
  <c r="N219" i="3" s="1"/>
  <c r="H283" i="3"/>
  <c r="N283" i="3" s="1"/>
  <c r="H339" i="3"/>
  <c r="N339" i="3" s="1"/>
  <c r="H371" i="3"/>
  <c r="N371" i="3" s="1"/>
  <c r="H403" i="3"/>
  <c r="N403" i="3" s="1"/>
  <c r="H435" i="3"/>
  <c r="N435" i="3" s="1"/>
  <c r="H467" i="3"/>
  <c r="N467" i="3" s="1"/>
  <c r="H499" i="3"/>
  <c r="N499" i="3" s="1"/>
  <c r="H531" i="3"/>
  <c r="N531" i="3" s="1"/>
  <c r="H563" i="3"/>
  <c r="N563" i="3" s="1"/>
  <c r="H595" i="3"/>
  <c r="N595" i="3" s="1"/>
  <c r="H627" i="3"/>
  <c r="N627" i="3" s="1"/>
  <c r="H659" i="3"/>
  <c r="N659" i="3" s="1"/>
  <c r="H691" i="3"/>
  <c r="N691" i="3" s="1"/>
  <c r="H723" i="3"/>
  <c r="N723" i="3" s="1"/>
  <c r="H755" i="3"/>
  <c r="N755" i="3" s="1"/>
  <c r="H787" i="3"/>
  <c r="N787" i="3" s="1"/>
  <c r="H819" i="3"/>
  <c r="N819" i="3" s="1"/>
  <c r="H851" i="3"/>
  <c r="N851" i="3" s="1"/>
  <c r="H883" i="3"/>
  <c r="N883" i="3" s="1"/>
  <c r="H947" i="3"/>
  <c r="N947" i="3" s="1"/>
  <c r="H979" i="3"/>
  <c r="N979" i="3" s="1"/>
  <c r="H1011" i="3"/>
  <c r="N1011" i="3" s="1"/>
  <c r="H1043" i="3"/>
  <c r="N1043" i="3" s="1"/>
  <c r="H1075" i="3"/>
  <c r="N1075" i="3" s="1"/>
  <c r="H1107" i="3"/>
  <c r="N1107" i="3" s="1"/>
  <c r="H1139" i="3"/>
  <c r="N1139" i="3" s="1"/>
  <c r="H1171" i="3"/>
  <c r="N1171" i="3" s="1"/>
  <c r="H1203" i="3"/>
  <c r="N1203" i="3" s="1"/>
  <c r="H1235" i="3"/>
  <c r="N1235" i="3" s="1"/>
  <c r="H1267" i="3"/>
  <c r="H1299" i="3"/>
  <c r="H1331" i="3"/>
  <c r="H1363" i="3"/>
  <c r="H1395" i="3"/>
  <c r="H1427" i="3"/>
  <c r="H1459" i="3"/>
  <c r="H1491" i="3"/>
  <c r="H1523" i="3"/>
  <c r="H1555" i="3"/>
  <c r="H1587" i="3"/>
  <c r="H1619" i="3"/>
  <c r="H1683" i="3"/>
  <c r="H1715" i="3"/>
  <c r="H1747" i="3"/>
  <c r="H1779" i="3"/>
  <c r="H1811" i="3"/>
  <c r="H364" i="3"/>
  <c r="N364" i="3" s="1"/>
  <c r="H884" i="3"/>
  <c r="N884" i="3" s="1"/>
  <c r="H932" i="3"/>
  <c r="N932" i="3" s="1"/>
  <c r="H964" i="3"/>
  <c r="N964" i="3" s="1"/>
  <c r="H1004" i="3"/>
  <c r="N1004" i="3" s="1"/>
  <c r="H1068" i="3"/>
  <c r="N1068" i="3" s="1"/>
  <c r="H1348" i="3"/>
  <c r="H1388" i="3"/>
  <c r="H1628" i="3"/>
  <c r="G1783" i="3"/>
  <c r="M1783" i="3" s="1"/>
  <c r="H1855" i="3"/>
  <c r="N1855" i="3" s="1"/>
  <c r="H2079" i="3"/>
  <c r="G2311" i="3"/>
  <c r="M2311" i="3" s="1"/>
  <c r="H632" i="3"/>
  <c r="N632" i="3" s="1"/>
  <c r="G2550" i="3"/>
  <c r="M2550" i="3" s="1"/>
  <c r="G2120" i="3"/>
  <c r="M2120" i="3" s="1"/>
  <c r="H1063" i="3"/>
  <c r="N1063" i="3" s="1"/>
  <c r="H1894" i="3"/>
  <c r="H940" i="3"/>
  <c r="N940" i="3" s="1"/>
  <c r="H1359" i="3"/>
  <c r="G1815" i="3"/>
  <c r="M1815" i="3" s="1"/>
  <c r="H1975" i="3"/>
  <c r="H2039" i="3"/>
  <c r="H2255" i="3"/>
  <c r="G2287" i="3"/>
  <c r="M2287" i="3" s="1"/>
  <c r="H2319" i="3"/>
  <c r="H2359" i="3"/>
  <c r="N2359" i="3" s="1"/>
  <c r="H2512" i="3"/>
  <c r="G2224" i="3"/>
  <c r="M2224" i="3" s="1"/>
  <c r="H1321" i="3"/>
  <c r="H1065" i="3"/>
  <c r="N1065" i="3" s="1"/>
  <c r="H936" i="3"/>
  <c r="N936" i="3" s="1"/>
  <c r="G206" i="3"/>
  <c r="G1065" i="3"/>
  <c r="H101" i="3"/>
  <c r="N101" i="3" s="1"/>
  <c r="H2120" i="3"/>
  <c r="G2038" i="3"/>
  <c r="M2038" i="3" s="1"/>
  <c r="G936" i="3"/>
  <c r="H649" i="3"/>
  <c r="N649" i="3" s="1"/>
  <c r="H1497" i="3"/>
  <c r="G2102" i="3"/>
  <c r="M2102" i="3" s="1"/>
  <c r="H1598" i="3"/>
  <c r="H206" i="3"/>
  <c r="N206" i="3" s="1"/>
  <c r="H976" i="3"/>
  <c r="N976" i="3" s="1"/>
  <c r="H1208" i="3"/>
  <c r="N1208" i="3" s="1"/>
  <c r="G1530" i="3"/>
  <c r="M1530" i="3" s="1"/>
  <c r="G553" i="3"/>
  <c r="G1512" i="3"/>
  <c r="M1512" i="3" s="1"/>
  <c r="H2631" i="3"/>
  <c r="N2631" i="3" s="1"/>
  <c r="H186" i="3"/>
  <c r="N186" i="3" s="1"/>
  <c r="H234" i="3"/>
  <c r="N234" i="3" s="1"/>
  <c r="G274" i="3"/>
  <c r="G330" i="3"/>
  <c r="G362" i="3"/>
  <c r="G394" i="3"/>
  <c r="G426" i="3"/>
  <c r="G458" i="3"/>
  <c r="G490" i="3"/>
  <c r="G522" i="3"/>
  <c r="G554" i="3"/>
  <c r="G586" i="3"/>
  <c r="G618" i="3"/>
  <c r="G650" i="3"/>
  <c r="G682" i="3"/>
  <c r="G714" i="3"/>
  <c r="G746" i="3"/>
  <c r="G778" i="3"/>
  <c r="G810" i="3"/>
  <c r="G842" i="3"/>
  <c r="G874" i="3"/>
  <c r="G906" i="3"/>
  <c r="G970" i="3"/>
  <c r="G1002" i="3"/>
  <c r="G1034" i="3"/>
  <c r="G1066" i="3"/>
  <c r="G1098" i="3"/>
  <c r="G1130" i="3"/>
  <c r="G1162" i="3"/>
  <c r="G1194" i="3"/>
  <c r="G1226" i="3"/>
  <c r="G1258" i="3"/>
  <c r="M1258" i="3" s="1"/>
  <c r="G1290" i="3"/>
  <c r="M1290" i="3" s="1"/>
  <c r="G1354" i="3"/>
  <c r="M1354" i="3" s="1"/>
  <c r="G1450" i="3"/>
  <c r="M1450" i="3" s="1"/>
  <c r="G1514" i="3"/>
  <c r="M1514" i="3" s="1"/>
  <c r="G1578" i="3"/>
  <c r="M1578" i="3" s="1"/>
  <c r="G1610" i="3"/>
  <c r="M1610" i="3" s="1"/>
  <c r="G1642" i="3"/>
  <c r="M1642" i="3" s="1"/>
  <c r="G1674" i="3"/>
  <c r="M1674" i="3" s="1"/>
  <c r="G1706" i="3"/>
  <c r="M1706" i="3" s="1"/>
  <c r="G1738" i="3"/>
  <c r="M1738" i="3" s="1"/>
  <c r="G1802" i="3"/>
  <c r="M1802" i="3" s="1"/>
  <c r="G1834" i="3"/>
  <c r="M1834" i="3" s="1"/>
  <c r="H1866" i="3"/>
  <c r="G1898" i="3"/>
  <c r="M1898" i="3" s="1"/>
  <c r="H34" i="3"/>
  <c r="H99" i="3"/>
  <c r="N99" i="3" s="1"/>
  <c r="H164" i="3"/>
  <c r="N164" i="3" s="1"/>
  <c r="H420" i="3"/>
  <c r="N420" i="3" s="1"/>
  <c r="H452" i="3"/>
  <c r="N452" i="3" s="1"/>
  <c r="H492" i="3"/>
  <c r="N492" i="3" s="1"/>
  <c r="H524" i="3"/>
  <c r="N524" i="3" s="1"/>
  <c r="H556" i="3"/>
  <c r="N556" i="3" s="1"/>
  <c r="H588" i="3"/>
  <c r="N588" i="3" s="1"/>
  <c r="H620" i="3"/>
  <c r="N620" i="3" s="1"/>
  <c r="H652" i="3"/>
  <c r="N652" i="3" s="1"/>
  <c r="H684" i="3"/>
  <c r="N684" i="3" s="1"/>
  <c r="H748" i="3"/>
  <c r="N748" i="3" s="1"/>
  <c r="H820" i="3"/>
  <c r="N820" i="3" s="1"/>
  <c r="H1156" i="3"/>
  <c r="N1156" i="3" s="1"/>
  <c r="H1196" i="3"/>
  <c r="N1196" i="3" s="1"/>
  <c r="H1284" i="3"/>
  <c r="H1324" i="3"/>
  <c r="H1684" i="3"/>
  <c r="H1732" i="3"/>
  <c r="H1772" i="3"/>
  <c r="H262" i="3"/>
  <c r="N262" i="3" s="1"/>
  <c r="H302" i="3"/>
  <c r="N302" i="3" s="1"/>
  <c r="H390" i="3"/>
  <c r="N390" i="3" s="1"/>
  <c r="H518" i="3"/>
  <c r="N518" i="3" s="1"/>
  <c r="H582" i="3"/>
  <c r="N582" i="3" s="1"/>
  <c r="H646" i="3"/>
  <c r="N646" i="3" s="1"/>
  <c r="G710" i="3"/>
  <c r="H774" i="3"/>
  <c r="N774" i="3" s="1"/>
  <c r="H934" i="3"/>
  <c r="N934" i="3" s="1"/>
  <c r="G1230" i="3"/>
  <c r="G1294" i="3"/>
  <c r="M1294" i="3" s="1"/>
  <c r="G1358" i="3"/>
  <c r="M1358" i="3" s="1"/>
  <c r="G1422" i="3"/>
  <c r="M1422" i="3" s="1"/>
  <c r="G1486" i="3"/>
  <c r="M1486" i="3" s="1"/>
  <c r="G1678" i="3"/>
  <c r="M1678" i="3" s="1"/>
  <c r="G1742" i="3"/>
  <c r="M1742" i="3" s="1"/>
  <c r="G1838" i="3"/>
  <c r="M1838" i="3" s="1"/>
  <c r="G2225" i="3"/>
  <c r="M2225" i="3" s="1"/>
  <c r="H465" i="3"/>
  <c r="N465" i="3" s="1"/>
  <c r="H633" i="3"/>
  <c r="N633" i="3" s="1"/>
  <c r="G2638" i="3"/>
  <c r="M2638" i="3" s="1"/>
  <c r="H1487" i="3"/>
  <c r="G36" i="3"/>
  <c r="G401" i="3"/>
  <c r="G101" i="3"/>
  <c r="G785" i="3"/>
  <c r="G953" i="3"/>
  <c r="G2254" i="3"/>
  <c r="M2254" i="3" s="1"/>
  <c r="H2238" i="3"/>
  <c r="G1577" i="3"/>
  <c r="M1577" i="3" s="1"/>
  <c r="H256" i="3"/>
  <c r="N256" i="3" s="1"/>
  <c r="G209" i="3"/>
  <c r="G97" i="3"/>
  <c r="K97" i="3" s="1"/>
  <c r="G506" i="3"/>
  <c r="G538" i="3"/>
  <c r="G762" i="3"/>
  <c r="H858" i="3"/>
  <c r="N858" i="3" s="1"/>
  <c r="H2513" i="3"/>
  <c r="H2577" i="3"/>
  <c r="H1511" i="3"/>
  <c r="H2524" i="3"/>
  <c r="N2524" i="3" s="1"/>
  <c r="H2254" i="3"/>
  <c r="H2446" i="3"/>
  <c r="N2446" i="3" s="1"/>
  <c r="H2638" i="3"/>
  <c r="N2638" i="3" s="1"/>
  <c r="G2574" i="3"/>
  <c r="M2574" i="3" s="1"/>
  <c r="G976" i="3"/>
  <c r="G640" i="3"/>
  <c r="G944" i="3"/>
  <c r="H176" i="3"/>
  <c r="N176" i="3" s="1"/>
  <c r="H312" i="3"/>
  <c r="N312" i="3" s="1"/>
  <c r="H41" i="3"/>
  <c r="G418" i="3"/>
  <c r="G898" i="3"/>
  <c r="G1090" i="3"/>
  <c r="G688" i="3"/>
  <c r="H640" i="3"/>
  <c r="N640" i="3" s="1"/>
  <c r="H2126" i="3"/>
  <c r="H2510" i="3"/>
  <c r="G2318" i="3"/>
  <c r="M2318" i="3" s="1"/>
  <c r="G432" i="3"/>
  <c r="H2127" i="3"/>
  <c r="H1912" i="3"/>
  <c r="H174" i="3"/>
  <c r="N174" i="3" s="1"/>
  <c r="H551" i="3"/>
  <c r="N551" i="3" s="1"/>
  <c r="H896" i="3"/>
  <c r="N896" i="3" s="1"/>
  <c r="H1008" i="3"/>
  <c r="N1008" i="3" s="1"/>
  <c r="H1264" i="3"/>
  <c r="H2318" i="3"/>
  <c r="G2382" i="3"/>
  <c r="M2382" i="3" s="1"/>
  <c r="G1408" i="3"/>
  <c r="M1408" i="3" s="1"/>
  <c r="G1008" i="3"/>
  <c r="H432" i="3"/>
  <c r="N432" i="3" s="1"/>
  <c r="H1408" i="3"/>
  <c r="H1401" i="3"/>
  <c r="H2190" i="3"/>
  <c r="G2126" i="3"/>
  <c r="M2126" i="3" s="1"/>
  <c r="G1487" i="3"/>
  <c r="M1487" i="3" s="1"/>
  <c r="G2640" i="3"/>
  <c r="M2640" i="3" s="1"/>
  <c r="H2382" i="3"/>
  <c r="N2382" i="3" s="1"/>
  <c r="H2574" i="3"/>
  <c r="N2574" i="3" s="1"/>
  <c r="G2190" i="3"/>
  <c r="M2190" i="3" s="1"/>
  <c r="G1511" i="3"/>
  <c r="M1511" i="3" s="1"/>
  <c r="G384" i="3"/>
  <c r="H274" i="3"/>
  <c r="N274" i="3" s="1"/>
  <c r="H2062" i="3"/>
  <c r="G2510" i="3"/>
  <c r="M2510" i="3" s="1"/>
  <c r="G2446" i="3"/>
  <c r="M2446" i="3" s="1"/>
  <c r="G896" i="3"/>
  <c r="G1264" i="3"/>
  <c r="M1264" i="3" s="1"/>
  <c r="G1666" i="3"/>
  <c r="M1666" i="3" s="1"/>
  <c r="H66" i="3"/>
  <c r="J66" i="3" s="1"/>
  <c r="H122" i="3"/>
  <c r="H179" i="3"/>
  <c r="N179" i="3" s="1"/>
  <c r="H243" i="3"/>
  <c r="N243" i="3" s="1"/>
  <c r="H291" i="3"/>
  <c r="N291" i="3" s="1"/>
  <c r="H347" i="3"/>
  <c r="N347" i="3" s="1"/>
  <c r="H379" i="3"/>
  <c r="N379" i="3" s="1"/>
  <c r="H411" i="3"/>
  <c r="N411" i="3" s="1"/>
  <c r="H443" i="3"/>
  <c r="N443" i="3" s="1"/>
  <c r="H475" i="3"/>
  <c r="N475" i="3" s="1"/>
  <c r="H507" i="3"/>
  <c r="N507" i="3" s="1"/>
  <c r="H539" i="3"/>
  <c r="N539" i="3" s="1"/>
  <c r="H571" i="3"/>
  <c r="N571" i="3" s="1"/>
  <c r="H603" i="3"/>
  <c r="N603" i="3" s="1"/>
  <c r="H635" i="3"/>
  <c r="N635" i="3" s="1"/>
  <c r="H667" i="3"/>
  <c r="N667" i="3" s="1"/>
  <c r="H699" i="3"/>
  <c r="N699" i="3" s="1"/>
  <c r="H731" i="3"/>
  <c r="N731" i="3" s="1"/>
  <c r="H763" i="3"/>
  <c r="N763" i="3" s="1"/>
  <c r="H795" i="3"/>
  <c r="N795" i="3" s="1"/>
  <c r="H827" i="3"/>
  <c r="N827" i="3" s="1"/>
  <c r="H859" i="3"/>
  <c r="N859" i="3" s="1"/>
  <c r="H891" i="3"/>
  <c r="N891" i="3" s="1"/>
  <c r="H923" i="3"/>
  <c r="N923" i="3" s="1"/>
  <c r="H955" i="3"/>
  <c r="N955" i="3" s="1"/>
  <c r="H987" i="3"/>
  <c r="N987" i="3" s="1"/>
  <c r="H1019" i="3"/>
  <c r="N1019" i="3" s="1"/>
  <c r="H1051" i="3"/>
  <c r="N1051" i="3" s="1"/>
  <c r="H1083" i="3"/>
  <c r="N1083" i="3" s="1"/>
  <c r="H1115" i="3"/>
  <c r="N1115" i="3" s="1"/>
  <c r="H1147" i="3"/>
  <c r="N1147" i="3" s="1"/>
  <c r="H1179" i="3"/>
  <c r="N1179" i="3" s="1"/>
  <c r="H1211" i="3"/>
  <c r="N1211" i="3" s="1"/>
  <c r="H1243" i="3"/>
  <c r="H1275" i="3"/>
  <c r="H1307" i="3"/>
  <c r="H1339" i="3"/>
  <c r="H1371" i="3"/>
  <c r="H1403" i="3"/>
  <c r="H1435" i="3"/>
  <c r="H1467" i="3"/>
  <c r="H1499" i="3"/>
  <c r="H1531" i="3"/>
  <c r="H1563" i="3"/>
  <c r="H1595" i="3"/>
  <c r="H1627" i="3"/>
  <c r="H1659" i="3"/>
  <c r="H1691" i="3"/>
  <c r="H1723" i="3"/>
  <c r="H1755" i="3"/>
  <c r="H1787" i="3"/>
  <c r="H1819" i="3"/>
  <c r="H59" i="3"/>
  <c r="J59" i="3" s="1"/>
  <c r="H220" i="3"/>
  <c r="N220" i="3" s="1"/>
  <c r="H324" i="3"/>
  <c r="N324" i="3" s="1"/>
  <c r="H372" i="3"/>
  <c r="N372" i="3" s="1"/>
  <c r="H484" i="3"/>
  <c r="N484" i="3" s="1"/>
  <c r="H580" i="3"/>
  <c r="N580" i="3" s="1"/>
  <c r="H740" i="3"/>
  <c r="N740" i="3" s="1"/>
  <c r="H844" i="3"/>
  <c r="N844" i="3" s="1"/>
  <c r="H892" i="3"/>
  <c r="N892" i="3" s="1"/>
  <c r="H980" i="3"/>
  <c r="N980" i="3" s="1"/>
  <c r="H1012" i="3"/>
  <c r="N1012" i="3" s="1"/>
  <c r="H1044" i="3"/>
  <c r="N1044" i="3" s="1"/>
  <c r="H1076" i="3"/>
  <c r="N1076" i="3" s="1"/>
  <c r="H1108" i="3"/>
  <c r="N1108" i="3" s="1"/>
  <c r="H1268" i="3"/>
  <c r="H1356" i="3"/>
  <c r="H1428" i="3"/>
  <c r="H1556" i="3"/>
  <c r="H1604" i="3"/>
  <c r="H1644" i="3"/>
  <c r="H1812" i="3"/>
  <c r="H117" i="3"/>
  <c r="G214" i="3"/>
  <c r="H294" i="3"/>
  <c r="N294" i="3" s="1"/>
  <c r="H510" i="3"/>
  <c r="N510" i="3" s="1"/>
  <c r="H606" i="3"/>
  <c r="N606" i="3" s="1"/>
  <c r="G638" i="3"/>
  <c r="G830" i="3"/>
  <c r="H958" i="3"/>
  <c r="N958" i="3" s="1"/>
  <c r="H1318" i="3"/>
  <c r="H1606" i="3"/>
  <c r="G1830" i="3"/>
  <c r="M1830" i="3" s="1"/>
  <c r="H29" i="3"/>
  <c r="G102" i="3"/>
  <c r="G167" i="3"/>
  <c r="G231" i="3"/>
  <c r="G335" i="3"/>
  <c r="H375" i="3"/>
  <c r="N375" i="3" s="1"/>
  <c r="G487" i="3"/>
  <c r="G591" i="3"/>
  <c r="G679" i="3"/>
  <c r="G783" i="3"/>
  <c r="H823" i="3"/>
  <c r="N823" i="3" s="1"/>
  <c r="G935" i="3"/>
  <c r="G1039" i="3"/>
  <c r="H1079" i="3"/>
  <c r="N1079" i="3" s="1"/>
  <c r="G1191" i="3"/>
  <c r="G1319" i="3"/>
  <c r="M1319" i="3" s="1"/>
  <c r="G2135" i="3"/>
  <c r="M2135" i="3" s="1"/>
  <c r="H2167" i="3"/>
  <c r="H2215" i="3"/>
  <c r="H2383" i="3"/>
  <c r="N2383" i="3" s="1"/>
  <c r="G2415" i="3"/>
  <c r="M2415" i="3" s="1"/>
  <c r="G2455" i="3"/>
  <c r="M2455" i="3" s="1"/>
  <c r="G1560" i="3"/>
  <c r="M1560" i="3" s="1"/>
  <c r="G1656" i="3"/>
  <c r="M1656" i="3" s="1"/>
  <c r="G1688" i="3"/>
  <c r="M1688" i="3" s="1"/>
  <c r="G1913" i="3"/>
  <c r="M1913" i="3" s="1"/>
  <c r="H1985" i="3"/>
  <c r="H2025" i="3"/>
  <c r="H2089" i="3"/>
  <c r="H2153" i="3"/>
  <c r="H2257" i="3"/>
  <c r="H2321" i="3"/>
  <c r="H2497" i="3"/>
  <c r="H2561" i="3"/>
  <c r="N2561" i="3" s="1"/>
  <c r="H2633" i="3"/>
  <c r="N2633" i="3" s="1"/>
  <c r="H1379" i="3"/>
  <c r="H1539" i="3"/>
  <c r="D877" i="3"/>
  <c r="D909" i="3"/>
  <c r="D941" i="3"/>
  <c r="D973" i="3"/>
  <c r="D1005" i="3"/>
  <c r="D1037" i="3"/>
  <c r="D1069" i="3"/>
  <c r="D1101" i="3"/>
  <c r="G1591" i="3"/>
  <c r="M1591" i="3" s="1"/>
  <c r="H1591" i="3"/>
  <c r="G1744" i="3"/>
  <c r="M1744" i="3" s="1"/>
  <c r="H1744" i="3"/>
  <c r="G2081" i="3"/>
  <c r="M2081" i="3" s="1"/>
  <c r="H2081" i="3"/>
  <c r="G2625" i="3"/>
  <c r="M2625" i="3" s="1"/>
  <c r="H2625" i="3"/>
  <c r="N2625" i="3" s="1"/>
  <c r="D671" i="3"/>
  <c r="G671" i="3"/>
  <c r="H671" i="3"/>
  <c r="N671" i="3" s="1"/>
  <c r="G159" i="3"/>
  <c r="H159" i="3"/>
  <c r="N159" i="3" s="1"/>
  <c r="G1303" i="3"/>
  <c r="M1303" i="3" s="1"/>
  <c r="H1303" i="3"/>
  <c r="H1999" i="3"/>
  <c r="G1999" i="3"/>
  <c r="M1999" i="3" s="1"/>
  <c r="G2439" i="3"/>
  <c r="M2439" i="3" s="1"/>
  <c r="H2439" i="3"/>
  <c r="D1631" i="3"/>
  <c r="H1631" i="3"/>
  <c r="D1761" i="3"/>
  <c r="H1761" i="3"/>
  <c r="D2592" i="3"/>
  <c r="G2592" i="3"/>
  <c r="M2592" i="3" s="1"/>
  <c r="H2592" i="3"/>
  <c r="N2592" i="3" s="1"/>
  <c r="H2177" i="3"/>
  <c r="G511" i="3"/>
  <c r="D760" i="3"/>
  <c r="H760" i="3"/>
  <c r="N760" i="3" s="1"/>
  <c r="G2428" i="3"/>
  <c r="M2428" i="3" s="1"/>
  <c r="H2428" i="3"/>
  <c r="G999" i="3"/>
  <c r="H999" i="3"/>
  <c r="N999" i="3" s="1"/>
  <c r="D2000" i="3"/>
  <c r="H2000" i="3"/>
  <c r="H1648" i="3"/>
  <c r="G1648" i="3"/>
  <c r="M1648" i="3" s="1"/>
  <c r="H1896" i="3"/>
  <c r="G1896" i="3"/>
  <c r="M1896" i="3" s="1"/>
  <c r="G1937" i="3"/>
  <c r="M1937" i="3" s="1"/>
  <c r="H1937" i="3"/>
  <c r="H2145" i="3"/>
  <c r="G2145" i="3"/>
  <c r="M2145" i="3" s="1"/>
  <c r="H1905" i="3"/>
  <c r="H1271" i="3"/>
  <c r="H2553" i="3"/>
  <c r="G367" i="3"/>
  <c r="G1856" i="3"/>
  <c r="M1856" i="3" s="1"/>
  <c r="G2417" i="3"/>
  <c r="M2417" i="3" s="1"/>
  <c r="H1103" i="3"/>
  <c r="N1103" i="3" s="1"/>
  <c r="G1103" i="3"/>
  <c r="D2256" i="3"/>
  <c r="G2256" i="3"/>
  <c r="M2256" i="3" s="1"/>
  <c r="H2256" i="3"/>
  <c r="G1769" i="3"/>
  <c r="M1769" i="3" s="1"/>
  <c r="H1769" i="3"/>
  <c r="G2385" i="3"/>
  <c r="M2385" i="3" s="1"/>
  <c r="H2385" i="3"/>
  <c r="D2424" i="3"/>
  <c r="H2424" i="3"/>
  <c r="H1143" i="3"/>
  <c r="N1143" i="3" s="1"/>
  <c r="H623" i="3"/>
  <c r="N623" i="3" s="1"/>
  <c r="H919" i="3"/>
  <c r="N919" i="3" s="1"/>
  <c r="H2639" i="3"/>
  <c r="N2639" i="3" s="1"/>
  <c r="H2584" i="3"/>
  <c r="N2584" i="3" s="1"/>
  <c r="G1399" i="3"/>
  <c r="M1399" i="3" s="1"/>
  <c r="G439" i="3"/>
  <c r="H439" i="3"/>
  <c r="N439" i="3" s="1"/>
  <c r="G663" i="3"/>
  <c r="H663" i="3"/>
  <c r="N663" i="3" s="1"/>
  <c r="G887" i="3"/>
  <c r="H887" i="3"/>
  <c r="N887" i="3" s="1"/>
  <c r="G1927" i="3"/>
  <c r="M1927" i="3" s="1"/>
  <c r="H1927" i="3"/>
  <c r="D1953" i="3"/>
  <c r="H1953" i="3"/>
  <c r="H1776" i="3"/>
  <c r="G1776" i="3"/>
  <c r="M1776" i="3" s="1"/>
  <c r="G2217" i="3"/>
  <c r="M2217" i="3" s="1"/>
  <c r="H2217" i="3"/>
  <c r="G2353" i="3"/>
  <c r="M2353" i="3" s="1"/>
  <c r="H2353" i="3"/>
  <c r="N2353" i="3" s="1"/>
  <c r="D22" i="3"/>
  <c r="G22" i="3"/>
  <c r="H22" i="3"/>
  <c r="H847" i="3"/>
  <c r="N847" i="3" s="1"/>
  <c r="G1719" i="3"/>
  <c r="M1719" i="3" s="1"/>
  <c r="H223" i="3"/>
  <c r="N223" i="3" s="1"/>
  <c r="H1712" i="3"/>
  <c r="H2593" i="3"/>
  <c r="N2593" i="3" s="1"/>
  <c r="G295" i="3"/>
  <c r="H295" i="3"/>
  <c r="N295" i="3" s="1"/>
  <c r="H775" i="3"/>
  <c r="N775" i="3" s="1"/>
  <c r="G775" i="3"/>
  <c r="H2367" i="3"/>
  <c r="N2367" i="3" s="1"/>
  <c r="G2367" i="3"/>
  <c r="M2367" i="3" s="1"/>
  <c r="H1833" i="3"/>
  <c r="G1833" i="3"/>
  <c r="M1833" i="3" s="1"/>
  <c r="D351" i="3"/>
  <c r="G351" i="3"/>
  <c r="H1808" i="3"/>
  <c r="G23" i="3"/>
  <c r="D784" i="3"/>
  <c r="H784" i="3"/>
  <c r="N784" i="3" s="1"/>
  <c r="H583" i="3"/>
  <c r="N583" i="3" s="1"/>
  <c r="H743" i="3"/>
  <c r="N743" i="3" s="1"/>
  <c r="H471" i="3"/>
  <c r="N471" i="3" s="1"/>
  <c r="H1031" i="3"/>
  <c r="N1031" i="3" s="1"/>
  <c r="H1175" i="3"/>
  <c r="N1175" i="3" s="1"/>
  <c r="H1447" i="3"/>
  <c r="H1488" i="3"/>
  <c r="H255" i="3"/>
  <c r="N255" i="3" s="1"/>
  <c r="H399" i="3"/>
  <c r="N399" i="3" s="1"/>
  <c r="H959" i="3"/>
  <c r="N959" i="3" s="1"/>
  <c r="H14" i="3"/>
  <c r="H1215" i="3"/>
  <c r="N1215" i="3" s="1"/>
  <c r="G127" i="3"/>
  <c r="G1977" i="3"/>
  <c r="M1977" i="3" s="1"/>
  <c r="G2249" i="3"/>
  <c r="M2249" i="3" s="1"/>
  <c r="H94" i="3"/>
  <c r="G94" i="3"/>
  <c r="K94" i="3" s="1"/>
  <c r="G327" i="3"/>
  <c r="H327" i="3"/>
  <c r="N327" i="3" s="1"/>
  <c r="G2159" i="3"/>
  <c r="M2159" i="3" s="1"/>
  <c r="H2159" i="3"/>
  <c r="H1616" i="3"/>
  <c r="G1616" i="3"/>
  <c r="M1616" i="3" s="1"/>
  <c r="H2281" i="3"/>
  <c r="G2281" i="3"/>
  <c r="M2281" i="3" s="1"/>
  <c r="H2521" i="3"/>
  <c r="G2521" i="3"/>
  <c r="M2521" i="3" s="1"/>
  <c r="D2168" i="3"/>
  <c r="H2168" i="3"/>
  <c r="H2599" i="3"/>
  <c r="N2599" i="3" s="1"/>
  <c r="G2599" i="3"/>
  <c r="M2599" i="3" s="1"/>
  <c r="H2504" i="3"/>
  <c r="G2504" i="3"/>
  <c r="M2504" i="3" s="1"/>
  <c r="H703" i="3"/>
  <c r="N703" i="3" s="1"/>
  <c r="H815" i="3"/>
  <c r="N815" i="3" s="1"/>
  <c r="H1071" i="3"/>
  <c r="N1071" i="3" s="1"/>
  <c r="H2449" i="3"/>
  <c r="H146" i="3"/>
  <c r="N146" i="3" s="1"/>
  <c r="H785" i="3"/>
  <c r="N785" i="3" s="1"/>
  <c r="H1705" i="3"/>
  <c r="G321" i="3"/>
  <c r="G1934" i="3"/>
  <c r="M1934" i="3" s="1"/>
  <c r="H1934" i="3"/>
  <c r="D333" i="3"/>
  <c r="D365" i="3"/>
  <c r="D397" i="3"/>
  <c r="D429" i="3"/>
  <c r="D461" i="3"/>
  <c r="D493" i="3"/>
  <c r="D525" i="3"/>
  <c r="D557" i="3"/>
  <c r="D589" i="3"/>
  <c r="D621" i="3"/>
  <c r="D653" i="3"/>
  <c r="D685" i="3"/>
  <c r="D717" i="3"/>
  <c r="D749" i="3"/>
  <c r="D781" i="3"/>
  <c r="D813" i="3"/>
  <c r="D845" i="3"/>
  <c r="D1133" i="3"/>
  <c r="D1165" i="3"/>
  <c r="D1197" i="3"/>
  <c r="D1229" i="3"/>
  <c r="D1261" i="3"/>
  <c r="D1293" i="3"/>
  <c r="D1325" i="3"/>
  <c r="D1357" i="3"/>
  <c r="D1421" i="3"/>
  <c r="D1517" i="3"/>
  <c r="D1581" i="3"/>
  <c r="D1645" i="3"/>
  <c r="H1033" i="3"/>
  <c r="N1033" i="3" s="1"/>
  <c r="H1289" i="3"/>
  <c r="H2060" i="3"/>
  <c r="H2398" i="3"/>
  <c r="G2142" i="3"/>
  <c r="M2142" i="3" s="1"/>
  <c r="G2078" i="3"/>
  <c r="M2078" i="3" s="1"/>
  <c r="G2462" i="3"/>
  <c r="M2462" i="3" s="1"/>
  <c r="G889" i="3"/>
  <c r="G1033" i="3"/>
  <c r="G504" i="3"/>
  <c r="G232" i="3"/>
  <c r="G320" i="3"/>
  <c r="G186" i="3"/>
  <c r="G2182" i="3"/>
  <c r="M2182" i="3" s="1"/>
  <c r="D25" i="3"/>
  <c r="D82" i="3"/>
  <c r="D131" i="3"/>
  <c r="D187" i="3"/>
  <c r="D251" i="3"/>
  <c r="G1385" i="3"/>
  <c r="M1385" i="3" s="1"/>
  <c r="H1878" i="3"/>
  <c r="H2142" i="3"/>
  <c r="G1878" i="3"/>
  <c r="M1878" i="3" s="1"/>
  <c r="G824" i="3"/>
  <c r="G1336" i="3"/>
  <c r="M1336" i="3" s="1"/>
  <c r="H55" i="3"/>
  <c r="J55" i="3" s="1"/>
  <c r="H103" i="3"/>
  <c r="N103" i="3" s="1"/>
  <c r="H160" i="3"/>
  <c r="N160" i="3" s="1"/>
  <c r="H200" i="3"/>
  <c r="N200" i="3" s="1"/>
  <c r="G240" i="3"/>
  <c r="H296" i="3"/>
  <c r="N296" i="3" s="1"/>
  <c r="G328" i="3"/>
  <c r="G56" i="3"/>
  <c r="I56" i="3" s="1"/>
  <c r="H104" i="3"/>
  <c r="N104" i="3" s="1"/>
  <c r="H273" i="3"/>
  <c r="N273" i="3" s="1"/>
  <c r="H329" i="3"/>
  <c r="N329" i="3" s="1"/>
  <c r="H24" i="3"/>
  <c r="H57" i="3"/>
  <c r="J57" i="3" s="1"/>
  <c r="G89" i="3"/>
  <c r="I89" i="3" s="1"/>
  <c r="G121" i="3"/>
  <c r="G154" i="3"/>
  <c r="G202" i="3"/>
  <c r="H242" i="3"/>
  <c r="N242" i="3" s="1"/>
  <c r="G282" i="3"/>
  <c r="H338" i="3"/>
  <c r="N338" i="3" s="1"/>
  <c r="H370" i="3"/>
  <c r="N370" i="3" s="1"/>
  <c r="G402" i="3"/>
  <c r="H434" i="3"/>
  <c r="N434" i="3" s="1"/>
  <c r="H466" i="3"/>
  <c r="N466" i="3" s="1"/>
  <c r="H498" i="3"/>
  <c r="N498" i="3" s="1"/>
  <c r="H562" i="3"/>
  <c r="N562" i="3" s="1"/>
  <c r="H1316" i="3"/>
  <c r="H2014" i="3"/>
  <c r="H2462" i="3"/>
  <c r="G1606" i="3"/>
  <c r="M1606" i="3" s="1"/>
  <c r="G2206" i="3"/>
  <c r="M2206" i="3" s="1"/>
  <c r="G249" i="3"/>
  <c r="H36" i="3"/>
  <c r="H214" i="3"/>
  <c r="N214" i="3" s="1"/>
  <c r="H54" i="3"/>
  <c r="J54" i="3" s="1"/>
  <c r="H1320" i="3"/>
  <c r="H1809" i="3"/>
  <c r="H2334" i="3"/>
  <c r="N2334" i="3" s="1"/>
  <c r="G2270" i="3"/>
  <c r="M2270" i="3" s="1"/>
  <c r="G1289" i="3"/>
  <c r="M1289" i="3" s="1"/>
  <c r="G1080" i="3"/>
  <c r="G592" i="3"/>
  <c r="G2408" i="3"/>
  <c r="M2408" i="3" s="1"/>
  <c r="G281" i="3"/>
  <c r="H1327" i="3"/>
  <c r="H1895" i="3"/>
  <c r="H729" i="3"/>
  <c r="N729" i="3" s="1"/>
  <c r="H2396" i="3"/>
  <c r="D1196" i="3"/>
  <c r="D1236" i="3"/>
  <c r="D1284" i="3"/>
  <c r="H626" i="3"/>
  <c r="N626" i="3" s="1"/>
  <c r="H658" i="3"/>
  <c r="N658" i="3" s="1"/>
  <c r="H690" i="3"/>
  <c r="N690" i="3" s="1"/>
  <c r="H722" i="3"/>
  <c r="N722" i="3" s="1"/>
  <c r="H754" i="3"/>
  <c r="N754" i="3" s="1"/>
  <c r="H786" i="3"/>
  <c r="N786" i="3" s="1"/>
  <c r="H850" i="3"/>
  <c r="N850" i="3" s="1"/>
  <c r="H882" i="3"/>
  <c r="N882" i="3" s="1"/>
  <c r="H914" i="3"/>
  <c r="N914" i="3" s="1"/>
  <c r="H946" i="3"/>
  <c r="N946" i="3" s="1"/>
  <c r="G978" i="3"/>
  <c r="H1010" i="3"/>
  <c r="N1010" i="3" s="1"/>
  <c r="H1074" i="3"/>
  <c r="N1074" i="3" s="1"/>
  <c r="H1138" i="3"/>
  <c r="N1138" i="3" s="1"/>
  <c r="H1170" i="3"/>
  <c r="N1170" i="3" s="1"/>
  <c r="H1202" i="3"/>
  <c r="N1202" i="3" s="1"/>
  <c r="H1234" i="3"/>
  <c r="N1234" i="3" s="1"/>
  <c r="G1266" i="3"/>
  <c r="M1266" i="3" s="1"/>
  <c r="H1298" i="3"/>
  <c r="H1330" i="3"/>
  <c r="G1362" i="3"/>
  <c r="M1362" i="3" s="1"/>
  <c r="H1394" i="3"/>
  <c r="H1458" i="3"/>
  <c r="H1490" i="3"/>
  <c r="H1522" i="3"/>
  <c r="G1554" i="3"/>
  <c r="M1554" i="3" s="1"/>
  <c r="H1586" i="3"/>
  <c r="H1650" i="3"/>
  <c r="G1682" i="3"/>
  <c r="M1682" i="3" s="1"/>
  <c r="H1714" i="3"/>
  <c r="G1746" i="3"/>
  <c r="M1746" i="3" s="1"/>
  <c r="H1778" i="3"/>
  <c r="H1810" i="3"/>
  <c r="H1842" i="3"/>
  <c r="H1874" i="3"/>
  <c r="H42" i="3"/>
  <c r="H90" i="3"/>
  <c r="J90" i="3" s="1"/>
  <c r="H147" i="3"/>
  <c r="N147" i="3" s="1"/>
  <c r="H363" i="3"/>
  <c r="N363" i="3" s="1"/>
  <c r="H427" i="3"/>
  <c r="N427" i="3" s="1"/>
  <c r="H491" i="3"/>
  <c r="N491" i="3" s="1"/>
  <c r="H587" i="3"/>
  <c r="N587" i="3" s="1"/>
  <c r="H651" i="3"/>
  <c r="N651" i="3" s="1"/>
  <c r="H715" i="3"/>
  <c r="N715" i="3" s="1"/>
  <c r="H779" i="3"/>
  <c r="N779" i="3" s="1"/>
  <c r="H843" i="3"/>
  <c r="N843" i="3" s="1"/>
  <c r="H907" i="3"/>
  <c r="N907" i="3" s="1"/>
  <c r="H971" i="3"/>
  <c r="N971" i="3" s="1"/>
  <c r="H1035" i="3"/>
  <c r="N1035" i="3" s="1"/>
  <c r="H1099" i="3"/>
  <c r="N1099" i="3" s="1"/>
  <c r="H1163" i="3"/>
  <c r="N1163" i="3" s="1"/>
  <c r="H1227" i="3"/>
  <c r="N1227" i="3" s="1"/>
  <c r="H1291" i="3"/>
  <c r="H1355" i="3"/>
  <c r="H1419" i="3"/>
  <c r="H1483" i="3"/>
  <c r="D1547" i="3"/>
  <c r="D1579" i="3"/>
  <c r="D1611" i="3"/>
  <c r="D1643" i="3"/>
  <c r="D1675" i="3"/>
  <c r="D1707" i="3"/>
  <c r="D1739" i="3"/>
  <c r="D1803" i="3"/>
  <c r="D43" i="3"/>
  <c r="D75" i="3"/>
  <c r="D107" i="3"/>
  <c r="D140" i="3"/>
  <c r="D172" i="3"/>
  <c r="D204" i="3"/>
  <c r="D236" i="3"/>
  <c r="D268" i="3"/>
  <c r="H308" i="3"/>
  <c r="N308" i="3" s="1"/>
  <c r="H428" i="3"/>
  <c r="N428" i="3" s="1"/>
  <c r="H828" i="3"/>
  <c r="N828" i="3" s="1"/>
  <c r="H1164" i="3"/>
  <c r="N1164" i="3" s="1"/>
  <c r="H1204" i="3"/>
  <c r="N1204" i="3" s="1"/>
  <c r="H1244" i="3"/>
  <c r="H1332" i="3"/>
  <c r="H1412" i="3"/>
  <c r="H1452" i="3"/>
  <c r="H1492" i="3"/>
  <c r="H1540" i="3"/>
  <c r="H1692" i="3"/>
  <c r="H1740" i="3"/>
  <c r="H1796" i="3"/>
  <c r="H1844" i="3"/>
  <c r="G53" i="3"/>
  <c r="I53" i="3" s="1"/>
  <c r="H109" i="3"/>
  <c r="N109" i="3" s="1"/>
  <c r="G158" i="3"/>
  <c r="G198" i="3"/>
  <c r="G246" i="3"/>
  <c r="G286" i="3"/>
  <c r="G342" i="3"/>
  <c r="G374" i="3"/>
  <c r="G406" i="3"/>
  <c r="G438" i="3"/>
  <c r="G470" i="3"/>
  <c r="G502" i="3"/>
  <c r="G534" i="3"/>
  <c r="G566" i="3"/>
  <c r="H598" i="3"/>
  <c r="N598" i="3" s="1"/>
  <c r="H630" i="3"/>
  <c r="N630" i="3" s="1"/>
  <c r="G662" i="3"/>
  <c r="G694" i="3"/>
  <c r="G726" i="3"/>
  <c r="G758" i="3"/>
  <c r="G790" i="3"/>
  <c r="G822" i="3"/>
  <c r="H854" i="3"/>
  <c r="N854" i="3" s="1"/>
  <c r="G950" i="3"/>
  <c r="H982" i="3"/>
  <c r="N982" i="3" s="1"/>
  <c r="H1014" i="3"/>
  <c r="N1014" i="3" s="1"/>
  <c r="G1086" i="3"/>
  <c r="G1118" i="3"/>
  <c r="G1214" i="3"/>
  <c r="H1246" i="3"/>
  <c r="H1278" i="3"/>
  <c r="G1342" i="3"/>
  <c r="M1342" i="3" s="1"/>
  <c r="H1374" i="3"/>
  <c r="H1406" i="3"/>
  <c r="G1470" i="3"/>
  <c r="M1470" i="3" s="1"/>
  <c r="H1502" i="3"/>
  <c r="H1630" i="3"/>
  <c r="H1694" i="3"/>
  <c r="G1726" i="3"/>
  <c r="M1726" i="3" s="1"/>
  <c r="H1790" i="3"/>
  <c r="G13" i="3"/>
  <c r="G1343" i="3"/>
  <c r="M1343" i="3" s="1"/>
  <c r="H1463" i="3"/>
  <c r="H1735" i="3"/>
  <c r="G1847" i="3"/>
  <c r="M1847" i="3" s="1"/>
  <c r="G1903" i="3"/>
  <c r="M1903" i="3" s="1"/>
  <c r="G1943" i="3"/>
  <c r="M1943" i="3" s="1"/>
  <c r="G2007" i="3"/>
  <c r="M2007" i="3" s="1"/>
  <c r="G2199" i="3"/>
  <c r="M2199" i="3" s="1"/>
  <c r="G2407" i="3"/>
  <c r="M2407" i="3" s="1"/>
  <c r="G1456" i="3"/>
  <c r="M1456" i="3" s="1"/>
  <c r="G1520" i="3"/>
  <c r="M1520" i="3" s="1"/>
  <c r="G1552" i="3"/>
  <c r="M1552" i="3" s="1"/>
  <c r="G1584" i="3"/>
  <c r="M1584" i="3" s="1"/>
  <c r="G1680" i="3"/>
  <c r="M1680" i="3" s="1"/>
  <c r="G1865" i="3"/>
  <c r="M1865" i="3" s="1"/>
  <c r="G2017" i="3"/>
  <c r="M2017" i="3" s="1"/>
  <c r="G2049" i="3"/>
  <c r="M2049" i="3" s="1"/>
  <c r="G2113" i="3"/>
  <c r="M2113" i="3" s="1"/>
  <c r="G2313" i="3"/>
  <c r="M2313" i="3" s="1"/>
  <c r="G2489" i="3"/>
  <c r="M2489" i="3" s="1"/>
  <c r="D2584" i="3"/>
  <c r="D2640" i="3"/>
  <c r="D2599" i="3"/>
  <c r="D2639" i="3"/>
  <c r="G37" i="3"/>
  <c r="G110" i="3"/>
  <c r="G143" i="3"/>
  <c r="G175" i="3"/>
  <c r="G271" i="3"/>
  <c r="G343" i="3"/>
  <c r="G423" i="3"/>
  <c r="G455" i="3"/>
  <c r="G527" i="3"/>
  <c r="G599" i="3"/>
  <c r="H719" i="3"/>
  <c r="N719" i="3" s="1"/>
  <c r="G759" i="3"/>
  <c r="G831" i="3"/>
  <c r="H871" i="3"/>
  <c r="N871" i="3" s="1"/>
  <c r="G903" i="3"/>
  <c r="G975" i="3"/>
  <c r="G1047" i="3"/>
  <c r="G1127" i="3"/>
  <c r="H1159" i="3"/>
  <c r="N1159" i="3" s="1"/>
  <c r="G1199" i="3"/>
  <c r="G1287" i="3"/>
  <c r="M1287" i="3" s="1"/>
  <c r="G1655" i="3"/>
  <c r="M1655" i="3" s="1"/>
  <c r="G2143" i="3"/>
  <c r="M2143" i="3" s="1"/>
  <c r="G2391" i="3"/>
  <c r="M2391" i="3" s="1"/>
  <c r="G2471" i="3"/>
  <c r="M2471" i="3" s="1"/>
  <c r="G1472" i="3"/>
  <c r="M1472" i="3" s="1"/>
  <c r="G1600" i="3"/>
  <c r="M1600" i="3" s="1"/>
  <c r="H1632" i="3"/>
  <c r="G1728" i="3"/>
  <c r="M1728" i="3" s="1"/>
  <c r="G1872" i="3"/>
  <c r="M1872" i="3" s="1"/>
  <c r="H1737" i="3"/>
  <c r="G1849" i="3"/>
  <c r="M1849" i="3" s="1"/>
  <c r="H1881" i="3"/>
  <c r="G1921" i="3"/>
  <c r="M1921" i="3" s="1"/>
  <c r="H1961" i="3"/>
  <c r="G1993" i="3"/>
  <c r="M1993" i="3" s="1"/>
  <c r="G2065" i="3"/>
  <c r="M2065" i="3" s="1"/>
  <c r="G2097" i="3"/>
  <c r="M2097" i="3" s="1"/>
  <c r="G2161" i="3"/>
  <c r="M2161" i="3" s="1"/>
  <c r="G2233" i="3"/>
  <c r="M2233" i="3" s="1"/>
  <c r="G2337" i="3"/>
  <c r="M2337" i="3" s="1"/>
  <c r="H2401" i="3"/>
  <c r="G2505" i="3"/>
  <c r="M2505" i="3" s="1"/>
  <c r="G2537" i="3"/>
  <c r="M2537" i="3" s="1"/>
  <c r="G2569" i="3"/>
  <c r="M2569" i="3" s="1"/>
  <c r="H2641" i="3"/>
  <c r="N2641" i="3" s="1"/>
  <c r="H2583" i="3"/>
  <c r="N2583" i="3" s="1"/>
  <c r="H2071" i="3"/>
  <c r="G2103" i="3"/>
  <c r="M2103" i="3" s="1"/>
  <c r="G2223" i="3"/>
  <c r="M2223" i="3" s="1"/>
  <c r="H2303" i="3"/>
  <c r="G2343" i="3"/>
  <c r="M2343" i="3" s="1"/>
  <c r="G2463" i="3"/>
  <c r="M2463" i="3" s="1"/>
  <c r="H2519" i="3"/>
  <c r="G46" i="3"/>
  <c r="G86" i="3"/>
  <c r="I86" i="3" s="1"/>
  <c r="G151" i="3"/>
  <c r="G183" i="3"/>
  <c r="G215" i="3"/>
  <c r="G287" i="3"/>
  <c r="H319" i="3"/>
  <c r="N319" i="3" s="1"/>
  <c r="G359" i="3"/>
  <c r="G391" i="3"/>
  <c r="G431" i="3"/>
  <c r="G463" i="3"/>
  <c r="G503" i="3"/>
  <c r="G535" i="3"/>
  <c r="H575" i="3"/>
  <c r="N575" i="3" s="1"/>
  <c r="G615" i="3"/>
  <c r="G655" i="3"/>
  <c r="G695" i="3"/>
  <c r="G727" i="3"/>
  <c r="G767" i="3"/>
  <c r="G807" i="3"/>
  <c r="G839" i="3"/>
  <c r="G879" i="3"/>
  <c r="G911" i="3"/>
  <c r="G983" i="3"/>
  <c r="H1023" i="3"/>
  <c r="N1023" i="3" s="1"/>
  <c r="G1095" i="3"/>
  <c r="G1135" i="3"/>
  <c r="H1167" i="3"/>
  <c r="N1167" i="3" s="1"/>
  <c r="G1207" i="3"/>
  <c r="G1239" i="3"/>
  <c r="M1239" i="3" s="1"/>
  <c r="H1295" i="3"/>
  <c r="H1383" i="3"/>
  <c r="G1431" i="3"/>
  <c r="M1431" i="3" s="1"/>
  <c r="G1559" i="3"/>
  <c r="M1559" i="3" s="1"/>
  <c r="G1687" i="3"/>
  <c r="M1687" i="3" s="1"/>
  <c r="G1887" i="3"/>
  <c r="M1887" i="3" s="1"/>
  <c r="G1983" i="3"/>
  <c r="M1983" i="3" s="1"/>
  <c r="G2047" i="3"/>
  <c r="M2047" i="3" s="1"/>
  <c r="H2151" i="3"/>
  <c r="G2191" i="3"/>
  <c r="M2191" i="3" s="1"/>
  <c r="G2335" i="3"/>
  <c r="M2335" i="3" s="1"/>
  <c r="G2399" i="3"/>
  <c r="M2399" i="3" s="1"/>
  <c r="G2431" i="3"/>
  <c r="M2431" i="3" s="1"/>
  <c r="G2487" i="3"/>
  <c r="M2487" i="3" s="1"/>
  <c r="G1480" i="3"/>
  <c r="M1480" i="3" s="1"/>
  <c r="G1544" i="3"/>
  <c r="M1544" i="3" s="1"/>
  <c r="G1576" i="3"/>
  <c r="M1576" i="3" s="1"/>
  <c r="G1608" i="3"/>
  <c r="M1608" i="3" s="1"/>
  <c r="G1640" i="3"/>
  <c r="M1640" i="3" s="1"/>
  <c r="G1672" i="3"/>
  <c r="M1672" i="3" s="1"/>
  <c r="G1704" i="3"/>
  <c r="M1704" i="3" s="1"/>
  <c r="G1736" i="3"/>
  <c r="M1736" i="3" s="1"/>
  <c r="G1768" i="3"/>
  <c r="M1768" i="3" s="1"/>
  <c r="G1800" i="3"/>
  <c r="M1800" i="3" s="1"/>
  <c r="G1832" i="3"/>
  <c r="M1832" i="3" s="1"/>
  <c r="G1880" i="3"/>
  <c r="M1880" i="3" s="1"/>
  <c r="G1753" i="3"/>
  <c r="M1753" i="3" s="1"/>
  <c r="G1817" i="3"/>
  <c r="M1817" i="3" s="1"/>
  <c r="G1857" i="3"/>
  <c r="M1857" i="3" s="1"/>
  <c r="H1889" i="3"/>
  <c r="G1929" i="3"/>
  <c r="M1929" i="3" s="1"/>
  <c r="G1969" i="3"/>
  <c r="M1969" i="3" s="1"/>
  <c r="G2009" i="3"/>
  <c r="M2009" i="3" s="1"/>
  <c r="G2041" i="3"/>
  <c r="M2041" i="3" s="1"/>
  <c r="G2073" i="3"/>
  <c r="M2073" i="3" s="1"/>
  <c r="G2105" i="3"/>
  <c r="M2105" i="3" s="1"/>
  <c r="G2169" i="3"/>
  <c r="M2169" i="3" s="1"/>
  <c r="G2209" i="3"/>
  <c r="M2209" i="3" s="1"/>
  <c r="G2241" i="3"/>
  <c r="M2241" i="3" s="1"/>
  <c r="G2273" i="3"/>
  <c r="M2273" i="3" s="1"/>
  <c r="G2305" i="3"/>
  <c r="M2305" i="3" s="1"/>
  <c r="G2345" i="3"/>
  <c r="M2345" i="3" s="1"/>
  <c r="G2377" i="3"/>
  <c r="M2377" i="3" s="1"/>
  <c r="G2409" i="3"/>
  <c r="M2409" i="3" s="1"/>
  <c r="G2441" i="3"/>
  <c r="M2441" i="3" s="1"/>
  <c r="G2481" i="3"/>
  <c r="M2481" i="3" s="1"/>
  <c r="G2513" i="3"/>
  <c r="M2513" i="3" s="1"/>
  <c r="H18" i="3"/>
  <c r="H161" i="3"/>
  <c r="N161" i="3" s="1"/>
  <c r="G606" i="3"/>
  <c r="G2502" i="3"/>
  <c r="M2502" i="3" s="1"/>
  <c r="G1895" i="3"/>
  <c r="M1895" i="3" s="1"/>
  <c r="G457" i="3"/>
  <c r="H985" i="3"/>
  <c r="N985" i="3" s="1"/>
  <c r="H2220" i="3"/>
  <c r="H528" i="3"/>
  <c r="N528" i="3" s="1"/>
  <c r="H2374" i="3"/>
  <c r="N2374" i="3" s="1"/>
  <c r="G1631" i="3"/>
  <c r="M1631" i="3" s="1"/>
  <c r="G473" i="3"/>
  <c r="G1912" i="3"/>
  <c r="M1912" i="3" s="1"/>
  <c r="G1705" i="3"/>
  <c r="M1705" i="3" s="1"/>
  <c r="G1809" i="3"/>
  <c r="M1809" i="3" s="1"/>
  <c r="G1953" i="3"/>
  <c r="M1953" i="3" s="1"/>
  <c r="G144" i="3"/>
  <c r="D40" i="3"/>
  <c r="H1016" i="3"/>
  <c r="N1016" i="3" s="1"/>
  <c r="H873" i="3"/>
  <c r="N873" i="3" s="1"/>
  <c r="H226" i="3"/>
  <c r="N226" i="3" s="1"/>
  <c r="H1129" i="3"/>
  <c r="N1129" i="3" s="1"/>
  <c r="H2502" i="3"/>
  <c r="H2630" i="3"/>
  <c r="N2630" i="3" s="1"/>
  <c r="G1327" i="3"/>
  <c r="M1327" i="3" s="1"/>
  <c r="G2168" i="3"/>
  <c r="M2168" i="3" s="1"/>
  <c r="H2408" i="3"/>
  <c r="H1241" i="3"/>
  <c r="H2054" i="3"/>
  <c r="H473" i="3"/>
  <c r="N473" i="3" s="1"/>
  <c r="H2182" i="3"/>
  <c r="G760" i="3"/>
  <c r="G1320" i="3"/>
  <c r="M1320" i="3" s="1"/>
  <c r="G2424" i="3"/>
  <c r="M2424" i="3" s="1"/>
  <c r="G161" i="3"/>
  <c r="G337" i="3"/>
  <c r="H170" i="3"/>
  <c r="N170" i="3" s="1"/>
  <c r="G210" i="3"/>
  <c r="H250" i="3"/>
  <c r="N250" i="3" s="1"/>
  <c r="H314" i="3"/>
  <c r="N314" i="3" s="1"/>
  <c r="H346" i="3"/>
  <c r="N346" i="3" s="1"/>
  <c r="G378" i="3"/>
  <c r="G602" i="3"/>
  <c r="G794" i="3"/>
  <c r="G826" i="3"/>
  <c r="G858" i="3"/>
  <c r="G922" i="3"/>
  <c r="G986" i="3"/>
  <c r="G1050" i="3"/>
  <c r="G1146" i="3"/>
  <c r="G1210" i="3"/>
  <c r="G1242" i="3"/>
  <c r="M1242" i="3" s="1"/>
  <c r="G1274" i="3"/>
  <c r="M1274" i="3" s="1"/>
  <c r="G1402" i="3"/>
  <c r="M1402" i="3" s="1"/>
  <c r="G1498" i="3"/>
  <c r="M1498" i="3" s="1"/>
  <c r="H1626" i="3"/>
  <c r="H1658" i="3"/>
  <c r="H1754" i="3"/>
  <c r="H1786" i="3"/>
  <c r="G1850" i="3"/>
  <c r="M1850" i="3" s="1"/>
  <c r="H1548" i="3"/>
  <c r="H1588" i="3"/>
  <c r="H1668" i="3"/>
  <c r="H1708" i="3"/>
  <c r="D1748" i="3"/>
  <c r="H396" i="3"/>
  <c r="N396" i="3" s="1"/>
  <c r="H488" i="3"/>
  <c r="N488" i="3" s="1"/>
  <c r="H696" i="3"/>
  <c r="N696" i="3" s="1"/>
  <c r="H2152" i="3"/>
  <c r="H1385" i="3"/>
  <c r="G2000" i="3"/>
  <c r="M2000" i="3" s="1"/>
  <c r="G1761" i="3"/>
  <c r="M1761" i="3" s="1"/>
  <c r="G2054" i="3"/>
  <c r="M2054" i="3" s="1"/>
  <c r="G729" i="3"/>
  <c r="G873" i="3"/>
  <c r="G985" i="3"/>
  <c r="G1129" i="3"/>
  <c r="G1241" i="3"/>
  <c r="M1241" i="3" s="1"/>
  <c r="G488" i="3"/>
  <c r="G2152" i="3"/>
  <c r="M2152" i="3" s="1"/>
  <c r="D30" i="3"/>
  <c r="D79" i="3"/>
  <c r="D176" i="3"/>
  <c r="D264" i="3"/>
  <c r="D129" i="3"/>
  <c r="D241" i="3"/>
  <c r="D313" i="3"/>
  <c r="D41" i="3"/>
  <c r="D73" i="3"/>
  <c r="D105" i="3"/>
  <c r="D138" i="3"/>
  <c r="D178" i="3"/>
  <c r="H218" i="3"/>
  <c r="N218" i="3" s="1"/>
  <c r="D266" i="3"/>
  <c r="D322" i="3"/>
  <c r="G386" i="3"/>
  <c r="D418" i="3"/>
  <c r="D546" i="3"/>
  <c r="D578" i="3"/>
  <c r="D610" i="3"/>
  <c r="D674" i="3"/>
  <c r="D738" i="3"/>
  <c r="D802" i="3"/>
  <c r="D866" i="3"/>
  <c r="D930" i="3"/>
  <c r="H962" i="3"/>
  <c r="N962" i="3" s="1"/>
  <c r="D994" i="3"/>
  <c r="D1058" i="3"/>
  <c r="D1122" i="3"/>
  <c r="D1186" i="3"/>
  <c r="D1250" i="3"/>
  <c r="D1282" i="3"/>
  <c r="D1314" i="3"/>
  <c r="D1346" i="3"/>
  <c r="D1378" i="3"/>
  <c r="D1570" i="3"/>
  <c r="G1602" i="3"/>
  <c r="M1602" i="3" s="1"/>
  <c r="D1666" i="3"/>
  <c r="D1698" i="3"/>
  <c r="D1826" i="3"/>
  <c r="D1858" i="3"/>
  <c r="H26" i="3"/>
  <c r="H91" i="3"/>
  <c r="H123" i="3"/>
  <c r="H156" i="3"/>
  <c r="N156" i="3" s="1"/>
  <c r="H188" i="3"/>
  <c r="N188" i="3" s="1"/>
  <c r="H252" i="3"/>
  <c r="N252" i="3" s="1"/>
  <c r="H292" i="3"/>
  <c r="N292" i="3" s="1"/>
  <c r="D412" i="3"/>
  <c r="D444" i="3"/>
  <c r="H516" i="3"/>
  <c r="N516" i="3" s="1"/>
  <c r="H548" i="3"/>
  <c r="N548" i="3" s="1"/>
  <c r="H612" i="3"/>
  <c r="N612" i="3" s="1"/>
  <c r="H644" i="3"/>
  <c r="N644" i="3" s="1"/>
  <c r="H676" i="3"/>
  <c r="N676" i="3" s="1"/>
  <c r="H708" i="3"/>
  <c r="N708" i="3" s="1"/>
  <c r="H772" i="3"/>
  <c r="N772" i="3" s="1"/>
  <c r="H812" i="3"/>
  <c r="N812" i="3" s="1"/>
  <c r="H1180" i="3"/>
  <c r="N1180" i="3" s="1"/>
  <c r="H1228" i="3"/>
  <c r="N1228" i="3" s="1"/>
  <c r="H1308" i="3"/>
  <c r="D1428" i="3"/>
  <c r="D1476" i="3"/>
  <c r="D1516" i="3"/>
  <c r="H1676" i="3"/>
  <c r="H1716" i="3"/>
  <c r="H1756" i="3"/>
  <c r="G69" i="3"/>
  <c r="I69" i="3" s="1"/>
  <c r="G117" i="3"/>
  <c r="G166" i="3"/>
  <c r="G870" i="3"/>
  <c r="G934" i="3"/>
  <c r="G2545" i="3"/>
  <c r="M2545" i="3" s="1"/>
  <c r="G2577" i="3"/>
  <c r="M2577" i="3" s="1"/>
  <c r="G2617" i="3"/>
  <c r="M2617" i="3" s="1"/>
  <c r="D1805" i="3"/>
  <c r="D1869" i="3"/>
  <c r="D1933" i="3"/>
  <c r="D2029" i="3"/>
  <c r="D2093" i="3"/>
  <c r="D2157" i="3"/>
  <c r="D2317" i="3"/>
  <c r="D2381" i="3"/>
  <c r="D2445" i="3"/>
  <c r="D2541" i="3"/>
  <c r="D2605" i="3"/>
  <c r="D2623" i="3"/>
  <c r="G254" i="3"/>
  <c r="G294" i="3"/>
  <c r="G350" i="3"/>
  <c r="H382" i="3"/>
  <c r="N382" i="3" s="1"/>
  <c r="G414" i="3"/>
  <c r="G446" i="3"/>
  <c r="G478" i="3"/>
  <c r="G510" i="3"/>
  <c r="G542" i="3"/>
  <c r="G574" i="3"/>
  <c r="H638" i="3"/>
  <c r="N638" i="3" s="1"/>
  <c r="G670" i="3"/>
  <c r="G702" i="3"/>
  <c r="G734" i="3"/>
  <c r="G766" i="3"/>
  <c r="H798" i="3"/>
  <c r="N798" i="3" s="1"/>
  <c r="H830" i="3"/>
  <c r="N830" i="3" s="1"/>
  <c r="H862" i="3"/>
  <c r="N862" i="3" s="1"/>
  <c r="G958" i="3"/>
  <c r="H990" i="3"/>
  <c r="N990" i="3" s="1"/>
  <c r="H1022" i="3"/>
  <c r="N1022" i="3" s="1"/>
  <c r="H1054" i="3"/>
  <c r="N1054" i="3" s="1"/>
  <c r="G1094" i="3"/>
  <c r="G1222" i="3"/>
  <c r="H1286" i="3"/>
  <c r="G1318" i="3"/>
  <c r="M1318" i="3" s="1"/>
  <c r="G1350" i="3"/>
  <c r="M1350" i="3" s="1"/>
  <c r="H1382" i="3"/>
  <c r="G1446" i="3"/>
  <c r="M1446" i="3" s="1"/>
  <c r="H1478" i="3"/>
  <c r="G1574" i="3"/>
  <c r="M1574" i="3" s="1"/>
  <c r="G1702" i="3"/>
  <c r="M1702" i="3" s="1"/>
  <c r="G1734" i="3"/>
  <c r="M1734" i="3" s="1"/>
  <c r="H1830" i="3"/>
  <c r="G21" i="3"/>
  <c r="H1351" i="3"/>
  <c r="H1639" i="3"/>
  <c r="H1783" i="3"/>
  <c r="G1855" i="3"/>
  <c r="M1855" i="3" s="1"/>
  <c r="G1911" i="3"/>
  <c r="M1911" i="3" s="1"/>
  <c r="G1959" i="3"/>
  <c r="M1959" i="3" s="1"/>
  <c r="G2079" i="3"/>
  <c r="M2079" i="3" s="1"/>
  <c r="G2239" i="3"/>
  <c r="M2239" i="3" s="1"/>
  <c r="G2279" i="3"/>
  <c r="M2279" i="3" s="1"/>
  <c r="H2311" i="3"/>
  <c r="H2527" i="3"/>
  <c r="G2559" i="3"/>
  <c r="M2559" i="3" s="1"/>
  <c r="H86" i="3"/>
  <c r="J86" i="3" s="1"/>
  <c r="G118" i="3"/>
  <c r="H151" i="3"/>
  <c r="N151" i="3" s="1"/>
  <c r="H183" i="3"/>
  <c r="N183" i="3" s="1"/>
  <c r="H247" i="3"/>
  <c r="N247" i="3" s="1"/>
  <c r="H287" i="3"/>
  <c r="N287" i="3" s="1"/>
  <c r="H359" i="3"/>
  <c r="N359" i="3" s="1"/>
  <c r="H431" i="3"/>
  <c r="N431" i="3" s="1"/>
  <c r="H503" i="3"/>
  <c r="N503" i="3" s="1"/>
  <c r="H535" i="3"/>
  <c r="N535" i="3" s="1"/>
  <c r="G575" i="3"/>
  <c r="H615" i="3"/>
  <c r="N615" i="3" s="1"/>
  <c r="H655" i="3"/>
  <c r="N655" i="3" s="1"/>
  <c r="H695" i="3"/>
  <c r="N695" i="3" s="1"/>
  <c r="H767" i="3"/>
  <c r="N767" i="3" s="1"/>
  <c r="H839" i="3"/>
  <c r="N839" i="3" s="1"/>
  <c r="H879" i="3"/>
  <c r="N879" i="3" s="1"/>
  <c r="H951" i="3"/>
  <c r="N951" i="3" s="1"/>
  <c r="H1135" i="3"/>
  <c r="N1135" i="3" s="1"/>
  <c r="G1167" i="3"/>
  <c r="H1207" i="3"/>
  <c r="N1207" i="3" s="1"/>
  <c r="H1431" i="3"/>
  <c r="H1559" i="3"/>
  <c r="H1687" i="3"/>
  <c r="H2047" i="3"/>
  <c r="H2191" i="3"/>
  <c r="H2399" i="3"/>
  <c r="H2487" i="3"/>
  <c r="H1480" i="3"/>
  <c r="H1608" i="3"/>
  <c r="H1640" i="3"/>
  <c r="H1704" i="3"/>
  <c r="H1736" i="3"/>
  <c r="H1832" i="3"/>
  <c r="H2041" i="3"/>
  <c r="H2137" i="3"/>
  <c r="H2241" i="3"/>
  <c r="G15" i="3"/>
  <c r="D665" i="3"/>
  <c r="G665" i="3"/>
  <c r="D1807" i="3"/>
  <c r="G1807" i="3"/>
  <c r="M1807" i="3" s="1"/>
  <c r="G2271" i="3"/>
  <c r="M2271" i="3" s="1"/>
  <c r="H2271" i="3"/>
  <c r="D1503" i="3"/>
  <c r="G1503" i="3"/>
  <c r="M1503" i="3" s="1"/>
  <c r="D2104" i="3"/>
  <c r="G2104" i="3"/>
  <c r="M2104" i="3" s="1"/>
  <c r="H2104" i="3"/>
  <c r="G2576" i="3"/>
  <c r="M2576" i="3" s="1"/>
  <c r="H2576" i="3"/>
  <c r="N2576" i="3" s="1"/>
  <c r="D2520" i="3"/>
  <c r="G2520" i="3"/>
  <c r="M2520" i="3" s="1"/>
  <c r="H2520" i="3"/>
  <c r="D1389" i="3"/>
  <c r="H1389" i="3"/>
  <c r="D1453" i="3"/>
  <c r="H1453" i="3"/>
  <c r="D1485" i="3"/>
  <c r="H1485" i="3"/>
  <c r="D1549" i="3"/>
  <c r="H1549" i="3"/>
  <c r="D1613" i="3"/>
  <c r="H1613" i="3"/>
  <c r="D1677" i="3"/>
  <c r="H1677" i="3"/>
  <c r="D1709" i="3"/>
  <c r="H1709" i="3"/>
  <c r="D1741" i="3"/>
  <c r="H1741" i="3"/>
  <c r="D1773" i="3"/>
  <c r="H1773" i="3"/>
  <c r="D1837" i="3"/>
  <c r="H1837" i="3"/>
  <c r="D1901" i="3"/>
  <c r="H1901" i="3"/>
  <c r="D1965" i="3"/>
  <c r="H1965" i="3"/>
  <c r="D1997" i="3"/>
  <c r="H1997" i="3"/>
  <c r="D2061" i="3"/>
  <c r="H2061" i="3"/>
  <c r="D2125" i="3"/>
  <c r="H2125" i="3"/>
  <c r="D2189" i="3"/>
  <c r="H2189" i="3"/>
  <c r="D2221" i="3"/>
  <c r="H2221" i="3"/>
  <c r="D2253" i="3"/>
  <c r="H2253" i="3"/>
  <c r="D2285" i="3"/>
  <c r="H2285" i="3"/>
  <c r="D2349" i="3"/>
  <c r="H2349" i="3"/>
  <c r="N2349" i="3" s="1"/>
  <c r="D2413" i="3"/>
  <c r="H2413" i="3"/>
  <c r="N2413" i="3" s="1"/>
  <c r="D2477" i="3"/>
  <c r="H2477" i="3"/>
  <c r="D2509" i="3"/>
  <c r="H2509" i="3"/>
  <c r="D2573" i="3"/>
  <c r="H2573" i="3"/>
  <c r="N2573" i="3" s="1"/>
  <c r="D2637" i="3"/>
  <c r="H2637" i="3"/>
  <c r="N2637" i="3" s="1"/>
  <c r="D2568" i="3"/>
  <c r="H2568" i="3"/>
  <c r="G2568" i="3"/>
  <c r="M2568" i="3" s="1"/>
  <c r="D2632" i="3"/>
  <c r="G2632" i="3"/>
  <c r="M2632" i="3" s="1"/>
  <c r="H2632" i="3"/>
  <c r="N2632" i="3" s="1"/>
  <c r="D2591" i="3"/>
  <c r="G2591" i="3"/>
  <c r="M2591" i="3" s="1"/>
  <c r="D409" i="3"/>
  <c r="G409" i="3"/>
  <c r="H409" i="3"/>
  <c r="N409" i="3" s="1"/>
  <c r="H886" i="3"/>
  <c r="N886" i="3" s="1"/>
  <c r="G886" i="3"/>
  <c r="H1182" i="3"/>
  <c r="N1182" i="3" s="1"/>
  <c r="G1182" i="3"/>
  <c r="G1662" i="3"/>
  <c r="M1662" i="3" s="1"/>
  <c r="H1662" i="3"/>
  <c r="D607" i="3"/>
  <c r="G607" i="3"/>
  <c r="H391" i="3"/>
  <c r="N391" i="3" s="1"/>
  <c r="H1343" i="3"/>
  <c r="H2223" i="3"/>
  <c r="H1969" i="3"/>
  <c r="D417" i="3"/>
  <c r="H417" i="3"/>
  <c r="N417" i="3" s="1"/>
  <c r="D450" i="3"/>
  <c r="G450" i="3"/>
  <c r="D642" i="3"/>
  <c r="G642" i="3"/>
  <c r="D1154" i="3"/>
  <c r="G1154" i="3"/>
  <c r="D1918" i="3"/>
  <c r="G1918" i="3"/>
  <c r="M1918" i="3" s="1"/>
  <c r="D2366" i="3"/>
  <c r="G2366" i="3"/>
  <c r="M2366" i="3" s="1"/>
  <c r="H2366" i="3"/>
  <c r="N2366" i="3" s="1"/>
  <c r="D576" i="3"/>
  <c r="G576" i="3"/>
  <c r="G1158" i="3"/>
  <c r="H1158" i="3"/>
  <c r="N1158" i="3" s="1"/>
  <c r="G1254" i="3"/>
  <c r="M1254" i="3" s="1"/>
  <c r="H1254" i="3"/>
  <c r="H1510" i="3"/>
  <c r="G1510" i="3"/>
  <c r="M1510" i="3" s="1"/>
  <c r="G1670" i="3"/>
  <c r="M1670" i="3" s="1"/>
  <c r="H1670" i="3"/>
  <c r="H1495" i="3"/>
  <c r="G1495" i="3"/>
  <c r="M1495" i="3" s="1"/>
  <c r="D1745" i="3"/>
  <c r="H1745" i="3"/>
  <c r="G1295" i="3"/>
  <c r="M1295" i="3" s="1"/>
  <c r="G2151" i="3"/>
  <c r="M2151" i="3" s="1"/>
  <c r="H1800" i="3"/>
  <c r="H1857" i="3"/>
  <c r="H2273" i="3"/>
  <c r="H2441" i="3"/>
  <c r="N2441" i="3" s="1"/>
  <c r="H2545" i="3"/>
  <c r="D2136" i="3"/>
  <c r="G2136" i="3"/>
  <c r="M2136" i="3" s="1"/>
  <c r="H2136" i="3"/>
  <c r="D1764" i="3"/>
  <c r="G1764" i="3"/>
  <c r="M1764" i="3" s="1"/>
  <c r="H1764" i="3"/>
  <c r="D1433" i="3"/>
  <c r="G1433" i="3"/>
  <c r="M1433" i="3" s="1"/>
  <c r="H1433" i="3"/>
  <c r="H1566" i="3"/>
  <c r="G1566" i="3"/>
  <c r="M1566" i="3" s="1"/>
  <c r="G1822" i="3"/>
  <c r="M1822" i="3" s="1"/>
  <c r="H1822" i="3"/>
  <c r="H2551" i="3"/>
  <c r="N2551" i="3" s="1"/>
  <c r="G2551" i="3"/>
  <c r="M2551" i="3" s="1"/>
  <c r="D2192" i="3"/>
  <c r="G2192" i="3"/>
  <c r="M2192" i="3" s="1"/>
  <c r="H46" i="3"/>
  <c r="D224" i="3"/>
  <c r="G224" i="3"/>
  <c r="D770" i="3"/>
  <c r="G770" i="3"/>
  <c r="D1218" i="3"/>
  <c r="G1218" i="3"/>
  <c r="D1442" i="3"/>
  <c r="G1442" i="3"/>
  <c r="M1442" i="3" s="1"/>
  <c r="D977" i="3"/>
  <c r="G977" i="3"/>
  <c r="H977" i="3"/>
  <c r="N977" i="3" s="1"/>
  <c r="D1145" i="3"/>
  <c r="G1145" i="3"/>
  <c r="H926" i="3"/>
  <c r="N926" i="3" s="1"/>
  <c r="G926" i="3"/>
  <c r="G1126" i="3"/>
  <c r="H1126" i="3"/>
  <c r="N1126" i="3" s="1"/>
  <c r="H1542" i="3"/>
  <c r="G1542" i="3"/>
  <c r="M1542" i="3" s="1"/>
  <c r="H2111" i="3"/>
  <c r="G2111" i="3"/>
  <c r="M2111" i="3" s="1"/>
  <c r="H2479" i="3"/>
  <c r="G2479" i="3"/>
  <c r="M2479" i="3" s="1"/>
  <c r="H1983" i="3"/>
  <c r="H1929" i="3"/>
  <c r="H2073" i="3"/>
  <c r="H2209" i="3"/>
  <c r="H266" i="3"/>
  <c r="N266" i="3" s="1"/>
  <c r="H412" i="3"/>
  <c r="N412" i="3" s="1"/>
  <c r="H53" i="3"/>
  <c r="J53" i="3" s="1"/>
  <c r="H414" i="3"/>
  <c r="N414" i="3" s="1"/>
  <c r="H534" i="3"/>
  <c r="N534" i="3" s="1"/>
  <c r="H734" i="3"/>
  <c r="N734" i="3" s="1"/>
  <c r="H1476" i="3"/>
  <c r="H1775" i="3"/>
  <c r="H2239" i="3"/>
  <c r="H2463" i="3"/>
  <c r="H129" i="3"/>
  <c r="N129" i="3" s="1"/>
  <c r="H1145" i="3"/>
  <c r="N1145" i="3" s="1"/>
  <c r="H1828" i="3"/>
  <c r="G854" i="3"/>
  <c r="H1342" i="3"/>
  <c r="H1702" i="3"/>
  <c r="G1022" i="3"/>
  <c r="G1382" i="3"/>
  <c r="M1382" i="3" s="1"/>
  <c r="G1630" i="3"/>
  <c r="M1630" i="3" s="1"/>
  <c r="G1463" i="3"/>
  <c r="M1463" i="3" s="1"/>
  <c r="G2527" i="3"/>
  <c r="M2527" i="3" s="1"/>
  <c r="G1344" i="3"/>
  <c r="M1344" i="3" s="1"/>
  <c r="G1968" i="3"/>
  <c r="M1968" i="3" s="1"/>
  <c r="H322" i="3"/>
  <c r="N322" i="3" s="1"/>
  <c r="H450" i="3"/>
  <c r="N450" i="3" s="1"/>
  <c r="H706" i="3"/>
  <c r="N706" i="3" s="1"/>
  <c r="H834" i="3"/>
  <c r="N834" i="3" s="1"/>
  <c r="H1282" i="3"/>
  <c r="H1346" i="3"/>
  <c r="H1474" i="3"/>
  <c r="H1538" i="3"/>
  <c r="H1858" i="3"/>
  <c r="H918" i="3"/>
  <c r="N918" i="3" s="1"/>
  <c r="G918" i="3"/>
  <c r="G1150" i="3"/>
  <c r="H1150" i="3"/>
  <c r="N1150" i="3" s="1"/>
  <c r="H1310" i="3"/>
  <c r="G1310" i="3"/>
  <c r="M1310" i="3" s="1"/>
  <c r="D2344" i="3"/>
  <c r="G2344" i="3"/>
  <c r="M2344" i="3" s="1"/>
  <c r="D2448" i="3"/>
  <c r="G2448" i="3"/>
  <c r="M2448" i="3" s="1"/>
  <c r="H2448" i="3"/>
  <c r="D2001" i="3"/>
  <c r="G2001" i="3"/>
  <c r="M2001" i="3" s="1"/>
  <c r="H2001" i="3"/>
  <c r="H2343" i="3"/>
  <c r="N2343" i="3" s="1"/>
  <c r="H2305" i="3"/>
  <c r="D993" i="3"/>
  <c r="H993" i="3"/>
  <c r="N993" i="3" s="1"/>
  <c r="D1854" i="3"/>
  <c r="G1854" i="3"/>
  <c r="M1854" i="3" s="1"/>
  <c r="D80" i="3"/>
  <c r="H80" i="3"/>
  <c r="J80" i="3" s="1"/>
  <c r="D706" i="3"/>
  <c r="G706" i="3"/>
  <c r="D1730" i="3"/>
  <c r="G1730" i="3"/>
  <c r="M1730" i="3" s="1"/>
  <c r="D1673" i="3"/>
  <c r="G1673" i="3"/>
  <c r="M1673" i="3" s="1"/>
  <c r="H1673" i="3"/>
  <c r="D2174" i="3"/>
  <c r="H2174" i="3"/>
  <c r="D2622" i="3"/>
  <c r="G2622" i="3"/>
  <c r="M2622" i="3" s="1"/>
  <c r="D1088" i="3"/>
  <c r="G1088" i="3"/>
  <c r="G1766" i="3"/>
  <c r="M1766" i="3" s="1"/>
  <c r="H1766" i="3"/>
  <c r="H2023" i="3"/>
  <c r="G2023" i="3"/>
  <c r="M2023" i="3" s="1"/>
  <c r="G2351" i="3"/>
  <c r="M2351" i="3" s="1"/>
  <c r="H2351" i="3"/>
  <c r="N2351" i="3" s="1"/>
  <c r="G1383" i="3"/>
  <c r="M1383" i="3" s="1"/>
  <c r="H2009" i="3"/>
  <c r="H2169" i="3"/>
  <c r="H2345" i="3"/>
  <c r="N2345" i="3" s="1"/>
  <c r="H2481" i="3"/>
  <c r="D2392" i="3"/>
  <c r="G2392" i="3"/>
  <c r="M2392" i="3" s="1"/>
  <c r="H2392" i="3"/>
  <c r="H178" i="3"/>
  <c r="N178" i="3" s="1"/>
  <c r="H73" i="3"/>
  <c r="J73" i="3" s="1"/>
  <c r="H246" i="3"/>
  <c r="N246" i="3" s="1"/>
  <c r="H438" i="3"/>
  <c r="N438" i="3" s="1"/>
  <c r="H542" i="3"/>
  <c r="N542" i="3" s="1"/>
  <c r="H758" i="3"/>
  <c r="N758" i="3" s="1"/>
  <c r="H1903" i="3"/>
  <c r="H2007" i="3"/>
  <c r="H1968" i="3"/>
  <c r="G862" i="3"/>
  <c r="H1421" i="3"/>
  <c r="H1517" i="3"/>
  <c r="H1869" i="3"/>
  <c r="H1086" i="3"/>
  <c r="N1086" i="3" s="1"/>
  <c r="H1350" i="3"/>
  <c r="H1726" i="3"/>
  <c r="G1698" i="3"/>
  <c r="M1698" i="3" s="1"/>
  <c r="G798" i="3"/>
  <c r="G1054" i="3"/>
  <c r="G1406" i="3"/>
  <c r="M1406" i="3" s="1"/>
  <c r="G2238" i="3"/>
  <c r="M2238" i="3" s="1"/>
  <c r="G1351" i="3"/>
  <c r="M1351" i="3" s="1"/>
  <c r="G1735" i="3"/>
  <c r="M1735" i="3" s="1"/>
  <c r="H1218" i="3"/>
  <c r="N1218" i="3" s="1"/>
  <c r="G993" i="3"/>
  <c r="D61" i="3"/>
  <c r="G61" i="3"/>
  <c r="I61" i="3" s="1"/>
  <c r="D1177" i="3"/>
  <c r="G1177" i="3"/>
  <c r="H1177" i="3"/>
  <c r="N1177" i="3" s="1"/>
  <c r="H1534" i="3"/>
  <c r="G1534" i="3"/>
  <c r="M1534" i="3" s="1"/>
  <c r="D927" i="3"/>
  <c r="G927" i="3"/>
  <c r="D1936" i="3"/>
  <c r="G1936" i="3"/>
  <c r="M1936" i="3" s="1"/>
  <c r="H1936" i="3"/>
  <c r="D2360" i="3"/>
  <c r="G2360" i="3"/>
  <c r="M2360" i="3" s="1"/>
  <c r="H2360" i="3"/>
  <c r="N2360" i="3" s="1"/>
  <c r="H215" i="3"/>
  <c r="N215" i="3" s="1"/>
  <c r="D312" i="3"/>
  <c r="G312" i="3"/>
  <c r="D761" i="3"/>
  <c r="G761" i="3"/>
  <c r="D834" i="3"/>
  <c r="G834" i="3"/>
  <c r="D1506" i="3"/>
  <c r="G1506" i="3"/>
  <c r="M1506" i="3" s="1"/>
  <c r="D2494" i="3"/>
  <c r="H2494" i="3"/>
  <c r="G2268" i="3"/>
  <c r="M2268" i="3" s="1"/>
  <c r="H2268" i="3"/>
  <c r="D88" i="3"/>
  <c r="G88" i="3"/>
  <c r="I88" i="3" s="1"/>
  <c r="H88" i="3"/>
  <c r="J88" i="3" s="1"/>
  <c r="H894" i="3"/>
  <c r="N894" i="3" s="1"/>
  <c r="G894" i="3"/>
  <c r="H1414" i="3"/>
  <c r="G1414" i="3"/>
  <c r="M1414" i="3" s="1"/>
  <c r="G319" i="3"/>
  <c r="H2431" i="3"/>
  <c r="N2431" i="3" s="1"/>
  <c r="H1512" i="3"/>
  <c r="H1753" i="3"/>
  <c r="H290" i="3"/>
  <c r="N290" i="3" s="1"/>
  <c r="H69" i="3"/>
  <c r="J69" i="3" s="1"/>
  <c r="H158" i="3"/>
  <c r="N158" i="3" s="1"/>
  <c r="H254" i="3"/>
  <c r="N254" i="3" s="1"/>
  <c r="H342" i="3"/>
  <c r="N342" i="3" s="1"/>
  <c r="H446" i="3"/>
  <c r="N446" i="3" s="1"/>
  <c r="H566" i="3"/>
  <c r="N566" i="3" s="1"/>
  <c r="H662" i="3"/>
  <c r="N662" i="3" s="1"/>
  <c r="H766" i="3"/>
  <c r="N766" i="3" s="1"/>
  <c r="H576" i="3"/>
  <c r="N576" i="3" s="1"/>
  <c r="H1503" i="3"/>
  <c r="H1911" i="3"/>
  <c r="H1094" i="3"/>
  <c r="N1094" i="3" s="1"/>
  <c r="H1446" i="3"/>
  <c r="H1734" i="3"/>
  <c r="H2622" i="3"/>
  <c r="N2622" i="3" s="1"/>
  <c r="G990" i="3"/>
  <c r="H822" i="3"/>
  <c r="N822" i="3" s="1"/>
  <c r="G1639" i="3"/>
  <c r="M1639" i="3" s="1"/>
  <c r="G465" i="3"/>
  <c r="G1758" i="3"/>
  <c r="M1758" i="3" s="1"/>
  <c r="H1758" i="3"/>
  <c r="H406" i="3"/>
  <c r="N406" i="3" s="1"/>
  <c r="H726" i="3"/>
  <c r="N726" i="3" s="1"/>
  <c r="G630" i="3"/>
  <c r="G2519" i="3"/>
  <c r="M2519" i="3" s="1"/>
  <c r="D514" i="3"/>
  <c r="G514" i="3"/>
  <c r="D1634" i="3"/>
  <c r="G1634" i="3"/>
  <c r="M1634" i="3" s="1"/>
  <c r="D1794" i="3"/>
  <c r="G1794" i="3"/>
  <c r="M1794" i="3" s="1"/>
  <c r="D721" i="3"/>
  <c r="G721" i="3"/>
  <c r="H721" i="3"/>
  <c r="N721" i="3" s="1"/>
  <c r="D1982" i="3"/>
  <c r="G1982" i="3"/>
  <c r="M1982" i="3" s="1"/>
  <c r="H1982" i="3"/>
  <c r="D2430" i="3"/>
  <c r="G2430" i="3"/>
  <c r="M2430" i="3" s="1"/>
  <c r="H1190" i="3"/>
  <c r="N1190" i="3" s="1"/>
  <c r="G1190" i="3"/>
  <c r="H1638" i="3"/>
  <c r="G1638" i="3"/>
  <c r="M1638" i="3" s="1"/>
  <c r="D1119" i="3"/>
  <c r="G1119" i="3"/>
  <c r="H1887" i="3"/>
  <c r="H1576" i="3"/>
  <c r="H1817" i="3"/>
  <c r="H444" i="3"/>
  <c r="N444" i="3" s="1"/>
  <c r="H166" i="3"/>
  <c r="N166" i="3" s="1"/>
  <c r="H350" i="3"/>
  <c r="N350" i="3" s="1"/>
  <c r="H470" i="3"/>
  <c r="N470" i="3" s="1"/>
  <c r="H574" i="3"/>
  <c r="N574" i="3" s="1"/>
  <c r="H670" i="3"/>
  <c r="N670" i="3" s="1"/>
  <c r="H79" i="3"/>
  <c r="J79" i="3" s="1"/>
  <c r="H672" i="3"/>
  <c r="N672" i="3" s="1"/>
  <c r="H944" i="3"/>
  <c r="N944" i="3" s="1"/>
  <c r="H1119" i="3"/>
  <c r="N1119" i="3" s="1"/>
  <c r="H1807" i="3"/>
  <c r="H2279" i="3"/>
  <c r="H2224" i="3"/>
  <c r="G982" i="3"/>
  <c r="H1118" i="3"/>
  <c r="N1118" i="3" s="1"/>
  <c r="H1470" i="3"/>
  <c r="H1918" i="3"/>
  <c r="G578" i="3"/>
  <c r="G1570" i="3"/>
  <c r="M1570" i="3" s="1"/>
  <c r="G1014" i="3"/>
  <c r="G1278" i="3"/>
  <c r="M1278" i="3" s="1"/>
  <c r="G1478" i="3"/>
  <c r="M1478" i="3" s="1"/>
  <c r="G1694" i="3"/>
  <c r="M1694" i="3" s="1"/>
  <c r="G1790" i="3"/>
  <c r="M1790" i="3" s="1"/>
  <c r="G290" i="3"/>
  <c r="G2071" i="3"/>
  <c r="M2071" i="3" s="1"/>
  <c r="H1666" i="3"/>
  <c r="G1745" i="3"/>
  <c r="M1745" i="3" s="1"/>
  <c r="H1438" i="3"/>
  <c r="G1438" i="3"/>
  <c r="M1438" i="3" s="1"/>
  <c r="G1607" i="3"/>
  <c r="M1607" i="3" s="1"/>
  <c r="H1607" i="3"/>
  <c r="D1711" i="3"/>
  <c r="G1711" i="3"/>
  <c r="M1711" i="3" s="1"/>
  <c r="H1711" i="3"/>
  <c r="H911" i="3"/>
  <c r="N911" i="3" s="1"/>
  <c r="H2192" i="3"/>
  <c r="D136" i="3"/>
  <c r="G136" i="3"/>
  <c r="D1026" i="3"/>
  <c r="G1026" i="3"/>
  <c r="D1762" i="3"/>
  <c r="G1762" i="3"/>
  <c r="M1762" i="3" s="1"/>
  <c r="D832" i="3"/>
  <c r="G832" i="3"/>
  <c r="H832" i="3"/>
  <c r="N832" i="3" s="1"/>
  <c r="D169" i="3"/>
  <c r="G169" i="3"/>
  <c r="H169" i="3"/>
  <c r="N169" i="3" s="1"/>
  <c r="D2376" i="3"/>
  <c r="G2376" i="3"/>
  <c r="M2376" i="3" s="1"/>
  <c r="H2376" i="3"/>
  <c r="N2376" i="3" s="1"/>
  <c r="H1095" i="3"/>
  <c r="N1095" i="3" s="1"/>
  <c r="D1567" i="3"/>
  <c r="H1567" i="3"/>
  <c r="G1567" i="3"/>
  <c r="M1567" i="3" s="1"/>
  <c r="H1768" i="3"/>
  <c r="G1889" i="3"/>
  <c r="M1889" i="3" s="1"/>
  <c r="H2105" i="3"/>
  <c r="H2377" i="3"/>
  <c r="N2377" i="3" s="1"/>
  <c r="H105" i="3"/>
  <c r="N105" i="3" s="1"/>
  <c r="H374" i="3"/>
  <c r="N374" i="3" s="1"/>
  <c r="H478" i="3"/>
  <c r="N478" i="3" s="1"/>
  <c r="H694" i="3"/>
  <c r="N694" i="3" s="1"/>
  <c r="H790" i="3"/>
  <c r="N790" i="3" s="1"/>
  <c r="H1516" i="3"/>
  <c r="H13" i="3"/>
  <c r="H607" i="3"/>
  <c r="N607" i="3" s="1"/>
  <c r="H1943" i="3"/>
  <c r="H761" i="3"/>
  <c r="N761" i="3" s="1"/>
  <c r="H1214" i="3"/>
  <c r="N1214" i="3" s="1"/>
  <c r="G109" i="3"/>
  <c r="G382" i="3"/>
  <c r="G1286" i="3"/>
  <c r="M1286" i="3" s="1"/>
  <c r="H1730" i="3"/>
  <c r="D921" i="3"/>
  <c r="H921" i="3"/>
  <c r="N921" i="3" s="1"/>
  <c r="G921" i="3"/>
  <c r="H1046" i="3"/>
  <c r="N1046" i="3" s="1"/>
  <c r="G1046" i="3"/>
  <c r="D2088" i="3"/>
  <c r="G2088" i="3"/>
  <c r="M2088" i="3" s="1"/>
  <c r="H2088" i="3"/>
  <c r="H2103" i="3"/>
  <c r="G1246" i="3"/>
  <c r="M1246" i="3" s="1"/>
  <c r="G1374" i="3"/>
  <c r="M1374" i="3" s="1"/>
  <c r="D1249" i="3"/>
  <c r="H1249" i="3"/>
  <c r="D354" i="3"/>
  <c r="G354" i="3"/>
  <c r="D482" i="3"/>
  <c r="G482" i="3"/>
  <c r="D1890" i="3"/>
  <c r="G1890" i="3"/>
  <c r="M1890" i="3" s="1"/>
  <c r="D2110" i="3"/>
  <c r="H2110" i="3"/>
  <c r="D2558" i="3"/>
  <c r="G2558" i="3"/>
  <c r="M2558" i="3" s="1"/>
  <c r="H2558" i="3"/>
  <c r="N2558" i="3" s="1"/>
  <c r="D1200" i="3"/>
  <c r="G1200" i="3"/>
  <c r="G1798" i="3"/>
  <c r="M1798" i="3" s="1"/>
  <c r="H1798" i="3"/>
  <c r="G1023" i="3"/>
  <c r="D2480" i="3"/>
  <c r="G2480" i="3"/>
  <c r="M2480" i="3" s="1"/>
  <c r="H1672" i="3"/>
  <c r="H1880" i="3"/>
  <c r="H2617" i="3"/>
  <c r="N2617" i="3" s="1"/>
  <c r="H138" i="3"/>
  <c r="N138" i="3" s="1"/>
  <c r="H198" i="3"/>
  <c r="N198" i="3" s="1"/>
  <c r="H286" i="3"/>
  <c r="N286" i="3" s="1"/>
  <c r="H502" i="3"/>
  <c r="N502" i="3" s="1"/>
  <c r="H702" i="3"/>
  <c r="N702" i="3" s="1"/>
  <c r="H21" i="3"/>
  <c r="H1055" i="3"/>
  <c r="N1055" i="3" s="1"/>
  <c r="H416" i="3"/>
  <c r="N416" i="3" s="1"/>
  <c r="H688" i="3"/>
  <c r="N688" i="3" s="1"/>
  <c r="H1847" i="3"/>
  <c r="H1959" i="3"/>
  <c r="H2559" i="3"/>
  <c r="H1344" i="3"/>
  <c r="H1645" i="3"/>
  <c r="H1222" i="3"/>
  <c r="N1222" i="3" s="1"/>
  <c r="H1574" i="3"/>
  <c r="H1854" i="3"/>
  <c r="G1282" i="3"/>
  <c r="M1282" i="3" s="1"/>
  <c r="H2430" i="3"/>
  <c r="G1502" i="3"/>
  <c r="M1502" i="3" s="1"/>
  <c r="G1055" i="3"/>
  <c r="G1775" i="3"/>
  <c r="M1775" i="3" s="1"/>
  <c r="H1794" i="3"/>
  <c r="D969" i="3"/>
  <c r="G969" i="3"/>
  <c r="D1360" i="3"/>
  <c r="G1360" i="3"/>
  <c r="M1360" i="3" s="1"/>
  <c r="D361" i="3"/>
  <c r="G361" i="3"/>
  <c r="D617" i="3"/>
  <c r="G617" i="3"/>
  <c r="G2374" i="3"/>
  <c r="M2374" i="3" s="1"/>
  <c r="G2630" i="3"/>
  <c r="M2630" i="3" s="1"/>
  <c r="G784" i="3"/>
  <c r="G226" i="3"/>
  <c r="G1016" i="3"/>
  <c r="D19" i="3"/>
  <c r="D14" i="3"/>
  <c r="D23" i="3"/>
  <c r="G454" i="3"/>
  <c r="H356" i="3"/>
  <c r="N356" i="3" s="1"/>
  <c r="H388" i="3"/>
  <c r="N388" i="3" s="1"/>
  <c r="H876" i="3"/>
  <c r="N876" i="3" s="1"/>
  <c r="H924" i="3"/>
  <c r="N924" i="3" s="1"/>
  <c r="H956" i="3"/>
  <c r="N956" i="3" s="1"/>
  <c r="D996" i="3"/>
  <c r="D1028" i="3"/>
  <c r="D1060" i="3"/>
  <c r="D1092" i="3"/>
  <c r="H1132" i="3"/>
  <c r="N1132" i="3" s="1"/>
  <c r="H1372" i="3"/>
  <c r="H1620" i="3"/>
  <c r="D1836" i="3"/>
  <c r="D93" i="3"/>
  <c r="D150" i="3"/>
  <c r="D190" i="3"/>
  <c r="H230" i="3"/>
  <c r="N230" i="3" s="1"/>
  <c r="D278" i="3"/>
  <c r="D366" i="3"/>
  <c r="D398" i="3"/>
  <c r="D462" i="3"/>
  <c r="D494" i="3"/>
  <c r="D526" i="3"/>
  <c r="D590" i="3"/>
  <c r="D622" i="3"/>
  <c r="D654" i="3"/>
  <c r="H686" i="3"/>
  <c r="N686" i="3" s="1"/>
  <c r="D718" i="3"/>
  <c r="D750" i="3"/>
  <c r="D782" i="3"/>
  <c r="D814" i="3"/>
  <c r="D846" i="3"/>
  <c r="D910" i="3"/>
  <c r="D974" i="3"/>
  <c r="H1070" i="3"/>
  <c r="N1070" i="3" s="1"/>
  <c r="D1110" i="3"/>
  <c r="H1142" i="3"/>
  <c r="N1142" i="3" s="1"/>
  <c r="D1238" i="3"/>
  <c r="D1270" i="3"/>
  <c r="D1334" i="3"/>
  <c r="D1430" i="3"/>
  <c r="D1494" i="3"/>
  <c r="D1558" i="3"/>
  <c r="D1590" i="3"/>
  <c r="D1654" i="3"/>
  <c r="D1718" i="3"/>
  <c r="H1750" i="3"/>
  <c r="D1782" i="3"/>
  <c r="H1423" i="3"/>
  <c r="H1575" i="3"/>
  <c r="H1839" i="3"/>
  <c r="G1871" i="3"/>
  <c r="M1871" i="3" s="1"/>
  <c r="H1935" i="3"/>
  <c r="H1991" i="3"/>
  <c r="G2055" i="3"/>
  <c r="M2055" i="3" s="1"/>
  <c r="G2207" i="3"/>
  <c r="M2207" i="3" s="1"/>
  <c r="H2263" i="3"/>
  <c r="H2295" i="3"/>
  <c r="H2327" i="3"/>
  <c r="N2327" i="3" s="1"/>
  <c r="G2511" i="3"/>
  <c r="M2511" i="3" s="1"/>
  <c r="H2543" i="3"/>
  <c r="H2575" i="3"/>
  <c r="N2575" i="3" s="1"/>
  <c r="H1036" i="3"/>
  <c r="N1036" i="3" s="1"/>
  <c r="H1100" i="3"/>
  <c r="N1100" i="3" s="1"/>
  <c r="D1796" i="3"/>
  <c r="D53" i="3"/>
  <c r="D109" i="3"/>
  <c r="D158" i="3"/>
  <c r="D198" i="3"/>
  <c r="D246" i="3"/>
  <c r="D286" i="3"/>
  <c r="D342" i="3"/>
  <c r="D374" i="3"/>
  <c r="D406" i="3"/>
  <c r="D438" i="3"/>
  <c r="D470" i="3"/>
  <c r="D502" i="3"/>
  <c r="D534" i="3"/>
  <c r="D566" i="3"/>
  <c r="D598" i="3"/>
  <c r="D630" i="3"/>
  <c r="D662" i="3"/>
  <c r="D694" i="3"/>
  <c r="D726" i="3"/>
  <c r="D758" i="3"/>
  <c r="D790" i="3"/>
  <c r="D822" i="3"/>
  <c r="D854" i="3"/>
  <c r="D886" i="3"/>
  <c r="D918" i="3"/>
  <c r="D950" i="3"/>
  <c r="D982" i="3"/>
  <c r="D1014" i="3"/>
  <c r="D1046" i="3"/>
  <c r="D1086" i="3"/>
  <c r="D1118" i="3"/>
  <c r="D1150" i="3"/>
  <c r="D1182" i="3"/>
  <c r="D1214" i="3"/>
  <c r="D1246" i="3"/>
  <c r="D1278" i="3"/>
  <c r="D1310" i="3"/>
  <c r="D1342" i="3"/>
  <c r="D1374" i="3"/>
  <c r="D1406" i="3"/>
  <c r="D1438" i="3"/>
  <c r="D1470" i="3"/>
  <c r="D1502" i="3"/>
  <c r="D1534" i="3"/>
  <c r="D1566" i="3"/>
  <c r="D1598" i="3"/>
  <c r="D1630" i="3"/>
  <c r="D1662" i="3"/>
  <c r="D1694" i="3"/>
  <c r="D1726" i="3"/>
  <c r="D1758" i="3"/>
  <c r="D1790" i="3"/>
  <c r="D1822" i="3"/>
  <c r="D13" i="3"/>
  <c r="D1343" i="3"/>
  <c r="D1463" i="3"/>
  <c r="D1607" i="3"/>
  <c r="D1735" i="3"/>
  <c r="D1847" i="3"/>
  <c r="D1903" i="3"/>
  <c r="D1943" i="3"/>
  <c r="D2007" i="3"/>
  <c r="D2071" i="3"/>
  <c r="D2103" i="3"/>
  <c r="D2223" i="3"/>
  <c r="D2271" i="3"/>
  <c r="D2303" i="3"/>
  <c r="D2343" i="3"/>
  <c r="D2463" i="3"/>
  <c r="D2519" i="3"/>
  <c r="D2551" i="3"/>
  <c r="H1060" i="3"/>
  <c r="N1060" i="3" s="1"/>
  <c r="H2207" i="3"/>
  <c r="H2511" i="3"/>
  <c r="G1558" i="3"/>
  <c r="M1558" i="3" s="1"/>
  <c r="G2248" i="3"/>
  <c r="M2248" i="3" s="1"/>
  <c r="H211" i="3"/>
  <c r="N211" i="3" s="1"/>
  <c r="H275" i="3"/>
  <c r="N275" i="3" s="1"/>
  <c r="H331" i="3"/>
  <c r="N331" i="3" s="1"/>
  <c r="H395" i="3"/>
  <c r="N395" i="3" s="1"/>
  <c r="H459" i="3"/>
  <c r="N459" i="3" s="1"/>
  <c r="H523" i="3"/>
  <c r="N523" i="3" s="1"/>
  <c r="H619" i="3"/>
  <c r="N619" i="3" s="1"/>
  <c r="H683" i="3"/>
  <c r="N683" i="3" s="1"/>
  <c r="H747" i="3"/>
  <c r="N747" i="3" s="1"/>
  <c r="H811" i="3"/>
  <c r="N811" i="3" s="1"/>
  <c r="H875" i="3"/>
  <c r="N875" i="3" s="1"/>
  <c r="H939" i="3"/>
  <c r="N939" i="3" s="1"/>
  <c r="H1003" i="3"/>
  <c r="N1003" i="3" s="1"/>
  <c r="H1067" i="3"/>
  <c r="N1067" i="3" s="1"/>
  <c r="H1131" i="3"/>
  <c r="N1131" i="3" s="1"/>
  <c r="H1195" i="3"/>
  <c r="N1195" i="3" s="1"/>
  <c r="H1259" i="3"/>
  <c r="H1323" i="3"/>
  <c r="H1515" i="3"/>
  <c r="H1780" i="3"/>
  <c r="H45" i="3"/>
  <c r="H190" i="3"/>
  <c r="N190" i="3" s="1"/>
  <c r="H278" i="3"/>
  <c r="N278" i="3" s="1"/>
  <c r="H398" i="3"/>
  <c r="N398" i="3" s="1"/>
  <c r="H494" i="3"/>
  <c r="N494" i="3" s="1"/>
  <c r="H558" i="3"/>
  <c r="N558" i="3" s="1"/>
  <c r="H654" i="3"/>
  <c r="N654" i="3" s="1"/>
  <c r="H718" i="3"/>
  <c r="N718" i="3" s="1"/>
  <c r="H782" i="3"/>
  <c r="N782" i="3" s="1"/>
  <c r="H846" i="3"/>
  <c r="N846" i="3" s="1"/>
  <c r="H1006" i="3"/>
  <c r="N1006" i="3" s="1"/>
  <c r="H1174" i="3"/>
  <c r="N1174" i="3" s="1"/>
  <c r="H1302" i="3"/>
  <c r="H1398" i="3"/>
  <c r="H1494" i="3"/>
  <c r="H1590" i="3"/>
  <c r="H1686" i="3"/>
  <c r="G1423" i="3"/>
  <c r="M1423" i="3" s="1"/>
  <c r="G1575" i="3"/>
  <c r="M1575" i="3" s="1"/>
  <c r="H1703" i="3"/>
  <c r="H1871" i="3"/>
  <c r="H2095" i="3"/>
  <c r="G2263" i="3"/>
  <c r="M2263" i="3" s="1"/>
  <c r="G2327" i="3"/>
  <c r="M2327" i="3" s="1"/>
  <c r="H2447" i="3"/>
  <c r="D10" i="3"/>
  <c r="H154" i="3"/>
  <c r="N154" i="3" s="1"/>
  <c r="H996" i="3"/>
  <c r="N996" i="3" s="1"/>
  <c r="H2055" i="3"/>
  <c r="H974" i="3"/>
  <c r="N974" i="3" s="1"/>
  <c r="G2575" i="3"/>
  <c r="M2575" i="3" s="1"/>
  <c r="H304" i="3"/>
  <c r="N304" i="3" s="1"/>
  <c r="H602" i="3"/>
  <c r="N602" i="3" s="1"/>
  <c r="H1146" i="3"/>
  <c r="N1146" i="3" s="1"/>
  <c r="H1172" i="3"/>
  <c r="N1172" i="3" s="1"/>
  <c r="D2576" i="3"/>
  <c r="H1823" i="3"/>
  <c r="H72" i="3"/>
  <c r="J72" i="3" s="1"/>
  <c r="G590" i="3"/>
  <c r="G62" i="3"/>
  <c r="I62" i="3" s="1"/>
  <c r="G1823" i="3"/>
  <c r="M1823" i="3" s="1"/>
  <c r="H402" i="3"/>
  <c r="N402" i="3" s="1"/>
  <c r="G1777" i="3"/>
  <c r="M1777" i="3" s="1"/>
  <c r="H93" i="3"/>
  <c r="G498" i="3"/>
  <c r="G1519" i="3"/>
  <c r="M1519" i="3" s="1"/>
  <c r="D372" i="3"/>
  <c r="D1108" i="3"/>
  <c r="H1396" i="3"/>
  <c r="D1812" i="3"/>
  <c r="H526" i="3"/>
  <c r="N526" i="3" s="1"/>
  <c r="H282" i="3"/>
  <c r="N282" i="3" s="1"/>
  <c r="H1092" i="3"/>
  <c r="N1092" i="3" s="1"/>
  <c r="H111" i="3"/>
  <c r="N111" i="3" s="1"/>
  <c r="H2352" i="3"/>
  <c r="N2352" i="3" s="1"/>
  <c r="H1643" i="3"/>
  <c r="G846" i="3"/>
  <c r="G298" i="3"/>
  <c r="G1935" i="3"/>
  <c r="M1935" i="3" s="1"/>
  <c r="G2096" i="3"/>
  <c r="M2096" i="3" s="1"/>
  <c r="D2504" i="3"/>
  <c r="H1028" i="3"/>
  <c r="N1028" i="3" s="1"/>
  <c r="H1430" i="3"/>
  <c r="H1334" i="3"/>
  <c r="H2086" i="3"/>
  <c r="H1554" i="3"/>
  <c r="G2008" i="3"/>
  <c r="M2008" i="3" s="1"/>
  <c r="G338" i="3"/>
  <c r="G434" i="3"/>
  <c r="G722" i="3"/>
  <c r="G914" i="3"/>
  <c r="G1074" i="3"/>
  <c r="G1170" i="3"/>
  <c r="G1874" i="3"/>
  <c r="M1874" i="3" s="1"/>
  <c r="D468" i="3"/>
  <c r="D500" i="3"/>
  <c r="D532" i="3"/>
  <c r="D564" i="3"/>
  <c r="D596" i="3"/>
  <c r="D628" i="3"/>
  <c r="D692" i="3"/>
  <c r="D756" i="3"/>
  <c r="D1452" i="3"/>
  <c r="D1353" i="3"/>
  <c r="G1353" i="3"/>
  <c r="M1353" i="3" s="1"/>
  <c r="G530" i="3"/>
  <c r="H530" i="3"/>
  <c r="N530" i="3" s="1"/>
  <c r="D1958" i="3"/>
  <c r="G1958" i="3"/>
  <c r="M1958" i="3" s="1"/>
  <c r="D1771" i="3"/>
  <c r="H1771" i="3"/>
  <c r="D489" i="3"/>
  <c r="G489" i="3"/>
  <c r="D560" i="3"/>
  <c r="G560" i="3"/>
  <c r="D430" i="3"/>
  <c r="G430" i="3"/>
  <c r="D558" i="3"/>
  <c r="G558" i="3"/>
  <c r="D686" i="3"/>
  <c r="G686" i="3"/>
  <c r="D878" i="3"/>
  <c r="G878" i="3"/>
  <c r="H568" i="3"/>
  <c r="N568" i="3" s="1"/>
  <c r="G626" i="3"/>
  <c r="G1650" i="3"/>
  <c r="M1650" i="3" s="1"/>
  <c r="G1070" i="3"/>
  <c r="G1270" i="3"/>
  <c r="M1270" i="3" s="1"/>
  <c r="G1718" i="3"/>
  <c r="M1718" i="3" s="1"/>
  <c r="D1465" i="3"/>
  <c r="H1465" i="3"/>
  <c r="D2598" i="3"/>
  <c r="G2598" i="3"/>
  <c r="M2598" i="3" s="1"/>
  <c r="D1337" i="3"/>
  <c r="H1337" i="3"/>
  <c r="G1337" i="3"/>
  <c r="M1337" i="3" s="1"/>
  <c r="D1072" i="3"/>
  <c r="G1072" i="3"/>
  <c r="D1302" i="3"/>
  <c r="G1302" i="3"/>
  <c r="M1302" i="3" s="1"/>
  <c r="D1462" i="3"/>
  <c r="G1462" i="3"/>
  <c r="M1462" i="3" s="1"/>
  <c r="D1814" i="3"/>
  <c r="G1814" i="3"/>
  <c r="M1814" i="3" s="1"/>
  <c r="H202" i="3"/>
  <c r="N202" i="3" s="1"/>
  <c r="H430" i="3"/>
  <c r="N430" i="3" s="1"/>
  <c r="H1707" i="3"/>
  <c r="G946" i="3"/>
  <c r="G398" i="3"/>
  <c r="G1465" i="3"/>
  <c r="M1465" i="3" s="1"/>
  <c r="G296" i="3"/>
  <c r="G152" i="3"/>
  <c r="G1328" i="3"/>
  <c r="M1328" i="3" s="1"/>
  <c r="H150" i="3"/>
  <c r="N150" i="3" s="1"/>
  <c r="H366" i="3"/>
  <c r="N366" i="3" s="1"/>
  <c r="H750" i="3"/>
  <c r="N750" i="3" s="1"/>
  <c r="H328" i="3"/>
  <c r="N328" i="3" s="1"/>
  <c r="H56" i="3"/>
  <c r="J56" i="3" s="1"/>
  <c r="H1353" i="3"/>
  <c r="H1814" i="3"/>
  <c r="G754" i="3"/>
  <c r="G1330" i="3"/>
  <c r="M1330" i="3" s="1"/>
  <c r="G1658" i="3"/>
  <c r="M1658" i="3" s="1"/>
  <c r="G1754" i="3"/>
  <c r="M1754" i="3" s="1"/>
  <c r="H2342" i="3"/>
  <c r="N2342" i="3" s="1"/>
  <c r="G93" i="3"/>
  <c r="K93" i="3" s="1"/>
  <c r="G190" i="3"/>
  <c r="G278" i="3"/>
  <c r="G718" i="3"/>
  <c r="G2086" i="3"/>
  <c r="M2086" i="3" s="1"/>
  <c r="G1192" i="3"/>
  <c r="G1992" i="3"/>
  <c r="M1992" i="3" s="1"/>
  <c r="D280" i="3"/>
  <c r="H280" i="3"/>
  <c r="N280" i="3" s="1"/>
  <c r="D800" i="3"/>
  <c r="H800" i="3"/>
  <c r="N800" i="3" s="1"/>
  <c r="D1312" i="3"/>
  <c r="G1312" i="3"/>
  <c r="M1312" i="3" s="1"/>
  <c r="G55" i="3"/>
  <c r="I55" i="3" s="1"/>
  <c r="D545" i="3"/>
  <c r="H545" i="3"/>
  <c r="N545" i="3" s="1"/>
  <c r="D865" i="3"/>
  <c r="H865" i="3"/>
  <c r="N865" i="3" s="1"/>
  <c r="G865" i="3"/>
  <c r="D377" i="3"/>
  <c r="H377" i="3"/>
  <c r="N377" i="3" s="1"/>
  <c r="D1168" i="3"/>
  <c r="H1168" i="3"/>
  <c r="N1168" i="3" s="1"/>
  <c r="G57" i="3"/>
  <c r="I57" i="3" s="1"/>
  <c r="G242" i="3"/>
  <c r="G370" i="3"/>
  <c r="G466" i="3"/>
  <c r="G690" i="3"/>
  <c r="G882" i="3"/>
  <c r="G1010" i="3"/>
  <c r="G1298" i="3"/>
  <c r="M1298" i="3" s="1"/>
  <c r="G1458" i="3"/>
  <c r="M1458" i="3" s="1"/>
  <c r="G1490" i="3"/>
  <c r="M1490" i="3" s="1"/>
  <c r="G1586" i="3"/>
  <c r="M1586" i="3" s="1"/>
  <c r="G1778" i="3"/>
  <c r="M1778" i="3" s="1"/>
  <c r="D336" i="3"/>
  <c r="G336" i="3"/>
  <c r="D593" i="3"/>
  <c r="G593" i="3"/>
  <c r="D849" i="3"/>
  <c r="H849" i="3"/>
  <c r="N849" i="3" s="1"/>
  <c r="G849" i="3"/>
  <c r="D1105" i="3"/>
  <c r="H1105" i="3"/>
  <c r="N1105" i="3" s="1"/>
  <c r="G1105" i="3"/>
  <c r="D1448" i="3"/>
  <c r="G1448" i="3"/>
  <c r="M1448" i="3" s="1"/>
  <c r="D1144" i="3"/>
  <c r="G1144" i="3"/>
  <c r="D656" i="3"/>
  <c r="H656" i="3"/>
  <c r="N656" i="3" s="1"/>
  <c r="G1426" i="3"/>
  <c r="M1426" i="3" s="1"/>
  <c r="H1426" i="3"/>
  <c r="D1609" i="3"/>
  <c r="G1609" i="3"/>
  <c r="M1609" i="3" s="1"/>
  <c r="D2470" i="3"/>
  <c r="G2470" i="3"/>
  <c r="M2470" i="3" s="1"/>
  <c r="D1257" i="3"/>
  <c r="G1257" i="3"/>
  <c r="M1257" i="3" s="1"/>
  <c r="D816" i="3"/>
  <c r="G816" i="3"/>
  <c r="D310" i="3"/>
  <c r="G310" i="3"/>
  <c r="D1006" i="3"/>
  <c r="G1006" i="3"/>
  <c r="D1206" i="3"/>
  <c r="G1206" i="3"/>
  <c r="D1366" i="3"/>
  <c r="G1366" i="3"/>
  <c r="M1366" i="3" s="1"/>
  <c r="D1622" i="3"/>
  <c r="G1622" i="3"/>
  <c r="M1622" i="3" s="1"/>
  <c r="F2645" i="3"/>
  <c r="G1138" i="3"/>
  <c r="G462" i="3"/>
  <c r="G750" i="3"/>
  <c r="D864" i="3"/>
  <c r="H864" i="3"/>
  <c r="N864" i="3" s="1"/>
  <c r="D233" i="3"/>
  <c r="G233" i="3"/>
  <c r="D609" i="3"/>
  <c r="G609" i="3"/>
  <c r="D441" i="3"/>
  <c r="H441" i="3"/>
  <c r="N441" i="3" s="1"/>
  <c r="D2094" i="3"/>
  <c r="G2094" i="3"/>
  <c r="M2094" i="3" s="1"/>
  <c r="H1836" i="3"/>
  <c r="D1508" i="3"/>
  <c r="G1508" i="3"/>
  <c r="M1508" i="3" s="1"/>
  <c r="D857" i="3"/>
  <c r="H857" i="3"/>
  <c r="N857" i="3" s="1"/>
  <c r="G857" i="3"/>
  <c r="D1113" i="3"/>
  <c r="G1113" i="3"/>
  <c r="H590" i="3"/>
  <c r="N590" i="3" s="1"/>
  <c r="H814" i="3"/>
  <c r="N814" i="3" s="1"/>
  <c r="H878" i="3"/>
  <c r="N878" i="3" s="1"/>
  <c r="H942" i="3"/>
  <c r="N942" i="3" s="1"/>
  <c r="H1038" i="3"/>
  <c r="N1038" i="3" s="1"/>
  <c r="H1110" i="3"/>
  <c r="N1110" i="3" s="1"/>
  <c r="H1206" i="3"/>
  <c r="N1206" i="3" s="1"/>
  <c r="H1270" i="3"/>
  <c r="H1366" i="3"/>
  <c r="H1462" i="3"/>
  <c r="H1526" i="3"/>
  <c r="H1622" i="3"/>
  <c r="H1718" i="3"/>
  <c r="H1782" i="3"/>
  <c r="D1831" i="3"/>
  <c r="G1831" i="3"/>
  <c r="M1831" i="3" s="1"/>
  <c r="D2024" i="3"/>
  <c r="H2024" i="3"/>
  <c r="G2024" i="3"/>
  <c r="M2024" i="3" s="1"/>
  <c r="D2280" i="3"/>
  <c r="H2280" i="3"/>
  <c r="G2280" i="3"/>
  <c r="M2280" i="3" s="1"/>
  <c r="E2645" i="3"/>
  <c r="G5" i="3"/>
  <c r="H1335" i="3"/>
  <c r="H239" i="3"/>
  <c r="N239" i="3" s="1"/>
  <c r="G239" i="3"/>
  <c r="H1415" i="3"/>
  <c r="G1415" i="3"/>
  <c r="M1415" i="3" s="1"/>
  <c r="H2231" i="3"/>
  <c r="G2231" i="3"/>
  <c r="M2231" i="3" s="1"/>
  <c r="G1042" i="3"/>
  <c r="H1042" i="3"/>
  <c r="N1042" i="3" s="1"/>
  <c r="D2214" i="3"/>
  <c r="H2214" i="3"/>
  <c r="G2214" i="3"/>
  <c r="M2214" i="3" s="1"/>
  <c r="D2534" i="3"/>
  <c r="G2534" i="3"/>
  <c r="M2534" i="3" s="1"/>
  <c r="D1001" i="3"/>
  <c r="H1001" i="3"/>
  <c r="N1001" i="3" s="1"/>
  <c r="G1001" i="3"/>
  <c r="D230" i="3"/>
  <c r="G230" i="3"/>
  <c r="D942" i="3"/>
  <c r="G942" i="3"/>
  <c r="D1142" i="3"/>
  <c r="G1142" i="3"/>
  <c r="D1526" i="3"/>
  <c r="G1526" i="3"/>
  <c r="M1526" i="3" s="1"/>
  <c r="H310" i="3"/>
  <c r="N310" i="3" s="1"/>
  <c r="H462" i="3"/>
  <c r="N462" i="3" s="1"/>
  <c r="H622" i="3"/>
  <c r="N622" i="3" s="1"/>
  <c r="H816" i="3"/>
  <c r="N816" i="3" s="1"/>
  <c r="H1579" i="3"/>
  <c r="G72" i="3"/>
  <c r="I72" i="3" s="1"/>
  <c r="D1120" i="3"/>
  <c r="G1120" i="3"/>
  <c r="D142" i="3"/>
  <c r="G142" i="3"/>
  <c r="D1232" i="3"/>
  <c r="H1232" i="3"/>
  <c r="N1232" i="3" s="1"/>
  <c r="G1232" i="3"/>
  <c r="D2286" i="3"/>
  <c r="G2286" i="3"/>
  <c r="M2286" i="3" s="1"/>
  <c r="H2286" i="3"/>
  <c r="D2542" i="3"/>
  <c r="G2542" i="3"/>
  <c r="M2542" i="3" s="1"/>
  <c r="H1451" i="3"/>
  <c r="G2492" i="3"/>
  <c r="M2492" i="3" s="1"/>
  <c r="H2492" i="3"/>
  <c r="G562" i="3"/>
  <c r="H119" i="3"/>
  <c r="G168" i="3"/>
  <c r="H208" i="3"/>
  <c r="N208" i="3" s="1"/>
  <c r="G256" i="3"/>
  <c r="G64" i="3"/>
  <c r="I64" i="3" s="1"/>
  <c r="G120" i="3"/>
  <c r="H120" i="3"/>
  <c r="H209" i="3"/>
  <c r="N209" i="3" s="1"/>
  <c r="H305" i="3"/>
  <c r="N305" i="3" s="1"/>
  <c r="H337" i="3"/>
  <c r="N337" i="3" s="1"/>
  <c r="D1273" i="3"/>
  <c r="G1273" i="3"/>
  <c r="M1273" i="3" s="1"/>
  <c r="G32" i="3"/>
  <c r="G65" i="3"/>
  <c r="I65" i="3" s="1"/>
  <c r="H97" i="3"/>
  <c r="H130" i="3"/>
  <c r="N130" i="3" s="1"/>
  <c r="G170" i="3"/>
  <c r="G250" i="3"/>
  <c r="G314" i="3"/>
  <c r="G346" i="3"/>
  <c r="H378" i="3"/>
  <c r="N378" i="3" s="1"/>
  <c r="G410" i="3"/>
  <c r="G442" i="3"/>
  <c r="H506" i="3"/>
  <c r="N506" i="3" s="1"/>
  <c r="H538" i="3"/>
  <c r="N538" i="3" s="1"/>
  <c r="G570" i="3"/>
  <c r="G634" i="3"/>
  <c r="G666" i="3"/>
  <c r="H698" i="3"/>
  <c r="N698" i="3" s="1"/>
  <c r="G730" i="3"/>
  <c r="H730" i="3"/>
  <c r="N730" i="3" s="1"/>
  <c r="H762" i="3"/>
  <c r="N762" i="3" s="1"/>
  <c r="H794" i="3"/>
  <c r="N794" i="3" s="1"/>
  <c r="H826" i="3"/>
  <c r="N826" i="3" s="1"/>
  <c r="H922" i="3"/>
  <c r="N922" i="3" s="1"/>
  <c r="H954" i="3"/>
  <c r="N954" i="3" s="1"/>
  <c r="H986" i="3"/>
  <c r="N986" i="3" s="1"/>
  <c r="G1018" i="3"/>
  <c r="H1018" i="3"/>
  <c r="N1018" i="3" s="1"/>
  <c r="H1050" i="3"/>
  <c r="N1050" i="3" s="1"/>
  <c r="H1082" i="3"/>
  <c r="N1082" i="3" s="1"/>
  <c r="G1114" i="3"/>
  <c r="G1178" i="3"/>
  <c r="H1210" i="3"/>
  <c r="N1210" i="3" s="1"/>
  <c r="H1242" i="3"/>
  <c r="H1274" i="3"/>
  <c r="H1306" i="3"/>
  <c r="H1338" i="3"/>
  <c r="G1370" i="3"/>
  <c r="M1370" i="3" s="1"/>
  <c r="H1402" i="3"/>
  <c r="H1434" i="3"/>
  <c r="G1466" i="3"/>
  <c r="M1466" i="3" s="1"/>
  <c r="H1498" i="3"/>
  <c r="D1460" i="3"/>
  <c r="H1460" i="3"/>
  <c r="D45" i="3"/>
  <c r="G45" i="3"/>
  <c r="D1174" i="3"/>
  <c r="G1174" i="3"/>
  <c r="D631" i="3"/>
  <c r="H631" i="3"/>
  <c r="N631" i="3" s="1"/>
  <c r="H140" i="3"/>
  <c r="N140" i="3" s="1"/>
  <c r="H268" i="3"/>
  <c r="N268" i="3" s="1"/>
  <c r="H489" i="3"/>
  <c r="N489" i="3" s="1"/>
  <c r="G1234" i="3"/>
  <c r="D352" i="3"/>
  <c r="G352" i="3"/>
  <c r="H352" i="3"/>
  <c r="N352" i="3" s="1"/>
  <c r="D1185" i="3"/>
  <c r="G1185" i="3"/>
  <c r="D2158" i="3"/>
  <c r="G2158" i="3"/>
  <c r="M2158" i="3" s="1"/>
  <c r="H953" i="3"/>
  <c r="N953" i="3" s="1"/>
  <c r="G974" i="3"/>
  <c r="G1810" i="3"/>
  <c r="M1810" i="3" s="1"/>
  <c r="G622" i="3"/>
  <c r="H152" i="3"/>
  <c r="N152" i="3" s="1"/>
  <c r="H544" i="3"/>
  <c r="N544" i="3" s="1"/>
  <c r="H912" i="3"/>
  <c r="N912" i="3" s="1"/>
  <c r="H1056" i="3"/>
  <c r="N1056" i="3" s="1"/>
  <c r="H1144" i="3"/>
  <c r="N1144" i="3" s="1"/>
  <c r="H2248" i="3"/>
  <c r="G1626" i="3"/>
  <c r="M1626" i="3" s="1"/>
  <c r="H2534" i="3"/>
  <c r="H2606" i="3"/>
  <c r="N2606" i="3" s="1"/>
  <c r="G1110" i="3"/>
  <c r="G494" i="3"/>
  <c r="G1494" i="3"/>
  <c r="M1494" i="3" s="1"/>
  <c r="G1590" i="3"/>
  <c r="M1590" i="3" s="1"/>
  <c r="G1782" i="3"/>
  <c r="M1782" i="3" s="1"/>
  <c r="G2606" i="3"/>
  <c r="M2606" i="3" s="1"/>
  <c r="H1362" i="3"/>
  <c r="H1682" i="3"/>
  <c r="G633" i="3"/>
  <c r="G1121" i="3"/>
  <c r="G656" i="3"/>
  <c r="G201" i="3"/>
  <c r="H201" i="3"/>
  <c r="N201" i="3" s="1"/>
  <c r="D400" i="3"/>
  <c r="G400" i="3"/>
  <c r="G818" i="3"/>
  <c r="H818" i="3"/>
  <c r="N818" i="3" s="1"/>
  <c r="D1128" i="3"/>
  <c r="G1128" i="3"/>
  <c r="D2150" i="3"/>
  <c r="H2150" i="3"/>
  <c r="D2406" i="3"/>
  <c r="G2406" i="3"/>
  <c r="M2406" i="3" s="1"/>
  <c r="G2364" i="3"/>
  <c r="M2364" i="3" s="1"/>
  <c r="D2364" i="3"/>
  <c r="D1038" i="3"/>
  <c r="G1038" i="3"/>
  <c r="D1398" i="3"/>
  <c r="G1398" i="3"/>
  <c r="M1398" i="3" s="1"/>
  <c r="D1686" i="3"/>
  <c r="G1686" i="3"/>
  <c r="M1686" i="3" s="1"/>
  <c r="D1750" i="3"/>
  <c r="G1750" i="3"/>
  <c r="M1750" i="3" s="1"/>
  <c r="D1335" i="3"/>
  <c r="G1335" i="3"/>
  <c r="M1335" i="3" s="1"/>
  <c r="H75" i="3"/>
  <c r="J75" i="3" s="1"/>
  <c r="H204" i="3"/>
  <c r="N204" i="3" s="1"/>
  <c r="G658" i="3"/>
  <c r="G1394" i="3"/>
  <c r="M1394" i="3" s="1"/>
  <c r="D608" i="3"/>
  <c r="G608" i="3"/>
  <c r="D353" i="3"/>
  <c r="G353" i="3"/>
  <c r="D1441" i="3"/>
  <c r="G1441" i="3"/>
  <c r="M1441" i="3" s="1"/>
  <c r="D697" i="3"/>
  <c r="H697" i="3"/>
  <c r="N697" i="3" s="1"/>
  <c r="D1966" i="3"/>
  <c r="G1966" i="3"/>
  <c r="M1966" i="3" s="1"/>
  <c r="D2222" i="3"/>
  <c r="H2222" i="3"/>
  <c r="D345" i="3"/>
  <c r="G345" i="3"/>
  <c r="H89" i="3"/>
  <c r="J89" i="3" s="1"/>
  <c r="H298" i="3"/>
  <c r="N298" i="3" s="1"/>
  <c r="H1468" i="3"/>
  <c r="H585" i="3"/>
  <c r="N585" i="3" s="1"/>
  <c r="H1558" i="3"/>
  <c r="H1654" i="3"/>
  <c r="H1958" i="3"/>
  <c r="H2030" i="3"/>
  <c r="H2598" i="3"/>
  <c r="N2598" i="3" s="1"/>
  <c r="H910" i="3"/>
  <c r="N910" i="3" s="1"/>
  <c r="G697" i="3"/>
  <c r="G913" i="3"/>
  <c r="G71" i="3"/>
  <c r="I71" i="3" s="1"/>
  <c r="H168" i="3"/>
  <c r="N168" i="3" s="1"/>
  <c r="H233" i="3"/>
  <c r="N233" i="3" s="1"/>
  <c r="H345" i="3"/>
  <c r="N345" i="3" s="1"/>
  <c r="H889" i="3"/>
  <c r="N889" i="3" s="1"/>
  <c r="G1714" i="3"/>
  <c r="M1714" i="3" s="1"/>
  <c r="G1842" i="3"/>
  <c r="M1842" i="3" s="1"/>
  <c r="H2470" i="3"/>
  <c r="H2542" i="3"/>
  <c r="G782" i="3"/>
  <c r="G150" i="3"/>
  <c r="G366" i="3"/>
  <c r="G654" i="3"/>
  <c r="G1334" i="3"/>
  <c r="M1334" i="3" s="1"/>
  <c r="G1902" i="3"/>
  <c r="M1902" i="3" s="1"/>
  <c r="G2030" i="3"/>
  <c r="M2030" i="3" s="1"/>
  <c r="G2150" i="3"/>
  <c r="M2150" i="3" s="1"/>
  <c r="H634" i="3"/>
  <c r="N634" i="3" s="1"/>
  <c r="H1114" i="3"/>
  <c r="N1114" i="3" s="1"/>
  <c r="H1370" i="3"/>
  <c r="G800" i="3"/>
  <c r="G864" i="3"/>
  <c r="D63" i="3"/>
  <c r="H63" i="3"/>
  <c r="J63" i="3" s="1"/>
  <c r="D929" i="3"/>
  <c r="H929" i="3"/>
  <c r="N929" i="3" s="1"/>
  <c r="G929" i="3"/>
  <c r="D2350" i="3"/>
  <c r="H2350" i="3"/>
  <c r="N2350" i="3" s="1"/>
  <c r="H1387" i="3"/>
  <c r="D601" i="3"/>
  <c r="G601" i="3"/>
  <c r="H601" i="3"/>
  <c r="N601" i="3" s="1"/>
  <c r="H5" i="3"/>
  <c r="H1615" i="3"/>
  <c r="H1072" i="3"/>
  <c r="N1072" i="3" s="1"/>
  <c r="H1209" i="3"/>
  <c r="N1209" i="3" s="1"/>
  <c r="G2342" i="3"/>
  <c r="M2342" i="3" s="1"/>
  <c r="D137" i="3"/>
  <c r="H137" i="3"/>
  <c r="N137" i="3" s="1"/>
  <c r="G137" i="3"/>
  <c r="H121" i="3"/>
  <c r="H43" i="3"/>
  <c r="H107" i="3"/>
  <c r="N107" i="3" s="1"/>
  <c r="H172" i="3"/>
  <c r="N172" i="3" s="1"/>
  <c r="H236" i="3"/>
  <c r="N236" i="3" s="1"/>
  <c r="H400" i="3"/>
  <c r="N400" i="3" s="1"/>
  <c r="H560" i="3"/>
  <c r="N560" i="3" s="1"/>
  <c r="H1328" i="3"/>
  <c r="H1992" i="3"/>
  <c r="H353" i="3"/>
  <c r="N353" i="3" s="1"/>
  <c r="H1481" i="3"/>
  <c r="H1609" i="3"/>
  <c r="H1748" i="3"/>
  <c r="H2364" i="3"/>
  <c r="N2364" i="3" s="1"/>
  <c r="G814" i="3"/>
  <c r="G910" i="3"/>
  <c r="H2406" i="3"/>
  <c r="H2478" i="3"/>
  <c r="G526" i="3"/>
  <c r="G1238" i="3"/>
  <c r="M1238" i="3" s="1"/>
  <c r="G1430" i="3"/>
  <c r="M1430" i="3" s="1"/>
  <c r="G2478" i="3"/>
  <c r="M2478" i="3" s="1"/>
  <c r="G1615" i="3"/>
  <c r="M1615" i="3" s="1"/>
  <c r="G1703" i="3"/>
  <c r="M1703" i="3" s="1"/>
  <c r="G545" i="3"/>
  <c r="G657" i="3"/>
  <c r="G1625" i="3"/>
  <c r="M1625" i="3" s="1"/>
  <c r="G568" i="3"/>
  <c r="G199" i="3"/>
  <c r="G263" i="3"/>
  <c r="H1319" i="3"/>
  <c r="H2455" i="3"/>
  <c r="G1873" i="3"/>
  <c r="M1873" i="3" s="1"/>
  <c r="D1703" i="3"/>
  <c r="D1839" i="3"/>
  <c r="D1991" i="3"/>
  <c r="D2055" i="3"/>
  <c r="D2095" i="3"/>
  <c r="D2207" i="3"/>
  <c r="D2263" i="3"/>
  <c r="D2295" i="3"/>
  <c r="D2447" i="3"/>
  <c r="D2511" i="3"/>
  <c r="D2543" i="3"/>
  <c r="D2575" i="3"/>
  <c r="D16" i="3"/>
  <c r="D17" i="3"/>
  <c r="G2295" i="3"/>
  <c r="M2295" i="3" s="1"/>
  <c r="G2447" i="3"/>
  <c r="M2447" i="3" s="1"/>
  <c r="D1140" i="3"/>
  <c r="H870" i="3"/>
  <c r="N870" i="3" s="1"/>
  <c r="G735" i="3"/>
  <c r="G1991" i="3"/>
  <c r="M1991" i="3" s="1"/>
  <c r="G1632" i="3"/>
  <c r="M1632" i="3" s="1"/>
  <c r="G2128" i="3"/>
  <c r="M2128" i="3" s="1"/>
  <c r="G2401" i="3"/>
  <c r="M2401" i="3" s="1"/>
  <c r="H578" i="3"/>
  <c r="N578" i="3" s="1"/>
  <c r="D324" i="3"/>
  <c r="H2097" i="3"/>
  <c r="G1583" i="3"/>
  <c r="M1583" i="3" s="1"/>
  <c r="G1839" i="3"/>
  <c r="M1839" i="3" s="1"/>
  <c r="G2543" i="3"/>
  <c r="M2543" i="3" s="1"/>
  <c r="G2264" i="3"/>
  <c r="M2264" i="3" s="1"/>
  <c r="H1472" i="3"/>
  <c r="G2095" i="3"/>
  <c r="M2095" i="3" s="1"/>
  <c r="G2352" i="3"/>
  <c r="M2352" i="3" s="1"/>
  <c r="G2296" i="3"/>
  <c r="M2296" i="3" s="1"/>
  <c r="D67" i="3"/>
  <c r="D132" i="3"/>
  <c r="D196" i="3"/>
  <c r="D260" i="3"/>
  <c r="D311" i="3"/>
  <c r="D567" i="3"/>
  <c r="D1127" i="3"/>
  <c r="D1231" i="3"/>
  <c r="D2583" i="3"/>
  <c r="D948" i="3"/>
  <c r="D1484" i="3"/>
  <c r="D1684" i="3"/>
  <c r="D46" i="3"/>
  <c r="D86" i="3"/>
  <c r="D151" i="3"/>
  <c r="D183" i="3"/>
  <c r="D215" i="3"/>
  <c r="D247" i="3"/>
  <c r="D287" i="3"/>
  <c r="D359" i="3"/>
  <c r="D391" i="3"/>
  <c r="D431" i="3"/>
  <c r="D463" i="3"/>
  <c r="D503" i="3"/>
  <c r="D535" i="3"/>
  <c r="D615" i="3"/>
  <c r="D655" i="3"/>
  <c r="D695" i="3"/>
  <c r="D727" i="3"/>
  <c r="D767" i="3"/>
  <c r="D807" i="3"/>
  <c r="D839" i="3"/>
  <c r="D879" i="3"/>
  <c r="D911" i="3"/>
  <c r="D951" i="3"/>
  <c r="D983" i="3"/>
  <c r="D1063" i="3"/>
  <c r="D1095" i="3"/>
  <c r="D1135" i="3"/>
  <c r="D1207" i="3"/>
  <c r="D1239" i="3"/>
  <c r="D1431" i="3"/>
  <c r="D1559" i="3"/>
  <c r="D1687" i="3"/>
  <c r="D1887" i="3"/>
  <c r="D1983" i="3"/>
  <c r="D2047" i="3"/>
  <c r="D2191" i="3"/>
  <c r="D2335" i="3"/>
  <c r="D2399" i="3"/>
  <c r="D2431" i="3"/>
  <c r="D2487" i="3"/>
  <c r="D1480" i="3"/>
  <c r="D1512" i="3"/>
  <c r="D1544" i="3"/>
  <c r="D1576" i="3"/>
  <c r="D1608" i="3"/>
  <c r="D1640" i="3"/>
  <c r="D1672" i="3"/>
  <c r="D1704" i="3"/>
  <c r="D1736" i="3"/>
  <c r="D1768" i="3"/>
  <c r="D1800" i="3"/>
  <c r="D1832" i="3"/>
  <c r="D1880" i="3"/>
  <c r="D1753" i="3"/>
  <c r="D1817" i="3"/>
  <c r="D1857" i="3"/>
  <c r="D1929" i="3"/>
  <c r="D1969" i="3"/>
  <c r="D2009" i="3"/>
  <c r="D2041" i="3"/>
  <c r="D2073" i="3"/>
  <c r="D2105" i="3"/>
  <c r="D2137" i="3"/>
  <c r="D2169" i="3"/>
  <c r="D2209" i="3"/>
  <c r="D2241" i="3"/>
  <c r="D2273" i="3"/>
  <c r="D2305" i="3"/>
  <c r="D2345" i="3"/>
  <c r="D2377" i="3"/>
  <c r="D2409" i="3"/>
  <c r="D2441" i="3"/>
  <c r="D2481" i="3"/>
  <c r="D2513" i="3"/>
  <c r="D2545" i="3"/>
  <c r="D2577" i="3"/>
  <c r="D2617" i="3"/>
  <c r="D1204" i="3"/>
  <c r="D1652" i="3"/>
  <c r="D1820" i="3"/>
  <c r="D1639" i="3"/>
  <c r="D2279" i="3"/>
  <c r="G12" i="3"/>
  <c r="G6" i="3"/>
  <c r="G2600" i="3"/>
  <c r="M2600" i="3" s="1"/>
  <c r="H1562" i="3"/>
  <c r="G1594" i="3"/>
  <c r="M1594" i="3" s="1"/>
  <c r="H1690" i="3"/>
  <c r="H1722" i="3"/>
  <c r="G1786" i="3"/>
  <c r="M1786" i="3" s="1"/>
  <c r="H1850" i="3"/>
  <c r="G1882" i="3"/>
  <c r="M1882" i="3" s="1"/>
  <c r="H1651" i="3"/>
  <c r="G396" i="3"/>
  <c r="D1372" i="3"/>
  <c r="D1740" i="3"/>
  <c r="G1828" i="3"/>
  <c r="M1828" i="3" s="1"/>
  <c r="D28" i="3"/>
  <c r="D134" i="3"/>
  <c r="D182" i="3"/>
  <c r="D222" i="3"/>
  <c r="D262" i="3"/>
  <c r="D302" i="3"/>
  <c r="D358" i="3"/>
  <c r="D390" i="3"/>
  <c r="D422" i="3"/>
  <c r="D486" i="3"/>
  <c r="D518" i="3"/>
  <c r="D550" i="3"/>
  <c r="D614" i="3"/>
  <c r="D646" i="3"/>
  <c r="D678" i="3"/>
  <c r="D710" i="3"/>
  <c r="D742" i="3"/>
  <c r="D774" i="3"/>
  <c r="D838" i="3"/>
  <c r="D870" i="3"/>
  <c r="D902" i="3"/>
  <c r="D934" i="3"/>
  <c r="D966" i="3"/>
  <c r="D998" i="3"/>
  <c r="D1030" i="3"/>
  <c r="D1062" i="3"/>
  <c r="D1102" i="3"/>
  <c r="D1134" i="3"/>
  <c r="D1166" i="3"/>
  <c r="D1198" i="3"/>
  <c r="D1230" i="3"/>
  <c r="D1262" i="3"/>
  <c r="D1294" i="3"/>
  <c r="D1326" i="3"/>
  <c r="D1358" i="3"/>
  <c r="D1390" i="3"/>
  <c r="D1422" i="3"/>
  <c r="D1454" i="3"/>
  <c r="D1486" i="3"/>
  <c r="D1518" i="3"/>
  <c r="D1582" i="3"/>
  <c r="D1646" i="3"/>
  <c r="D1678" i="3"/>
  <c r="D1710" i="3"/>
  <c r="D1742" i="3"/>
  <c r="D1774" i="3"/>
  <c r="D1806" i="3"/>
  <c r="D1838" i="3"/>
  <c r="D1263" i="3"/>
  <c r="D1359" i="3"/>
  <c r="D1543" i="3"/>
  <c r="D1671" i="3"/>
  <c r="D1815" i="3"/>
  <c r="D1863" i="3"/>
  <c r="D1919" i="3"/>
  <c r="D1975" i="3"/>
  <c r="D2039" i="3"/>
  <c r="D2087" i="3"/>
  <c r="D2183" i="3"/>
  <c r="D2255" i="3"/>
  <c r="D2287" i="3"/>
  <c r="D2319" i="3"/>
  <c r="D2359" i="3"/>
  <c r="D2495" i="3"/>
  <c r="D2567" i="3"/>
  <c r="D54" i="3"/>
  <c r="G191" i="3"/>
  <c r="D1999" i="3"/>
  <c r="D2199" i="3"/>
  <c r="D2407" i="3"/>
  <c r="D8" i="3"/>
  <c r="D9" i="3"/>
  <c r="D2488" i="3"/>
  <c r="D2608" i="3"/>
  <c r="D2607" i="3"/>
  <c r="D2552" i="3"/>
  <c r="D7" i="3"/>
  <c r="H32" i="3"/>
  <c r="H460" i="3"/>
  <c r="N460" i="3" s="1"/>
  <c r="H240" i="3"/>
  <c r="N240" i="3" s="1"/>
  <c r="H464" i="3"/>
  <c r="N464" i="3" s="1"/>
  <c r="H1910" i="3"/>
  <c r="G698" i="3"/>
  <c r="G850" i="3"/>
  <c r="G1202" i="3"/>
  <c r="G1522" i="3"/>
  <c r="M1522" i="3" s="1"/>
  <c r="G1690" i="3"/>
  <c r="M1690" i="3" s="1"/>
  <c r="H1974" i="3"/>
  <c r="H2038" i="3"/>
  <c r="H2102" i="3"/>
  <c r="H2230" i="3"/>
  <c r="H2294" i="3"/>
  <c r="H2358" i="3"/>
  <c r="N2358" i="3" s="1"/>
  <c r="H2486" i="3"/>
  <c r="H2550" i="3"/>
  <c r="G1894" i="3"/>
  <c r="M1894" i="3" s="1"/>
  <c r="H442" i="3"/>
  <c r="N442" i="3" s="1"/>
  <c r="H570" i="3"/>
  <c r="N570" i="3" s="1"/>
  <c r="H978" i="3"/>
  <c r="N978" i="3" s="1"/>
  <c r="H1266" i="3"/>
  <c r="G329" i="3"/>
  <c r="G1249" i="3"/>
  <c r="M1249" i="3" s="1"/>
  <c r="G1417" i="3"/>
  <c r="M1417" i="3" s="1"/>
  <c r="G111" i="3"/>
  <c r="G1208" i="3"/>
  <c r="G63" i="3"/>
  <c r="I63" i="3" s="1"/>
  <c r="G672" i="3"/>
  <c r="H71" i="3"/>
  <c r="J71" i="3" s="1"/>
  <c r="G786" i="3"/>
  <c r="G954" i="3"/>
  <c r="G1562" i="3"/>
  <c r="M1562" i="3" s="1"/>
  <c r="G174" i="3"/>
  <c r="G1910" i="3"/>
  <c r="M1910" i="3" s="1"/>
  <c r="G2230" i="3"/>
  <c r="M2230" i="3" s="1"/>
  <c r="G1434" i="3"/>
  <c r="M1434" i="3" s="1"/>
  <c r="H1026" i="3"/>
  <c r="N1026" i="3" s="1"/>
  <c r="H1154" i="3"/>
  <c r="N1154" i="3" s="1"/>
  <c r="G417" i="3"/>
  <c r="G585" i="3"/>
  <c r="G649" i="3"/>
  <c r="G1497" i="3"/>
  <c r="M1497" i="3" s="1"/>
  <c r="G200" i="3"/>
  <c r="G376" i="3"/>
  <c r="G632" i="3"/>
  <c r="G103" i="3"/>
  <c r="G160" i="3"/>
  <c r="G273" i="3"/>
  <c r="G24" i="3"/>
  <c r="D460" i="3"/>
  <c r="D1097" i="3"/>
  <c r="G1097" i="3"/>
  <c r="G1923" i="3"/>
  <c r="M1923" i="3" s="1"/>
  <c r="D1923" i="3"/>
  <c r="G2115" i="3"/>
  <c r="M2115" i="3" s="1"/>
  <c r="D2115" i="3"/>
  <c r="G2243" i="3"/>
  <c r="M2243" i="3" s="1"/>
  <c r="D2243" i="3"/>
  <c r="D888" i="3"/>
  <c r="H888" i="3"/>
  <c r="N888" i="3" s="1"/>
  <c r="G888" i="3"/>
  <c r="D1400" i="3"/>
  <c r="G1400" i="3"/>
  <c r="M1400" i="3" s="1"/>
  <c r="G1940" i="3"/>
  <c r="M1940" i="3" s="1"/>
  <c r="D1940" i="3"/>
  <c r="G2020" i="3"/>
  <c r="M2020" i="3" s="1"/>
  <c r="D2020" i="3"/>
  <c r="G2116" i="3"/>
  <c r="M2116" i="3" s="1"/>
  <c r="D2116" i="3"/>
  <c r="G2212" i="3"/>
  <c r="M2212" i="3" s="1"/>
  <c r="D2212" i="3"/>
  <c r="G2324" i="3"/>
  <c r="M2324" i="3" s="1"/>
  <c r="D2324" i="3"/>
  <c r="G2420" i="3"/>
  <c r="M2420" i="3" s="1"/>
  <c r="D2420" i="3"/>
  <c r="G2516" i="3"/>
  <c r="M2516" i="3" s="1"/>
  <c r="D2516" i="3"/>
  <c r="G2628" i="3"/>
  <c r="M2628" i="3" s="1"/>
  <c r="D2628" i="3"/>
  <c r="D104" i="3"/>
  <c r="G104" i="3"/>
  <c r="G1804" i="3"/>
  <c r="M1804" i="3" s="1"/>
  <c r="D1804" i="3"/>
  <c r="H594" i="3"/>
  <c r="N594" i="3" s="1"/>
  <c r="G594" i="3"/>
  <c r="H1106" i="3"/>
  <c r="N1106" i="3" s="1"/>
  <c r="G1106" i="3"/>
  <c r="H1618" i="3"/>
  <c r="G1618" i="3"/>
  <c r="M1618" i="3" s="1"/>
  <c r="G1212" i="3"/>
  <c r="D1212" i="3"/>
  <c r="D47" i="3"/>
  <c r="H47" i="3"/>
  <c r="D360" i="3"/>
  <c r="G360" i="3"/>
  <c r="H360" i="3"/>
  <c r="N360" i="3" s="1"/>
  <c r="D616" i="3"/>
  <c r="G616" i="3"/>
  <c r="D872" i="3"/>
  <c r="G872" i="3"/>
  <c r="G1884" i="3"/>
  <c r="M1884" i="3" s="1"/>
  <c r="D1884" i="3"/>
  <c r="D2022" i="3"/>
  <c r="G2022" i="3"/>
  <c r="M2022" i="3" s="1"/>
  <c r="D2278" i="3"/>
  <c r="G2278" i="3"/>
  <c r="M2278" i="3" s="1"/>
  <c r="G42" i="3"/>
  <c r="D42" i="3"/>
  <c r="G90" i="3"/>
  <c r="I90" i="3" s="1"/>
  <c r="D90" i="3"/>
  <c r="G147" i="3"/>
  <c r="D147" i="3"/>
  <c r="G211" i="3"/>
  <c r="D211" i="3"/>
  <c r="G275" i="3"/>
  <c r="D275" i="3"/>
  <c r="G331" i="3"/>
  <c r="D331" i="3"/>
  <c r="G363" i="3"/>
  <c r="D363" i="3"/>
  <c r="G395" i="3"/>
  <c r="D395" i="3"/>
  <c r="G427" i="3"/>
  <c r="D427" i="3"/>
  <c r="G459" i="3"/>
  <c r="D459" i="3"/>
  <c r="G491" i="3"/>
  <c r="D491" i="3"/>
  <c r="G523" i="3"/>
  <c r="D523" i="3"/>
  <c r="G555" i="3"/>
  <c r="D555" i="3"/>
  <c r="G587" i="3"/>
  <c r="D587" i="3"/>
  <c r="G619" i="3"/>
  <c r="D619" i="3"/>
  <c r="G651" i="3"/>
  <c r="D651" i="3"/>
  <c r="G683" i="3"/>
  <c r="D683" i="3"/>
  <c r="G715" i="3"/>
  <c r="D715" i="3"/>
  <c r="G747" i="3"/>
  <c r="D747" i="3"/>
  <c r="G779" i="3"/>
  <c r="D779" i="3"/>
  <c r="G811" i="3"/>
  <c r="D811" i="3"/>
  <c r="G843" i="3"/>
  <c r="D843" i="3"/>
  <c r="G875" i="3"/>
  <c r="D875" i="3"/>
  <c r="G907" i="3"/>
  <c r="D907" i="3"/>
  <c r="G939" i="3"/>
  <c r="D939" i="3"/>
  <c r="G971" i="3"/>
  <c r="D971" i="3"/>
  <c r="G1003" i="3"/>
  <c r="D1003" i="3"/>
  <c r="G1035" i="3"/>
  <c r="D1035" i="3"/>
  <c r="G1067" i="3"/>
  <c r="D1067" i="3"/>
  <c r="G1099" i="3"/>
  <c r="D1099" i="3"/>
  <c r="G1131" i="3"/>
  <c r="D1131" i="3"/>
  <c r="G1163" i="3"/>
  <c r="D1163" i="3"/>
  <c r="G1195" i="3"/>
  <c r="D1195" i="3"/>
  <c r="G1227" i="3"/>
  <c r="D1227" i="3"/>
  <c r="D306" i="3"/>
  <c r="G306" i="3"/>
  <c r="G1987" i="3"/>
  <c r="M1987" i="3" s="1"/>
  <c r="D1987" i="3"/>
  <c r="G2051" i="3"/>
  <c r="M2051" i="3" s="1"/>
  <c r="D2051" i="3"/>
  <c r="G2179" i="3"/>
  <c r="M2179" i="3" s="1"/>
  <c r="D2179" i="3"/>
  <c r="G2307" i="3"/>
  <c r="M2307" i="3" s="1"/>
  <c r="D2307" i="3"/>
  <c r="G2371" i="3"/>
  <c r="M2371" i="3" s="1"/>
  <c r="D2371" i="3"/>
  <c r="G2435" i="3"/>
  <c r="M2435" i="3" s="1"/>
  <c r="D2435" i="3"/>
  <c r="G2499" i="3"/>
  <c r="M2499" i="3" s="1"/>
  <c r="D2499" i="3"/>
  <c r="G2563" i="3"/>
  <c r="M2563" i="3" s="1"/>
  <c r="D2563" i="3"/>
  <c r="G2627" i="3"/>
  <c r="M2627" i="3" s="1"/>
  <c r="D2627" i="3"/>
  <c r="D334" i="3"/>
  <c r="G334" i="3"/>
  <c r="H65" i="3"/>
  <c r="J65" i="3" s="1"/>
  <c r="H64" i="3"/>
  <c r="J64" i="3" s="1"/>
  <c r="H841" i="3"/>
  <c r="N841" i="3" s="1"/>
  <c r="H905" i="3"/>
  <c r="N905" i="3" s="1"/>
  <c r="H2051" i="3"/>
  <c r="H2563" i="3"/>
  <c r="H2420" i="3"/>
  <c r="G1338" i="3"/>
  <c r="M1338" i="3" s="1"/>
  <c r="G1722" i="3"/>
  <c r="M1722" i="3" s="1"/>
  <c r="G1974" i="3"/>
  <c r="M1974" i="3" s="1"/>
  <c r="G2294" i="3"/>
  <c r="M2294" i="3" s="1"/>
  <c r="H514" i="3"/>
  <c r="N514" i="3" s="1"/>
  <c r="H642" i="3"/>
  <c r="N642" i="3" s="1"/>
  <c r="H770" i="3"/>
  <c r="N770" i="3" s="1"/>
  <c r="H1178" i="3"/>
  <c r="N1178" i="3" s="1"/>
  <c r="H1466" i="3"/>
  <c r="H1594" i="3"/>
  <c r="H1746" i="3"/>
  <c r="G841" i="3"/>
  <c r="G905" i="3"/>
  <c r="G1209" i="3"/>
  <c r="G464" i="3"/>
  <c r="G912" i="3"/>
  <c r="G208" i="3"/>
  <c r="G416" i="3"/>
  <c r="G119" i="3"/>
  <c r="G304" i="3"/>
  <c r="G305" i="3"/>
  <c r="G130" i="3"/>
  <c r="G1939" i="3"/>
  <c r="M1939" i="3" s="1"/>
  <c r="D1939" i="3"/>
  <c r="G2131" i="3"/>
  <c r="M2131" i="3" s="1"/>
  <c r="D2131" i="3"/>
  <c r="G2323" i="3"/>
  <c r="M2323" i="3" s="1"/>
  <c r="D2323" i="3"/>
  <c r="G2387" i="3"/>
  <c r="M2387" i="3" s="1"/>
  <c r="D2387" i="3"/>
  <c r="G2451" i="3"/>
  <c r="M2451" i="3" s="1"/>
  <c r="D2451" i="3"/>
  <c r="G2579" i="3"/>
  <c r="M2579" i="3" s="1"/>
  <c r="D2579" i="3"/>
  <c r="G2643" i="3"/>
  <c r="M2643" i="3" s="1"/>
  <c r="D2643" i="3"/>
  <c r="G171" i="3"/>
  <c r="D171" i="3"/>
  <c r="D952" i="3"/>
  <c r="H952" i="3"/>
  <c r="N952" i="3" s="1"/>
  <c r="G1843" i="3"/>
  <c r="M1843" i="3" s="1"/>
  <c r="D1843" i="3"/>
  <c r="G1956" i="3"/>
  <c r="M1956" i="3" s="1"/>
  <c r="D1956" i="3"/>
  <c r="H1956" i="3"/>
  <c r="G2036" i="3"/>
  <c r="M2036" i="3" s="1"/>
  <c r="D2036" i="3"/>
  <c r="G2132" i="3"/>
  <c r="M2132" i="3" s="1"/>
  <c r="D2132" i="3"/>
  <c r="G2244" i="3"/>
  <c r="M2244" i="3" s="1"/>
  <c r="D2244" i="3"/>
  <c r="G2340" i="3"/>
  <c r="M2340" i="3" s="1"/>
  <c r="D2340" i="3"/>
  <c r="G2452" i="3"/>
  <c r="M2452" i="3" s="1"/>
  <c r="D2452" i="3"/>
  <c r="H2452" i="3"/>
  <c r="G2548" i="3"/>
  <c r="M2548" i="3" s="1"/>
  <c r="D2548" i="3"/>
  <c r="G2644" i="3"/>
  <c r="M2644" i="3" s="1"/>
  <c r="D2644" i="3"/>
  <c r="G2084" i="3"/>
  <c r="M2084" i="3" s="1"/>
  <c r="D2084" i="3"/>
  <c r="D720" i="3"/>
  <c r="G720" i="3"/>
  <c r="H474" i="3"/>
  <c r="N474" i="3" s="1"/>
  <c r="G474" i="3"/>
  <c r="H890" i="3"/>
  <c r="N890" i="3" s="1"/>
  <c r="G890" i="3"/>
  <c r="H1818" i="3"/>
  <c r="G1818" i="3"/>
  <c r="M1818" i="3" s="1"/>
  <c r="D1724" i="3"/>
  <c r="G1724" i="3"/>
  <c r="M1724" i="3" s="1"/>
  <c r="D424" i="3"/>
  <c r="H424" i="3"/>
  <c r="N424" i="3" s="1"/>
  <c r="D680" i="3"/>
  <c r="G680" i="3"/>
  <c r="D1256" i="3"/>
  <c r="G1256" i="3"/>
  <c r="M1256" i="3" s="1"/>
  <c r="D1641" i="3"/>
  <c r="G1641" i="3"/>
  <c r="M1641" i="3" s="1"/>
  <c r="D2166" i="3"/>
  <c r="G2166" i="3"/>
  <c r="M2166" i="3" s="1"/>
  <c r="D2422" i="3"/>
  <c r="G2422" i="3"/>
  <c r="M2422" i="3" s="1"/>
  <c r="D2614" i="3"/>
  <c r="G2614" i="3"/>
  <c r="M2614" i="3" s="1"/>
  <c r="G58" i="3"/>
  <c r="I58" i="3" s="1"/>
  <c r="D58" i="3"/>
  <c r="G106" i="3"/>
  <c r="D106" i="3"/>
  <c r="G155" i="3"/>
  <c r="D155" i="3"/>
  <c r="G219" i="3"/>
  <c r="D219" i="3"/>
  <c r="G283" i="3"/>
  <c r="D283" i="3"/>
  <c r="G339" i="3"/>
  <c r="D339" i="3"/>
  <c r="G371" i="3"/>
  <c r="D371" i="3"/>
  <c r="G403" i="3"/>
  <c r="D403" i="3"/>
  <c r="G435" i="3"/>
  <c r="D435" i="3"/>
  <c r="G467" i="3"/>
  <c r="D467" i="3"/>
  <c r="G499" i="3"/>
  <c r="D499" i="3"/>
  <c r="G531" i="3"/>
  <c r="D531" i="3"/>
  <c r="G563" i="3"/>
  <c r="D563" i="3"/>
  <c r="G595" i="3"/>
  <c r="D595" i="3"/>
  <c r="G627" i="3"/>
  <c r="D627" i="3"/>
  <c r="G659" i="3"/>
  <c r="D659" i="3"/>
  <c r="G691" i="3"/>
  <c r="D691" i="3"/>
  <c r="G723" i="3"/>
  <c r="D723" i="3"/>
  <c r="G755" i="3"/>
  <c r="D755" i="3"/>
  <c r="G787" i="3"/>
  <c r="D787" i="3"/>
  <c r="G819" i="3"/>
  <c r="D819" i="3"/>
  <c r="G851" i="3"/>
  <c r="D851" i="3"/>
  <c r="G883" i="3"/>
  <c r="D883" i="3"/>
  <c r="G915" i="3"/>
  <c r="D915" i="3"/>
  <c r="G947" i="3"/>
  <c r="D947" i="3"/>
  <c r="G979" i="3"/>
  <c r="D979" i="3"/>
  <c r="G1011" i="3"/>
  <c r="D1011" i="3"/>
  <c r="G1043" i="3"/>
  <c r="D1043" i="3"/>
  <c r="G1075" i="3"/>
  <c r="D1075" i="3"/>
  <c r="G1107" i="3"/>
  <c r="D1107" i="3"/>
  <c r="G1139" i="3"/>
  <c r="D1139" i="3"/>
  <c r="G1171" i="3"/>
  <c r="D1171" i="3"/>
  <c r="G1203" i="3"/>
  <c r="D1203" i="3"/>
  <c r="G1235" i="3"/>
  <c r="D1235" i="3"/>
  <c r="G1267" i="3"/>
  <c r="M1267" i="3" s="1"/>
  <c r="D1267" i="3"/>
  <c r="G1299" i="3"/>
  <c r="M1299" i="3" s="1"/>
  <c r="D1299" i="3"/>
  <c r="G1331" i="3"/>
  <c r="M1331" i="3" s="1"/>
  <c r="D1331" i="3"/>
  <c r="G1363" i="3"/>
  <c r="M1363" i="3" s="1"/>
  <c r="D1363" i="3"/>
  <c r="G1395" i="3"/>
  <c r="M1395" i="3" s="1"/>
  <c r="D1395" i="3"/>
  <c r="G1427" i="3"/>
  <c r="M1427" i="3" s="1"/>
  <c r="D1427" i="3"/>
  <c r="G1459" i="3"/>
  <c r="M1459" i="3" s="1"/>
  <c r="D1459" i="3"/>
  <c r="G1491" i="3"/>
  <c r="M1491" i="3" s="1"/>
  <c r="D1491" i="3"/>
  <c r="G1523" i="3"/>
  <c r="M1523" i="3" s="1"/>
  <c r="D1523" i="3"/>
  <c r="G1555" i="3"/>
  <c r="M1555" i="3" s="1"/>
  <c r="D1555" i="3"/>
  <c r="G1587" i="3"/>
  <c r="M1587" i="3" s="1"/>
  <c r="D1587" i="3"/>
  <c r="G1619" i="3"/>
  <c r="M1619" i="3" s="1"/>
  <c r="D1619" i="3"/>
  <c r="G1651" i="3"/>
  <c r="M1651" i="3" s="1"/>
  <c r="D1651" i="3"/>
  <c r="G1683" i="3"/>
  <c r="M1683" i="3" s="1"/>
  <c r="D1683" i="3"/>
  <c r="G1715" i="3"/>
  <c r="M1715" i="3" s="1"/>
  <c r="D1715" i="3"/>
  <c r="G1747" i="3"/>
  <c r="M1747" i="3" s="1"/>
  <c r="D1747" i="3"/>
  <c r="G1779" i="3"/>
  <c r="M1779" i="3" s="1"/>
  <c r="D1779" i="3"/>
  <c r="G1811" i="3"/>
  <c r="M1811" i="3" s="1"/>
  <c r="D1811" i="3"/>
  <c r="G796" i="3"/>
  <c r="D796" i="3"/>
  <c r="G2140" i="3"/>
  <c r="M2140" i="3" s="1"/>
  <c r="D2140" i="3"/>
  <c r="G267" i="3"/>
  <c r="D267" i="3"/>
  <c r="D809" i="3"/>
  <c r="G809" i="3"/>
  <c r="G51" i="3"/>
  <c r="I51" i="3" s="1"/>
  <c r="D51" i="3"/>
  <c r="G83" i="3"/>
  <c r="I83" i="3" s="1"/>
  <c r="D83" i="3"/>
  <c r="G115" i="3"/>
  <c r="D115" i="3"/>
  <c r="G148" i="3"/>
  <c r="D148" i="3"/>
  <c r="G180" i="3"/>
  <c r="D180" i="3"/>
  <c r="G852" i="3"/>
  <c r="D852" i="3"/>
  <c r="G2108" i="3"/>
  <c r="M2108" i="3" s="1"/>
  <c r="D2108" i="3"/>
  <c r="D185" i="3"/>
  <c r="G185" i="3"/>
  <c r="D496" i="3"/>
  <c r="H496" i="3"/>
  <c r="N496" i="3" s="1"/>
  <c r="D752" i="3"/>
  <c r="G752" i="3"/>
  <c r="D85" i="3"/>
  <c r="G85" i="3"/>
  <c r="I85" i="3" s="1"/>
  <c r="D454" i="3"/>
  <c r="H454" i="3"/>
  <c r="N454" i="3" s="1"/>
  <c r="D582" i="3"/>
  <c r="G582" i="3"/>
  <c r="D806" i="3"/>
  <c r="H806" i="3"/>
  <c r="N806" i="3" s="1"/>
  <c r="D1550" i="3"/>
  <c r="G1550" i="3"/>
  <c r="M1550" i="3" s="1"/>
  <c r="D1614" i="3"/>
  <c r="G1614" i="3"/>
  <c r="M1614" i="3" s="1"/>
  <c r="D1928" i="3"/>
  <c r="G1928" i="3"/>
  <c r="M1928" i="3" s="1"/>
  <c r="H1928" i="3"/>
  <c r="D2184" i="3"/>
  <c r="G2184" i="3"/>
  <c r="M2184" i="3" s="1"/>
  <c r="D393" i="3"/>
  <c r="H393" i="3"/>
  <c r="N393" i="3" s="1"/>
  <c r="D1161" i="3"/>
  <c r="G1161" i="3"/>
  <c r="G2003" i="3"/>
  <c r="M2003" i="3" s="1"/>
  <c r="D2003" i="3"/>
  <c r="G2067" i="3"/>
  <c r="M2067" i="3" s="1"/>
  <c r="D2067" i="3"/>
  <c r="G2195" i="3"/>
  <c r="M2195" i="3" s="1"/>
  <c r="D2195" i="3"/>
  <c r="G2259" i="3"/>
  <c r="M2259" i="3" s="1"/>
  <c r="D2259" i="3"/>
  <c r="G2515" i="3"/>
  <c r="M2515" i="3" s="1"/>
  <c r="D2515" i="3"/>
  <c r="H376" i="3"/>
  <c r="N376" i="3" s="1"/>
  <c r="H720" i="3"/>
  <c r="N720" i="3" s="1"/>
  <c r="H1273" i="3"/>
  <c r="H1923" i="3"/>
  <c r="H2003" i="3"/>
  <c r="H2435" i="3"/>
  <c r="H2515" i="3"/>
  <c r="H1724" i="3"/>
  <c r="G1082" i="3"/>
  <c r="G2486" i="3"/>
  <c r="M2486" i="3" s="1"/>
  <c r="G2358" i="3"/>
  <c r="M2358" i="3" s="1"/>
  <c r="H410" i="3"/>
  <c r="N410" i="3" s="1"/>
  <c r="H666" i="3"/>
  <c r="N666" i="3" s="1"/>
  <c r="G952" i="3"/>
  <c r="G908" i="3"/>
  <c r="D908" i="3"/>
  <c r="H908" i="3"/>
  <c r="N908" i="3" s="1"/>
  <c r="G163" i="3"/>
  <c r="D163" i="3"/>
  <c r="D928" i="3"/>
  <c r="G928" i="3"/>
  <c r="D1184" i="3"/>
  <c r="G1184" i="3"/>
  <c r="D1440" i="3"/>
  <c r="G1440" i="3"/>
  <c r="M1440" i="3" s="1"/>
  <c r="H1440" i="3"/>
  <c r="G1947" i="3"/>
  <c r="M1947" i="3" s="1"/>
  <c r="D1947" i="3"/>
  <c r="G2011" i="3"/>
  <c r="M2011" i="3" s="1"/>
  <c r="D2011" i="3"/>
  <c r="G2075" i="3"/>
  <c r="M2075" i="3" s="1"/>
  <c r="D2075" i="3"/>
  <c r="G2139" i="3"/>
  <c r="M2139" i="3" s="1"/>
  <c r="D2139" i="3"/>
  <c r="G2203" i="3"/>
  <c r="M2203" i="3" s="1"/>
  <c r="D2203" i="3"/>
  <c r="G2267" i="3"/>
  <c r="M2267" i="3" s="1"/>
  <c r="D2267" i="3"/>
  <c r="G2331" i="3"/>
  <c r="M2331" i="3" s="1"/>
  <c r="D2331" i="3"/>
  <c r="G2395" i="3"/>
  <c r="M2395" i="3" s="1"/>
  <c r="D2395" i="3"/>
  <c r="G2459" i="3"/>
  <c r="M2459" i="3" s="1"/>
  <c r="D2459" i="3"/>
  <c r="G2523" i="3"/>
  <c r="M2523" i="3" s="1"/>
  <c r="D2523" i="3"/>
  <c r="G2587" i="3"/>
  <c r="M2587" i="3" s="1"/>
  <c r="D2587" i="3"/>
  <c r="G916" i="3"/>
  <c r="D916" i="3"/>
  <c r="G195" i="3"/>
  <c r="D195" i="3"/>
  <c r="D673" i="3"/>
  <c r="H673" i="3"/>
  <c r="N673" i="3" s="1"/>
  <c r="G1964" i="3"/>
  <c r="M1964" i="3" s="1"/>
  <c r="D1964" i="3"/>
  <c r="G2052" i="3"/>
  <c r="M2052" i="3" s="1"/>
  <c r="D2052" i="3"/>
  <c r="G2148" i="3"/>
  <c r="M2148" i="3" s="1"/>
  <c r="D2148" i="3"/>
  <c r="G2252" i="3"/>
  <c r="M2252" i="3" s="1"/>
  <c r="D2252" i="3"/>
  <c r="G2356" i="3"/>
  <c r="M2356" i="3" s="1"/>
  <c r="D2356" i="3"/>
  <c r="G2460" i="3"/>
  <c r="M2460" i="3" s="1"/>
  <c r="D2460" i="3"/>
  <c r="G2564" i="3"/>
  <c r="M2564" i="3" s="1"/>
  <c r="D2564" i="3"/>
  <c r="D31" i="3"/>
  <c r="G31" i="3"/>
  <c r="G284" i="3"/>
  <c r="D284" i="3"/>
  <c r="H284" i="3"/>
  <c r="N284" i="3" s="1"/>
  <c r="G2172" i="3"/>
  <c r="M2172" i="3" s="1"/>
  <c r="D2172" i="3"/>
  <c r="G203" i="3"/>
  <c r="D203" i="3"/>
  <c r="D505" i="3"/>
  <c r="G505" i="3"/>
  <c r="D1017" i="3"/>
  <c r="G1017" i="3"/>
  <c r="H1017" i="3"/>
  <c r="N1017" i="3" s="1"/>
  <c r="D1296" i="3"/>
  <c r="G1296" i="3"/>
  <c r="M1296" i="3" s="1"/>
  <c r="D218" i="3"/>
  <c r="G218" i="3"/>
  <c r="D386" i="3"/>
  <c r="H386" i="3"/>
  <c r="N386" i="3" s="1"/>
  <c r="D898" i="3"/>
  <c r="H898" i="3"/>
  <c r="N898" i="3" s="1"/>
  <c r="D962" i="3"/>
  <c r="G962" i="3"/>
  <c r="D1090" i="3"/>
  <c r="H1090" i="3"/>
  <c r="N1090" i="3" s="1"/>
  <c r="D1410" i="3"/>
  <c r="H1410" i="3"/>
  <c r="D1474" i="3"/>
  <c r="G1474" i="3"/>
  <c r="M1474" i="3" s="1"/>
  <c r="D1538" i="3"/>
  <c r="G1538" i="3"/>
  <c r="M1538" i="3" s="1"/>
  <c r="D1602" i="3"/>
  <c r="H1602" i="3"/>
  <c r="G1916" i="3"/>
  <c r="M1916" i="3" s="1"/>
  <c r="D1916" i="3"/>
  <c r="G235" i="3"/>
  <c r="D235" i="3"/>
  <c r="D1297" i="3"/>
  <c r="G1297" i="3"/>
  <c r="M1297" i="3" s="1"/>
  <c r="H1297" i="3"/>
  <c r="D1513" i="3"/>
  <c r="G1513" i="3"/>
  <c r="M1513" i="3" s="1"/>
  <c r="D2046" i="3"/>
  <c r="G2046" i="3"/>
  <c r="M2046" i="3" s="1"/>
  <c r="D2302" i="3"/>
  <c r="G2302" i="3"/>
  <c r="M2302" i="3" s="1"/>
  <c r="G1188" i="3"/>
  <c r="D1188" i="3"/>
  <c r="G194" i="3"/>
  <c r="D194" i="3"/>
  <c r="G713" i="3"/>
  <c r="D713" i="3"/>
  <c r="G1225" i="3"/>
  <c r="D1225" i="3"/>
  <c r="H1862" i="3"/>
  <c r="D1862" i="3"/>
  <c r="G1955" i="3"/>
  <c r="M1955" i="3" s="1"/>
  <c r="D1955" i="3"/>
  <c r="G2019" i="3"/>
  <c r="M2019" i="3" s="1"/>
  <c r="D2019" i="3"/>
  <c r="G2083" i="3"/>
  <c r="M2083" i="3" s="1"/>
  <c r="D2083" i="3"/>
  <c r="G2147" i="3"/>
  <c r="M2147" i="3" s="1"/>
  <c r="D2147" i="3"/>
  <c r="G2211" i="3"/>
  <c r="M2211" i="3" s="1"/>
  <c r="D2211" i="3"/>
  <c r="G2275" i="3"/>
  <c r="M2275" i="3" s="1"/>
  <c r="D2275" i="3"/>
  <c r="G2339" i="3"/>
  <c r="M2339" i="3" s="1"/>
  <c r="D2339" i="3"/>
  <c r="G2403" i="3"/>
  <c r="M2403" i="3" s="1"/>
  <c r="D2403" i="3"/>
  <c r="G2467" i="3"/>
  <c r="M2467" i="3" s="1"/>
  <c r="D2467" i="3"/>
  <c r="G2531" i="3"/>
  <c r="M2531" i="3" s="1"/>
  <c r="D2531" i="3"/>
  <c r="G2595" i="3"/>
  <c r="M2595" i="3" s="1"/>
  <c r="D2595" i="3"/>
  <c r="H30" i="3"/>
  <c r="G79" i="3"/>
  <c r="I79" i="3" s="1"/>
  <c r="H136" i="3"/>
  <c r="N136" i="3" s="1"/>
  <c r="G176" i="3"/>
  <c r="H224" i="3"/>
  <c r="N224" i="3" s="1"/>
  <c r="G264" i="3"/>
  <c r="G1276" i="3"/>
  <c r="M1276" i="3" s="1"/>
  <c r="D1276" i="3"/>
  <c r="G440" i="3"/>
  <c r="D440" i="3"/>
  <c r="H1272" i="3"/>
  <c r="D1272" i="3"/>
  <c r="G1891" i="3"/>
  <c r="M1891" i="3" s="1"/>
  <c r="D1891" i="3"/>
  <c r="G1972" i="3"/>
  <c r="M1972" i="3" s="1"/>
  <c r="D1972" i="3"/>
  <c r="G2068" i="3"/>
  <c r="M2068" i="3" s="1"/>
  <c r="D2068" i="3"/>
  <c r="G2164" i="3"/>
  <c r="M2164" i="3" s="1"/>
  <c r="D2164" i="3"/>
  <c r="G2260" i="3"/>
  <c r="M2260" i="3" s="1"/>
  <c r="D2260" i="3"/>
  <c r="G2372" i="3"/>
  <c r="M2372" i="3" s="1"/>
  <c r="D2372" i="3"/>
  <c r="G2468" i="3"/>
  <c r="M2468" i="3" s="1"/>
  <c r="D2468" i="3"/>
  <c r="G2580" i="3"/>
  <c r="M2580" i="3" s="1"/>
  <c r="D2580" i="3"/>
  <c r="H31" i="3"/>
  <c r="G80" i="3"/>
  <c r="I80" i="3" s="1"/>
  <c r="G129" i="3"/>
  <c r="G241" i="3"/>
  <c r="G313" i="3"/>
  <c r="G737" i="3"/>
  <c r="D737" i="3"/>
  <c r="G2300" i="3"/>
  <c r="M2300" i="3" s="1"/>
  <c r="D2300" i="3"/>
  <c r="G227" i="3"/>
  <c r="D227" i="3"/>
  <c r="G1040" i="3"/>
  <c r="D1040" i="3"/>
  <c r="G41" i="3"/>
  <c r="G73" i="3"/>
  <c r="I73" i="3" s="1"/>
  <c r="G105" i="3"/>
  <c r="G138" i="3"/>
  <c r="G178" i="3"/>
  <c r="G266" i="3"/>
  <c r="G322" i="3"/>
  <c r="H354" i="3"/>
  <c r="N354" i="3" s="1"/>
  <c r="H418" i="3"/>
  <c r="N418" i="3" s="1"/>
  <c r="H482" i="3"/>
  <c r="N482" i="3" s="1"/>
  <c r="H546" i="3"/>
  <c r="N546" i="3" s="1"/>
  <c r="H610" i="3"/>
  <c r="N610" i="3" s="1"/>
  <c r="H674" i="3"/>
  <c r="N674" i="3" s="1"/>
  <c r="H738" i="3"/>
  <c r="N738" i="3" s="1"/>
  <c r="H802" i="3"/>
  <c r="N802" i="3" s="1"/>
  <c r="H866" i="3"/>
  <c r="N866" i="3" s="1"/>
  <c r="H930" i="3"/>
  <c r="N930" i="3" s="1"/>
  <c r="H994" i="3"/>
  <c r="N994" i="3" s="1"/>
  <c r="H1058" i="3"/>
  <c r="N1058" i="3" s="1"/>
  <c r="H1122" i="3"/>
  <c r="N1122" i="3" s="1"/>
  <c r="H1186" i="3"/>
  <c r="N1186" i="3" s="1"/>
  <c r="H1250" i="3"/>
  <c r="H1314" i="3"/>
  <c r="G1346" i="3"/>
  <c r="M1346" i="3" s="1"/>
  <c r="H1378" i="3"/>
  <c r="G1410" i="3"/>
  <c r="M1410" i="3" s="1"/>
  <c r="H1442" i="3"/>
  <c r="H1506" i="3"/>
  <c r="H1570" i="3"/>
  <c r="H1634" i="3"/>
  <c r="H1698" i="3"/>
  <c r="H1762" i="3"/>
  <c r="G1826" i="3"/>
  <c r="M1826" i="3" s="1"/>
  <c r="G1858" i="3"/>
  <c r="M1858" i="3" s="1"/>
  <c r="H1890" i="3"/>
  <c r="G259" i="3"/>
  <c r="D259" i="3"/>
  <c r="G744" i="3"/>
  <c r="D744" i="3"/>
  <c r="G1000" i="3"/>
  <c r="D1000" i="3"/>
  <c r="G1529" i="3"/>
  <c r="M1529" i="3" s="1"/>
  <c r="D1529" i="3"/>
  <c r="G1689" i="3"/>
  <c r="M1689" i="3" s="1"/>
  <c r="D1689" i="3"/>
  <c r="H1926" i="3"/>
  <c r="D1926" i="3"/>
  <c r="G1990" i="3"/>
  <c r="M1990" i="3" s="1"/>
  <c r="D1990" i="3"/>
  <c r="G2118" i="3"/>
  <c r="M2118" i="3" s="1"/>
  <c r="D2118" i="3"/>
  <c r="G2246" i="3"/>
  <c r="M2246" i="3" s="1"/>
  <c r="D2246" i="3"/>
  <c r="G2310" i="3"/>
  <c r="M2310" i="3" s="1"/>
  <c r="D2310" i="3"/>
  <c r="G2438" i="3"/>
  <c r="M2438" i="3" s="1"/>
  <c r="D2438" i="3"/>
  <c r="G2566" i="3"/>
  <c r="M2566" i="3" s="1"/>
  <c r="D2566" i="3"/>
  <c r="G66" i="3"/>
  <c r="I66" i="3" s="1"/>
  <c r="D66" i="3"/>
  <c r="G122" i="3"/>
  <c r="D122" i="3"/>
  <c r="G179" i="3"/>
  <c r="D179" i="3"/>
  <c r="G243" i="3"/>
  <c r="D243" i="3"/>
  <c r="G291" i="3"/>
  <c r="D291" i="3"/>
  <c r="G347" i="3"/>
  <c r="D347" i="3"/>
  <c r="G379" i="3"/>
  <c r="D379" i="3"/>
  <c r="G411" i="3"/>
  <c r="D411" i="3"/>
  <c r="G443" i="3"/>
  <c r="D443" i="3"/>
  <c r="G475" i="3"/>
  <c r="D475" i="3"/>
  <c r="G507" i="3"/>
  <c r="D507" i="3"/>
  <c r="G539" i="3"/>
  <c r="D539" i="3"/>
  <c r="G571" i="3"/>
  <c r="D571" i="3"/>
  <c r="G603" i="3"/>
  <c r="D603" i="3"/>
  <c r="G635" i="3"/>
  <c r="D635" i="3"/>
  <c r="G667" i="3"/>
  <c r="D667" i="3"/>
  <c r="G699" i="3"/>
  <c r="D699" i="3"/>
  <c r="G731" i="3"/>
  <c r="D731" i="3"/>
  <c r="G1468" i="3"/>
  <c r="M1468" i="3" s="1"/>
  <c r="G1500" i="3"/>
  <c r="M1500" i="3" s="1"/>
  <c r="D1500" i="3"/>
  <c r="G1668" i="3"/>
  <c r="M1668" i="3" s="1"/>
  <c r="D1668" i="3"/>
  <c r="G1708" i="3"/>
  <c r="M1708" i="3" s="1"/>
  <c r="D1708" i="3"/>
  <c r="D1780" i="3"/>
  <c r="G1252" i="3"/>
  <c r="M1252" i="3" s="1"/>
  <c r="D1252" i="3"/>
  <c r="G2236" i="3"/>
  <c r="M2236" i="3" s="1"/>
  <c r="D2236" i="3"/>
  <c r="H216" i="3"/>
  <c r="N216" i="3" s="1"/>
  <c r="D216" i="3"/>
  <c r="G537" i="3"/>
  <c r="D537" i="3"/>
  <c r="G793" i="3"/>
  <c r="D793" i="3"/>
  <c r="G1049" i="3"/>
  <c r="D1049" i="3"/>
  <c r="G1305" i="3"/>
  <c r="M1305" i="3" s="1"/>
  <c r="D1305" i="3"/>
  <c r="H28" i="3"/>
  <c r="H85" i="3"/>
  <c r="J85" i="3" s="1"/>
  <c r="G134" i="3"/>
  <c r="G182" i="3"/>
  <c r="H222" i="3"/>
  <c r="N222" i="3" s="1"/>
  <c r="G262" i="3"/>
  <c r="G302" i="3"/>
  <c r="H358" i="3"/>
  <c r="N358" i="3" s="1"/>
  <c r="G390" i="3"/>
  <c r="H422" i="3"/>
  <c r="N422" i="3" s="1"/>
  <c r="H486" i="3"/>
  <c r="N486" i="3" s="1"/>
  <c r="G518" i="3"/>
  <c r="H550" i="3"/>
  <c r="N550" i="3" s="1"/>
  <c r="H614" i="3"/>
  <c r="N614" i="3" s="1"/>
  <c r="G646" i="3"/>
  <c r="H678" i="3"/>
  <c r="N678" i="3" s="1"/>
  <c r="H742" i="3"/>
  <c r="N742" i="3" s="1"/>
  <c r="G774" i="3"/>
  <c r="G806" i="3"/>
  <c r="H838" i="3"/>
  <c r="N838" i="3" s="1"/>
  <c r="H902" i="3"/>
  <c r="N902" i="3" s="1"/>
  <c r="H966" i="3"/>
  <c r="N966" i="3" s="1"/>
  <c r="G998" i="3"/>
  <c r="G1030" i="3"/>
  <c r="G1062" i="3"/>
  <c r="G1102" i="3"/>
  <c r="G1134" i="3"/>
  <c r="H1166" i="3"/>
  <c r="N1166" i="3" s="1"/>
  <c r="G1198" i="3"/>
  <c r="H1230" i="3"/>
  <c r="N1230" i="3" s="1"/>
  <c r="G1262" i="3"/>
  <c r="M1262" i="3" s="1"/>
  <c r="H1294" i="3"/>
  <c r="G1326" i="3"/>
  <c r="M1326" i="3" s="1"/>
  <c r="H1358" i="3"/>
  <c r="G1390" i="3"/>
  <c r="M1390" i="3" s="1"/>
  <c r="H1422" i="3"/>
  <c r="G1454" i="3"/>
  <c r="M1454" i="3" s="1"/>
  <c r="H1486" i="3"/>
  <c r="G1518" i="3"/>
  <c r="M1518" i="3" s="1"/>
  <c r="H1550" i="3"/>
  <c r="G1582" i="3"/>
  <c r="M1582" i="3" s="1"/>
  <c r="H1614" i="3"/>
  <c r="G1646" i="3"/>
  <c r="M1646" i="3" s="1"/>
  <c r="H1678" i="3"/>
  <c r="G1710" i="3"/>
  <c r="M1710" i="3" s="1"/>
  <c r="H1742" i="3"/>
  <c r="G1774" i="3"/>
  <c r="M1774" i="3" s="1"/>
  <c r="G1806" i="3"/>
  <c r="M1806" i="3" s="1"/>
  <c r="H1838" i="3"/>
  <c r="G1960" i="3"/>
  <c r="M1960" i="3" s="1"/>
  <c r="D1960" i="3"/>
  <c r="G2216" i="3"/>
  <c r="M2216" i="3" s="1"/>
  <c r="D2216" i="3"/>
  <c r="G2472" i="3"/>
  <c r="M2472" i="3" s="1"/>
  <c r="D2472" i="3"/>
  <c r="H1263" i="3"/>
  <c r="G1543" i="3"/>
  <c r="M1543" i="3" s="1"/>
  <c r="G1671" i="3"/>
  <c r="M1671" i="3" s="1"/>
  <c r="H1815" i="3"/>
  <c r="G1863" i="3"/>
  <c r="M1863" i="3" s="1"/>
  <c r="G1919" i="3"/>
  <c r="M1919" i="3" s="1"/>
  <c r="G1975" i="3"/>
  <c r="M1975" i="3" s="1"/>
  <c r="G2039" i="3"/>
  <c r="M2039" i="3" s="1"/>
  <c r="H2087" i="3"/>
  <c r="D2220" i="3"/>
  <c r="H1312" i="3"/>
  <c r="H1376" i="3"/>
  <c r="H112" i="3"/>
  <c r="H457" i="3"/>
  <c r="N457" i="3" s="1"/>
  <c r="H609" i="3"/>
  <c r="N609" i="3" s="1"/>
  <c r="H745" i="3"/>
  <c r="N745" i="3" s="1"/>
  <c r="H1441" i="3"/>
  <c r="H1547" i="3"/>
  <c r="H1611" i="3"/>
  <c r="H1675" i="3"/>
  <c r="H1739" i="3"/>
  <c r="H1803" i="3"/>
  <c r="G1862" i="3"/>
  <c r="M1862" i="3" s="1"/>
  <c r="G377" i="3"/>
  <c r="G441" i="3"/>
  <c r="G1377" i="3"/>
  <c r="M1377" i="3" s="1"/>
  <c r="G528" i="3"/>
  <c r="G696" i="3"/>
  <c r="G1056" i="3"/>
  <c r="G280" i="3"/>
  <c r="G1376" i="3"/>
  <c r="M1376" i="3" s="1"/>
  <c r="G1444" i="3"/>
  <c r="M1444" i="3" s="1"/>
  <c r="D1444" i="3"/>
  <c r="H225" i="3"/>
  <c r="N225" i="3" s="1"/>
  <c r="D225" i="3"/>
  <c r="H480" i="3"/>
  <c r="N480" i="3" s="1"/>
  <c r="D480" i="3"/>
  <c r="H736" i="3"/>
  <c r="N736" i="3" s="1"/>
  <c r="D736" i="3"/>
  <c r="H992" i="3"/>
  <c r="N992" i="3" s="1"/>
  <c r="D992" i="3"/>
  <c r="G1248" i="3"/>
  <c r="M1248" i="3" s="1"/>
  <c r="D1248" i="3"/>
  <c r="G1899" i="3"/>
  <c r="M1899" i="3" s="1"/>
  <c r="D1899" i="3"/>
  <c r="G1963" i="3"/>
  <c r="M1963" i="3" s="1"/>
  <c r="D1963" i="3"/>
  <c r="G2027" i="3"/>
  <c r="M2027" i="3" s="1"/>
  <c r="D2027" i="3"/>
  <c r="G2091" i="3"/>
  <c r="M2091" i="3" s="1"/>
  <c r="D2091" i="3"/>
  <c r="G2155" i="3"/>
  <c r="M2155" i="3" s="1"/>
  <c r="D2155" i="3"/>
  <c r="G2219" i="3"/>
  <c r="M2219" i="3" s="1"/>
  <c r="D2219" i="3"/>
  <c r="G2283" i="3"/>
  <c r="M2283" i="3" s="1"/>
  <c r="D2283" i="3"/>
  <c r="G2347" i="3"/>
  <c r="M2347" i="3" s="1"/>
  <c r="D2347" i="3"/>
  <c r="G2411" i="3"/>
  <c r="M2411" i="3" s="1"/>
  <c r="D2411" i="3"/>
  <c r="G2475" i="3"/>
  <c r="M2475" i="3" s="1"/>
  <c r="D2475" i="3"/>
  <c r="G2539" i="3"/>
  <c r="M2539" i="3" s="1"/>
  <c r="D2539" i="3"/>
  <c r="G2603" i="3"/>
  <c r="M2603" i="3" s="1"/>
  <c r="D2603" i="3"/>
  <c r="G38" i="3"/>
  <c r="D38" i="3"/>
  <c r="G95" i="3"/>
  <c r="K95" i="3" s="1"/>
  <c r="D95" i="3"/>
  <c r="D144" i="3"/>
  <c r="G192" i="3"/>
  <c r="D192" i="3"/>
  <c r="D232" i="3"/>
  <c r="G272" i="3"/>
  <c r="D272" i="3"/>
  <c r="H320" i="3"/>
  <c r="N320" i="3" s="1"/>
  <c r="D320" i="3"/>
  <c r="G1532" i="3"/>
  <c r="M1532" i="3" s="1"/>
  <c r="D1532" i="3"/>
  <c r="G257" i="3"/>
  <c r="D257" i="3"/>
  <c r="H481" i="3"/>
  <c r="N481" i="3" s="1"/>
  <c r="D481" i="3"/>
  <c r="H1057" i="3"/>
  <c r="N1057" i="3" s="1"/>
  <c r="D1057" i="3"/>
  <c r="H1313" i="3"/>
  <c r="D1313" i="3"/>
  <c r="G1900" i="3"/>
  <c r="M1900" i="3" s="1"/>
  <c r="D1900" i="3"/>
  <c r="G1988" i="3"/>
  <c r="M1988" i="3" s="1"/>
  <c r="D1988" i="3"/>
  <c r="G2076" i="3"/>
  <c r="M2076" i="3" s="1"/>
  <c r="D2076" i="3"/>
  <c r="G2180" i="3"/>
  <c r="M2180" i="3" s="1"/>
  <c r="D2180" i="3"/>
  <c r="G2276" i="3"/>
  <c r="M2276" i="3" s="1"/>
  <c r="D2276" i="3"/>
  <c r="G2380" i="3"/>
  <c r="M2380" i="3" s="1"/>
  <c r="D2380" i="3"/>
  <c r="G2484" i="3"/>
  <c r="M2484" i="3" s="1"/>
  <c r="D2484" i="3"/>
  <c r="G2588" i="3"/>
  <c r="M2588" i="3" s="1"/>
  <c r="D2588" i="3"/>
  <c r="G40" i="3"/>
  <c r="G96" i="3"/>
  <c r="K96" i="3" s="1"/>
  <c r="D96" i="3"/>
  <c r="G145" i="3"/>
  <c r="D145" i="3"/>
  <c r="G265" i="3"/>
  <c r="D265" i="3"/>
  <c r="D321" i="3"/>
  <c r="G1124" i="3"/>
  <c r="D1124" i="3"/>
  <c r="G258" i="3"/>
  <c r="D258" i="3"/>
  <c r="G569" i="3"/>
  <c r="D569" i="3"/>
  <c r="G825" i="3"/>
  <c r="D825" i="3"/>
  <c r="G1081" i="3"/>
  <c r="D1081" i="3"/>
  <c r="G1424" i="3"/>
  <c r="M1424" i="3" s="1"/>
  <c r="D1424" i="3"/>
  <c r="G49" i="3"/>
  <c r="D49" i="3"/>
  <c r="D81" i="3"/>
  <c r="G113" i="3"/>
  <c r="D113" i="3"/>
  <c r="D146" i="3"/>
  <c r="D186" i="3"/>
  <c r="G234" i="3"/>
  <c r="D234" i="3"/>
  <c r="D274" i="3"/>
  <c r="H330" i="3"/>
  <c r="N330" i="3" s="1"/>
  <c r="D330" i="3"/>
  <c r="H362" i="3"/>
  <c r="N362" i="3" s="1"/>
  <c r="D362" i="3"/>
  <c r="H394" i="3"/>
  <c r="N394" i="3" s="1"/>
  <c r="D394" i="3"/>
  <c r="H426" i="3"/>
  <c r="N426" i="3" s="1"/>
  <c r="D426" i="3"/>
  <c r="H458" i="3"/>
  <c r="N458" i="3" s="1"/>
  <c r="D458" i="3"/>
  <c r="H490" i="3"/>
  <c r="N490" i="3" s="1"/>
  <c r="D490" i="3"/>
  <c r="H522" i="3"/>
  <c r="N522" i="3" s="1"/>
  <c r="D522" i="3"/>
  <c r="H554" i="3"/>
  <c r="N554" i="3" s="1"/>
  <c r="D554" i="3"/>
  <c r="H586" i="3"/>
  <c r="N586" i="3" s="1"/>
  <c r="D586" i="3"/>
  <c r="H618" i="3"/>
  <c r="N618" i="3" s="1"/>
  <c r="D618" i="3"/>
  <c r="H650" i="3"/>
  <c r="N650" i="3" s="1"/>
  <c r="D650" i="3"/>
  <c r="H682" i="3"/>
  <c r="N682" i="3" s="1"/>
  <c r="D682" i="3"/>
  <c r="H714" i="3"/>
  <c r="N714" i="3" s="1"/>
  <c r="D714" i="3"/>
  <c r="H746" i="3"/>
  <c r="N746" i="3" s="1"/>
  <c r="D746" i="3"/>
  <c r="H778" i="3"/>
  <c r="N778" i="3" s="1"/>
  <c r="D778" i="3"/>
  <c r="H810" i="3"/>
  <c r="N810" i="3" s="1"/>
  <c r="D810" i="3"/>
  <c r="H842" i="3"/>
  <c r="N842" i="3" s="1"/>
  <c r="D842" i="3"/>
  <c r="H874" i="3"/>
  <c r="N874" i="3" s="1"/>
  <c r="D874" i="3"/>
  <c r="H906" i="3"/>
  <c r="N906" i="3" s="1"/>
  <c r="D906" i="3"/>
  <c r="H938" i="3"/>
  <c r="N938" i="3" s="1"/>
  <c r="D938" i="3"/>
  <c r="H970" i="3"/>
  <c r="N970" i="3" s="1"/>
  <c r="D970" i="3"/>
  <c r="H1002" i="3"/>
  <c r="N1002" i="3" s="1"/>
  <c r="D1002" i="3"/>
  <c r="H1034" i="3"/>
  <c r="N1034" i="3" s="1"/>
  <c r="D1034" i="3"/>
  <c r="H1066" i="3"/>
  <c r="N1066" i="3" s="1"/>
  <c r="D1066" i="3"/>
  <c r="H1098" i="3"/>
  <c r="N1098" i="3" s="1"/>
  <c r="D1098" i="3"/>
  <c r="H1130" i="3"/>
  <c r="N1130" i="3" s="1"/>
  <c r="D1130" i="3"/>
  <c r="H1162" i="3"/>
  <c r="N1162" i="3" s="1"/>
  <c r="D1162" i="3"/>
  <c r="H1194" i="3"/>
  <c r="N1194" i="3" s="1"/>
  <c r="D1194" i="3"/>
  <c r="H1226" i="3"/>
  <c r="N1226" i="3" s="1"/>
  <c r="D1226" i="3"/>
  <c r="H1258" i="3"/>
  <c r="D1258" i="3"/>
  <c r="H1290" i="3"/>
  <c r="D1290" i="3"/>
  <c r="H1322" i="3"/>
  <c r="D1322" i="3"/>
  <c r="H1354" i="3"/>
  <c r="D1354" i="3"/>
  <c r="H1386" i="3"/>
  <c r="D1386" i="3"/>
  <c r="G1418" i="3"/>
  <c r="M1418" i="3" s="1"/>
  <c r="D1418" i="3"/>
  <c r="H1450" i="3"/>
  <c r="D1450" i="3"/>
  <c r="G1482" i="3"/>
  <c r="M1482" i="3" s="1"/>
  <c r="D1482" i="3"/>
  <c r="H1514" i="3"/>
  <c r="D1514" i="3"/>
  <c r="G1546" i="3"/>
  <c r="M1546" i="3" s="1"/>
  <c r="D1546" i="3"/>
  <c r="H1578" i="3"/>
  <c r="D1578" i="3"/>
  <c r="H1610" i="3"/>
  <c r="D1610" i="3"/>
  <c r="H1642" i="3"/>
  <c r="D1642" i="3"/>
  <c r="H1674" i="3"/>
  <c r="D1674" i="3"/>
  <c r="H1706" i="3"/>
  <c r="D1706" i="3"/>
  <c r="H1738" i="3"/>
  <c r="D1738" i="3"/>
  <c r="H1770" i="3"/>
  <c r="D1770" i="3"/>
  <c r="H1802" i="3"/>
  <c r="D1802" i="3"/>
  <c r="H1834" i="3"/>
  <c r="D1834" i="3"/>
  <c r="G1866" i="3"/>
  <c r="M1866" i="3" s="1"/>
  <c r="D1866" i="3"/>
  <c r="H1898" i="3"/>
  <c r="N1898" i="3" s="1"/>
  <c r="D1898" i="3"/>
  <c r="G2348" i="3"/>
  <c r="M2348" i="3" s="1"/>
  <c r="D2348" i="3"/>
  <c r="G289" i="3"/>
  <c r="D289" i="3"/>
  <c r="G529" i="3"/>
  <c r="D529" i="3"/>
  <c r="G1041" i="3"/>
  <c r="D1041" i="3"/>
  <c r="G1361" i="3"/>
  <c r="M1361" i="3" s="1"/>
  <c r="D1361" i="3"/>
  <c r="G1545" i="3"/>
  <c r="M1545" i="3" s="1"/>
  <c r="D1545" i="3"/>
  <c r="G1998" i="3"/>
  <c r="M1998" i="3" s="1"/>
  <c r="D1998" i="3"/>
  <c r="G980" i="3"/>
  <c r="D980" i="3"/>
  <c r="G1012" i="3"/>
  <c r="D1012" i="3"/>
  <c r="G1044" i="3"/>
  <c r="D1044" i="3"/>
  <c r="G1076" i="3"/>
  <c r="D1076" i="3"/>
  <c r="G1180" i="3"/>
  <c r="D1180" i="3"/>
  <c r="D1228" i="3"/>
  <c r="D1268" i="3"/>
  <c r="G1308" i="3"/>
  <c r="M1308" i="3" s="1"/>
  <c r="D1308" i="3"/>
  <c r="G1548" i="3"/>
  <c r="M1548" i="3" s="1"/>
  <c r="D1548" i="3"/>
  <c r="G1588" i="3"/>
  <c r="M1588" i="3" s="1"/>
  <c r="D1588" i="3"/>
  <c r="G745" i="3"/>
  <c r="G544" i="3"/>
  <c r="G112" i="3"/>
  <c r="G1700" i="3"/>
  <c r="M1700" i="3" s="1"/>
  <c r="D1700" i="3"/>
  <c r="G1907" i="3"/>
  <c r="M1907" i="3" s="1"/>
  <c r="D1907" i="3"/>
  <c r="G1971" i="3"/>
  <c r="M1971" i="3" s="1"/>
  <c r="D1971" i="3"/>
  <c r="G2035" i="3"/>
  <c r="M2035" i="3" s="1"/>
  <c r="D2035" i="3"/>
  <c r="G2099" i="3"/>
  <c r="M2099" i="3" s="1"/>
  <c r="D2099" i="3"/>
  <c r="G2163" i="3"/>
  <c r="M2163" i="3" s="1"/>
  <c r="D2163" i="3"/>
  <c r="G2227" i="3"/>
  <c r="M2227" i="3" s="1"/>
  <c r="D2227" i="3"/>
  <c r="G2291" i="3"/>
  <c r="M2291" i="3" s="1"/>
  <c r="D2291" i="3"/>
  <c r="G2355" i="3"/>
  <c r="M2355" i="3" s="1"/>
  <c r="D2355" i="3"/>
  <c r="G2419" i="3"/>
  <c r="M2419" i="3" s="1"/>
  <c r="D2419" i="3"/>
  <c r="G2483" i="3"/>
  <c r="M2483" i="3" s="1"/>
  <c r="D2483" i="3"/>
  <c r="G2547" i="3"/>
  <c r="M2547" i="3" s="1"/>
  <c r="D2547" i="3"/>
  <c r="G2611" i="3"/>
  <c r="M2611" i="3" s="1"/>
  <c r="D2611" i="3"/>
  <c r="G1788" i="3"/>
  <c r="M1788" i="3" s="1"/>
  <c r="D1788" i="3"/>
  <c r="G1908" i="3"/>
  <c r="M1908" i="3" s="1"/>
  <c r="D1908" i="3"/>
  <c r="G2004" i="3"/>
  <c r="M2004" i="3" s="1"/>
  <c r="D2004" i="3"/>
  <c r="G2092" i="3"/>
  <c r="M2092" i="3" s="1"/>
  <c r="D2092" i="3"/>
  <c r="G2196" i="3"/>
  <c r="M2196" i="3" s="1"/>
  <c r="D2196" i="3"/>
  <c r="G2292" i="3"/>
  <c r="M2292" i="3" s="1"/>
  <c r="D2292" i="3"/>
  <c r="G2388" i="3"/>
  <c r="M2388" i="3" s="1"/>
  <c r="D2388" i="3"/>
  <c r="G2500" i="3"/>
  <c r="M2500" i="3" s="1"/>
  <c r="D2500" i="3"/>
  <c r="G2596" i="3"/>
  <c r="M2596" i="3" s="1"/>
  <c r="D2596" i="3"/>
  <c r="G1380" i="3"/>
  <c r="M1380" i="3" s="1"/>
  <c r="D1380" i="3"/>
  <c r="G2556" i="3"/>
  <c r="M2556" i="3" s="1"/>
  <c r="D2556" i="3"/>
  <c r="G1883" i="3"/>
  <c r="M1883" i="3" s="1"/>
  <c r="D1883" i="3"/>
  <c r="G2476" i="3"/>
  <c r="M2476" i="3" s="1"/>
  <c r="D2476" i="3"/>
  <c r="G315" i="3"/>
  <c r="D315" i="3"/>
  <c r="D323" i="3"/>
  <c r="D355" i="3"/>
  <c r="D387" i="3"/>
  <c r="D419" i="3"/>
  <c r="D451" i="3"/>
  <c r="D483" i="3"/>
  <c r="D515" i="3"/>
  <c r="D547" i="3"/>
  <c r="D579" i="3"/>
  <c r="D611" i="3"/>
  <c r="D643" i="3"/>
  <c r="D675" i="3"/>
  <c r="D707" i="3"/>
  <c r="D739" i="3"/>
  <c r="D771" i="3"/>
  <c r="D803" i="3"/>
  <c r="D835" i="3"/>
  <c r="D867" i="3"/>
  <c r="D899" i="3"/>
  <c r="G1156" i="3"/>
  <c r="D1156" i="3"/>
  <c r="G33" i="3"/>
  <c r="D33" i="3"/>
  <c r="G1915" i="3"/>
  <c r="M1915" i="3" s="1"/>
  <c r="D1915" i="3"/>
  <c r="G1979" i="3"/>
  <c r="M1979" i="3" s="1"/>
  <c r="D1979" i="3"/>
  <c r="G2043" i="3"/>
  <c r="M2043" i="3" s="1"/>
  <c r="D2043" i="3"/>
  <c r="G2107" i="3"/>
  <c r="M2107" i="3" s="1"/>
  <c r="D2107" i="3"/>
  <c r="G2171" i="3"/>
  <c r="M2171" i="3" s="1"/>
  <c r="D2171" i="3"/>
  <c r="G2235" i="3"/>
  <c r="M2235" i="3" s="1"/>
  <c r="D2235" i="3"/>
  <c r="G2299" i="3"/>
  <c r="M2299" i="3" s="1"/>
  <c r="D2299" i="3"/>
  <c r="G2363" i="3"/>
  <c r="M2363" i="3" s="1"/>
  <c r="D2363" i="3"/>
  <c r="G2427" i="3"/>
  <c r="M2427" i="3" s="1"/>
  <c r="D2427" i="3"/>
  <c r="G2491" i="3"/>
  <c r="M2491" i="3" s="1"/>
  <c r="D2491" i="3"/>
  <c r="G2555" i="3"/>
  <c r="M2555" i="3" s="1"/>
  <c r="D2555" i="3"/>
  <c r="G2619" i="3"/>
  <c r="M2619" i="3" s="1"/>
  <c r="D2619" i="3"/>
  <c r="D55" i="3"/>
  <c r="D103" i="3"/>
  <c r="D160" i="3"/>
  <c r="D200" i="3"/>
  <c r="D240" i="3"/>
  <c r="D296" i="3"/>
  <c r="D328" i="3"/>
  <c r="G307" i="3"/>
  <c r="D307" i="3"/>
  <c r="G1924" i="3"/>
  <c r="M1924" i="3" s="1"/>
  <c r="D1924" i="3"/>
  <c r="G2012" i="3"/>
  <c r="M2012" i="3" s="1"/>
  <c r="D2012" i="3"/>
  <c r="G2100" i="3"/>
  <c r="M2100" i="3" s="1"/>
  <c r="D2100" i="3"/>
  <c r="G2204" i="3"/>
  <c r="M2204" i="3" s="1"/>
  <c r="D2204" i="3"/>
  <c r="G2308" i="3"/>
  <c r="M2308" i="3" s="1"/>
  <c r="D2308" i="3"/>
  <c r="G2404" i="3"/>
  <c r="M2404" i="3" s="1"/>
  <c r="D2404" i="3"/>
  <c r="G2508" i="3"/>
  <c r="M2508" i="3" s="1"/>
  <c r="D2508" i="3"/>
  <c r="G2612" i="3"/>
  <c r="M2612" i="3" s="1"/>
  <c r="D2612" i="3"/>
  <c r="D56" i="3"/>
  <c r="D201" i="3"/>
  <c r="D273" i="3"/>
  <c r="D329" i="3"/>
  <c r="G1636" i="3"/>
  <c r="M1636" i="3" s="1"/>
  <c r="D1636" i="3"/>
  <c r="G74" i="3"/>
  <c r="I74" i="3" s="1"/>
  <c r="D74" i="3"/>
  <c r="D24" i="3"/>
  <c r="D57" i="3"/>
  <c r="D89" i="3"/>
  <c r="D121" i="3"/>
  <c r="D154" i="3"/>
  <c r="D202" i="3"/>
  <c r="D242" i="3"/>
  <c r="D282" i="3"/>
  <c r="D338" i="3"/>
  <c r="D370" i="3"/>
  <c r="D402" i="3"/>
  <c r="D434" i="3"/>
  <c r="D466" i="3"/>
  <c r="D498" i="3"/>
  <c r="D530" i="3"/>
  <c r="D562" i="3"/>
  <c r="D594" i="3"/>
  <c r="D626" i="3"/>
  <c r="D658" i="3"/>
  <c r="D690" i="3"/>
  <c r="D722" i="3"/>
  <c r="D754" i="3"/>
  <c r="D786" i="3"/>
  <c r="D818" i="3"/>
  <c r="D850" i="3"/>
  <c r="D882" i="3"/>
  <c r="D914" i="3"/>
  <c r="D946" i="3"/>
  <c r="D978" i="3"/>
  <c r="D1010" i="3"/>
  <c r="D1042" i="3"/>
  <c r="D1074" i="3"/>
  <c r="D1106" i="3"/>
  <c r="D1138" i="3"/>
  <c r="D1170" i="3"/>
  <c r="D1202" i="3"/>
  <c r="D1234" i="3"/>
  <c r="D1266" i="3"/>
  <c r="D1298" i="3"/>
  <c r="D1330" i="3"/>
  <c r="D1362" i="3"/>
  <c r="D1394" i="3"/>
  <c r="D1426" i="3"/>
  <c r="D1458" i="3"/>
  <c r="D1490" i="3"/>
  <c r="D1522" i="3"/>
  <c r="D1554" i="3"/>
  <c r="D1586" i="3"/>
  <c r="D1618" i="3"/>
  <c r="D1650" i="3"/>
  <c r="D1682" i="3"/>
  <c r="D1714" i="3"/>
  <c r="D1746" i="3"/>
  <c r="D1778" i="3"/>
  <c r="D1810" i="3"/>
  <c r="D1842" i="3"/>
  <c r="D1874" i="3"/>
  <c r="G972" i="3"/>
  <c r="D972" i="3"/>
  <c r="G2604" i="3"/>
  <c r="M2604" i="3" s="1"/>
  <c r="D2604" i="3"/>
  <c r="G1875" i="3"/>
  <c r="M1875" i="3" s="1"/>
  <c r="D1875" i="3"/>
  <c r="G868" i="3"/>
  <c r="D868" i="3"/>
  <c r="G900" i="3"/>
  <c r="D900" i="3"/>
  <c r="D1932" i="3"/>
  <c r="D2428" i="3"/>
  <c r="G1259" i="3"/>
  <c r="M1259" i="3" s="1"/>
  <c r="D1259" i="3"/>
  <c r="G1291" i="3"/>
  <c r="M1291" i="3" s="1"/>
  <c r="D1291" i="3"/>
  <c r="G1323" i="3"/>
  <c r="M1323" i="3" s="1"/>
  <c r="D1323" i="3"/>
  <c r="G1355" i="3"/>
  <c r="M1355" i="3" s="1"/>
  <c r="D1355" i="3"/>
  <c r="G1387" i="3"/>
  <c r="M1387" i="3" s="1"/>
  <c r="D1387" i="3"/>
  <c r="G1419" i="3"/>
  <c r="M1419" i="3" s="1"/>
  <c r="D1419" i="3"/>
  <c r="G1451" i="3"/>
  <c r="M1451" i="3" s="1"/>
  <c r="D1451" i="3"/>
  <c r="G1483" i="3"/>
  <c r="M1483" i="3" s="1"/>
  <c r="D1483" i="3"/>
  <c r="G1515" i="3"/>
  <c r="M1515" i="3" s="1"/>
  <c r="D1515" i="3"/>
  <c r="G1867" i="3"/>
  <c r="M1867" i="3" s="1"/>
  <c r="D1867" i="3"/>
  <c r="G308" i="3"/>
  <c r="D308" i="3"/>
  <c r="G356" i="3"/>
  <c r="D356" i="3"/>
  <c r="G388" i="3"/>
  <c r="D388" i="3"/>
  <c r="G428" i="3"/>
  <c r="D428" i="3"/>
  <c r="G828" i="3"/>
  <c r="D828" i="3"/>
  <c r="G44" i="3"/>
  <c r="D44" i="3"/>
  <c r="G76" i="3"/>
  <c r="I76" i="3" s="1"/>
  <c r="D76" i="3"/>
  <c r="G108" i="3"/>
  <c r="D108" i="3"/>
  <c r="G141" i="3"/>
  <c r="D141" i="3"/>
  <c r="G173" i="3"/>
  <c r="D173" i="3"/>
  <c r="G205" i="3"/>
  <c r="D205" i="3"/>
  <c r="G237" i="3"/>
  <c r="D237" i="3"/>
  <c r="G269" i="3"/>
  <c r="D269" i="3"/>
  <c r="G301" i="3"/>
  <c r="D301" i="3"/>
  <c r="G1931" i="3"/>
  <c r="M1931" i="3" s="1"/>
  <c r="D1931" i="3"/>
  <c r="G1995" i="3"/>
  <c r="M1995" i="3" s="1"/>
  <c r="D1995" i="3"/>
  <c r="G2059" i="3"/>
  <c r="M2059" i="3" s="1"/>
  <c r="D2059" i="3"/>
  <c r="G2123" i="3"/>
  <c r="M2123" i="3" s="1"/>
  <c r="D2123" i="3"/>
  <c r="G2187" i="3"/>
  <c r="M2187" i="3" s="1"/>
  <c r="D2187" i="3"/>
  <c r="G2251" i="3"/>
  <c r="M2251" i="3" s="1"/>
  <c r="D2251" i="3"/>
  <c r="G2315" i="3"/>
  <c r="M2315" i="3" s="1"/>
  <c r="D2315" i="3"/>
  <c r="G2379" i="3"/>
  <c r="M2379" i="3" s="1"/>
  <c r="D2379" i="3"/>
  <c r="G2443" i="3"/>
  <c r="M2443" i="3" s="1"/>
  <c r="D2443" i="3"/>
  <c r="G2507" i="3"/>
  <c r="M2507" i="3" s="1"/>
  <c r="D2507" i="3"/>
  <c r="G2571" i="3"/>
  <c r="M2571" i="3" s="1"/>
  <c r="D2571" i="3"/>
  <c r="G2635" i="3"/>
  <c r="M2635" i="3" s="1"/>
  <c r="D2635" i="3"/>
  <c r="D71" i="3"/>
  <c r="D119" i="3"/>
  <c r="D168" i="3"/>
  <c r="D208" i="3"/>
  <c r="D256" i="3"/>
  <c r="D304" i="3"/>
  <c r="G139" i="3"/>
  <c r="D139" i="3"/>
  <c r="G1948" i="3"/>
  <c r="M1948" i="3" s="1"/>
  <c r="D1948" i="3"/>
  <c r="G2028" i="3"/>
  <c r="M2028" i="3" s="1"/>
  <c r="D2028" i="3"/>
  <c r="G2124" i="3"/>
  <c r="M2124" i="3" s="1"/>
  <c r="D2124" i="3"/>
  <c r="G2228" i="3"/>
  <c r="M2228" i="3" s="1"/>
  <c r="D2228" i="3"/>
  <c r="G2332" i="3"/>
  <c r="M2332" i="3" s="1"/>
  <c r="D2332" i="3"/>
  <c r="G2436" i="3"/>
  <c r="M2436" i="3" s="1"/>
  <c r="D2436" i="3"/>
  <c r="G2532" i="3"/>
  <c r="M2532" i="3" s="1"/>
  <c r="D2532" i="3"/>
  <c r="G2636" i="3"/>
  <c r="M2636" i="3" s="1"/>
  <c r="D2636" i="3"/>
  <c r="D64" i="3"/>
  <c r="D120" i="3"/>
  <c r="D209" i="3"/>
  <c r="D305" i="3"/>
  <c r="D337" i="3"/>
  <c r="G1852" i="3"/>
  <c r="M1852" i="3" s="1"/>
  <c r="D1852" i="3"/>
  <c r="D32" i="3"/>
  <c r="D65" i="3"/>
  <c r="D97" i="3"/>
  <c r="D130" i="3"/>
  <c r="D170" i="3"/>
  <c r="D210" i="3"/>
  <c r="D250" i="3"/>
  <c r="D314" i="3"/>
  <c r="D346" i="3"/>
  <c r="D378" i="3"/>
  <c r="D410" i="3"/>
  <c r="D442" i="3"/>
  <c r="D474" i="3"/>
  <c r="D506" i="3"/>
  <c r="D538" i="3"/>
  <c r="D570" i="3"/>
  <c r="D602" i="3"/>
  <c r="D634" i="3"/>
  <c r="D666" i="3"/>
  <c r="D698" i="3"/>
  <c r="D730" i="3"/>
  <c r="D762" i="3"/>
  <c r="D794" i="3"/>
  <c r="D826" i="3"/>
  <c r="D858" i="3"/>
  <c r="D890" i="3"/>
  <c r="D922" i="3"/>
  <c r="D954" i="3"/>
  <c r="D986" i="3"/>
  <c r="D1018" i="3"/>
  <c r="D1050" i="3"/>
  <c r="D1082" i="3"/>
  <c r="D1114" i="3"/>
  <c r="D1146" i="3"/>
  <c r="D1178" i="3"/>
  <c r="D1210" i="3"/>
  <c r="D1242" i="3"/>
  <c r="D1274" i="3"/>
  <c r="D1306" i="3"/>
  <c r="D1338" i="3"/>
  <c r="D1370" i="3"/>
  <c r="D1402" i="3"/>
  <c r="D1434" i="3"/>
  <c r="D1466" i="3"/>
  <c r="D1498" i="3"/>
  <c r="D1530" i="3"/>
  <c r="D1562" i="3"/>
  <c r="D1594" i="3"/>
  <c r="D1626" i="3"/>
  <c r="D1658" i="3"/>
  <c r="D1690" i="3"/>
  <c r="D1722" i="3"/>
  <c r="D1754" i="3"/>
  <c r="D1786" i="3"/>
  <c r="D1818" i="3"/>
  <c r="D1850" i="3"/>
  <c r="D1882" i="3"/>
  <c r="G340" i="3"/>
  <c r="D340" i="3"/>
  <c r="G1980" i="3"/>
  <c r="M1980" i="3" s="1"/>
  <c r="D1980" i="3"/>
  <c r="G1876" i="3"/>
  <c r="M1876" i="3" s="1"/>
  <c r="D1876" i="3"/>
  <c r="H468" i="3"/>
  <c r="N468" i="3" s="1"/>
  <c r="H500" i="3"/>
  <c r="N500" i="3" s="1"/>
  <c r="H532" i="3"/>
  <c r="N532" i="3" s="1"/>
  <c r="H564" i="3"/>
  <c r="N564" i="3" s="1"/>
  <c r="H596" i="3"/>
  <c r="N596" i="3" s="1"/>
  <c r="H628" i="3"/>
  <c r="N628" i="3" s="1"/>
  <c r="G660" i="3"/>
  <c r="D660" i="3"/>
  <c r="H692" i="3"/>
  <c r="N692" i="3" s="1"/>
  <c r="G724" i="3"/>
  <c r="D724" i="3"/>
  <c r="H756" i="3"/>
  <c r="N756" i="3" s="1"/>
  <c r="G788" i="3"/>
  <c r="D788" i="3"/>
  <c r="D1401" i="3"/>
  <c r="G2183" i="3"/>
  <c r="M2183" i="3" s="1"/>
  <c r="G2255" i="3"/>
  <c r="M2255" i="3" s="1"/>
  <c r="H2287" i="3"/>
  <c r="G2319" i="3"/>
  <c r="M2319" i="3" s="1"/>
  <c r="G2359" i="3"/>
  <c r="M2359" i="3" s="1"/>
  <c r="G2495" i="3"/>
  <c r="M2495" i="3" s="1"/>
  <c r="H2535" i="3"/>
  <c r="D2535" i="3"/>
  <c r="G2567" i="3"/>
  <c r="M2567" i="3" s="1"/>
  <c r="G29" i="3"/>
  <c r="D29" i="3"/>
  <c r="G70" i="3"/>
  <c r="I70" i="3" s="1"/>
  <c r="D70" i="3"/>
  <c r="H102" i="3"/>
  <c r="N102" i="3" s="1"/>
  <c r="D102" i="3"/>
  <c r="G135" i="3"/>
  <c r="D135" i="3"/>
  <c r="H167" i="3"/>
  <c r="N167" i="3" s="1"/>
  <c r="D167" i="3"/>
  <c r="H231" i="3"/>
  <c r="N231" i="3" s="1"/>
  <c r="D231" i="3"/>
  <c r="G303" i="3"/>
  <c r="D303" i="3"/>
  <c r="H335" i="3"/>
  <c r="N335" i="3" s="1"/>
  <c r="D335" i="3"/>
  <c r="G375" i="3"/>
  <c r="D375" i="3"/>
  <c r="H407" i="3"/>
  <c r="N407" i="3" s="1"/>
  <c r="D407" i="3"/>
  <c r="G447" i="3"/>
  <c r="D447" i="3"/>
  <c r="H487" i="3"/>
  <c r="N487" i="3" s="1"/>
  <c r="D487" i="3"/>
  <c r="G519" i="3"/>
  <c r="D519" i="3"/>
  <c r="G559" i="3"/>
  <c r="D559" i="3"/>
  <c r="H591" i="3"/>
  <c r="N591" i="3" s="1"/>
  <c r="D591" i="3"/>
  <c r="G639" i="3"/>
  <c r="D639" i="3"/>
  <c r="H679" i="3"/>
  <c r="N679" i="3" s="1"/>
  <c r="D679" i="3"/>
  <c r="G711" i="3"/>
  <c r="D711" i="3"/>
  <c r="G751" i="3"/>
  <c r="D751" i="3"/>
  <c r="H783" i="3"/>
  <c r="N783" i="3" s="1"/>
  <c r="D783" i="3"/>
  <c r="G823" i="3"/>
  <c r="D823" i="3"/>
  <c r="H855" i="3"/>
  <c r="N855" i="3" s="1"/>
  <c r="D855" i="3"/>
  <c r="G895" i="3"/>
  <c r="D895" i="3"/>
  <c r="H935" i="3"/>
  <c r="N935" i="3" s="1"/>
  <c r="D935" i="3"/>
  <c r="G967" i="3"/>
  <c r="D967" i="3"/>
  <c r="G1007" i="3"/>
  <c r="D1007" i="3"/>
  <c r="H1039" i="3"/>
  <c r="N1039" i="3" s="1"/>
  <c r="D1039" i="3"/>
  <c r="G1079" i="3"/>
  <c r="D1079" i="3"/>
  <c r="H1111" i="3"/>
  <c r="N1111" i="3" s="1"/>
  <c r="D1111" i="3"/>
  <c r="G1151" i="3"/>
  <c r="D1151" i="3"/>
  <c r="H1191" i="3"/>
  <c r="N1191" i="3" s="1"/>
  <c r="D1191" i="3"/>
  <c r="G1223" i="3"/>
  <c r="D1223" i="3"/>
  <c r="G1279" i="3"/>
  <c r="M1279" i="3" s="1"/>
  <c r="D1279" i="3"/>
  <c r="G1407" i="3"/>
  <c r="M1407" i="3" s="1"/>
  <c r="D1407" i="3"/>
  <c r="G1479" i="3"/>
  <c r="M1479" i="3" s="1"/>
  <c r="D1479" i="3"/>
  <c r="H1623" i="3"/>
  <c r="D1623" i="3"/>
  <c r="H1751" i="3"/>
  <c r="D1751" i="3"/>
  <c r="H1951" i="3"/>
  <c r="D1951" i="3"/>
  <c r="H2015" i="3"/>
  <c r="D2015" i="3"/>
  <c r="H2135" i="3"/>
  <c r="D2135" i="3"/>
  <c r="G2167" i="3"/>
  <c r="M2167" i="3" s="1"/>
  <c r="D2167" i="3"/>
  <c r="G2215" i="3"/>
  <c r="M2215" i="3" s="1"/>
  <c r="D2215" i="3"/>
  <c r="G2383" i="3"/>
  <c r="M2383" i="3" s="1"/>
  <c r="D2383" i="3"/>
  <c r="H2415" i="3"/>
  <c r="D2415" i="3"/>
  <c r="H1759" i="3"/>
  <c r="D1759" i="3"/>
  <c r="G2064" i="3"/>
  <c r="M2064" i="3" s="1"/>
  <c r="D2064" i="3"/>
  <c r="G2320" i="3"/>
  <c r="M2320" i="3" s="1"/>
  <c r="D2320" i="3"/>
  <c r="G1464" i="3"/>
  <c r="M1464" i="3" s="1"/>
  <c r="D1464" i="3"/>
  <c r="G1496" i="3"/>
  <c r="M1496" i="3" s="1"/>
  <c r="D1496" i="3"/>
  <c r="G1528" i="3"/>
  <c r="M1528" i="3" s="1"/>
  <c r="D1528" i="3"/>
  <c r="H1560" i="3"/>
  <c r="D1560" i="3"/>
  <c r="H1592" i="3"/>
  <c r="D1592" i="3"/>
  <c r="G1624" i="3"/>
  <c r="M1624" i="3" s="1"/>
  <c r="D1624" i="3"/>
  <c r="H1656" i="3"/>
  <c r="D1656" i="3"/>
  <c r="H1688" i="3"/>
  <c r="D1688" i="3"/>
  <c r="G1720" i="3"/>
  <c r="M1720" i="3" s="1"/>
  <c r="D1720" i="3"/>
  <c r="G1752" i="3"/>
  <c r="M1752" i="3" s="1"/>
  <c r="D1752" i="3"/>
  <c r="G1784" i="3"/>
  <c r="M1784" i="3" s="1"/>
  <c r="D1784" i="3"/>
  <c r="G1816" i="3"/>
  <c r="M1816" i="3" s="1"/>
  <c r="D1816" i="3"/>
  <c r="G1864" i="3"/>
  <c r="M1864" i="3" s="1"/>
  <c r="D1864" i="3"/>
  <c r="H1721" i="3"/>
  <c r="D1721" i="3"/>
  <c r="H1785" i="3"/>
  <c r="D1785" i="3"/>
  <c r="G1841" i="3"/>
  <c r="M1841" i="3" s="1"/>
  <c r="D1841" i="3"/>
  <c r="H1913" i="3"/>
  <c r="D1913" i="3"/>
  <c r="G1945" i="3"/>
  <c r="M1945" i="3" s="1"/>
  <c r="D1945" i="3"/>
  <c r="G1985" i="3"/>
  <c r="M1985" i="3" s="1"/>
  <c r="D1985" i="3"/>
  <c r="G2025" i="3"/>
  <c r="M2025" i="3" s="1"/>
  <c r="D2025" i="3"/>
  <c r="G2057" i="3"/>
  <c r="M2057" i="3" s="1"/>
  <c r="D2057" i="3"/>
  <c r="G2089" i="3"/>
  <c r="M2089" i="3" s="1"/>
  <c r="D2089" i="3"/>
  <c r="G2121" i="3"/>
  <c r="M2121" i="3" s="1"/>
  <c r="D2121" i="3"/>
  <c r="G2153" i="3"/>
  <c r="M2153" i="3" s="1"/>
  <c r="D2153" i="3"/>
  <c r="G2185" i="3"/>
  <c r="M2185" i="3" s="1"/>
  <c r="D2185" i="3"/>
  <c r="H2225" i="3"/>
  <c r="D2225" i="3"/>
  <c r="G2257" i="3"/>
  <c r="M2257" i="3" s="1"/>
  <c r="D2257" i="3"/>
  <c r="G2289" i="3"/>
  <c r="M2289" i="3" s="1"/>
  <c r="D2289" i="3"/>
  <c r="G2321" i="3"/>
  <c r="M2321" i="3" s="1"/>
  <c r="D2321" i="3"/>
  <c r="G2361" i="3"/>
  <c r="M2361" i="3" s="1"/>
  <c r="D2361" i="3"/>
  <c r="G2393" i="3"/>
  <c r="M2393" i="3" s="1"/>
  <c r="D2393" i="3"/>
  <c r="G2425" i="3"/>
  <c r="M2425" i="3" s="1"/>
  <c r="D2425" i="3"/>
  <c r="G2465" i="3"/>
  <c r="M2465" i="3" s="1"/>
  <c r="D2465" i="3"/>
  <c r="G2497" i="3"/>
  <c r="M2497" i="3" s="1"/>
  <c r="D2497" i="3"/>
  <c r="G2529" i="3"/>
  <c r="M2529" i="3" s="1"/>
  <c r="D2529" i="3"/>
  <c r="G2561" i="3"/>
  <c r="M2561" i="3" s="1"/>
  <c r="D2561" i="3"/>
  <c r="G2601" i="3"/>
  <c r="M2601" i="3" s="1"/>
  <c r="D2601" i="3"/>
  <c r="G2633" i="3"/>
  <c r="M2633" i="3" s="1"/>
  <c r="D2633" i="3"/>
  <c r="H1455" i="3"/>
  <c r="D1455" i="3"/>
  <c r="H1976" i="3"/>
  <c r="D1976" i="3"/>
  <c r="H2232" i="3"/>
  <c r="D2232" i="3"/>
  <c r="H1375" i="3"/>
  <c r="D1375" i="3"/>
  <c r="G8" i="3"/>
  <c r="G2496" i="3"/>
  <c r="M2496" i="3" s="1"/>
  <c r="D2496" i="3"/>
  <c r="G2512" i="3"/>
  <c r="M2512" i="3" s="1"/>
  <c r="D2512" i="3"/>
  <c r="D2457" i="3"/>
  <c r="G212" i="3"/>
  <c r="D212" i="3"/>
  <c r="G244" i="3"/>
  <c r="D244" i="3"/>
  <c r="G276" i="3"/>
  <c r="D276" i="3"/>
  <c r="D316" i="3"/>
  <c r="G364" i="3"/>
  <c r="D364" i="3"/>
  <c r="G436" i="3"/>
  <c r="D436" i="3"/>
  <c r="G476" i="3"/>
  <c r="D476" i="3"/>
  <c r="G508" i="3"/>
  <c r="D508" i="3"/>
  <c r="G540" i="3"/>
  <c r="D540" i="3"/>
  <c r="G572" i="3"/>
  <c r="D572" i="3"/>
  <c r="G636" i="3"/>
  <c r="D636" i="3"/>
  <c r="G700" i="3"/>
  <c r="D700" i="3"/>
  <c r="G764" i="3"/>
  <c r="D764" i="3"/>
  <c r="G988" i="3"/>
  <c r="D988" i="3"/>
  <c r="G1020" i="3"/>
  <c r="D1020" i="3"/>
  <c r="G1052" i="3"/>
  <c r="D1052" i="3"/>
  <c r="G1084" i="3"/>
  <c r="D1084" i="3"/>
  <c r="G1324" i="3"/>
  <c r="M1324" i="3" s="1"/>
  <c r="D1324" i="3"/>
  <c r="G1356" i="3"/>
  <c r="M1356" i="3" s="1"/>
  <c r="D1356" i="3"/>
  <c r="D1396" i="3"/>
  <c r="G1556" i="3"/>
  <c r="M1556" i="3" s="1"/>
  <c r="D1556" i="3"/>
  <c r="D1628" i="3"/>
  <c r="D199" i="3"/>
  <c r="D263" i="3"/>
  <c r="D1319" i="3"/>
  <c r="D2455" i="3"/>
  <c r="D1873" i="3"/>
  <c r="G52" i="3"/>
  <c r="I52" i="3" s="1"/>
  <c r="D52" i="3"/>
  <c r="G84" i="3"/>
  <c r="I84" i="3" s="1"/>
  <c r="D84" i="3"/>
  <c r="G116" i="3"/>
  <c r="D116" i="3"/>
  <c r="G149" i="3"/>
  <c r="D149" i="3"/>
  <c r="G181" i="3"/>
  <c r="D181" i="3"/>
  <c r="G213" i="3"/>
  <c r="D213" i="3"/>
  <c r="G245" i="3"/>
  <c r="D245" i="3"/>
  <c r="G277" i="3"/>
  <c r="D277" i="3"/>
  <c r="G309" i="3"/>
  <c r="D309" i="3"/>
  <c r="G341" i="3"/>
  <c r="D341" i="3"/>
  <c r="G373" i="3"/>
  <c r="D373" i="3"/>
  <c r="G405" i="3"/>
  <c r="D405" i="3"/>
  <c r="G437" i="3"/>
  <c r="D437" i="3"/>
  <c r="G469" i="3"/>
  <c r="D469" i="3"/>
  <c r="G501" i="3"/>
  <c r="D501" i="3"/>
  <c r="G533" i="3"/>
  <c r="D533" i="3"/>
  <c r="G565" i="3"/>
  <c r="D565" i="3"/>
  <c r="G597" i="3"/>
  <c r="D597" i="3"/>
  <c r="G629" i="3"/>
  <c r="D629" i="3"/>
  <c r="G661" i="3"/>
  <c r="D661" i="3"/>
  <c r="G693" i="3"/>
  <c r="D693" i="3"/>
  <c r="G725" i="3"/>
  <c r="D725" i="3"/>
  <c r="G757" i="3"/>
  <c r="D757" i="3"/>
  <c r="G789" i="3"/>
  <c r="D789" i="3"/>
  <c r="G821" i="3"/>
  <c r="D821" i="3"/>
  <c r="G853" i="3"/>
  <c r="D853" i="3"/>
  <c r="G885" i="3"/>
  <c r="D885" i="3"/>
  <c r="G917" i="3"/>
  <c r="D917" i="3"/>
  <c r="G949" i="3"/>
  <c r="D949" i="3"/>
  <c r="G981" i="3"/>
  <c r="D981" i="3"/>
  <c r="G1013" i="3"/>
  <c r="D1013" i="3"/>
  <c r="G1045" i="3"/>
  <c r="D1045" i="3"/>
  <c r="G1077" i="3"/>
  <c r="D1077" i="3"/>
  <c r="G1109" i="3"/>
  <c r="D1109" i="3"/>
  <c r="G1141" i="3"/>
  <c r="D1141" i="3"/>
  <c r="G1173" i="3"/>
  <c r="D1173" i="3"/>
  <c r="G1205" i="3"/>
  <c r="D1205" i="3"/>
  <c r="G1237" i="3"/>
  <c r="M1237" i="3" s="1"/>
  <c r="D1237" i="3"/>
  <c r="G1269" i="3"/>
  <c r="M1269" i="3" s="1"/>
  <c r="D1269" i="3"/>
  <c r="G1301" i="3"/>
  <c r="M1301" i="3" s="1"/>
  <c r="D1301" i="3"/>
  <c r="G1333" i="3"/>
  <c r="M1333" i="3" s="1"/>
  <c r="D1333" i="3"/>
  <c r="G1365" i="3"/>
  <c r="M1365" i="3" s="1"/>
  <c r="D1365" i="3"/>
  <c r="G1397" i="3"/>
  <c r="M1397" i="3" s="1"/>
  <c r="D1397" i="3"/>
  <c r="G1429" i="3"/>
  <c r="M1429" i="3" s="1"/>
  <c r="D1429" i="3"/>
  <c r="G1461" i="3"/>
  <c r="M1461" i="3" s="1"/>
  <c r="D1461" i="3"/>
  <c r="G1493" i="3"/>
  <c r="M1493" i="3" s="1"/>
  <c r="D1493" i="3"/>
  <c r="G1525" i="3"/>
  <c r="M1525" i="3" s="1"/>
  <c r="D1525" i="3"/>
  <c r="G1557" i="3"/>
  <c r="M1557" i="3" s="1"/>
  <c r="D1557" i="3"/>
  <c r="G1589" i="3"/>
  <c r="M1589" i="3" s="1"/>
  <c r="D1589" i="3"/>
  <c r="G1621" i="3"/>
  <c r="M1621" i="3" s="1"/>
  <c r="D1621" i="3"/>
  <c r="G1653" i="3"/>
  <c r="M1653" i="3" s="1"/>
  <c r="D1653" i="3"/>
  <c r="G1685" i="3"/>
  <c r="M1685" i="3" s="1"/>
  <c r="D1685" i="3"/>
  <c r="G1717" i="3"/>
  <c r="M1717" i="3" s="1"/>
  <c r="D1717" i="3"/>
  <c r="G1749" i="3"/>
  <c r="M1749" i="3" s="1"/>
  <c r="D1749" i="3"/>
  <c r="G1781" i="3"/>
  <c r="M1781" i="3" s="1"/>
  <c r="D1781" i="3"/>
  <c r="G1813" i="3"/>
  <c r="M1813" i="3" s="1"/>
  <c r="D1813" i="3"/>
  <c r="G1845" i="3"/>
  <c r="M1845" i="3" s="1"/>
  <c r="D1845" i="3"/>
  <c r="G1877" i="3"/>
  <c r="M1877" i="3" s="1"/>
  <c r="D1877" i="3"/>
  <c r="G1909" i="3"/>
  <c r="M1909" i="3" s="1"/>
  <c r="D1909" i="3"/>
  <c r="G1941" i="3"/>
  <c r="M1941" i="3" s="1"/>
  <c r="D1941" i="3"/>
  <c r="G1973" i="3"/>
  <c r="M1973" i="3" s="1"/>
  <c r="D1973" i="3"/>
  <c r="G2005" i="3"/>
  <c r="M2005" i="3" s="1"/>
  <c r="D2005" i="3"/>
  <c r="G2037" i="3"/>
  <c r="M2037" i="3" s="1"/>
  <c r="D2037" i="3"/>
  <c r="G2069" i="3"/>
  <c r="M2069" i="3" s="1"/>
  <c r="D2069" i="3"/>
  <c r="G2101" i="3"/>
  <c r="M2101" i="3" s="1"/>
  <c r="D2101" i="3"/>
  <c r="G2133" i="3"/>
  <c r="M2133" i="3" s="1"/>
  <c r="D2133" i="3"/>
  <c r="G2165" i="3"/>
  <c r="M2165" i="3" s="1"/>
  <c r="D2165" i="3"/>
  <c r="G2197" i="3"/>
  <c r="M2197" i="3" s="1"/>
  <c r="D2197" i="3"/>
  <c r="G2229" i="3"/>
  <c r="M2229" i="3" s="1"/>
  <c r="D2229" i="3"/>
  <c r="G2261" i="3"/>
  <c r="M2261" i="3" s="1"/>
  <c r="D2261" i="3"/>
  <c r="G2293" i="3"/>
  <c r="M2293" i="3" s="1"/>
  <c r="D2293" i="3"/>
  <c r="G2325" i="3"/>
  <c r="M2325" i="3" s="1"/>
  <c r="D2325" i="3"/>
  <c r="G2357" i="3"/>
  <c r="M2357" i="3" s="1"/>
  <c r="D2357" i="3"/>
  <c r="G2389" i="3"/>
  <c r="M2389" i="3" s="1"/>
  <c r="D2389" i="3"/>
  <c r="G2421" i="3"/>
  <c r="M2421" i="3" s="1"/>
  <c r="D2421" i="3"/>
  <c r="G2453" i="3"/>
  <c r="M2453" i="3" s="1"/>
  <c r="D2453" i="3"/>
  <c r="G2485" i="3"/>
  <c r="M2485" i="3" s="1"/>
  <c r="D2485" i="3"/>
  <c r="G2517" i="3"/>
  <c r="M2517" i="3" s="1"/>
  <c r="D2517" i="3"/>
  <c r="G2549" i="3"/>
  <c r="M2549" i="3" s="1"/>
  <c r="D2549" i="3"/>
  <c r="G2581" i="3"/>
  <c r="M2581" i="3" s="1"/>
  <c r="D2581" i="3"/>
  <c r="G2613" i="3"/>
  <c r="M2613" i="3" s="1"/>
  <c r="D2613" i="3"/>
  <c r="D2524" i="3"/>
  <c r="D1572" i="3"/>
  <c r="D2060" i="3"/>
  <c r="G292" i="3"/>
  <c r="D292" i="3"/>
  <c r="D604" i="3"/>
  <c r="D668" i="3"/>
  <c r="D732" i="3"/>
  <c r="D804" i="3"/>
  <c r="D836" i="3"/>
  <c r="D876" i="3"/>
  <c r="D924" i="3"/>
  <c r="D956" i="3"/>
  <c r="D1116" i="3"/>
  <c r="D1364" i="3"/>
  <c r="G1436" i="3"/>
  <c r="M1436" i="3" s="1"/>
  <c r="D1436" i="3"/>
  <c r="D1604" i="3"/>
  <c r="G1644" i="3"/>
  <c r="M1644" i="3" s="1"/>
  <c r="D1644" i="3"/>
  <c r="G1676" i="3"/>
  <c r="M1676" i="3" s="1"/>
  <c r="D1676" i="3"/>
  <c r="D1716" i="3"/>
  <c r="D1070" i="3"/>
  <c r="D5" i="3"/>
  <c r="D1423" i="3"/>
  <c r="D1575" i="3"/>
  <c r="D1871" i="3"/>
  <c r="D1935" i="3"/>
  <c r="D2327" i="3"/>
  <c r="D37" i="3"/>
  <c r="D78" i="3"/>
  <c r="D110" i="3"/>
  <c r="D143" i="3"/>
  <c r="D175" i="3"/>
  <c r="D207" i="3"/>
  <c r="D239" i="3"/>
  <c r="D271" i="3"/>
  <c r="D343" i="3"/>
  <c r="D383" i="3"/>
  <c r="D423" i="3"/>
  <c r="D455" i="3"/>
  <c r="D495" i="3"/>
  <c r="D527" i="3"/>
  <c r="D599" i="3"/>
  <c r="D647" i="3"/>
  <c r="D687" i="3"/>
  <c r="D719" i="3"/>
  <c r="D759" i="3"/>
  <c r="D791" i="3"/>
  <c r="D831" i="3"/>
  <c r="D871" i="3"/>
  <c r="D903" i="3"/>
  <c r="D943" i="3"/>
  <c r="D975" i="3"/>
  <c r="D1015" i="3"/>
  <c r="D1047" i="3"/>
  <c r="D1087" i="3"/>
  <c r="D1159" i="3"/>
  <c r="D1199" i="3"/>
  <c r="D1287" i="3"/>
  <c r="D1367" i="3"/>
  <c r="D1415" i="3"/>
  <c r="D1527" i="3"/>
  <c r="D1655" i="3"/>
  <c r="D1799" i="3"/>
  <c r="D1967" i="3"/>
  <c r="D2031" i="3"/>
  <c r="D2143" i="3"/>
  <c r="D2175" i="3"/>
  <c r="D2231" i="3"/>
  <c r="D2391" i="3"/>
  <c r="D2423" i="3"/>
  <c r="D2471" i="3"/>
  <c r="D1472" i="3"/>
  <c r="D1504" i="3"/>
  <c r="D1536" i="3"/>
  <c r="D1568" i="3"/>
  <c r="D1600" i="3"/>
  <c r="D1632" i="3"/>
  <c r="D1664" i="3"/>
  <c r="D1696" i="3"/>
  <c r="D1728" i="3"/>
  <c r="D1760" i="3"/>
  <c r="D1792" i="3"/>
  <c r="D1824" i="3"/>
  <c r="D1872" i="3"/>
  <c r="D1737" i="3"/>
  <c r="D1801" i="3"/>
  <c r="D1849" i="3"/>
  <c r="D1881" i="3"/>
  <c r="D1921" i="3"/>
  <c r="D1961" i="3"/>
  <c r="D1993" i="3"/>
  <c r="D2033" i="3"/>
  <c r="D2065" i="3"/>
  <c r="D2097" i="3"/>
  <c r="D2129" i="3"/>
  <c r="D2161" i="3"/>
  <c r="D2193" i="3"/>
  <c r="D2233" i="3"/>
  <c r="D2265" i="3"/>
  <c r="D2297" i="3"/>
  <c r="D2337" i="3"/>
  <c r="D2369" i="3"/>
  <c r="D2401" i="3"/>
  <c r="D2433" i="3"/>
  <c r="D2473" i="3"/>
  <c r="D2505" i="3"/>
  <c r="D2537" i="3"/>
  <c r="D2569" i="3"/>
  <c r="D2609" i="3"/>
  <c r="D2641" i="3"/>
  <c r="D2544" i="3"/>
  <c r="D1316" i="3"/>
  <c r="D2492" i="3"/>
  <c r="G763" i="3"/>
  <c r="D763" i="3"/>
  <c r="G795" i="3"/>
  <c r="D795" i="3"/>
  <c r="G827" i="3"/>
  <c r="D827" i="3"/>
  <c r="G859" i="3"/>
  <c r="D859" i="3"/>
  <c r="G891" i="3"/>
  <c r="D891" i="3"/>
  <c r="G923" i="3"/>
  <c r="D923" i="3"/>
  <c r="G955" i="3"/>
  <c r="D955" i="3"/>
  <c r="G987" i="3"/>
  <c r="D987" i="3"/>
  <c r="G1019" i="3"/>
  <c r="D1019" i="3"/>
  <c r="G1051" i="3"/>
  <c r="D1051" i="3"/>
  <c r="G1083" i="3"/>
  <c r="D1083" i="3"/>
  <c r="G1115" i="3"/>
  <c r="D1115" i="3"/>
  <c r="G1147" i="3"/>
  <c r="D1147" i="3"/>
  <c r="G1179" i="3"/>
  <c r="D1179" i="3"/>
  <c r="G1211" i="3"/>
  <c r="D1211" i="3"/>
  <c r="G1243" i="3"/>
  <c r="M1243" i="3" s="1"/>
  <c r="D1243" i="3"/>
  <c r="G1275" i="3"/>
  <c r="M1275" i="3" s="1"/>
  <c r="D1275" i="3"/>
  <c r="G1307" i="3"/>
  <c r="M1307" i="3" s="1"/>
  <c r="D1307" i="3"/>
  <c r="G1339" i="3"/>
  <c r="M1339" i="3" s="1"/>
  <c r="D1339" i="3"/>
  <c r="G1371" i="3"/>
  <c r="M1371" i="3" s="1"/>
  <c r="D1371" i="3"/>
  <c r="G1403" i="3"/>
  <c r="M1403" i="3" s="1"/>
  <c r="D1403" i="3"/>
  <c r="G1435" i="3"/>
  <c r="M1435" i="3" s="1"/>
  <c r="D1435" i="3"/>
  <c r="G1467" i="3"/>
  <c r="M1467" i="3" s="1"/>
  <c r="D1467" i="3"/>
  <c r="G1499" i="3"/>
  <c r="M1499" i="3" s="1"/>
  <c r="D1499" i="3"/>
  <c r="G1531" i="3"/>
  <c r="M1531" i="3" s="1"/>
  <c r="D1531" i="3"/>
  <c r="G1563" i="3"/>
  <c r="M1563" i="3" s="1"/>
  <c r="D1563" i="3"/>
  <c r="G1595" i="3"/>
  <c r="M1595" i="3" s="1"/>
  <c r="D1595" i="3"/>
  <c r="G1627" i="3"/>
  <c r="M1627" i="3" s="1"/>
  <c r="D1627" i="3"/>
  <c r="G1659" i="3"/>
  <c r="M1659" i="3" s="1"/>
  <c r="D1659" i="3"/>
  <c r="G1691" i="3"/>
  <c r="M1691" i="3" s="1"/>
  <c r="D1691" i="3"/>
  <c r="G1723" i="3"/>
  <c r="M1723" i="3" s="1"/>
  <c r="D1723" i="3"/>
  <c r="G1755" i="3"/>
  <c r="M1755" i="3" s="1"/>
  <c r="D1755" i="3"/>
  <c r="G1787" i="3"/>
  <c r="M1787" i="3" s="1"/>
  <c r="D1787" i="3"/>
  <c r="G1819" i="3"/>
  <c r="M1819" i="3" s="1"/>
  <c r="D1819" i="3"/>
  <c r="G26" i="3"/>
  <c r="D26" i="3"/>
  <c r="G59" i="3"/>
  <c r="I59" i="3" s="1"/>
  <c r="D59" i="3"/>
  <c r="G91" i="3"/>
  <c r="K91" i="3" s="1"/>
  <c r="D91" i="3"/>
  <c r="G123" i="3"/>
  <c r="D123" i="3"/>
  <c r="G156" i="3"/>
  <c r="D156" i="3"/>
  <c r="G188" i="3"/>
  <c r="D188" i="3"/>
  <c r="G220" i="3"/>
  <c r="D220" i="3"/>
  <c r="G252" i="3"/>
  <c r="D252" i="3"/>
  <c r="G484" i="3"/>
  <c r="D484" i="3"/>
  <c r="G516" i="3"/>
  <c r="D516" i="3"/>
  <c r="G548" i="3"/>
  <c r="D548" i="3"/>
  <c r="G580" i="3"/>
  <c r="D580" i="3"/>
  <c r="G612" i="3"/>
  <c r="D612" i="3"/>
  <c r="G644" i="3"/>
  <c r="D644" i="3"/>
  <c r="G676" i="3"/>
  <c r="D676" i="3"/>
  <c r="G708" i="3"/>
  <c r="D708" i="3"/>
  <c r="G740" i="3"/>
  <c r="D740" i="3"/>
  <c r="G772" i="3"/>
  <c r="D772" i="3"/>
  <c r="G1132" i="3"/>
  <c r="D1132" i="3"/>
  <c r="G1164" i="3"/>
  <c r="D1164" i="3"/>
  <c r="G1412" i="3"/>
  <c r="M1412" i="3" s="1"/>
  <c r="D1412" i="3"/>
  <c r="G1756" i="3"/>
  <c r="M1756" i="3" s="1"/>
  <c r="D1756" i="3"/>
  <c r="G1844" i="3"/>
  <c r="M1844" i="3" s="1"/>
  <c r="D1844" i="3"/>
  <c r="G27" i="3"/>
  <c r="D27" i="3"/>
  <c r="G60" i="3"/>
  <c r="I60" i="3" s="1"/>
  <c r="D60" i="3"/>
  <c r="G92" i="3"/>
  <c r="K92" i="3" s="1"/>
  <c r="D92" i="3"/>
  <c r="G125" i="3"/>
  <c r="D125" i="3"/>
  <c r="G157" i="3"/>
  <c r="D157" i="3"/>
  <c r="G189" i="3"/>
  <c r="D189" i="3"/>
  <c r="G221" i="3"/>
  <c r="D221" i="3"/>
  <c r="G253" i="3"/>
  <c r="D253" i="3"/>
  <c r="G285" i="3"/>
  <c r="D285" i="3"/>
  <c r="G317" i="3"/>
  <c r="D317" i="3"/>
  <c r="G349" i="3"/>
  <c r="D349" i="3"/>
  <c r="G381" i="3"/>
  <c r="D381" i="3"/>
  <c r="G413" i="3"/>
  <c r="D413" i="3"/>
  <c r="G445" i="3"/>
  <c r="D445" i="3"/>
  <c r="G477" i="3"/>
  <c r="D477" i="3"/>
  <c r="G509" i="3"/>
  <c r="D509" i="3"/>
  <c r="G541" i="3"/>
  <c r="D541" i="3"/>
  <c r="G573" i="3"/>
  <c r="D573" i="3"/>
  <c r="G605" i="3"/>
  <c r="D605" i="3"/>
  <c r="G637" i="3"/>
  <c r="D637" i="3"/>
  <c r="G669" i="3"/>
  <c r="D669" i="3"/>
  <c r="G701" i="3"/>
  <c r="D701" i="3"/>
  <c r="G733" i="3"/>
  <c r="D733" i="3"/>
  <c r="G765" i="3"/>
  <c r="D765" i="3"/>
  <c r="G797" i="3"/>
  <c r="D797" i="3"/>
  <c r="G829" i="3"/>
  <c r="D829" i="3"/>
  <c r="G861" i="3"/>
  <c r="D861" i="3"/>
  <c r="G893" i="3"/>
  <c r="D893" i="3"/>
  <c r="G925" i="3"/>
  <c r="D925" i="3"/>
  <c r="G957" i="3"/>
  <c r="D957" i="3"/>
  <c r="G989" i="3"/>
  <c r="D989" i="3"/>
  <c r="G1021" i="3"/>
  <c r="D1021" i="3"/>
  <c r="G1053" i="3"/>
  <c r="D1053" i="3"/>
  <c r="G1085" i="3"/>
  <c r="D1085" i="3"/>
  <c r="G1117" i="3"/>
  <c r="D1117" i="3"/>
  <c r="G1149" i="3"/>
  <c r="D1149" i="3"/>
  <c r="G1181" i="3"/>
  <c r="D1181" i="3"/>
  <c r="G1213" i="3"/>
  <c r="D1213" i="3"/>
  <c r="G1245" i="3"/>
  <c r="M1245" i="3" s="1"/>
  <c r="D1245" i="3"/>
  <c r="G1277" i="3"/>
  <c r="M1277" i="3" s="1"/>
  <c r="D1277" i="3"/>
  <c r="G1309" i="3"/>
  <c r="M1309" i="3" s="1"/>
  <c r="D1309" i="3"/>
  <c r="G1341" i="3"/>
  <c r="M1341" i="3" s="1"/>
  <c r="D1341" i="3"/>
  <c r="G1373" i="3"/>
  <c r="M1373" i="3" s="1"/>
  <c r="D1373" i="3"/>
  <c r="G1405" i="3"/>
  <c r="M1405" i="3" s="1"/>
  <c r="D1405" i="3"/>
  <c r="G1437" i="3"/>
  <c r="M1437" i="3" s="1"/>
  <c r="D1437" i="3"/>
  <c r="G1469" i="3"/>
  <c r="M1469" i="3" s="1"/>
  <c r="D1469" i="3"/>
  <c r="G1501" i="3"/>
  <c r="M1501" i="3" s="1"/>
  <c r="D1501" i="3"/>
  <c r="G1533" i="3"/>
  <c r="M1533" i="3" s="1"/>
  <c r="D1533" i="3"/>
  <c r="G1565" i="3"/>
  <c r="M1565" i="3" s="1"/>
  <c r="D1565" i="3"/>
  <c r="G1597" i="3"/>
  <c r="M1597" i="3" s="1"/>
  <c r="D1597" i="3"/>
  <c r="G1629" i="3"/>
  <c r="M1629" i="3" s="1"/>
  <c r="D1629" i="3"/>
  <c r="G1661" i="3"/>
  <c r="M1661" i="3" s="1"/>
  <c r="D1661" i="3"/>
  <c r="G1693" i="3"/>
  <c r="M1693" i="3" s="1"/>
  <c r="D1693" i="3"/>
  <c r="G1725" i="3"/>
  <c r="M1725" i="3" s="1"/>
  <c r="D1725" i="3"/>
  <c r="G1757" i="3"/>
  <c r="M1757" i="3" s="1"/>
  <c r="D1757" i="3"/>
  <c r="G1789" i="3"/>
  <c r="M1789" i="3" s="1"/>
  <c r="D1789" i="3"/>
  <c r="G1821" i="3"/>
  <c r="M1821" i="3" s="1"/>
  <c r="D1821" i="3"/>
  <c r="G1853" i="3"/>
  <c r="M1853" i="3" s="1"/>
  <c r="D1853" i="3"/>
  <c r="G1885" i="3"/>
  <c r="M1885" i="3" s="1"/>
  <c r="D1885" i="3"/>
  <c r="G1917" i="3"/>
  <c r="M1917" i="3" s="1"/>
  <c r="D1917" i="3"/>
  <c r="G1949" i="3"/>
  <c r="M1949" i="3" s="1"/>
  <c r="D1949" i="3"/>
  <c r="G1981" i="3"/>
  <c r="M1981" i="3" s="1"/>
  <c r="D1981" i="3"/>
  <c r="G2013" i="3"/>
  <c r="M2013" i="3" s="1"/>
  <c r="D2013" i="3"/>
  <c r="G2045" i="3"/>
  <c r="M2045" i="3" s="1"/>
  <c r="D2045" i="3"/>
  <c r="G2077" i="3"/>
  <c r="M2077" i="3" s="1"/>
  <c r="D2077" i="3"/>
  <c r="G2109" i="3"/>
  <c r="M2109" i="3" s="1"/>
  <c r="D2109" i="3"/>
  <c r="G2141" i="3"/>
  <c r="M2141" i="3" s="1"/>
  <c r="D2141" i="3"/>
  <c r="G2173" i="3"/>
  <c r="M2173" i="3" s="1"/>
  <c r="D2173" i="3"/>
  <c r="G2205" i="3"/>
  <c r="M2205" i="3" s="1"/>
  <c r="D2205" i="3"/>
  <c r="G2237" i="3"/>
  <c r="M2237" i="3" s="1"/>
  <c r="D2237" i="3"/>
  <c r="G2269" i="3"/>
  <c r="M2269" i="3" s="1"/>
  <c r="D2269" i="3"/>
  <c r="G2301" i="3"/>
  <c r="M2301" i="3" s="1"/>
  <c r="D2301" i="3"/>
  <c r="G2333" i="3"/>
  <c r="M2333" i="3" s="1"/>
  <c r="D2333" i="3"/>
  <c r="G2365" i="3"/>
  <c r="M2365" i="3" s="1"/>
  <c r="D2365" i="3"/>
  <c r="G2397" i="3"/>
  <c r="M2397" i="3" s="1"/>
  <c r="D2397" i="3"/>
  <c r="G2429" i="3"/>
  <c r="M2429" i="3" s="1"/>
  <c r="D2429" i="3"/>
  <c r="G2461" i="3"/>
  <c r="M2461" i="3" s="1"/>
  <c r="D2461" i="3"/>
  <c r="G2493" i="3"/>
  <c r="M2493" i="3" s="1"/>
  <c r="D2493" i="3"/>
  <c r="G2525" i="3"/>
  <c r="M2525" i="3" s="1"/>
  <c r="D2525" i="3"/>
  <c r="G2557" i="3"/>
  <c r="M2557" i="3" s="1"/>
  <c r="D2557" i="3"/>
  <c r="G2589" i="3"/>
  <c r="M2589" i="3" s="1"/>
  <c r="D2589" i="3"/>
  <c r="G2621" i="3"/>
  <c r="M2621" i="3" s="1"/>
  <c r="D2621" i="3"/>
  <c r="D2268" i="3"/>
  <c r="G1152" i="3"/>
  <c r="D1152" i="3"/>
  <c r="G34" i="3"/>
  <c r="D34" i="3"/>
  <c r="G99" i="3"/>
  <c r="D99" i="3"/>
  <c r="G164" i="3"/>
  <c r="D164" i="3"/>
  <c r="G228" i="3"/>
  <c r="D228" i="3"/>
  <c r="D812" i="3"/>
  <c r="D884" i="3"/>
  <c r="G932" i="3"/>
  <c r="D932" i="3"/>
  <c r="G964" i="3"/>
  <c r="D964" i="3"/>
  <c r="D1172" i="3"/>
  <c r="G1244" i="3"/>
  <c r="M1244" i="3" s="1"/>
  <c r="D1244" i="3"/>
  <c r="G1292" i="3"/>
  <c r="M1292" i="3" s="1"/>
  <c r="D1292" i="3"/>
  <c r="G1332" i="3"/>
  <c r="M1332" i="3" s="1"/>
  <c r="D1332" i="3"/>
  <c r="D1492" i="3"/>
  <c r="G1524" i="3"/>
  <c r="M1524" i="3" s="1"/>
  <c r="D1524" i="3"/>
  <c r="G1564" i="3"/>
  <c r="M1564" i="3" s="1"/>
  <c r="D1564" i="3"/>
  <c r="D1732" i="3"/>
  <c r="G18" i="3"/>
  <c r="D18" i="3"/>
  <c r="D2396" i="3"/>
  <c r="D931" i="3"/>
  <c r="D963" i="3"/>
  <c r="D995" i="3"/>
  <c r="D1027" i="3"/>
  <c r="D1059" i="3"/>
  <c r="D1091" i="3"/>
  <c r="D1123" i="3"/>
  <c r="D1155" i="3"/>
  <c r="D1187" i="3"/>
  <c r="D1219" i="3"/>
  <c r="D1251" i="3"/>
  <c r="D1283" i="3"/>
  <c r="D1315" i="3"/>
  <c r="D1347" i="3"/>
  <c r="D1379" i="3"/>
  <c r="D1411" i="3"/>
  <c r="D1443" i="3"/>
  <c r="D1475" i="3"/>
  <c r="D1507" i="3"/>
  <c r="D1539" i="3"/>
  <c r="D1571" i="3"/>
  <c r="D1603" i="3"/>
  <c r="D1635" i="3"/>
  <c r="D1667" i="3"/>
  <c r="D1699" i="3"/>
  <c r="D1731" i="3"/>
  <c r="D1763" i="3"/>
  <c r="D1795" i="3"/>
  <c r="D1827" i="3"/>
  <c r="G300" i="3"/>
  <c r="D300" i="3"/>
  <c r="G332" i="3"/>
  <c r="D332" i="3"/>
  <c r="D380" i="3"/>
  <c r="D420" i="3"/>
  <c r="D452" i="3"/>
  <c r="D492" i="3"/>
  <c r="D524" i="3"/>
  <c r="D556" i="3"/>
  <c r="D588" i="3"/>
  <c r="D620" i="3"/>
  <c r="D652" i="3"/>
  <c r="D684" i="3"/>
  <c r="D748" i="3"/>
  <c r="G844" i="3"/>
  <c r="D844" i="3"/>
  <c r="D1004" i="3"/>
  <c r="D1036" i="3"/>
  <c r="D1068" i="3"/>
  <c r="H1140" i="3"/>
  <c r="N1140" i="3" s="1"/>
  <c r="D1220" i="3"/>
  <c r="D1260" i="3"/>
  <c r="G1300" i="3"/>
  <c r="M1300" i="3" s="1"/>
  <c r="D1300" i="3"/>
  <c r="D1540" i="3"/>
  <c r="G1580" i="3"/>
  <c r="M1580" i="3" s="1"/>
  <c r="D1580" i="3"/>
  <c r="G1612" i="3"/>
  <c r="M1612" i="3" s="1"/>
  <c r="D1612" i="3"/>
  <c r="D1772" i="3"/>
  <c r="G1860" i="3"/>
  <c r="M1860" i="3" s="1"/>
  <c r="D1860" i="3"/>
  <c r="D69" i="3"/>
  <c r="D117" i="3"/>
  <c r="D166" i="3"/>
  <c r="D214" i="3"/>
  <c r="D254" i="3"/>
  <c r="D294" i="3"/>
  <c r="D350" i="3"/>
  <c r="D382" i="3"/>
  <c r="D414" i="3"/>
  <c r="D446" i="3"/>
  <c r="D478" i="3"/>
  <c r="D510" i="3"/>
  <c r="D542" i="3"/>
  <c r="D574" i="3"/>
  <c r="D606" i="3"/>
  <c r="D638" i="3"/>
  <c r="D670" i="3"/>
  <c r="D702" i="3"/>
  <c r="D734" i="3"/>
  <c r="D766" i="3"/>
  <c r="D798" i="3"/>
  <c r="D830" i="3"/>
  <c r="D862" i="3"/>
  <c r="D894" i="3"/>
  <c r="D926" i="3"/>
  <c r="D958" i="3"/>
  <c r="D990" i="3"/>
  <c r="D1022" i="3"/>
  <c r="D1054" i="3"/>
  <c r="D1094" i="3"/>
  <c r="D1126" i="3"/>
  <c r="D1158" i="3"/>
  <c r="D1190" i="3"/>
  <c r="D1222" i="3"/>
  <c r="D1254" i="3"/>
  <c r="D1286" i="3"/>
  <c r="D1318" i="3"/>
  <c r="D1350" i="3"/>
  <c r="D1382" i="3"/>
  <c r="D1414" i="3"/>
  <c r="D1446" i="3"/>
  <c r="D1478" i="3"/>
  <c r="D1510" i="3"/>
  <c r="D1542" i="3"/>
  <c r="D1574" i="3"/>
  <c r="D1606" i="3"/>
  <c r="D1638" i="3"/>
  <c r="D1670" i="3"/>
  <c r="D1702" i="3"/>
  <c r="D1734" i="3"/>
  <c r="D1766" i="3"/>
  <c r="D1798" i="3"/>
  <c r="D1830" i="3"/>
  <c r="D21" i="3"/>
  <c r="D1351" i="3"/>
  <c r="D1495" i="3"/>
  <c r="D1783" i="3"/>
  <c r="D1855" i="3"/>
  <c r="D1911" i="3"/>
  <c r="D1959" i="3"/>
  <c r="D2023" i="3"/>
  <c r="D2079" i="3"/>
  <c r="D2111" i="3"/>
  <c r="D2239" i="3"/>
  <c r="D2311" i="3"/>
  <c r="D2351" i="3"/>
  <c r="D2479" i="3"/>
  <c r="D2527" i="3"/>
  <c r="D2559" i="3"/>
  <c r="D118" i="3"/>
  <c r="D319" i="3"/>
  <c r="D575" i="3"/>
  <c r="D1023" i="3"/>
  <c r="D1167" i="3"/>
  <c r="D1295" i="3"/>
  <c r="D1383" i="3"/>
  <c r="D2151" i="3"/>
  <c r="D1889" i="3"/>
  <c r="D15" i="3"/>
  <c r="D20" i="3"/>
  <c r="G35" i="3"/>
  <c r="D35" i="3"/>
  <c r="G68" i="3"/>
  <c r="I68" i="3" s="1"/>
  <c r="D68" i="3"/>
  <c r="G100" i="3"/>
  <c r="D100" i="3"/>
  <c r="G133" i="3"/>
  <c r="D133" i="3"/>
  <c r="G165" i="3"/>
  <c r="D165" i="3"/>
  <c r="G197" i="3"/>
  <c r="D197" i="3"/>
  <c r="G229" i="3"/>
  <c r="D229" i="3"/>
  <c r="G261" i="3"/>
  <c r="D261" i="3"/>
  <c r="G293" i="3"/>
  <c r="D293" i="3"/>
  <c r="G325" i="3"/>
  <c r="D325" i="3"/>
  <c r="G357" i="3"/>
  <c r="D357" i="3"/>
  <c r="G389" i="3"/>
  <c r="D389" i="3"/>
  <c r="G421" i="3"/>
  <c r="D421" i="3"/>
  <c r="G453" i="3"/>
  <c r="D453" i="3"/>
  <c r="G485" i="3"/>
  <c r="D485" i="3"/>
  <c r="G517" i="3"/>
  <c r="D517" i="3"/>
  <c r="G549" i="3"/>
  <c r="D549" i="3"/>
  <c r="G581" i="3"/>
  <c r="D581" i="3"/>
  <c r="G613" i="3"/>
  <c r="D613" i="3"/>
  <c r="G645" i="3"/>
  <c r="D645" i="3"/>
  <c r="G677" i="3"/>
  <c r="D677" i="3"/>
  <c r="G709" i="3"/>
  <c r="D709" i="3"/>
  <c r="G741" i="3"/>
  <c r="D741" i="3"/>
  <c r="G773" i="3"/>
  <c r="D773" i="3"/>
  <c r="G805" i="3"/>
  <c r="D805" i="3"/>
  <c r="G837" i="3"/>
  <c r="D837" i="3"/>
  <c r="G869" i="3"/>
  <c r="D869" i="3"/>
  <c r="G901" i="3"/>
  <c r="D901" i="3"/>
  <c r="G933" i="3"/>
  <c r="D933" i="3"/>
  <c r="G965" i="3"/>
  <c r="D965" i="3"/>
  <c r="G997" i="3"/>
  <c r="D997" i="3"/>
  <c r="G1029" i="3"/>
  <c r="D1029" i="3"/>
  <c r="G1061" i="3"/>
  <c r="D1061" i="3"/>
  <c r="G1093" i="3"/>
  <c r="D1093" i="3"/>
  <c r="G1125" i="3"/>
  <c r="D1125" i="3"/>
  <c r="G1157" i="3"/>
  <c r="D1157" i="3"/>
  <c r="G1189" i="3"/>
  <c r="D1189" i="3"/>
  <c r="G1221" i="3"/>
  <c r="D1221" i="3"/>
  <c r="G1253" i="3"/>
  <c r="M1253" i="3" s="1"/>
  <c r="D1253" i="3"/>
  <c r="G1285" i="3"/>
  <c r="M1285" i="3" s="1"/>
  <c r="D1285" i="3"/>
  <c r="G1317" i="3"/>
  <c r="M1317" i="3" s="1"/>
  <c r="D1317" i="3"/>
  <c r="G1349" i="3"/>
  <c r="M1349" i="3" s="1"/>
  <c r="D1349" i="3"/>
  <c r="G1381" i="3"/>
  <c r="M1381" i="3" s="1"/>
  <c r="D1381" i="3"/>
  <c r="G1413" i="3"/>
  <c r="M1413" i="3" s="1"/>
  <c r="D1413" i="3"/>
  <c r="G1445" i="3"/>
  <c r="M1445" i="3" s="1"/>
  <c r="D1445" i="3"/>
  <c r="G1477" i="3"/>
  <c r="M1477" i="3" s="1"/>
  <c r="D1477" i="3"/>
  <c r="G1509" i="3"/>
  <c r="M1509" i="3" s="1"/>
  <c r="D1509" i="3"/>
  <c r="G1541" i="3"/>
  <c r="M1541" i="3" s="1"/>
  <c r="D1541" i="3"/>
  <c r="G1573" i="3"/>
  <c r="M1573" i="3" s="1"/>
  <c r="D1573" i="3"/>
  <c r="G1605" i="3"/>
  <c r="M1605" i="3" s="1"/>
  <c r="D1605" i="3"/>
  <c r="G1637" i="3"/>
  <c r="M1637" i="3" s="1"/>
  <c r="D1637" i="3"/>
  <c r="G1669" i="3"/>
  <c r="M1669" i="3" s="1"/>
  <c r="D1669" i="3"/>
  <c r="G1701" i="3"/>
  <c r="M1701" i="3" s="1"/>
  <c r="D1701" i="3"/>
  <c r="G1733" i="3"/>
  <c r="M1733" i="3" s="1"/>
  <c r="D1733" i="3"/>
  <c r="G1765" i="3"/>
  <c r="M1765" i="3" s="1"/>
  <c r="D1765" i="3"/>
  <c r="G1797" i="3"/>
  <c r="M1797" i="3" s="1"/>
  <c r="D1797" i="3"/>
  <c r="G1829" i="3"/>
  <c r="M1829" i="3" s="1"/>
  <c r="D1829" i="3"/>
  <c r="G1861" i="3"/>
  <c r="M1861" i="3" s="1"/>
  <c r="D1861" i="3"/>
  <c r="G1893" i="3"/>
  <c r="M1893" i="3" s="1"/>
  <c r="D1893" i="3"/>
  <c r="G1925" i="3"/>
  <c r="M1925" i="3" s="1"/>
  <c r="D1925" i="3"/>
  <c r="G1957" i="3"/>
  <c r="M1957" i="3" s="1"/>
  <c r="D1957" i="3"/>
  <c r="G1989" i="3"/>
  <c r="M1989" i="3" s="1"/>
  <c r="D1989" i="3"/>
  <c r="G2021" i="3"/>
  <c r="M2021" i="3" s="1"/>
  <c r="D2021" i="3"/>
  <c r="G2053" i="3"/>
  <c r="M2053" i="3" s="1"/>
  <c r="D2053" i="3"/>
  <c r="G2085" i="3"/>
  <c r="M2085" i="3" s="1"/>
  <c r="D2085" i="3"/>
  <c r="G2117" i="3"/>
  <c r="M2117" i="3" s="1"/>
  <c r="D2117" i="3"/>
  <c r="G2149" i="3"/>
  <c r="M2149" i="3" s="1"/>
  <c r="D2149" i="3"/>
  <c r="G2181" i="3"/>
  <c r="M2181" i="3" s="1"/>
  <c r="D2181" i="3"/>
  <c r="G2213" i="3"/>
  <c r="M2213" i="3" s="1"/>
  <c r="D2213" i="3"/>
  <c r="G2245" i="3"/>
  <c r="M2245" i="3" s="1"/>
  <c r="D2245" i="3"/>
  <c r="G2277" i="3"/>
  <c r="M2277" i="3" s="1"/>
  <c r="D2277" i="3"/>
  <c r="G2309" i="3"/>
  <c r="M2309" i="3" s="1"/>
  <c r="D2309" i="3"/>
  <c r="G2341" i="3"/>
  <c r="M2341" i="3" s="1"/>
  <c r="D2341" i="3"/>
  <c r="G2373" i="3"/>
  <c r="M2373" i="3" s="1"/>
  <c r="D2373" i="3"/>
  <c r="G2405" i="3"/>
  <c r="M2405" i="3" s="1"/>
  <c r="D2405" i="3"/>
  <c r="G2437" i="3"/>
  <c r="M2437" i="3" s="1"/>
  <c r="D2437" i="3"/>
  <c r="G2469" i="3"/>
  <c r="M2469" i="3" s="1"/>
  <c r="D2469" i="3"/>
  <c r="G2501" i="3"/>
  <c r="M2501" i="3" s="1"/>
  <c r="D2501" i="3"/>
  <c r="G2533" i="3"/>
  <c r="M2533" i="3" s="1"/>
  <c r="D2533" i="3"/>
  <c r="G2565" i="3"/>
  <c r="M2565" i="3" s="1"/>
  <c r="D2565" i="3"/>
  <c r="G2597" i="3"/>
  <c r="M2597" i="3" s="1"/>
  <c r="D2597" i="3"/>
  <c r="G2629" i="3"/>
  <c r="M2629" i="3" s="1"/>
  <c r="D2629" i="3"/>
  <c r="G2536" i="3"/>
  <c r="M2536" i="3" s="1"/>
  <c r="D2536" i="3"/>
  <c r="G2616" i="3"/>
  <c r="M2616" i="3" s="1"/>
  <c r="D2616" i="3"/>
  <c r="G2615" i="3"/>
  <c r="M2615" i="3" s="1"/>
  <c r="D2615" i="3"/>
  <c r="D2620" i="3"/>
  <c r="G114" i="3"/>
  <c r="D114" i="3"/>
  <c r="G1835" i="3"/>
  <c r="M1835" i="3" s="1"/>
  <c r="D1835" i="3"/>
  <c r="G716" i="3"/>
  <c r="D716" i="3"/>
  <c r="G780" i="3"/>
  <c r="D780" i="3"/>
  <c r="G820" i="3"/>
  <c r="D820" i="3"/>
  <c r="G892" i="3"/>
  <c r="D892" i="3"/>
  <c r="D940" i="3"/>
  <c r="G1100" i="3"/>
  <c r="D1100" i="3"/>
  <c r="D1348" i="3"/>
  <c r="G1388" i="3"/>
  <c r="M1388" i="3" s="1"/>
  <c r="D1388" i="3"/>
  <c r="G1420" i="3"/>
  <c r="M1420" i="3" s="1"/>
  <c r="D1420" i="3"/>
  <c r="D1620" i="3"/>
  <c r="G1692" i="3"/>
  <c r="M1692" i="3" s="1"/>
  <c r="D1692" i="3"/>
  <c r="D94" i="3"/>
  <c r="D127" i="3"/>
  <c r="D159" i="3"/>
  <c r="D191" i="3"/>
  <c r="D223" i="3"/>
  <c r="D255" i="3"/>
  <c r="D295" i="3"/>
  <c r="D327" i="3"/>
  <c r="D367" i="3"/>
  <c r="D399" i="3"/>
  <c r="D439" i="3"/>
  <c r="D471" i="3"/>
  <c r="D511" i="3"/>
  <c r="D551" i="3"/>
  <c r="D583" i="3"/>
  <c r="D623" i="3"/>
  <c r="D663" i="3"/>
  <c r="D703" i="3"/>
  <c r="D743" i="3"/>
  <c r="D775" i="3"/>
  <c r="D815" i="3"/>
  <c r="D847" i="3"/>
  <c r="D887" i="3"/>
  <c r="D919" i="3"/>
  <c r="D959" i="3"/>
  <c r="D999" i="3"/>
  <c r="D1031" i="3"/>
  <c r="D1071" i="3"/>
  <c r="D1103" i="3"/>
  <c r="D1143" i="3"/>
  <c r="D1175" i="3"/>
  <c r="D1215" i="3"/>
  <c r="D1271" i="3"/>
  <c r="D1303" i="3"/>
  <c r="D1399" i="3"/>
  <c r="D1447" i="3"/>
  <c r="D1591" i="3"/>
  <c r="D1719" i="3"/>
  <c r="D1927" i="3"/>
  <c r="D2127" i="3"/>
  <c r="D2159" i="3"/>
  <c r="D2367" i="3"/>
  <c r="D2439" i="3"/>
  <c r="D1456" i="3"/>
  <c r="D1488" i="3"/>
  <c r="D1520" i="3"/>
  <c r="D1552" i="3"/>
  <c r="D1584" i="3"/>
  <c r="D1616" i="3"/>
  <c r="D1648" i="3"/>
  <c r="D1680" i="3"/>
  <c r="D1712" i="3"/>
  <c r="D1744" i="3"/>
  <c r="D1776" i="3"/>
  <c r="D1808" i="3"/>
  <c r="D1856" i="3"/>
  <c r="D1896" i="3"/>
  <c r="D1769" i="3"/>
  <c r="D1833" i="3"/>
  <c r="D1865" i="3"/>
  <c r="D1905" i="3"/>
  <c r="D1937" i="3"/>
  <c r="D1977" i="3"/>
  <c r="D2017" i="3"/>
  <c r="D2049" i="3"/>
  <c r="D2081" i="3"/>
  <c r="D2113" i="3"/>
  <c r="D2145" i="3"/>
  <c r="D2177" i="3"/>
  <c r="D2217" i="3"/>
  <c r="D2249" i="3"/>
  <c r="D2281" i="3"/>
  <c r="D2313" i="3"/>
  <c r="D2353" i="3"/>
  <c r="D2385" i="3"/>
  <c r="D2417" i="3"/>
  <c r="D2449" i="3"/>
  <c r="D2489" i="3"/>
  <c r="D2521" i="3"/>
  <c r="D2553" i="3"/>
  <c r="D2593" i="3"/>
  <c r="D2625" i="3"/>
  <c r="G11" i="3"/>
  <c r="D11" i="3"/>
  <c r="D12" i="3"/>
  <c r="D6" i="3"/>
  <c r="D2600" i="3"/>
  <c r="H660" i="3"/>
  <c r="N660" i="3" s="1"/>
  <c r="H724" i="3"/>
  <c r="N724" i="3" s="1"/>
  <c r="H788" i="3"/>
  <c r="N788" i="3" s="1"/>
  <c r="H182" i="3"/>
  <c r="N182" i="3" s="1"/>
  <c r="H900" i="3"/>
  <c r="N900" i="3" s="1"/>
  <c r="H192" i="3"/>
  <c r="N192" i="3" s="1"/>
  <c r="H1151" i="3"/>
  <c r="N1151" i="3" s="1"/>
  <c r="H1279" i="3"/>
  <c r="H1407" i="3"/>
  <c r="H1919" i="3"/>
  <c r="H2495" i="3"/>
  <c r="H1496" i="3"/>
  <c r="H1624" i="3"/>
  <c r="H1752" i="3"/>
  <c r="H1816" i="3"/>
  <c r="H537" i="3"/>
  <c r="N537" i="3" s="1"/>
  <c r="H793" i="3"/>
  <c r="N793" i="3" s="1"/>
  <c r="H1049" i="3"/>
  <c r="N1049" i="3" s="1"/>
  <c r="H1305" i="3"/>
  <c r="H1945" i="3"/>
  <c r="H2393" i="3"/>
  <c r="H2457" i="3"/>
  <c r="H1988" i="3"/>
  <c r="H2180" i="3"/>
  <c r="H2372" i="3"/>
  <c r="N2372" i="3" s="1"/>
  <c r="H1030" i="3"/>
  <c r="N1030" i="3" s="1"/>
  <c r="G1314" i="3"/>
  <c r="M1314" i="3" s="1"/>
  <c r="G1378" i="3"/>
  <c r="M1378" i="3" s="1"/>
  <c r="H2533" i="3"/>
  <c r="N2533" i="3" s="1"/>
  <c r="H2597" i="3"/>
  <c r="N2597" i="3" s="1"/>
  <c r="G422" i="3"/>
  <c r="G550" i="3"/>
  <c r="G678" i="3"/>
  <c r="G1166" i="3"/>
  <c r="G407" i="3"/>
  <c r="G855" i="3"/>
  <c r="G1111" i="3"/>
  <c r="G1623" i="3"/>
  <c r="M1623" i="3" s="1"/>
  <c r="G1751" i="3"/>
  <c r="M1751" i="3" s="1"/>
  <c r="G1759" i="3"/>
  <c r="M1759" i="3" s="1"/>
  <c r="G1951" i="3"/>
  <c r="M1951" i="3" s="1"/>
  <c r="G2015" i="3"/>
  <c r="M2015" i="3" s="1"/>
  <c r="H1418" i="3"/>
  <c r="H1482" i="3"/>
  <c r="H1546" i="3"/>
  <c r="G30" i="3"/>
  <c r="G940" i="3"/>
  <c r="H68" i="3"/>
  <c r="J68" i="3" s="1"/>
  <c r="H133" i="3"/>
  <c r="N133" i="3" s="1"/>
  <c r="H197" i="3"/>
  <c r="N197" i="3" s="1"/>
  <c r="H261" i="3"/>
  <c r="N261" i="3" s="1"/>
  <c r="H325" i="3"/>
  <c r="N325" i="3" s="1"/>
  <c r="H389" i="3"/>
  <c r="N389" i="3" s="1"/>
  <c r="H453" i="3"/>
  <c r="N453" i="3" s="1"/>
  <c r="H517" i="3"/>
  <c r="N517" i="3" s="1"/>
  <c r="H303" i="3"/>
  <c r="N303" i="3" s="1"/>
  <c r="H559" i="3"/>
  <c r="N559" i="3" s="1"/>
  <c r="H751" i="3"/>
  <c r="N751" i="3" s="1"/>
  <c r="H1007" i="3"/>
  <c r="N1007" i="3" s="1"/>
  <c r="H264" i="3"/>
  <c r="N264" i="3" s="1"/>
  <c r="H1223" i="3"/>
  <c r="N1223" i="3" s="1"/>
  <c r="H1479" i="3"/>
  <c r="H1543" i="3"/>
  <c r="H1671" i="3"/>
  <c r="H1863" i="3"/>
  <c r="H2183" i="3"/>
  <c r="H2567" i="3"/>
  <c r="N2567" i="3" s="1"/>
  <c r="H1248" i="3"/>
  <c r="H96" i="3"/>
  <c r="H737" i="3"/>
  <c r="N737" i="3" s="1"/>
  <c r="H2465" i="3"/>
  <c r="H2529" i="3"/>
  <c r="N2529" i="3" s="1"/>
  <c r="H2601" i="3"/>
  <c r="N2601" i="3" s="1"/>
  <c r="H1612" i="3"/>
  <c r="H2380" i="3"/>
  <c r="N2380" i="3" s="1"/>
  <c r="H1102" i="3"/>
  <c r="N1102" i="3" s="1"/>
  <c r="H1806" i="3"/>
  <c r="G546" i="3"/>
  <c r="G610" i="3"/>
  <c r="G674" i="3"/>
  <c r="G738" i="3"/>
  <c r="G802" i="3"/>
  <c r="G866" i="3"/>
  <c r="G930" i="3"/>
  <c r="G994" i="3"/>
  <c r="G1058" i="3"/>
  <c r="G1122" i="3"/>
  <c r="G1186" i="3"/>
  <c r="G1250" i="3"/>
  <c r="M1250" i="3" s="1"/>
  <c r="G1322" i="3"/>
  <c r="M1322" i="3" s="1"/>
  <c r="G1386" i="3"/>
  <c r="M1386" i="3" s="1"/>
  <c r="G1375" i="3"/>
  <c r="M1375" i="3" s="1"/>
  <c r="G1770" i="3"/>
  <c r="M1770" i="3" s="1"/>
  <c r="G2087" i="3"/>
  <c r="M2087" i="3" s="1"/>
  <c r="G2535" i="3"/>
  <c r="M2535" i="3" s="1"/>
  <c r="G216" i="3"/>
  <c r="G736" i="3"/>
  <c r="G1721" i="3"/>
  <c r="M1721" i="3" s="1"/>
  <c r="G1785" i="3"/>
  <c r="M1785" i="3" s="1"/>
  <c r="H8" i="3"/>
  <c r="H447" i="3"/>
  <c r="N447" i="3" s="1"/>
  <c r="H639" i="3"/>
  <c r="N639" i="3" s="1"/>
  <c r="H895" i="3"/>
  <c r="N895" i="3" s="1"/>
  <c r="H2616" i="3"/>
  <c r="N2616" i="3" s="1"/>
  <c r="H241" i="3"/>
  <c r="N241" i="3" s="1"/>
  <c r="H1841" i="3"/>
  <c r="H2289" i="3"/>
  <c r="H2076" i="3"/>
  <c r="H2588" i="3"/>
  <c r="N2588" i="3" s="1"/>
  <c r="H1381" i="3"/>
  <c r="H1445" i="3"/>
  <c r="H1509" i="3"/>
  <c r="H1573" i="3"/>
  <c r="H1637" i="3"/>
  <c r="H1701" i="3"/>
  <c r="H1765" i="3"/>
  <c r="H1829" i="3"/>
  <c r="H1893" i="3"/>
  <c r="H1957" i="3"/>
  <c r="H2021" i="3"/>
  <c r="H2085" i="3"/>
  <c r="H2149" i="3"/>
  <c r="H2213" i="3"/>
  <c r="H2277" i="3"/>
  <c r="H2341" i="3"/>
  <c r="N2341" i="3" s="1"/>
  <c r="H2405" i="3"/>
  <c r="N2405" i="3" s="1"/>
  <c r="H2469" i="3"/>
  <c r="G28" i="3"/>
  <c r="G222" i="3"/>
  <c r="G1263" i="3"/>
  <c r="M1263" i="3" s="1"/>
  <c r="G1455" i="3"/>
  <c r="M1455" i="3" s="1"/>
  <c r="H1826" i="3"/>
  <c r="G1592" i="3"/>
  <c r="M1592" i="3" s="1"/>
  <c r="G992" i="3"/>
  <c r="G1976" i="3"/>
  <c r="M1976" i="3" s="1"/>
  <c r="G2232" i="3"/>
  <c r="M2232" i="3" s="1"/>
  <c r="H868" i="3"/>
  <c r="N868" i="3" s="1"/>
  <c r="H1188" i="3"/>
  <c r="N1188" i="3" s="1"/>
  <c r="H1252" i="3"/>
  <c r="H1444" i="3"/>
  <c r="H70" i="3"/>
  <c r="J70" i="3" s="1"/>
  <c r="H135" i="3"/>
  <c r="N135" i="3" s="1"/>
  <c r="H199" i="3"/>
  <c r="N199" i="3" s="1"/>
  <c r="H263" i="3"/>
  <c r="N263" i="3" s="1"/>
  <c r="H519" i="3"/>
  <c r="N519" i="3" s="1"/>
  <c r="H711" i="3"/>
  <c r="N711" i="3" s="1"/>
  <c r="H967" i="3"/>
  <c r="N967" i="3" s="1"/>
  <c r="H95" i="3"/>
  <c r="H1464" i="3"/>
  <c r="H1528" i="3"/>
  <c r="H1720" i="3"/>
  <c r="H1784" i="3"/>
  <c r="H313" i="3"/>
  <c r="N313" i="3" s="1"/>
  <c r="H569" i="3"/>
  <c r="N569" i="3" s="1"/>
  <c r="H825" i="3"/>
  <c r="N825" i="3" s="1"/>
  <c r="H1081" i="3"/>
  <c r="N1081" i="3" s="1"/>
  <c r="H2361" i="3"/>
  <c r="N2361" i="3" s="1"/>
  <c r="H2425" i="3"/>
  <c r="H2276" i="3"/>
  <c r="H2468" i="3"/>
  <c r="H998" i="3"/>
  <c r="N998" i="3" s="1"/>
  <c r="H1062" i="3"/>
  <c r="N1062" i="3" s="1"/>
  <c r="H2501" i="3"/>
  <c r="H2565" i="3"/>
  <c r="H2629" i="3"/>
  <c r="N2629" i="3" s="1"/>
  <c r="G358" i="3"/>
  <c r="G486" i="3"/>
  <c r="G614" i="3"/>
  <c r="G742" i="3"/>
  <c r="H100" i="3"/>
  <c r="N100" i="3" s="1"/>
  <c r="H229" i="3"/>
  <c r="N229" i="3" s="1"/>
  <c r="H357" i="3"/>
  <c r="N357" i="3" s="1"/>
  <c r="H421" i="3"/>
  <c r="N421" i="3" s="1"/>
  <c r="H1580" i="3"/>
  <c r="H1134" i="3"/>
  <c r="N1134" i="3" s="1"/>
  <c r="H1198" i="3"/>
  <c r="N1198" i="3" s="1"/>
  <c r="H1262" i="3"/>
  <c r="H1326" i="3"/>
  <c r="H1390" i="3"/>
  <c r="H1454" i="3"/>
  <c r="H1518" i="3"/>
  <c r="H1582" i="3"/>
  <c r="H1646" i="3"/>
  <c r="H1710" i="3"/>
  <c r="H1774" i="3"/>
  <c r="G324" i="3"/>
  <c r="H35" i="3"/>
  <c r="H165" i="3"/>
  <c r="N165" i="3" s="1"/>
  <c r="H293" i="3"/>
  <c r="N293" i="3" s="1"/>
  <c r="H485" i="3"/>
  <c r="N485" i="3" s="1"/>
  <c r="H549" i="3"/>
  <c r="N549" i="3" s="1"/>
  <c r="H613" i="3"/>
  <c r="N613" i="3" s="1"/>
  <c r="H677" i="3"/>
  <c r="N677" i="3" s="1"/>
  <c r="H741" i="3"/>
  <c r="N741" i="3" s="1"/>
  <c r="H805" i="3"/>
  <c r="N805" i="3" s="1"/>
  <c r="H869" i="3"/>
  <c r="N869" i="3" s="1"/>
  <c r="H933" i="3"/>
  <c r="N933" i="3" s="1"/>
  <c r="H997" i="3"/>
  <c r="N997" i="3" s="1"/>
  <c r="H1061" i="3"/>
  <c r="N1061" i="3" s="1"/>
  <c r="H1125" i="3"/>
  <c r="N1125" i="3" s="1"/>
  <c r="H1189" i="3"/>
  <c r="N1189" i="3" s="1"/>
  <c r="H1253" i="3"/>
  <c r="H1317" i="3"/>
  <c r="H1864" i="3"/>
  <c r="H2057" i="3"/>
  <c r="H2121" i="3"/>
  <c r="H2185" i="3"/>
  <c r="G838" i="3"/>
  <c r="G902" i="3"/>
  <c r="G966" i="3"/>
  <c r="G1108" i="3"/>
  <c r="G1140" i="3"/>
  <c r="G1220" i="3"/>
  <c r="G1364" i="3"/>
  <c r="M1364" i="3" s="1"/>
  <c r="G1396" i="3"/>
  <c r="M1396" i="3" s="1"/>
  <c r="G1476" i="3"/>
  <c r="M1476" i="3" s="1"/>
  <c r="G1620" i="3"/>
  <c r="M1620" i="3" s="1"/>
  <c r="G1652" i="3"/>
  <c r="M1652" i="3" s="1"/>
  <c r="G1732" i="3"/>
  <c r="M1732" i="3" s="1"/>
  <c r="G17" i="3"/>
  <c r="G25" i="3"/>
  <c r="G82" i="3"/>
  <c r="I82" i="3" s="1"/>
  <c r="G131" i="3"/>
  <c r="G187" i="3"/>
  <c r="G251" i="3"/>
  <c r="G323" i="3"/>
  <c r="G355" i="3"/>
  <c r="G387" i="3"/>
  <c r="G419" i="3"/>
  <c r="G451" i="3"/>
  <c r="G483" i="3"/>
  <c r="G515" i="3"/>
  <c r="G547" i="3"/>
  <c r="G579" i="3"/>
  <c r="G611" i="3"/>
  <c r="G643" i="3"/>
  <c r="G675" i="3"/>
  <c r="G707" i="3"/>
  <c r="G739" i="3"/>
  <c r="G771" i="3"/>
  <c r="G803" i="3"/>
  <c r="G835" i="3"/>
  <c r="G867" i="3"/>
  <c r="G899" i="3"/>
  <c r="G931" i="3"/>
  <c r="G963" i="3"/>
  <c r="G995" i="3"/>
  <c r="G1027" i="3"/>
  <c r="G1059" i="3"/>
  <c r="G1091" i="3"/>
  <c r="G1123" i="3"/>
  <c r="G1155" i="3"/>
  <c r="G1187" i="3"/>
  <c r="G1219" i="3"/>
  <c r="G1251" i="3"/>
  <c r="M1251" i="3" s="1"/>
  <c r="G1283" i="3"/>
  <c r="M1283" i="3" s="1"/>
  <c r="G1315" i="3"/>
  <c r="M1315" i="3" s="1"/>
  <c r="G1347" i="3"/>
  <c r="M1347" i="3" s="1"/>
  <c r="G1379" i="3"/>
  <c r="M1379" i="3" s="1"/>
  <c r="G1411" i="3"/>
  <c r="M1411" i="3" s="1"/>
  <c r="G1443" i="3"/>
  <c r="M1443" i="3" s="1"/>
  <c r="G1475" i="3"/>
  <c r="M1475" i="3" s="1"/>
  <c r="G1507" i="3"/>
  <c r="M1507" i="3" s="1"/>
  <c r="G1539" i="3"/>
  <c r="M1539" i="3" s="1"/>
  <c r="G1571" i="3"/>
  <c r="M1571" i="3" s="1"/>
  <c r="G1603" i="3"/>
  <c r="M1603" i="3" s="1"/>
  <c r="G1635" i="3"/>
  <c r="M1635" i="3" s="1"/>
  <c r="G1667" i="3"/>
  <c r="M1667" i="3" s="1"/>
  <c r="G1699" i="3"/>
  <c r="M1699" i="3" s="1"/>
  <c r="G1731" i="3"/>
  <c r="M1731" i="3" s="1"/>
  <c r="G1763" i="3"/>
  <c r="M1763" i="3" s="1"/>
  <c r="G1795" i="3"/>
  <c r="M1795" i="3" s="1"/>
  <c r="G1827" i="3"/>
  <c r="M1827" i="3" s="1"/>
  <c r="G67" i="3"/>
  <c r="I67" i="3" s="1"/>
  <c r="G132" i="3"/>
  <c r="G196" i="3"/>
  <c r="G260" i="3"/>
  <c r="G372" i="3"/>
  <c r="G412" i="3"/>
  <c r="G444" i="3"/>
  <c r="G604" i="3"/>
  <c r="G668" i="3"/>
  <c r="G732" i="3"/>
  <c r="G804" i="3"/>
  <c r="G836" i="3"/>
  <c r="G876" i="3"/>
  <c r="G948" i="3"/>
  <c r="G1260" i="3"/>
  <c r="M1260" i="3" s="1"/>
  <c r="G1516" i="3"/>
  <c r="M1516" i="3" s="1"/>
  <c r="G1772" i="3"/>
  <c r="M1772" i="3" s="1"/>
  <c r="G1812" i="3"/>
  <c r="M1812" i="3" s="1"/>
  <c r="G333" i="3"/>
  <c r="G365" i="3"/>
  <c r="G397" i="3"/>
  <c r="G429" i="3"/>
  <c r="G461" i="3"/>
  <c r="G493" i="3"/>
  <c r="G525" i="3"/>
  <c r="G557" i="3"/>
  <c r="G589" i="3"/>
  <c r="G621" i="3"/>
  <c r="G653" i="3"/>
  <c r="G685" i="3"/>
  <c r="G717" i="3"/>
  <c r="G749" i="3"/>
  <c r="G781" i="3"/>
  <c r="G813" i="3"/>
  <c r="G845" i="3"/>
  <c r="G877" i="3"/>
  <c r="G909" i="3"/>
  <c r="G941" i="3"/>
  <c r="G973" i="3"/>
  <c r="G1005" i="3"/>
  <c r="G1037" i="3"/>
  <c r="G1069" i="3"/>
  <c r="G1101" i="3"/>
  <c r="G1133" i="3"/>
  <c r="G1165" i="3"/>
  <c r="G1197" i="3"/>
  <c r="G1229" i="3"/>
  <c r="G1261" i="3"/>
  <c r="M1261" i="3" s="1"/>
  <c r="G1293" i="3"/>
  <c r="M1293" i="3" s="1"/>
  <c r="G1325" i="3"/>
  <c r="M1325" i="3" s="1"/>
  <c r="G1357" i="3"/>
  <c r="M1357" i="3" s="1"/>
  <c r="G1389" i="3"/>
  <c r="M1389" i="3" s="1"/>
  <c r="G1421" i="3"/>
  <c r="M1421" i="3" s="1"/>
  <c r="G1453" i="3"/>
  <c r="M1453" i="3" s="1"/>
  <c r="G1485" i="3"/>
  <c r="M1485" i="3" s="1"/>
  <c r="G1517" i="3"/>
  <c r="M1517" i="3" s="1"/>
  <c r="G1549" i="3"/>
  <c r="M1549" i="3" s="1"/>
  <c r="G1581" i="3"/>
  <c r="M1581" i="3" s="1"/>
  <c r="G1613" i="3"/>
  <c r="M1613" i="3" s="1"/>
  <c r="G1645" i="3"/>
  <c r="M1645" i="3" s="1"/>
  <c r="G1677" i="3"/>
  <c r="M1677" i="3" s="1"/>
  <c r="G1709" i="3"/>
  <c r="M1709" i="3" s="1"/>
  <c r="G1741" i="3"/>
  <c r="M1741" i="3" s="1"/>
  <c r="G1773" i="3"/>
  <c r="M1773" i="3" s="1"/>
  <c r="G1805" i="3"/>
  <c r="M1805" i="3" s="1"/>
  <c r="G1837" i="3"/>
  <c r="M1837" i="3" s="1"/>
  <c r="G1869" i="3"/>
  <c r="M1869" i="3" s="1"/>
  <c r="G1901" i="3"/>
  <c r="M1901" i="3" s="1"/>
  <c r="G1933" i="3"/>
  <c r="M1933" i="3" s="1"/>
  <c r="G1965" i="3"/>
  <c r="M1965" i="3" s="1"/>
  <c r="G1997" i="3"/>
  <c r="M1997" i="3" s="1"/>
  <c r="G2029" i="3"/>
  <c r="M2029" i="3" s="1"/>
  <c r="G2061" i="3"/>
  <c r="M2061" i="3" s="1"/>
  <c r="G2093" i="3"/>
  <c r="M2093" i="3" s="1"/>
  <c r="G2125" i="3"/>
  <c r="M2125" i="3" s="1"/>
  <c r="G2157" i="3"/>
  <c r="M2157" i="3" s="1"/>
  <c r="G2189" i="3"/>
  <c r="M2189" i="3" s="1"/>
  <c r="G2221" i="3"/>
  <c r="M2221" i="3" s="1"/>
  <c r="G2253" i="3"/>
  <c r="M2253" i="3" s="1"/>
  <c r="G2285" i="3"/>
  <c r="M2285" i="3" s="1"/>
  <c r="G2317" i="3"/>
  <c r="M2317" i="3" s="1"/>
  <c r="G2349" i="3"/>
  <c r="M2349" i="3" s="1"/>
  <c r="G2381" i="3"/>
  <c r="M2381" i="3" s="1"/>
  <c r="G2413" i="3"/>
  <c r="M2413" i="3" s="1"/>
  <c r="G2445" i="3"/>
  <c r="M2445" i="3" s="1"/>
  <c r="G2477" i="3"/>
  <c r="M2477" i="3" s="1"/>
  <c r="G2509" i="3"/>
  <c r="M2509" i="3" s="1"/>
  <c r="G2541" i="3"/>
  <c r="M2541" i="3" s="1"/>
  <c r="G2573" i="3"/>
  <c r="M2573" i="3" s="1"/>
  <c r="G2605" i="3"/>
  <c r="M2605" i="3" s="1"/>
  <c r="G2637" i="3"/>
  <c r="M2637" i="3" s="1"/>
  <c r="G10" i="3"/>
  <c r="G19" i="3"/>
  <c r="G1547" i="3"/>
  <c r="M1547" i="3" s="1"/>
  <c r="G1579" i="3"/>
  <c r="M1579" i="3" s="1"/>
  <c r="G1611" i="3"/>
  <c r="M1611" i="3" s="1"/>
  <c r="G1643" i="3"/>
  <c r="M1643" i="3" s="1"/>
  <c r="G1675" i="3"/>
  <c r="M1675" i="3" s="1"/>
  <c r="G1707" i="3"/>
  <c r="M1707" i="3" s="1"/>
  <c r="G1739" i="3"/>
  <c r="M1739" i="3" s="1"/>
  <c r="G1771" i="3"/>
  <c r="M1771" i="3" s="1"/>
  <c r="G1803" i="3"/>
  <c r="M1803" i="3" s="1"/>
  <c r="G43" i="3"/>
  <c r="G75" i="3"/>
  <c r="I75" i="3" s="1"/>
  <c r="G107" i="3"/>
  <c r="G140" i="3"/>
  <c r="G172" i="3"/>
  <c r="G204" i="3"/>
  <c r="G236" i="3"/>
  <c r="G268" i="3"/>
  <c r="G380" i="3"/>
  <c r="G420" i="3"/>
  <c r="G452" i="3"/>
  <c r="G812" i="3"/>
  <c r="G884" i="3"/>
  <c r="G924" i="3"/>
  <c r="G956" i="3"/>
  <c r="G1116" i="3"/>
  <c r="G1196" i="3"/>
  <c r="G1228" i="3"/>
  <c r="G1372" i="3"/>
  <c r="M1372" i="3" s="1"/>
  <c r="G1452" i="3"/>
  <c r="M1452" i="3" s="1"/>
  <c r="G1484" i="3"/>
  <c r="M1484" i="3" s="1"/>
  <c r="G1628" i="3"/>
  <c r="M1628" i="3" s="1"/>
  <c r="G1740" i="3"/>
  <c r="M1740" i="3" s="1"/>
  <c r="G492" i="3"/>
  <c r="G524" i="3"/>
  <c r="G556" i="3"/>
  <c r="G588" i="3"/>
  <c r="G620" i="3"/>
  <c r="G652" i="3"/>
  <c r="G684" i="3"/>
  <c r="G748" i="3"/>
  <c r="G996" i="3"/>
  <c r="G1028" i="3"/>
  <c r="G1060" i="3"/>
  <c r="G1092" i="3"/>
  <c r="G1236" i="3"/>
  <c r="M1236" i="3" s="1"/>
  <c r="G1268" i="3"/>
  <c r="M1268" i="3" s="1"/>
  <c r="G1348" i="3"/>
  <c r="M1348" i="3" s="1"/>
  <c r="G1492" i="3"/>
  <c r="M1492" i="3" s="1"/>
  <c r="G1604" i="3"/>
  <c r="M1604" i="3" s="1"/>
  <c r="G1748" i="3"/>
  <c r="M1748" i="3" s="1"/>
  <c r="G1780" i="3"/>
  <c r="M1780" i="3" s="1"/>
  <c r="G1820" i="3"/>
  <c r="M1820" i="3" s="1"/>
  <c r="G316" i="3"/>
  <c r="G468" i="3"/>
  <c r="G500" i="3"/>
  <c r="G532" i="3"/>
  <c r="G564" i="3"/>
  <c r="G596" i="3"/>
  <c r="G628" i="3"/>
  <c r="G692" i="3"/>
  <c r="G756" i="3"/>
  <c r="G1004" i="3"/>
  <c r="G1036" i="3"/>
  <c r="G1068" i="3"/>
  <c r="G1172" i="3"/>
  <c r="G1204" i="3"/>
  <c r="G1284" i="3"/>
  <c r="M1284" i="3" s="1"/>
  <c r="G1428" i="3"/>
  <c r="M1428" i="3" s="1"/>
  <c r="G1460" i="3"/>
  <c r="M1460" i="3" s="1"/>
  <c r="G1540" i="3"/>
  <c r="M1540" i="3" s="1"/>
  <c r="G1684" i="3"/>
  <c r="M1684" i="3" s="1"/>
  <c r="G1716" i="3"/>
  <c r="M1716" i="3" s="1"/>
  <c r="G1796" i="3"/>
  <c r="M1796" i="3" s="1"/>
  <c r="G1836" i="3"/>
  <c r="M1836" i="3" s="1"/>
  <c r="G9" i="3"/>
  <c r="L2507" i="3"/>
  <c r="L2571" i="3"/>
  <c r="L2426" i="3"/>
  <c r="L2554" i="3"/>
  <c r="L2387" i="3"/>
  <c r="L2451" i="3"/>
  <c r="L2579" i="3"/>
  <c r="L1884" i="3"/>
  <c r="L2434" i="3"/>
  <c r="L1859" i="3"/>
  <c r="L2585" i="3"/>
  <c r="L2388" i="3"/>
  <c r="L2516" i="3"/>
  <c r="L2438" i="3"/>
  <c r="L2566" i="3"/>
  <c r="L1848" i="3"/>
  <c r="L1883" i="3"/>
  <c r="L2395" i="3"/>
  <c r="L2523" i="3"/>
  <c r="L2587" i="3"/>
  <c r="L1892" i="3"/>
  <c r="L2404" i="3"/>
  <c r="L2532" i="3"/>
  <c r="L2442" i="3"/>
  <c r="L2506" i="3"/>
  <c r="L2562" i="3"/>
  <c r="L2444" i="3"/>
  <c r="L2432" i="3"/>
  <c r="L2560" i="3"/>
  <c r="L1891" i="3"/>
  <c r="L2403" i="3"/>
  <c r="L2531" i="3"/>
  <c r="L2412" i="3"/>
  <c r="L2540" i="3"/>
  <c r="L2386" i="3"/>
  <c r="L2450" i="3"/>
  <c r="L2514" i="3"/>
  <c r="L2570" i="3"/>
  <c r="L2443" i="3"/>
  <c r="L2580" i="3"/>
  <c r="L1899" i="3"/>
  <c r="L2411" i="3"/>
  <c r="L2539" i="3"/>
  <c r="L2548" i="3"/>
  <c r="L2394" i="3"/>
  <c r="L2522" i="3"/>
  <c r="L2578" i="3"/>
  <c r="L2508" i="3"/>
  <c r="L2418" i="3"/>
  <c r="L2419" i="3"/>
  <c r="L2547" i="3"/>
  <c r="L1852" i="3"/>
  <c r="L2556" i="3"/>
  <c r="L2402" i="3"/>
  <c r="L2586" i="3"/>
  <c r="L2400" i="3"/>
  <c r="L2572" i="3"/>
  <c r="L1851" i="3"/>
  <c r="L2427" i="3"/>
  <c r="L2555" i="3"/>
  <c r="L2436" i="3"/>
  <c r="L2564" i="3"/>
  <c r="L2422" i="3"/>
  <c r="L2410" i="3"/>
  <c r="L2538" i="3"/>
  <c r="N2098" i="3" l="1"/>
  <c r="N2058" i="3"/>
  <c r="N1994" i="3"/>
  <c r="N2034" i="3"/>
  <c r="N2322" i="3"/>
  <c r="N2314" i="3"/>
  <c r="N1914" i="3"/>
  <c r="N2298" i="3"/>
  <c r="N2154" i="3"/>
  <c r="N2258" i="3"/>
  <c r="N1986" i="3"/>
  <c r="M162" i="3"/>
  <c r="M297" i="3"/>
  <c r="N2018" i="3"/>
  <c r="N1906" i="3"/>
  <c r="N2146" i="3"/>
  <c r="M860" i="3"/>
  <c r="N1970" i="3"/>
  <c r="N2482" i="3"/>
  <c r="M299" i="3"/>
  <c r="N2074" i="3"/>
  <c r="N2010" i="3"/>
  <c r="N2218" i="3"/>
  <c r="N2458" i="3"/>
  <c r="N2026" i="3"/>
  <c r="N1978" i="3"/>
  <c r="N2490" i="3"/>
  <c r="N2162" i="3"/>
  <c r="N1930" i="3"/>
  <c r="N1281" i="3"/>
  <c r="I963" i="3"/>
  <c r="M963" i="3"/>
  <c r="L2121" i="3"/>
  <c r="N2121" i="3"/>
  <c r="I358" i="3"/>
  <c r="M358" i="3"/>
  <c r="I992" i="3"/>
  <c r="M992" i="3"/>
  <c r="I1058" i="3"/>
  <c r="M1058" i="3"/>
  <c r="I517" i="3"/>
  <c r="M517" i="3"/>
  <c r="I844" i="3"/>
  <c r="M844" i="3"/>
  <c r="I1084" i="3"/>
  <c r="M1084" i="3"/>
  <c r="I720" i="3"/>
  <c r="M720" i="3"/>
  <c r="I555" i="3"/>
  <c r="M555" i="3"/>
  <c r="L2102" i="3"/>
  <c r="N2102" i="3"/>
  <c r="L1850" i="3"/>
  <c r="N1850" i="3"/>
  <c r="I657" i="3"/>
  <c r="M657" i="3"/>
  <c r="L1615" i="3"/>
  <c r="N1615" i="3"/>
  <c r="I816" i="3"/>
  <c r="M816" i="3"/>
  <c r="L1398" i="3"/>
  <c r="N1398" i="3"/>
  <c r="L2279" i="3"/>
  <c r="N2279" i="3"/>
  <c r="I761" i="3"/>
  <c r="M761" i="3"/>
  <c r="L2509" i="3"/>
  <c r="N2509" i="3"/>
  <c r="L2487" i="3"/>
  <c r="N2487" i="3"/>
  <c r="L1754" i="3"/>
  <c r="N1754" i="3"/>
  <c r="L2151" i="3"/>
  <c r="N2151" i="3"/>
  <c r="I615" i="3"/>
  <c r="M615" i="3"/>
  <c r="L1694" i="3"/>
  <c r="N1694" i="3"/>
  <c r="I286" i="3"/>
  <c r="M286" i="3"/>
  <c r="I1191" i="3"/>
  <c r="M1191" i="3"/>
  <c r="L1268" i="3"/>
  <c r="N1268" i="3"/>
  <c r="L1531" i="3"/>
  <c r="N1531" i="3"/>
  <c r="L1299" i="3"/>
  <c r="N1299" i="3"/>
  <c r="I1060" i="3"/>
  <c r="M1060" i="3"/>
  <c r="I1228" i="3"/>
  <c r="M1228" i="3"/>
  <c r="I1005" i="3"/>
  <c r="M1005" i="3"/>
  <c r="I493" i="3"/>
  <c r="M493" i="3"/>
  <c r="I1059" i="3"/>
  <c r="M1059" i="3"/>
  <c r="I251" i="3"/>
  <c r="M251" i="3"/>
  <c r="I222" i="3"/>
  <c r="M222" i="3"/>
  <c r="L1573" i="3"/>
  <c r="N1573" i="3"/>
  <c r="I736" i="3"/>
  <c r="M736" i="3"/>
  <c r="I738" i="3"/>
  <c r="M738" i="3"/>
  <c r="L1863" i="3"/>
  <c r="N1863" i="3"/>
  <c r="I332" i="3"/>
  <c r="M332" i="3"/>
  <c r="I1117" i="3"/>
  <c r="M1117" i="3"/>
  <c r="I989" i="3"/>
  <c r="M989" i="3"/>
  <c r="I733" i="3"/>
  <c r="M733" i="3"/>
  <c r="I477" i="3"/>
  <c r="M477" i="3"/>
  <c r="I349" i="3"/>
  <c r="M349" i="3"/>
  <c r="I221" i="3"/>
  <c r="M221" i="3"/>
  <c r="I644" i="3"/>
  <c r="M644" i="3"/>
  <c r="I516" i="3"/>
  <c r="M516" i="3"/>
  <c r="I188" i="3"/>
  <c r="M188" i="3"/>
  <c r="I987" i="3"/>
  <c r="M987" i="3"/>
  <c r="I859" i="3"/>
  <c r="M859" i="3"/>
  <c r="I245" i="3"/>
  <c r="M245" i="3"/>
  <c r="I1204" i="3"/>
  <c r="M1204" i="3"/>
  <c r="I596" i="3"/>
  <c r="M596" i="3"/>
  <c r="I1028" i="3"/>
  <c r="M1028" i="3"/>
  <c r="I524" i="3"/>
  <c r="M524" i="3"/>
  <c r="I1196" i="3"/>
  <c r="M1196" i="3"/>
  <c r="I380" i="3"/>
  <c r="M380" i="3"/>
  <c r="I1229" i="3"/>
  <c r="M1229" i="3"/>
  <c r="I973" i="3"/>
  <c r="M973" i="3"/>
  <c r="I717" i="3"/>
  <c r="M717" i="3"/>
  <c r="I461" i="3"/>
  <c r="M461" i="3"/>
  <c r="I444" i="3"/>
  <c r="M444" i="3"/>
  <c r="I1027" i="3"/>
  <c r="M1027" i="3"/>
  <c r="I771" i="3"/>
  <c r="M771" i="3"/>
  <c r="I515" i="3"/>
  <c r="M515" i="3"/>
  <c r="I187" i="3"/>
  <c r="M187" i="3"/>
  <c r="I838" i="3"/>
  <c r="M838" i="3"/>
  <c r="L1710" i="3"/>
  <c r="N1710" i="3"/>
  <c r="I614" i="3"/>
  <c r="M614" i="3"/>
  <c r="L2468" i="3"/>
  <c r="N2468" i="3"/>
  <c r="L1784" i="3"/>
  <c r="N1784" i="3"/>
  <c r="L2021" i="3"/>
  <c r="N2021" i="3"/>
  <c r="L1509" i="3"/>
  <c r="N1509" i="3"/>
  <c r="I216" i="3"/>
  <c r="M216" i="3"/>
  <c r="I1186" i="3"/>
  <c r="M1186" i="3"/>
  <c r="I674" i="3"/>
  <c r="M674" i="3"/>
  <c r="L1671" i="3"/>
  <c r="N1671" i="3"/>
  <c r="I550" i="3"/>
  <c r="M550" i="3"/>
  <c r="L2180" i="3"/>
  <c r="N2180" i="3"/>
  <c r="L1279" i="3"/>
  <c r="N1279" i="3"/>
  <c r="I1100" i="3"/>
  <c r="M1100" i="3"/>
  <c r="I1189" i="3"/>
  <c r="M1189" i="3"/>
  <c r="I1061" i="3"/>
  <c r="M1061" i="3"/>
  <c r="I933" i="3"/>
  <c r="M933" i="3"/>
  <c r="I805" i="3"/>
  <c r="M805" i="3"/>
  <c r="I677" i="3"/>
  <c r="M677" i="3"/>
  <c r="I549" i="3"/>
  <c r="M549" i="3"/>
  <c r="I421" i="3"/>
  <c r="M421" i="3"/>
  <c r="I293" i="3"/>
  <c r="M293" i="3"/>
  <c r="I165" i="3"/>
  <c r="M165" i="3"/>
  <c r="I964" i="3"/>
  <c r="M964" i="3"/>
  <c r="I164" i="3"/>
  <c r="M164" i="3"/>
  <c r="I988" i="3"/>
  <c r="M988" i="3"/>
  <c r="I572" i="3"/>
  <c r="M572" i="3"/>
  <c r="I436" i="3"/>
  <c r="M436" i="3"/>
  <c r="L2287" i="3"/>
  <c r="N2287" i="3"/>
  <c r="I724" i="3"/>
  <c r="M724" i="3"/>
  <c r="I113" i="3"/>
  <c r="M113" i="3"/>
  <c r="I192" i="3"/>
  <c r="M192" i="3"/>
  <c r="I441" i="3"/>
  <c r="M441" i="3"/>
  <c r="L1441" i="3"/>
  <c r="N1441" i="3"/>
  <c r="L2087" i="3"/>
  <c r="N2087" i="3"/>
  <c r="L1263" i="3"/>
  <c r="N1263" i="3"/>
  <c r="L1550" i="3"/>
  <c r="N1550" i="3"/>
  <c r="L1294" i="3"/>
  <c r="N1294" i="3"/>
  <c r="I1030" i="3"/>
  <c r="M1030" i="3"/>
  <c r="L1570" i="3"/>
  <c r="N1570" i="3"/>
  <c r="I178" i="3"/>
  <c r="M178" i="3"/>
  <c r="I227" i="3"/>
  <c r="M227" i="3"/>
  <c r="I264" i="3"/>
  <c r="M264" i="3"/>
  <c r="I235" i="3"/>
  <c r="M235" i="3"/>
  <c r="I1017" i="3"/>
  <c r="M1017" i="3"/>
  <c r="I916" i="3"/>
  <c r="M916" i="3"/>
  <c r="I1082" i="3"/>
  <c r="M1082" i="3"/>
  <c r="I752" i="3"/>
  <c r="M752" i="3"/>
  <c r="I474" i="3"/>
  <c r="M474" i="3"/>
  <c r="I416" i="3"/>
  <c r="M416" i="3"/>
  <c r="L1594" i="3"/>
  <c r="N1594" i="3"/>
  <c r="I1227" i="3"/>
  <c r="M1227" i="3"/>
  <c r="I1099" i="3"/>
  <c r="M1099" i="3"/>
  <c r="I971" i="3"/>
  <c r="M971" i="3"/>
  <c r="I843" i="3"/>
  <c r="M843" i="3"/>
  <c r="I715" i="3"/>
  <c r="M715" i="3"/>
  <c r="I587" i="3"/>
  <c r="M587" i="3"/>
  <c r="I459" i="3"/>
  <c r="M459" i="3"/>
  <c r="I331" i="3"/>
  <c r="M331" i="3"/>
  <c r="I594" i="3"/>
  <c r="M594" i="3"/>
  <c r="I888" i="3"/>
  <c r="M888" i="3"/>
  <c r="I632" i="3"/>
  <c r="M632" i="3"/>
  <c r="L1266" i="3"/>
  <c r="N1266" i="3"/>
  <c r="L2294" i="3"/>
  <c r="N2294" i="3"/>
  <c r="I850" i="3"/>
  <c r="M850" i="3"/>
  <c r="L1651" i="3"/>
  <c r="N1651" i="3"/>
  <c r="I735" i="3"/>
  <c r="M735" i="3"/>
  <c r="I568" i="3"/>
  <c r="M568" i="3"/>
  <c r="L1609" i="3"/>
  <c r="N1609" i="3"/>
  <c r="I800" i="3"/>
  <c r="M800" i="3"/>
  <c r="I654" i="3"/>
  <c r="M654" i="3"/>
  <c r="I658" i="3"/>
  <c r="M658" i="3"/>
  <c r="I352" i="3"/>
  <c r="M352" i="3"/>
  <c r="I1174" i="3"/>
  <c r="M1174" i="3"/>
  <c r="L1434" i="3"/>
  <c r="N1434" i="3"/>
  <c r="I1178" i="3"/>
  <c r="M1178" i="3"/>
  <c r="I634" i="3"/>
  <c r="M634" i="3"/>
  <c r="I314" i="3"/>
  <c r="M314" i="3"/>
  <c r="L2024" i="3"/>
  <c r="N2024" i="3"/>
  <c r="L1462" i="3"/>
  <c r="N1462" i="3"/>
  <c r="I233" i="3"/>
  <c r="M233" i="3"/>
  <c r="I310" i="3"/>
  <c r="M310" i="3"/>
  <c r="I593" i="3"/>
  <c r="M593" i="3"/>
  <c r="I946" i="3"/>
  <c r="M946" i="3"/>
  <c r="I1074" i="3"/>
  <c r="M1074" i="3"/>
  <c r="L1334" i="3"/>
  <c r="N1334" i="3"/>
  <c r="L1643" i="3"/>
  <c r="N1643" i="3"/>
  <c r="L1590" i="3"/>
  <c r="N1590" i="3"/>
  <c r="L1780" i="3"/>
  <c r="N1780" i="3"/>
  <c r="L2263" i="3"/>
  <c r="N2263" i="3"/>
  <c r="L1423" i="3"/>
  <c r="N1423" i="3"/>
  <c r="I969" i="3"/>
  <c r="M969" i="3"/>
  <c r="L1854" i="3"/>
  <c r="N1854" i="3"/>
  <c r="I921" i="3"/>
  <c r="M921" i="3"/>
  <c r="I982" i="3"/>
  <c r="M982" i="3"/>
  <c r="L1887" i="3"/>
  <c r="N1887" i="3"/>
  <c r="L1734" i="3"/>
  <c r="N1734" i="3"/>
  <c r="L1512" i="3"/>
  <c r="N1512" i="3"/>
  <c r="I834" i="3"/>
  <c r="M834" i="3"/>
  <c r="L1534" i="3"/>
  <c r="N1534" i="3"/>
  <c r="L1350" i="3"/>
  <c r="N1350" i="3"/>
  <c r="L1903" i="3"/>
  <c r="N1903" i="3"/>
  <c r="I706" i="3"/>
  <c r="M706" i="3"/>
  <c r="L2305" i="3"/>
  <c r="N2305" i="3"/>
  <c r="L1858" i="3"/>
  <c r="N1858" i="3"/>
  <c r="L1702" i="3"/>
  <c r="N1702" i="3"/>
  <c r="L1775" i="3"/>
  <c r="N1775" i="3"/>
  <c r="L2209" i="3"/>
  <c r="N2209" i="3"/>
  <c r="L1822" i="3"/>
  <c r="N1822" i="3"/>
  <c r="L1857" i="3"/>
  <c r="N1857" i="3"/>
  <c r="L1670" i="3"/>
  <c r="N1670" i="3"/>
  <c r="I576" i="3"/>
  <c r="M576" i="3"/>
  <c r="L2223" i="3"/>
  <c r="N2223" i="3"/>
  <c r="L2189" i="3"/>
  <c r="N2189" i="3"/>
  <c r="L1965" i="3"/>
  <c r="N1965" i="3"/>
  <c r="L1741" i="3"/>
  <c r="N1741" i="3"/>
  <c r="L1549" i="3"/>
  <c r="N1549" i="3"/>
  <c r="L2520" i="3"/>
  <c r="N2520" i="3"/>
  <c r="L1608" i="3"/>
  <c r="N1608" i="3"/>
  <c r="L1431" i="3"/>
  <c r="N1431" i="3"/>
  <c r="L2311" i="3"/>
  <c r="N2311" i="3"/>
  <c r="L1639" i="3"/>
  <c r="N1639" i="3"/>
  <c r="I702" i="3"/>
  <c r="M702" i="3"/>
  <c r="I414" i="3"/>
  <c r="M414" i="3"/>
  <c r="I985" i="3"/>
  <c r="M985" i="3"/>
  <c r="I794" i="3"/>
  <c r="M794" i="3"/>
  <c r="I337" i="3"/>
  <c r="M337" i="3"/>
  <c r="L1241" i="3"/>
  <c r="N1241" i="3"/>
  <c r="I473" i="3"/>
  <c r="M473" i="3"/>
  <c r="I695" i="3"/>
  <c r="M695" i="3"/>
  <c r="I391" i="3"/>
  <c r="M391" i="3"/>
  <c r="L1737" i="3"/>
  <c r="N1737" i="3"/>
  <c r="I903" i="3"/>
  <c r="M903" i="3"/>
  <c r="I423" i="3"/>
  <c r="M423" i="3"/>
  <c r="L1790" i="3"/>
  <c r="N1790" i="3"/>
  <c r="I950" i="3"/>
  <c r="M950" i="3"/>
  <c r="I374" i="3"/>
  <c r="M374" i="3"/>
  <c r="L1844" i="3"/>
  <c r="N1844" i="3"/>
  <c r="L1332" i="3"/>
  <c r="N1332" i="3"/>
  <c r="L1419" i="3"/>
  <c r="N1419" i="3"/>
  <c r="L1458" i="3"/>
  <c r="N1458" i="3"/>
  <c r="I592" i="3"/>
  <c r="M592" i="3"/>
  <c r="I232" i="3"/>
  <c r="M232" i="3"/>
  <c r="L2060" i="3"/>
  <c r="N2060" i="3"/>
  <c r="L1934" i="3"/>
  <c r="N1934" i="3"/>
  <c r="I295" i="3"/>
  <c r="M295" i="3"/>
  <c r="I439" i="3"/>
  <c r="M439" i="3"/>
  <c r="I1103" i="3"/>
  <c r="M1103" i="3"/>
  <c r="L2000" i="3"/>
  <c r="N2000" i="3"/>
  <c r="I511" i="3"/>
  <c r="M511" i="3"/>
  <c r="I159" i="3"/>
  <c r="M159" i="3"/>
  <c r="L1744" i="3"/>
  <c r="N1744" i="3"/>
  <c r="L2497" i="3"/>
  <c r="N2497" i="3"/>
  <c r="I679" i="3"/>
  <c r="M679" i="3"/>
  <c r="L1428" i="3"/>
  <c r="N1428" i="3"/>
  <c r="L1595" i="3"/>
  <c r="N1595" i="3"/>
  <c r="L1339" i="3"/>
  <c r="N1339" i="3"/>
  <c r="I1008" i="3"/>
  <c r="M1008" i="3"/>
  <c r="I688" i="3"/>
  <c r="M688" i="3"/>
  <c r="I640" i="3"/>
  <c r="M640" i="3"/>
  <c r="L2577" i="3"/>
  <c r="N2577" i="3"/>
  <c r="I710" i="3"/>
  <c r="M710" i="3"/>
  <c r="L1732" i="3"/>
  <c r="N1732" i="3"/>
  <c r="I1066" i="3"/>
  <c r="M1066" i="3"/>
  <c r="I778" i="3"/>
  <c r="M778" i="3"/>
  <c r="I522" i="3"/>
  <c r="M522" i="3"/>
  <c r="L1619" i="3"/>
  <c r="N1619" i="3"/>
  <c r="L1363" i="3"/>
  <c r="N1363" i="3"/>
  <c r="L1377" i="3"/>
  <c r="N1377" i="3"/>
  <c r="I863" i="3"/>
  <c r="M863" i="3"/>
  <c r="I704" i="3"/>
  <c r="M704" i="3"/>
  <c r="L2409" i="3"/>
  <c r="N2409" i="3"/>
  <c r="L2325" i="3"/>
  <c r="N2325" i="3"/>
  <c r="L2069" i="3"/>
  <c r="N2069" i="3"/>
  <c r="L1813" i="3"/>
  <c r="N1813" i="3"/>
  <c r="L1557" i="3"/>
  <c r="N1557" i="3"/>
  <c r="L1301" i="3"/>
  <c r="N1301" i="3"/>
  <c r="L2313" i="3"/>
  <c r="N2313" i="3"/>
  <c r="L1865" i="3"/>
  <c r="N1865" i="3"/>
  <c r="I1175" i="3"/>
  <c r="M1175" i="3"/>
  <c r="I743" i="3"/>
  <c r="M743" i="3"/>
  <c r="L2301" i="3"/>
  <c r="N2301" i="3"/>
  <c r="L1533" i="3"/>
  <c r="N1533" i="3"/>
  <c r="I624" i="3"/>
  <c r="M624" i="3"/>
  <c r="L1795" i="3"/>
  <c r="N1795" i="3"/>
  <c r="L2247" i="3"/>
  <c r="N2247" i="3"/>
  <c r="L2397" i="3"/>
  <c r="N2397" i="3"/>
  <c r="L2045" i="3"/>
  <c r="N2045" i="3"/>
  <c r="L1661" i="3"/>
  <c r="N1661" i="3"/>
  <c r="L1277" i="3"/>
  <c r="N1277" i="3"/>
  <c r="L1873" i="3"/>
  <c r="N1873" i="3"/>
  <c r="L2270" i="3"/>
  <c r="N2270" i="3"/>
  <c r="I552" i="3"/>
  <c r="M552" i="3"/>
  <c r="L1635" i="3"/>
  <c r="N1635" i="3"/>
  <c r="I960" i="3"/>
  <c r="M960" i="3"/>
  <c r="L1568" i="3"/>
  <c r="N1568" i="3"/>
  <c r="L1801" i="3"/>
  <c r="N1801" i="3"/>
  <c r="I943" i="3"/>
  <c r="M943" i="3"/>
  <c r="L1679" i="3"/>
  <c r="N1679" i="3"/>
  <c r="L1728" i="3"/>
  <c r="N1728" i="3"/>
  <c r="I719" i="3"/>
  <c r="M719" i="3"/>
  <c r="I1136" i="3"/>
  <c r="M1136" i="3"/>
  <c r="L2437" i="3"/>
  <c r="N2437" i="3"/>
  <c r="L1925" i="3"/>
  <c r="N1925" i="3"/>
  <c r="L1413" i="3"/>
  <c r="N1413" i="3"/>
  <c r="L1473" i="3"/>
  <c r="N1473" i="3"/>
  <c r="I1112" i="3"/>
  <c r="M1112" i="3"/>
  <c r="L2306" i="3"/>
  <c r="N2306" i="3"/>
  <c r="I984" i="3"/>
  <c r="M984" i="3"/>
  <c r="L1247" i="3"/>
  <c r="N1247" i="3"/>
  <c r="L1743" i="3"/>
  <c r="N1743" i="3"/>
  <c r="L2445" i="3"/>
  <c r="N2445" i="3"/>
  <c r="L1325" i="3"/>
  <c r="N1325" i="3"/>
  <c r="L2530" i="3"/>
  <c r="N2530" i="3"/>
  <c r="I1096" i="3"/>
  <c r="M1096" i="3"/>
  <c r="L1255" i="3"/>
  <c r="N1255" i="3"/>
  <c r="I648" i="3"/>
  <c r="M648" i="3"/>
  <c r="L1938" i="3"/>
  <c r="N1938" i="3"/>
  <c r="L2290" i="3"/>
  <c r="N2290" i="3"/>
  <c r="L2063" i="3"/>
  <c r="N2063" i="3"/>
  <c r="L1409" i="3"/>
  <c r="N1409" i="3"/>
  <c r="I532" i="3"/>
  <c r="M532" i="3"/>
  <c r="I236" i="3"/>
  <c r="M236" i="3"/>
  <c r="I653" i="3"/>
  <c r="M653" i="3"/>
  <c r="L1580" i="3"/>
  <c r="N1580" i="3"/>
  <c r="L1479" i="3"/>
  <c r="N1479" i="3"/>
  <c r="I645" i="3"/>
  <c r="M645" i="3"/>
  <c r="I1184" i="3"/>
  <c r="M1184" i="3"/>
  <c r="I582" i="3"/>
  <c r="M582" i="3"/>
  <c r="L2420" i="3"/>
  <c r="N2420" i="3"/>
  <c r="I939" i="3"/>
  <c r="M939" i="3"/>
  <c r="I170" i="3"/>
  <c r="M170" i="3"/>
  <c r="L1426" i="3"/>
  <c r="N1426" i="3"/>
  <c r="L1750" i="3"/>
  <c r="N1750" i="3"/>
  <c r="L1936" i="3"/>
  <c r="N1936" i="3"/>
  <c r="L2023" i="3"/>
  <c r="N2023" i="3"/>
  <c r="L2125" i="3"/>
  <c r="N2125" i="3"/>
  <c r="I1146" i="3"/>
  <c r="M1146" i="3"/>
  <c r="I911" i="3"/>
  <c r="M911" i="3"/>
  <c r="L1246" i="3"/>
  <c r="N1246" i="3"/>
  <c r="L1740" i="3"/>
  <c r="N1740" i="3"/>
  <c r="L1291" i="3"/>
  <c r="N1291" i="3"/>
  <c r="L1937" i="3"/>
  <c r="N1937" i="3"/>
  <c r="L1787" i="3"/>
  <c r="N1787" i="3"/>
  <c r="L2127" i="3"/>
  <c r="N2127" i="3"/>
  <c r="I628" i="3"/>
  <c r="M628" i="3"/>
  <c r="I803" i="3"/>
  <c r="M803" i="3"/>
  <c r="I902" i="3"/>
  <c r="M902" i="3"/>
  <c r="L1774" i="3"/>
  <c r="N1774" i="3"/>
  <c r="I742" i="3"/>
  <c r="M742" i="3"/>
  <c r="L1407" i="3"/>
  <c r="N1407" i="3"/>
  <c r="I1172" i="3"/>
  <c r="M1172" i="3"/>
  <c r="I564" i="3"/>
  <c r="M564" i="3"/>
  <c r="I996" i="3"/>
  <c r="M996" i="3"/>
  <c r="I492" i="3"/>
  <c r="M492" i="3"/>
  <c r="I1116" i="3"/>
  <c r="M1116" i="3"/>
  <c r="I268" i="3"/>
  <c r="M268" i="3"/>
  <c r="I1197" i="3"/>
  <c r="M1197" i="3"/>
  <c r="I941" i="3"/>
  <c r="M941" i="3"/>
  <c r="I685" i="3"/>
  <c r="M685" i="3"/>
  <c r="I429" i="3"/>
  <c r="M429" i="3"/>
  <c r="I948" i="3"/>
  <c r="M948" i="3"/>
  <c r="I412" i="3"/>
  <c r="M412" i="3"/>
  <c r="I995" i="3"/>
  <c r="M995" i="3"/>
  <c r="I739" i="3"/>
  <c r="M739" i="3"/>
  <c r="I483" i="3"/>
  <c r="M483" i="3"/>
  <c r="I131" i="3"/>
  <c r="M131" i="3"/>
  <c r="L2185" i="3"/>
  <c r="N2185" i="3"/>
  <c r="L1646" i="3"/>
  <c r="N1646" i="3"/>
  <c r="I486" i="3"/>
  <c r="M486" i="3"/>
  <c r="L2276" i="3"/>
  <c r="N2276" i="3"/>
  <c r="L1720" i="3"/>
  <c r="N1720" i="3"/>
  <c r="L2469" i="3"/>
  <c r="N2469" i="3"/>
  <c r="L1957" i="3"/>
  <c r="N1957" i="3"/>
  <c r="L1445" i="3"/>
  <c r="N1445" i="3"/>
  <c r="I1122" i="3"/>
  <c r="M1122" i="3"/>
  <c r="I610" i="3"/>
  <c r="M610" i="3"/>
  <c r="L2465" i="3"/>
  <c r="N2465" i="3"/>
  <c r="L1543" i="3"/>
  <c r="N1543" i="3"/>
  <c r="I940" i="3"/>
  <c r="M940" i="3"/>
  <c r="I422" i="3"/>
  <c r="M422" i="3"/>
  <c r="L1988" i="3"/>
  <c r="N1988" i="3"/>
  <c r="L1816" i="3"/>
  <c r="N1816" i="3"/>
  <c r="I716" i="3"/>
  <c r="M716" i="3"/>
  <c r="I300" i="3"/>
  <c r="M300" i="3"/>
  <c r="I1213" i="3"/>
  <c r="M1213" i="3"/>
  <c r="I1085" i="3"/>
  <c r="M1085" i="3"/>
  <c r="I957" i="3"/>
  <c r="M957" i="3"/>
  <c r="I829" i="3"/>
  <c r="M829" i="3"/>
  <c r="I701" i="3"/>
  <c r="M701" i="3"/>
  <c r="I573" i="3"/>
  <c r="M573" i="3"/>
  <c r="I445" i="3"/>
  <c r="M445" i="3"/>
  <c r="I317" i="3"/>
  <c r="M317" i="3"/>
  <c r="I189" i="3"/>
  <c r="M189" i="3"/>
  <c r="I740" i="3"/>
  <c r="M740" i="3"/>
  <c r="I612" i="3"/>
  <c r="M612" i="3"/>
  <c r="I484" i="3"/>
  <c r="M484" i="3"/>
  <c r="I156" i="3"/>
  <c r="M156" i="3"/>
  <c r="I1211" i="3"/>
  <c r="M1211" i="3"/>
  <c r="I1083" i="3"/>
  <c r="M1083" i="3"/>
  <c r="I955" i="3"/>
  <c r="M955" i="3"/>
  <c r="I827" i="3"/>
  <c r="M827" i="3"/>
  <c r="I1109" i="3"/>
  <c r="M1109" i="3"/>
  <c r="I981" i="3"/>
  <c r="M981" i="3"/>
  <c r="I853" i="3"/>
  <c r="M853" i="3"/>
  <c r="I725" i="3"/>
  <c r="M725" i="3"/>
  <c r="I597" i="3"/>
  <c r="M597" i="3"/>
  <c r="I469" i="3"/>
  <c r="M469" i="3"/>
  <c r="I341" i="3"/>
  <c r="M341" i="3"/>
  <c r="I213" i="3"/>
  <c r="M213" i="3"/>
  <c r="I212" i="3"/>
  <c r="M212" i="3"/>
  <c r="L1375" i="3"/>
  <c r="N1375" i="3"/>
  <c r="L2225" i="3"/>
  <c r="N2225" i="3"/>
  <c r="L1721" i="3"/>
  <c r="N1721" i="3"/>
  <c r="L1759" i="3"/>
  <c r="N1759" i="3"/>
  <c r="L1751" i="3"/>
  <c r="N1751" i="3"/>
  <c r="I967" i="3"/>
  <c r="M967" i="3"/>
  <c r="I823" i="3"/>
  <c r="M823" i="3"/>
  <c r="I519" i="3"/>
  <c r="M519" i="3"/>
  <c r="I375" i="3"/>
  <c r="M375" i="3"/>
  <c r="I139" i="3"/>
  <c r="M139" i="3"/>
  <c r="I301" i="3"/>
  <c r="M301" i="3"/>
  <c r="I173" i="3"/>
  <c r="M173" i="3"/>
  <c r="I356" i="3"/>
  <c r="M356" i="3"/>
  <c r="I1156" i="3"/>
  <c r="M1156" i="3"/>
  <c r="I1076" i="3"/>
  <c r="M1076" i="3"/>
  <c r="I529" i="3"/>
  <c r="M529" i="3"/>
  <c r="L1738" i="3"/>
  <c r="N1738" i="3"/>
  <c r="L1610" i="3"/>
  <c r="N1610" i="3"/>
  <c r="L1354" i="3"/>
  <c r="N1354" i="3"/>
  <c r="I825" i="3"/>
  <c r="M825" i="3"/>
  <c r="L1313" i="3"/>
  <c r="N1313" i="3"/>
  <c r="I377" i="3"/>
  <c r="M377" i="3"/>
  <c r="I998" i="3"/>
  <c r="M998" i="3"/>
  <c r="I646" i="3"/>
  <c r="M646" i="3"/>
  <c r="I302" i="3"/>
  <c r="M302" i="3"/>
  <c r="I699" i="3"/>
  <c r="M699" i="3"/>
  <c r="I571" i="3"/>
  <c r="M571" i="3"/>
  <c r="I443" i="3"/>
  <c r="M443" i="3"/>
  <c r="I291" i="3"/>
  <c r="M291" i="3"/>
  <c r="I259" i="3"/>
  <c r="M259" i="3"/>
  <c r="L1506" i="3"/>
  <c r="N1506" i="3"/>
  <c r="I138" i="3"/>
  <c r="M138" i="3"/>
  <c r="I713" i="3"/>
  <c r="M713" i="3"/>
  <c r="L1410" i="3"/>
  <c r="N1410" i="3"/>
  <c r="L1724" i="3"/>
  <c r="N1724" i="3"/>
  <c r="L1928" i="3"/>
  <c r="N1928" i="3"/>
  <c r="I852" i="3"/>
  <c r="M852" i="3"/>
  <c r="I1235" i="3"/>
  <c r="M1235" i="3"/>
  <c r="I1107" i="3"/>
  <c r="M1107" i="3"/>
  <c r="I979" i="3"/>
  <c r="M979" i="3"/>
  <c r="I851" i="3"/>
  <c r="M851" i="3"/>
  <c r="I723" i="3"/>
  <c r="M723" i="3"/>
  <c r="I595" i="3"/>
  <c r="M595" i="3"/>
  <c r="I467" i="3"/>
  <c r="M467" i="3"/>
  <c r="I339" i="3"/>
  <c r="M339" i="3"/>
  <c r="I208" i="3"/>
  <c r="M208" i="3"/>
  <c r="L1466" i="3"/>
  <c r="N1466" i="3"/>
  <c r="I334" i="3"/>
  <c r="M334" i="3"/>
  <c r="I872" i="3"/>
  <c r="M872" i="3"/>
  <c r="I1097" i="3"/>
  <c r="M1097" i="3"/>
  <c r="I376" i="3"/>
  <c r="M376" i="3"/>
  <c r="I672" i="3"/>
  <c r="M672" i="3"/>
  <c r="L2230" i="3"/>
  <c r="N2230" i="3"/>
  <c r="I698" i="3"/>
  <c r="M698" i="3"/>
  <c r="I191" i="3"/>
  <c r="M191" i="3"/>
  <c r="L2097" i="3"/>
  <c r="N2097" i="3"/>
  <c r="I526" i="3"/>
  <c r="M526" i="3"/>
  <c r="L1481" i="3"/>
  <c r="N1481" i="3"/>
  <c r="L1370" i="3"/>
  <c r="N1370" i="3"/>
  <c r="I366" i="3"/>
  <c r="M366" i="3"/>
  <c r="L2030" i="3"/>
  <c r="N2030" i="3"/>
  <c r="I345" i="3"/>
  <c r="M345" i="3"/>
  <c r="L2150" i="3"/>
  <c r="N2150" i="3"/>
  <c r="L2248" i="3"/>
  <c r="N2248" i="3"/>
  <c r="I974" i="3"/>
  <c r="M974" i="3"/>
  <c r="L1402" i="3"/>
  <c r="N1402" i="3"/>
  <c r="I1114" i="3"/>
  <c r="M1114" i="3"/>
  <c r="I570" i="3"/>
  <c r="M570" i="3"/>
  <c r="I250" i="3"/>
  <c r="M250" i="3"/>
  <c r="I168" i="3"/>
  <c r="M168" i="3"/>
  <c r="L2286" i="3"/>
  <c r="N2286" i="3"/>
  <c r="I1120" i="3"/>
  <c r="M1120" i="3"/>
  <c r="I1001" i="3"/>
  <c r="M1001" i="3"/>
  <c r="L1335" i="3"/>
  <c r="N1335" i="3"/>
  <c r="L1366" i="3"/>
  <c r="N1366" i="3"/>
  <c r="L1836" i="3"/>
  <c r="N1836" i="3"/>
  <c r="I1010" i="3"/>
  <c r="M1010" i="3"/>
  <c r="I1192" i="3"/>
  <c r="M1192" i="3"/>
  <c r="L1707" i="3"/>
  <c r="N1707" i="3"/>
  <c r="L1465" i="3"/>
  <c r="N1465" i="3"/>
  <c r="I878" i="3"/>
  <c r="M878" i="3"/>
  <c r="I560" i="3"/>
  <c r="M560" i="3"/>
  <c r="I914" i="3"/>
  <c r="M914" i="3"/>
  <c r="L1430" i="3"/>
  <c r="N1430" i="3"/>
  <c r="I590" i="3"/>
  <c r="M590" i="3"/>
  <c r="L1494" i="3"/>
  <c r="N1494" i="3"/>
  <c r="L1515" i="3"/>
  <c r="N1515" i="3"/>
  <c r="I454" i="3"/>
  <c r="M454" i="3"/>
  <c r="L1574" i="3"/>
  <c r="N1574" i="3"/>
  <c r="I1200" i="3"/>
  <c r="M1200" i="3"/>
  <c r="L1943" i="3"/>
  <c r="N1943" i="3"/>
  <c r="I832" i="3"/>
  <c r="M832" i="3"/>
  <c r="L2192" i="3"/>
  <c r="N2192" i="3"/>
  <c r="L1438" i="3"/>
  <c r="N1438" i="3"/>
  <c r="L2224" i="3"/>
  <c r="N2224" i="3"/>
  <c r="I1119" i="3"/>
  <c r="M1119" i="3"/>
  <c r="L1982" i="3"/>
  <c r="N1982" i="3"/>
  <c r="L1758" i="3"/>
  <c r="N1758" i="3"/>
  <c r="L1446" i="3"/>
  <c r="N1446" i="3"/>
  <c r="L2174" i="3"/>
  <c r="N2174" i="3"/>
  <c r="L1538" i="3"/>
  <c r="N1538" i="3"/>
  <c r="L1342" i="3"/>
  <c r="N1342" i="3"/>
  <c r="L1476" i="3"/>
  <c r="N1476" i="3"/>
  <c r="L2073" i="3"/>
  <c r="N2073" i="3"/>
  <c r="L1542" i="3"/>
  <c r="N1542" i="3"/>
  <c r="I977" i="3"/>
  <c r="M977" i="3"/>
  <c r="I224" i="3"/>
  <c r="M224" i="3"/>
  <c r="L1800" i="3"/>
  <c r="N1800" i="3"/>
  <c r="I642" i="3"/>
  <c r="M642" i="3"/>
  <c r="L1343" i="3"/>
  <c r="N1343" i="3"/>
  <c r="I886" i="3"/>
  <c r="M886" i="3"/>
  <c r="L2241" i="3"/>
  <c r="N2241" i="3"/>
  <c r="L1480" i="3"/>
  <c r="N1480" i="3"/>
  <c r="L1351" i="3"/>
  <c r="N1351" i="3"/>
  <c r="L1382" i="3"/>
  <c r="N1382" i="3"/>
  <c r="I670" i="3"/>
  <c r="M670" i="3"/>
  <c r="L1756" i="3"/>
  <c r="N1756" i="3"/>
  <c r="I873" i="3"/>
  <c r="M873" i="3"/>
  <c r="L1786" i="3"/>
  <c r="N1786" i="3"/>
  <c r="I1210" i="3"/>
  <c r="M1210" i="3"/>
  <c r="I602" i="3"/>
  <c r="M602" i="3"/>
  <c r="I161" i="3"/>
  <c r="M161" i="3"/>
  <c r="L2408" i="3"/>
  <c r="N2408" i="3"/>
  <c r="I606" i="3"/>
  <c r="M606" i="3"/>
  <c r="L1383" i="3"/>
  <c r="N1383" i="3"/>
  <c r="I983" i="3"/>
  <c r="M983" i="3"/>
  <c r="I655" i="3"/>
  <c r="M655" i="3"/>
  <c r="I359" i="3"/>
  <c r="M359" i="3"/>
  <c r="L2519" i="3"/>
  <c r="N2519" i="3"/>
  <c r="I343" i="3"/>
  <c r="M343" i="3"/>
  <c r="L1278" i="3"/>
  <c r="N1278" i="3"/>
  <c r="I342" i="3"/>
  <c r="M342" i="3"/>
  <c r="L1796" i="3"/>
  <c r="N1796" i="3"/>
  <c r="L1244" i="3"/>
  <c r="N1244" i="3"/>
  <c r="L1355" i="3"/>
  <c r="N1355" i="3"/>
  <c r="L1714" i="3"/>
  <c r="N1714" i="3"/>
  <c r="L1394" i="3"/>
  <c r="N1394" i="3"/>
  <c r="I1080" i="3"/>
  <c r="M1080" i="3"/>
  <c r="I202" i="3"/>
  <c r="M202" i="3"/>
  <c r="I504" i="3"/>
  <c r="M504" i="3"/>
  <c r="L1289" i="3"/>
  <c r="N1289" i="3"/>
  <c r="L2521" i="3"/>
  <c r="N2521" i="3"/>
  <c r="I327" i="3"/>
  <c r="M327" i="3"/>
  <c r="L1927" i="3"/>
  <c r="N1927" i="3"/>
  <c r="L2385" i="3"/>
  <c r="N2385" i="3"/>
  <c r="L2145" i="3"/>
  <c r="N2145" i="3"/>
  <c r="L2177" i="3"/>
  <c r="N2177" i="3"/>
  <c r="L2439" i="3"/>
  <c r="N2439" i="3"/>
  <c r="L2321" i="3"/>
  <c r="N2321" i="3"/>
  <c r="I591" i="3"/>
  <c r="M591" i="3"/>
  <c r="L1356" i="3"/>
  <c r="N1356" i="3"/>
  <c r="L1819" i="3"/>
  <c r="N1819" i="3"/>
  <c r="L1563" i="3"/>
  <c r="N1563" i="3"/>
  <c r="L1307" i="3"/>
  <c r="N1307" i="3"/>
  <c r="L1912" i="3"/>
  <c r="N1912" i="3"/>
  <c r="I1090" i="3"/>
  <c r="M1090" i="3"/>
  <c r="I976" i="3"/>
  <c r="M976" i="3"/>
  <c r="L2513" i="3"/>
  <c r="N2513" i="3"/>
  <c r="L1487" i="3"/>
  <c r="N1487" i="3"/>
  <c r="L1684" i="3"/>
  <c r="N1684" i="3"/>
  <c r="I1034" i="3"/>
  <c r="M1034" i="3"/>
  <c r="I746" i="3"/>
  <c r="M746" i="3"/>
  <c r="I490" i="3"/>
  <c r="M490" i="3"/>
  <c r="L1598" i="3"/>
  <c r="N1598" i="3"/>
  <c r="I1065" i="3"/>
  <c r="M1065" i="3"/>
  <c r="L2319" i="3"/>
  <c r="N2319" i="3"/>
  <c r="L1894" i="3"/>
  <c r="N1894" i="3"/>
  <c r="L1587" i="3"/>
  <c r="N1587" i="3"/>
  <c r="L1331" i="3"/>
  <c r="N1331" i="3"/>
  <c r="I146" i="3"/>
  <c r="M146" i="3"/>
  <c r="I247" i="3"/>
  <c r="M247" i="3"/>
  <c r="L1882" i="3"/>
  <c r="N1882" i="3"/>
  <c r="L1944" i="3"/>
  <c r="N1944" i="3"/>
  <c r="L1625" i="3"/>
  <c r="N1625" i="3"/>
  <c r="L1417" i="3"/>
  <c r="N1417" i="3"/>
  <c r="L2549" i="3"/>
  <c r="N2549" i="3"/>
  <c r="L2293" i="3"/>
  <c r="N2293" i="3"/>
  <c r="L2037" i="3"/>
  <c r="N2037" i="3"/>
  <c r="L1781" i="3"/>
  <c r="N1781" i="3"/>
  <c r="L1525" i="3"/>
  <c r="N1525" i="3"/>
  <c r="L1269" i="3"/>
  <c r="N1269" i="3"/>
  <c r="L2249" i="3"/>
  <c r="N2249" i="3"/>
  <c r="L1456" i="3"/>
  <c r="N1456" i="3"/>
  <c r="I1143" i="3"/>
  <c r="M1143" i="3"/>
  <c r="I703" i="3"/>
  <c r="M703" i="3"/>
  <c r="I255" i="3"/>
  <c r="M255" i="3"/>
  <c r="L2407" i="3"/>
  <c r="N2407" i="3"/>
  <c r="L2141" i="3"/>
  <c r="N2141" i="3"/>
  <c r="L1405" i="3"/>
  <c r="N1405" i="3"/>
  <c r="L2440" i="3"/>
  <c r="N2440" i="3"/>
  <c r="L1657" i="3"/>
  <c r="N1657" i="3"/>
  <c r="L1763" i="3"/>
  <c r="N1763" i="3"/>
  <c r="L1572" i="3"/>
  <c r="N1572" i="3"/>
  <c r="L1949" i="3"/>
  <c r="N1949" i="3"/>
  <c r="L1629" i="3"/>
  <c r="N1629" i="3"/>
  <c r="L1524" i="3"/>
  <c r="N1524" i="3"/>
  <c r="L1577" i="3"/>
  <c r="N1577" i="3"/>
  <c r="I1193" i="3"/>
  <c r="M1193" i="3"/>
  <c r="L2006" i="3"/>
  <c r="N2006" i="3"/>
  <c r="L2518" i="3"/>
  <c r="N2518" i="3"/>
  <c r="L1443" i="3"/>
  <c r="N1443" i="3"/>
  <c r="L2264" i="3"/>
  <c r="N2264" i="3"/>
  <c r="L2262" i="3"/>
  <c r="N2262" i="3"/>
  <c r="L1942" i="3"/>
  <c r="N1942" i="3"/>
  <c r="L2503" i="3"/>
  <c r="N2503" i="3"/>
  <c r="L2056" i="3"/>
  <c r="N2056" i="3"/>
  <c r="L2160" i="3"/>
  <c r="N2160" i="3"/>
  <c r="L2569" i="3"/>
  <c r="N2569" i="3"/>
  <c r="L2161" i="3"/>
  <c r="N2161" i="3"/>
  <c r="L1849" i="3"/>
  <c r="N1849" i="3"/>
  <c r="L1696" i="3"/>
  <c r="N1696" i="3"/>
  <c r="L1367" i="3"/>
  <c r="N1367" i="3"/>
  <c r="I687" i="3"/>
  <c r="M687" i="3"/>
  <c r="L1861" i="3"/>
  <c r="N1861" i="3"/>
  <c r="L1349" i="3"/>
  <c r="N1349" i="3"/>
  <c r="I520" i="3"/>
  <c r="M520" i="3"/>
  <c r="I561" i="3"/>
  <c r="M561" i="3"/>
  <c r="L2176" i="3"/>
  <c r="N2176" i="3"/>
  <c r="I1073" i="3"/>
  <c r="M1073" i="3"/>
  <c r="I833" i="3"/>
  <c r="M833" i="3"/>
  <c r="L2202" i="3"/>
  <c r="N2202" i="3"/>
  <c r="L2317" i="3"/>
  <c r="N2317" i="3"/>
  <c r="L1293" i="3"/>
  <c r="N1293" i="3"/>
  <c r="L1240" i="3"/>
  <c r="N1240" i="3"/>
  <c r="I689" i="3"/>
  <c r="M689" i="3"/>
  <c r="I326" i="3"/>
  <c r="M326" i="3"/>
  <c r="L2170" i="3"/>
  <c r="N2170" i="3"/>
  <c r="I497" i="3"/>
  <c r="M497" i="3"/>
  <c r="I897" i="3"/>
  <c r="M897" i="3"/>
  <c r="I513" i="3"/>
  <c r="M513" i="3"/>
  <c r="I904" i="3"/>
  <c r="M904" i="3"/>
  <c r="L1681" i="3"/>
  <c r="N1681" i="3"/>
  <c r="L1599" i="3"/>
  <c r="N1599" i="3"/>
  <c r="I956" i="3"/>
  <c r="M956" i="3"/>
  <c r="I876" i="3"/>
  <c r="M876" i="3"/>
  <c r="L2425" i="3"/>
  <c r="N2425" i="3"/>
  <c r="I773" i="3"/>
  <c r="M773" i="3"/>
  <c r="I133" i="3"/>
  <c r="M133" i="3"/>
  <c r="I764" i="3"/>
  <c r="M764" i="3"/>
  <c r="I265" i="3"/>
  <c r="M265" i="3"/>
  <c r="L1442" i="3"/>
  <c r="N1442" i="3"/>
  <c r="L2452" i="3"/>
  <c r="N2452" i="3"/>
  <c r="I912" i="3"/>
  <c r="M912" i="3"/>
  <c r="I1195" i="3"/>
  <c r="M1195" i="3"/>
  <c r="I275" i="3"/>
  <c r="M275" i="3"/>
  <c r="I336" i="3"/>
  <c r="M336" i="3"/>
  <c r="I722" i="3"/>
  <c r="M722" i="3"/>
  <c r="I319" i="3"/>
  <c r="M319" i="3"/>
  <c r="L2001" i="3"/>
  <c r="N2001" i="3"/>
  <c r="I854" i="3"/>
  <c r="M854" i="3"/>
  <c r="L1929" i="3"/>
  <c r="N1929" i="3"/>
  <c r="L2136" i="3"/>
  <c r="N2136" i="3"/>
  <c r="L1485" i="3"/>
  <c r="N1485" i="3"/>
  <c r="I729" i="3"/>
  <c r="M729" i="3"/>
  <c r="I378" i="3"/>
  <c r="M378" i="3"/>
  <c r="I566" i="3"/>
  <c r="M566" i="3"/>
  <c r="L1606" i="3"/>
  <c r="N1606" i="3"/>
  <c r="L1628" i="3"/>
  <c r="N1628" i="3"/>
  <c r="L1239" i="3"/>
  <c r="N1239" i="3"/>
  <c r="L1749" i="3"/>
  <c r="N1749" i="3"/>
  <c r="I623" i="3"/>
  <c r="M623" i="3"/>
  <c r="L1245" i="3"/>
  <c r="N1245" i="3"/>
  <c r="L2590" i="3"/>
  <c r="N2590" i="3"/>
  <c r="L2297" i="3"/>
  <c r="N2297" i="3"/>
  <c r="L1799" i="3"/>
  <c r="N1799" i="3"/>
  <c r="L2416" i="3"/>
  <c r="N2416" i="3"/>
  <c r="L1292" i="3"/>
  <c r="N1292" i="3"/>
  <c r="L2129" i="3"/>
  <c r="N2129" i="3"/>
  <c r="L1797" i="3"/>
  <c r="N1797" i="3"/>
  <c r="I536" i="3"/>
  <c r="M536" i="3"/>
  <c r="L1601" i="3"/>
  <c r="N1601" i="3"/>
  <c r="L2234" i="3"/>
  <c r="N2234" i="3"/>
  <c r="L2210" i="3"/>
  <c r="N2210" i="3"/>
  <c r="L2042" i="3"/>
  <c r="N2042" i="3"/>
  <c r="I684" i="3"/>
  <c r="M684" i="3"/>
  <c r="I924" i="3"/>
  <c r="M924" i="3"/>
  <c r="I1133" i="3"/>
  <c r="M1133" i="3"/>
  <c r="I621" i="3"/>
  <c r="M621" i="3"/>
  <c r="I836" i="3"/>
  <c r="M836" i="3"/>
  <c r="I1187" i="3"/>
  <c r="M1187" i="3"/>
  <c r="I675" i="3"/>
  <c r="M675" i="3"/>
  <c r="L2057" i="3"/>
  <c r="N2057" i="3"/>
  <c r="L1518" i="3"/>
  <c r="N1518" i="3"/>
  <c r="L1829" i="3"/>
  <c r="N1829" i="3"/>
  <c r="I994" i="3"/>
  <c r="M994" i="3"/>
  <c r="I892" i="3"/>
  <c r="M892" i="3"/>
  <c r="I1181" i="3"/>
  <c r="M1181" i="3"/>
  <c r="I1053" i="3"/>
  <c r="M1053" i="3"/>
  <c r="I925" i="3"/>
  <c r="M925" i="3"/>
  <c r="I797" i="3"/>
  <c r="M797" i="3"/>
  <c r="I669" i="3"/>
  <c r="M669" i="3"/>
  <c r="I541" i="3"/>
  <c r="M541" i="3"/>
  <c r="I413" i="3"/>
  <c r="M413" i="3"/>
  <c r="I285" i="3"/>
  <c r="M285" i="3"/>
  <c r="I157" i="3"/>
  <c r="M157" i="3"/>
  <c r="I1164" i="3"/>
  <c r="M1164" i="3"/>
  <c r="I708" i="3"/>
  <c r="M708" i="3"/>
  <c r="I580" i="3"/>
  <c r="M580" i="3"/>
  <c r="I252" i="3"/>
  <c r="M252" i="3"/>
  <c r="I123" i="3"/>
  <c r="M123" i="3"/>
  <c r="I1179" i="3"/>
  <c r="M1179" i="3"/>
  <c r="I1051" i="3"/>
  <c r="M1051" i="3"/>
  <c r="I923" i="3"/>
  <c r="M923" i="3"/>
  <c r="I795" i="3"/>
  <c r="M795" i="3"/>
  <c r="I1205" i="3"/>
  <c r="M1205" i="3"/>
  <c r="I1077" i="3"/>
  <c r="M1077" i="3"/>
  <c r="I949" i="3"/>
  <c r="M949" i="3"/>
  <c r="I821" i="3"/>
  <c r="M821" i="3"/>
  <c r="I693" i="3"/>
  <c r="M693" i="3"/>
  <c r="I565" i="3"/>
  <c r="M565" i="3"/>
  <c r="I437" i="3"/>
  <c r="M437" i="3"/>
  <c r="I309" i="3"/>
  <c r="M309" i="3"/>
  <c r="I181" i="3"/>
  <c r="M181" i="3"/>
  <c r="L2232" i="3"/>
  <c r="N2232" i="3"/>
  <c r="L1913" i="3"/>
  <c r="N1913" i="3"/>
  <c r="L1592" i="3"/>
  <c r="N1592" i="3"/>
  <c r="L2415" i="3"/>
  <c r="N2415" i="3"/>
  <c r="L2135" i="3"/>
  <c r="N2135" i="3"/>
  <c r="L1623" i="3"/>
  <c r="N1623" i="3"/>
  <c r="I1223" i="3"/>
  <c r="M1223" i="3"/>
  <c r="I1079" i="3"/>
  <c r="M1079" i="3"/>
  <c r="I639" i="3"/>
  <c r="M639" i="3"/>
  <c r="I135" i="3"/>
  <c r="M135" i="3"/>
  <c r="I660" i="3"/>
  <c r="M660" i="3"/>
  <c r="I269" i="3"/>
  <c r="M269" i="3"/>
  <c r="I141" i="3"/>
  <c r="M141" i="3"/>
  <c r="I828" i="3"/>
  <c r="M828" i="3"/>
  <c r="I308" i="3"/>
  <c r="M308" i="3"/>
  <c r="I900" i="3"/>
  <c r="M900" i="3"/>
  <c r="I972" i="3"/>
  <c r="M972" i="3"/>
  <c r="I112" i="3"/>
  <c r="M112" i="3"/>
  <c r="I1044" i="3"/>
  <c r="M1044" i="3"/>
  <c r="I289" i="3"/>
  <c r="M289" i="3"/>
  <c r="L1834" i="3"/>
  <c r="N1834" i="3"/>
  <c r="L1706" i="3"/>
  <c r="N1706" i="3"/>
  <c r="L1578" i="3"/>
  <c r="N1578" i="3"/>
  <c r="L1450" i="3"/>
  <c r="N1450" i="3"/>
  <c r="L1322" i="3"/>
  <c r="N1322" i="3"/>
  <c r="I569" i="3"/>
  <c r="M569" i="3"/>
  <c r="I280" i="3"/>
  <c r="M280" i="3"/>
  <c r="L1803" i="3"/>
  <c r="N1803" i="3"/>
  <c r="I1198" i="3"/>
  <c r="M1198" i="3"/>
  <c r="I1049" i="3"/>
  <c r="M1049" i="3"/>
  <c r="I667" i="3"/>
  <c r="M667" i="3"/>
  <c r="I539" i="3"/>
  <c r="M539" i="3"/>
  <c r="I411" i="3"/>
  <c r="M411" i="3"/>
  <c r="I243" i="3"/>
  <c r="M243" i="3"/>
  <c r="L1272" i="3"/>
  <c r="N1272" i="3"/>
  <c r="I194" i="3"/>
  <c r="M194" i="3"/>
  <c r="L1602" i="3"/>
  <c r="N1602" i="3"/>
  <c r="I218" i="3"/>
  <c r="M218" i="3"/>
  <c r="I952" i="3"/>
  <c r="M952" i="3"/>
  <c r="L2435" i="3"/>
  <c r="N2435" i="3"/>
  <c r="I1161" i="3"/>
  <c r="M1161" i="3"/>
  <c r="I180" i="3"/>
  <c r="M180" i="3"/>
  <c r="I796" i="3"/>
  <c r="M796" i="3"/>
  <c r="I1203" i="3"/>
  <c r="M1203" i="3"/>
  <c r="I1075" i="3"/>
  <c r="M1075" i="3"/>
  <c r="I947" i="3"/>
  <c r="M947" i="3"/>
  <c r="I819" i="3"/>
  <c r="M819" i="3"/>
  <c r="I691" i="3"/>
  <c r="M691" i="3"/>
  <c r="I563" i="3"/>
  <c r="M563" i="3"/>
  <c r="I435" i="3"/>
  <c r="M435" i="3"/>
  <c r="I283" i="3"/>
  <c r="M283" i="3"/>
  <c r="I464" i="3"/>
  <c r="M464" i="3"/>
  <c r="L2563" i="3"/>
  <c r="N2563" i="3"/>
  <c r="I616" i="3"/>
  <c r="M616" i="3"/>
  <c r="I1212" i="3"/>
  <c r="M1212" i="3"/>
  <c r="I1208" i="3"/>
  <c r="M1208" i="3"/>
  <c r="L2038" i="3"/>
  <c r="N2038" i="3"/>
  <c r="I545" i="3"/>
  <c r="M545" i="3"/>
  <c r="L2406" i="3"/>
  <c r="N2406" i="3"/>
  <c r="L1992" i="3"/>
  <c r="N1992" i="3"/>
  <c r="I782" i="3"/>
  <c r="M782" i="3"/>
  <c r="L1654" i="3"/>
  <c r="N1654" i="3"/>
  <c r="L2222" i="3"/>
  <c r="N2222" i="3"/>
  <c r="I353" i="3"/>
  <c r="M353" i="3"/>
  <c r="I1038" i="3"/>
  <c r="M1038" i="3"/>
  <c r="I1128" i="3"/>
  <c r="M1128" i="3"/>
  <c r="I656" i="3"/>
  <c r="M656" i="3"/>
  <c r="L1338" i="3"/>
  <c r="N1338" i="3"/>
  <c r="I562" i="3"/>
  <c r="M562" i="3"/>
  <c r="I1142" i="3"/>
  <c r="M1142" i="3"/>
  <c r="I690" i="3"/>
  <c r="M690" i="3"/>
  <c r="I718" i="3"/>
  <c r="M718" i="3"/>
  <c r="I754" i="3"/>
  <c r="M754" i="3"/>
  <c r="I686" i="3"/>
  <c r="M686" i="3"/>
  <c r="I489" i="3"/>
  <c r="M489" i="3"/>
  <c r="I434" i="3"/>
  <c r="M434" i="3"/>
  <c r="I498" i="3"/>
  <c r="M498" i="3"/>
  <c r="L1823" i="3"/>
  <c r="N1823" i="3"/>
  <c r="L2055" i="3"/>
  <c r="N2055" i="3"/>
  <c r="L1871" i="3"/>
  <c r="N1871" i="3"/>
  <c r="L1302" i="3"/>
  <c r="N1302" i="3"/>
  <c r="L1259" i="3"/>
  <c r="N1259" i="3"/>
  <c r="L1991" i="3"/>
  <c r="N1991" i="3"/>
  <c r="L1645" i="3"/>
  <c r="N1645" i="3"/>
  <c r="L1672" i="3"/>
  <c r="N1672" i="3"/>
  <c r="L2088" i="3"/>
  <c r="N2088" i="3"/>
  <c r="L1730" i="3"/>
  <c r="N1730" i="3"/>
  <c r="L2105" i="3"/>
  <c r="N2105" i="3"/>
  <c r="L1711" i="3"/>
  <c r="N1711" i="3"/>
  <c r="L1666" i="3"/>
  <c r="N1666" i="3"/>
  <c r="L1807" i="3"/>
  <c r="N1807" i="3"/>
  <c r="I514" i="3"/>
  <c r="M514" i="3"/>
  <c r="I465" i="3"/>
  <c r="M465" i="3"/>
  <c r="L1911" i="3"/>
  <c r="N1911" i="3"/>
  <c r="L1517" i="3"/>
  <c r="N1517" i="3"/>
  <c r="L1766" i="3"/>
  <c r="N1766" i="3"/>
  <c r="L1673" i="3"/>
  <c r="N1673" i="3"/>
  <c r="L1310" i="3"/>
  <c r="N1310" i="3"/>
  <c r="L1346" i="3"/>
  <c r="N1346" i="3"/>
  <c r="L1828" i="3"/>
  <c r="N1828" i="3"/>
  <c r="L1983" i="3"/>
  <c r="N1983" i="3"/>
  <c r="I1126" i="3"/>
  <c r="M1126" i="3"/>
  <c r="L1566" i="3"/>
  <c r="N1566" i="3"/>
  <c r="L1510" i="3"/>
  <c r="N1510" i="3"/>
  <c r="I450" i="3"/>
  <c r="M450" i="3"/>
  <c r="I607" i="3"/>
  <c r="M607" i="3"/>
  <c r="L2041" i="3"/>
  <c r="N2041" i="3"/>
  <c r="L2399" i="3"/>
  <c r="N2399" i="3"/>
  <c r="I575" i="3"/>
  <c r="M575" i="3"/>
  <c r="L1830" i="3"/>
  <c r="N1830" i="3"/>
  <c r="I574" i="3"/>
  <c r="M574" i="3"/>
  <c r="I294" i="3"/>
  <c r="M294" i="3"/>
  <c r="L1676" i="3"/>
  <c r="N1676" i="3"/>
  <c r="L1658" i="3"/>
  <c r="N1658" i="3"/>
  <c r="I1050" i="3"/>
  <c r="M1050" i="3"/>
  <c r="I144" i="3"/>
  <c r="M144" i="3"/>
  <c r="I879" i="3"/>
  <c r="M879" i="3"/>
  <c r="I287" i="3"/>
  <c r="M287" i="3"/>
  <c r="L1632" i="3"/>
  <c r="N1632" i="3"/>
  <c r="I1199" i="3"/>
  <c r="M1199" i="3"/>
  <c r="I759" i="3"/>
  <c r="M759" i="3"/>
  <c r="I175" i="3"/>
  <c r="M175" i="3"/>
  <c r="L1630" i="3"/>
  <c r="N1630" i="3"/>
  <c r="I1214" i="3"/>
  <c r="M1214" i="3"/>
  <c r="I790" i="3"/>
  <c r="M790" i="3"/>
  <c r="I534" i="3"/>
  <c r="M534" i="3"/>
  <c r="I246" i="3"/>
  <c r="M246" i="3"/>
  <c r="L1692" i="3"/>
  <c r="N1692" i="3"/>
  <c r="L1650" i="3"/>
  <c r="N1650" i="3"/>
  <c r="L1330" i="3"/>
  <c r="N1330" i="3"/>
  <c r="I121" i="3"/>
  <c r="M121" i="3"/>
  <c r="I328" i="3"/>
  <c r="M328" i="3"/>
  <c r="I824" i="3"/>
  <c r="M824" i="3"/>
  <c r="I889" i="3"/>
  <c r="M889" i="3"/>
  <c r="L1705" i="3"/>
  <c r="N1705" i="3"/>
  <c r="L2504" i="3"/>
  <c r="N2504" i="3"/>
  <c r="L2281" i="3"/>
  <c r="N2281" i="3"/>
  <c r="L2217" i="3"/>
  <c r="N2217" i="3"/>
  <c r="L1769" i="3"/>
  <c r="N1769" i="3"/>
  <c r="I999" i="3"/>
  <c r="M999" i="3"/>
  <c r="L2153" i="3"/>
  <c r="N2153" i="3"/>
  <c r="L1318" i="3"/>
  <c r="N1318" i="3"/>
  <c r="L1755" i="3"/>
  <c r="N1755" i="3"/>
  <c r="L1499" i="3"/>
  <c r="N1499" i="3"/>
  <c r="L1243" i="3"/>
  <c r="N1243" i="3"/>
  <c r="L2318" i="3"/>
  <c r="N2318" i="3"/>
  <c r="I432" i="3"/>
  <c r="M432" i="3"/>
  <c r="I418" i="3"/>
  <c r="M418" i="3"/>
  <c r="I762" i="3"/>
  <c r="M762" i="3"/>
  <c r="L1284" i="3"/>
  <c r="N1284" i="3"/>
  <c r="I1226" i="3"/>
  <c r="M1226" i="3"/>
  <c r="I970" i="3"/>
  <c r="M970" i="3"/>
  <c r="I682" i="3"/>
  <c r="M682" i="3"/>
  <c r="I426" i="3"/>
  <c r="M426" i="3"/>
  <c r="L1497" i="3"/>
  <c r="N1497" i="3"/>
  <c r="L2255" i="3"/>
  <c r="N2255" i="3"/>
  <c r="L1388" i="3"/>
  <c r="N1388" i="3"/>
  <c r="L1811" i="3"/>
  <c r="N1811" i="3"/>
  <c r="L1523" i="3"/>
  <c r="N1523" i="3"/>
  <c r="L1267" i="3"/>
  <c r="N1267" i="3"/>
  <c r="I1063" i="3"/>
  <c r="M1063" i="3"/>
  <c r="L1695" i="3"/>
  <c r="N1695" i="3"/>
  <c r="L1280" i="3"/>
  <c r="N1280" i="3"/>
  <c r="I521" i="3"/>
  <c r="M521" i="3"/>
  <c r="L1902" i="3"/>
  <c r="N1902" i="3"/>
  <c r="L2078" i="3"/>
  <c r="N2078" i="3"/>
  <c r="L2485" i="3"/>
  <c r="N2485" i="3"/>
  <c r="L2229" i="3"/>
  <c r="N2229" i="3"/>
  <c r="L1973" i="3"/>
  <c r="N1973" i="3"/>
  <c r="L1717" i="3"/>
  <c r="N1717" i="3"/>
  <c r="L1461" i="3"/>
  <c r="N1461" i="3"/>
  <c r="L2113" i="3"/>
  <c r="N2113" i="3"/>
  <c r="L1719" i="3"/>
  <c r="N1719" i="3"/>
  <c r="I1031" i="3"/>
  <c r="M1031" i="3"/>
  <c r="I583" i="3"/>
  <c r="M583" i="3"/>
  <c r="L2032" i="3"/>
  <c r="N2032" i="3"/>
  <c r="L2013" i="3"/>
  <c r="N2013" i="3"/>
  <c r="I880" i="3"/>
  <c r="M880" i="3"/>
  <c r="I311" i="3"/>
  <c r="M311" i="3"/>
  <c r="L1571" i="3"/>
  <c r="N1571" i="3"/>
  <c r="L2269" i="3"/>
  <c r="N2269" i="3"/>
  <c r="L1885" i="3"/>
  <c r="N1885" i="3"/>
  <c r="L1501" i="3"/>
  <c r="N1501" i="3"/>
  <c r="L1950" i="3"/>
  <c r="N1950" i="3"/>
  <c r="L2198" i="3"/>
  <c r="N2198" i="3"/>
  <c r="L1551" i="3"/>
  <c r="N1551" i="3"/>
  <c r="I808" i="3"/>
  <c r="M808" i="3"/>
  <c r="L1315" i="3"/>
  <c r="N1315" i="3"/>
  <c r="L1731" i="3"/>
  <c r="N1731" i="3"/>
  <c r="L2296" i="3"/>
  <c r="N2296" i="3"/>
  <c r="L1840" i="3"/>
  <c r="N1840" i="3"/>
  <c r="L1792" i="3"/>
  <c r="N1792" i="3"/>
  <c r="L1593" i="3"/>
  <c r="N1593" i="3"/>
  <c r="L2065" i="3"/>
  <c r="N2065" i="3"/>
  <c r="L1600" i="3"/>
  <c r="N1600" i="3"/>
  <c r="L2143" i="3"/>
  <c r="N2143" i="3"/>
  <c r="I368" i="3"/>
  <c r="M368" i="3"/>
  <c r="L2245" i="3"/>
  <c r="N2245" i="3"/>
  <c r="L1733" i="3"/>
  <c r="N1733" i="3"/>
  <c r="I404" i="3"/>
  <c r="M404" i="3"/>
  <c r="L2178" i="3"/>
  <c r="N2178" i="3"/>
  <c r="L2044" i="3"/>
  <c r="N2044" i="3"/>
  <c r="L2130" i="3"/>
  <c r="N2130" i="3"/>
  <c r="I449" i="3"/>
  <c r="M449" i="3"/>
  <c r="L1633" i="3"/>
  <c r="N1633" i="3"/>
  <c r="L2093" i="3"/>
  <c r="N2093" i="3"/>
  <c r="L2304" i="3"/>
  <c r="N2304" i="3"/>
  <c r="L1585" i="3"/>
  <c r="N1585" i="3"/>
  <c r="L2002" i="3"/>
  <c r="N2002" i="3"/>
  <c r="L1729" i="3"/>
  <c r="N1729" i="3"/>
  <c r="L1457" i="3"/>
  <c r="N1457" i="3"/>
  <c r="L2282" i="3"/>
  <c r="N2282" i="3"/>
  <c r="I909" i="3"/>
  <c r="M909" i="3"/>
  <c r="I1219" i="3"/>
  <c r="M1219" i="3"/>
  <c r="L1528" i="3"/>
  <c r="N1528" i="3"/>
  <c r="L1893" i="3"/>
  <c r="N1893" i="3"/>
  <c r="L2457" i="3"/>
  <c r="N2457" i="3"/>
  <c r="I1157" i="3"/>
  <c r="M1157" i="3"/>
  <c r="I261" i="3"/>
  <c r="M261" i="3"/>
  <c r="L1742" i="3"/>
  <c r="N1742" i="3"/>
  <c r="I262" i="3"/>
  <c r="M262" i="3"/>
  <c r="I176" i="3"/>
  <c r="M176" i="3"/>
  <c r="I284" i="3"/>
  <c r="M284" i="3"/>
  <c r="I683" i="3"/>
  <c r="M683" i="3"/>
  <c r="L2478" i="3"/>
  <c r="N2478" i="3"/>
  <c r="I929" i="3"/>
  <c r="M929" i="3"/>
  <c r="I201" i="3"/>
  <c r="M201" i="3"/>
  <c r="L2095" i="3"/>
  <c r="N2095" i="3"/>
  <c r="I617" i="3"/>
  <c r="M617" i="3"/>
  <c r="L1880" i="3"/>
  <c r="N1880" i="3"/>
  <c r="I1014" i="3"/>
  <c r="M1014" i="3"/>
  <c r="L1474" i="3"/>
  <c r="N1474" i="3"/>
  <c r="L1901" i="3"/>
  <c r="N1901" i="3"/>
  <c r="L2137" i="3"/>
  <c r="N2137" i="3"/>
  <c r="L1716" i="3"/>
  <c r="N1716" i="3"/>
  <c r="L2396" i="3"/>
  <c r="N2396" i="3"/>
  <c r="I154" i="3"/>
  <c r="M154" i="3"/>
  <c r="I1033" i="3"/>
  <c r="M1033" i="3"/>
  <c r="L1833" i="3"/>
  <c r="N1833" i="3"/>
  <c r="I671" i="3"/>
  <c r="M671" i="3"/>
  <c r="L1275" i="3"/>
  <c r="N1275" i="3"/>
  <c r="I898" i="3"/>
  <c r="M898" i="3"/>
  <c r="L2238" i="3"/>
  <c r="N2238" i="3"/>
  <c r="L1324" i="3"/>
  <c r="N1324" i="3"/>
  <c r="I1002" i="3"/>
  <c r="M1002" i="3"/>
  <c r="L2517" i="3"/>
  <c r="N2517" i="3"/>
  <c r="L1493" i="3"/>
  <c r="N1493" i="3"/>
  <c r="I1071" i="3"/>
  <c r="M1071" i="3"/>
  <c r="L2109" i="3"/>
  <c r="N2109" i="3"/>
  <c r="L1392" i="3"/>
  <c r="N1392" i="3"/>
  <c r="L1917" i="3"/>
  <c r="N1917" i="3"/>
  <c r="I1064" i="3"/>
  <c r="M1064" i="3"/>
  <c r="L1347" i="3"/>
  <c r="N1347" i="3"/>
  <c r="L2008" i="3"/>
  <c r="N2008" i="3"/>
  <c r="I1036" i="3"/>
  <c r="M1036" i="3"/>
  <c r="I500" i="3"/>
  <c r="M500" i="3"/>
  <c r="I204" i="3"/>
  <c r="M204" i="3"/>
  <c r="I877" i="3"/>
  <c r="M877" i="3"/>
  <c r="I365" i="3"/>
  <c r="M365" i="3"/>
  <c r="I260" i="3"/>
  <c r="M260" i="3"/>
  <c r="I931" i="3"/>
  <c r="M931" i="3"/>
  <c r="I419" i="3"/>
  <c r="M419" i="3"/>
  <c r="I1220" i="3"/>
  <c r="M1220" i="3"/>
  <c r="L1464" i="3"/>
  <c r="N1464" i="3"/>
  <c r="L1806" i="3"/>
  <c r="N1806" i="3"/>
  <c r="L1546" i="3"/>
  <c r="N1546" i="3"/>
  <c r="I1111" i="3"/>
  <c r="M1111" i="3"/>
  <c r="L2393" i="3"/>
  <c r="N2393" i="3"/>
  <c r="L1624" i="3"/>
  <c r="N1624" i="3"/>
  <c r="I1004" i="3"/>
  <c r="M1004" i="3"/>
  <c r="I468" i="3"/>
  <c r="M468" i="3"/>
  <c r="I652" i="3"/>
  <c r="M652" i="3"/>
  <c r="I884" i="3"/>
  <c r="M884" i="3"/>
  <c r="I172" i="3"/>
  <c r="M172" i="3"/>
  <c r="I1101" i="3"/>
  <c r="M1101" i="3"/>
  <c r="I845" i="3"/>
  <c r="M845" i="3"/>
  <c r="I589" i="3"/>
  <c r="M589" i="3"/>
  <c r="I333" i="3"/>
  <c r="M333" i="3"/>
  <c r="I804" i="3"/>
  <c r="M804" i="3"/>
  <c r="I196" i="3"/>
  <c r="M196" i="3"/>
  <c r="I1155" i="3"/>
  <c r="M1155" i="3"/>
  <c r="I899" i="3"/>
  <c r="M899" i="3"/>
  <c r="I643" i="3"/>
  <c r="M643" i="3"/>
  <c r="I387" i="3"/>
  <c r="M387" i="3"/>
  <c r="I1140" i="3"/>
  <c r="M1140" i="3"/>
  <c r="L1864" i="3"/>
  <c r="N1864" i="3"/>
  <c r="L1454" i="3"/>
  <c r="N1454" i="3"/>
  <c r="L2565" i="3"/>
  <c r="N2565" i="3"/>
  <c r="L1444" i="3"/>
  <c r="N1444" i="3"/>
  <c r="L1826" i="3"/>
  <c r="N1826" i="3"/>
  <c r="L2277" i="3"/>
  <c r="N2277" i="3"/>
  <c r="L1765" i="3"/>
  <c r="N1765" i="3"/>
  <c r="L2076" i="3"/>
  <c r="N2076" i="3"/>
  <c r="I930" i="3"/>
  <c r="M930" i="3"/>
  <c r="L1248" i="3"/>
  <c r="N1248" i="3"/>
  <c r="L1482" i="3"/>
  <c r="N1482" i="3"/>
  <c r="I855" i="3"/>
  <c r="M855" i="3"/>
  <c r="L1945" i="3"/>
  <c r="N1945" i="3"/>
  <c r="L1496" i="3"/>
  <c r="N1496" i="3"/>
  <c r="I1125" i="3"/>
  <c r="M1125" i="3"/>
  <c r="I997" i="3"/>
  <c r="M997" i="3"/>
  <c r="I869" i="3"/>
  <c r="M869" i="3"/>
  <c r="I741" i="3"/>
  <c r="M741" i="3"/>
  <c r="I613" i="3"/>
  <c r="M613" i="3"/>
  <c r="I485" i="3"/>
  <c r="M485" i="3"/>
  <c r="I357" i="3"/>
  <c r="M357" i="3"/>
  <c r="I229" i="3"/>
  <c r="M229" i="3"/>
  <c r="I1052" i="3"/>
  <c r="M1052" i="3"/>
  <c r="I700" i="3"/>
  <c r="M700" i="3"/>
  <c r="I508" i="3"/>
  <c r="M508" i="3"/>
  <c r="L2535" i="3"/>
  <c r="N2535" i="3"/>
  <c r="I544" i="3"/>
  <c r="M544" i="3"/>
  <c r="I234" i="3"/>
  <c r="M234" i="3"/>
  <c r="I145" i="3"/>
  <c r="M145" i="3"/>
  <c r="I1056" i="3"/>
  <c r="M1056" i="3"/>
  <c r="L1739" i="3"/>
  <c r="N1739" i="3"/>
  <c r="L1678" i="3"/>
  <c r="N1678" i="3"/>
  <c r="L1422" i="3"/>
  <c r="N1422" i="3"/>
  <c r="I518" i="3"/>
  <c r="M518" i="3"/>
  <c r="I182" i="3"/>
  <c r="M182" i="3"/>
  <c r="L1378" i="3"/>
  <c r="N1378" i="3"/>
  <c r="I737" i="3"/>
  <c r="M737" i="3"/>
  <c r="L1297" i="3"/>
  <c r="N1297" i="3"/>
  <c r="I928" i="3"/>
  <c r="M928" i="3"/>
  <c r="L2003" i="3"/>
  <c r="N2003" i="3"/>
  <c r="I185" i="3"/>
  <c r="M185" i="3"/>
  <c r="I809" i="3"/>
  <c r="M809" i="3"/>
  <c r="I130" i="3"/>
  <c r="M130" i="3"/>
  <c r="I1209" i="3"/>
  <c r="M1209" i="3"/>
  <c r="L2051" i="3"/>
  <c r="N2051" i="3"/>
  <c r="I1163" i="3"/>
  <c r="M1163" i="3"/>
  <c r="I1035" i="3"/>
  <c r="M1035" i="3"/>
  <c r="I907" i="3"/>
  <c r="M907" i="3"/>
  <c r="I779" i="3"/>
  <c r="M779" i="3"/>
  <c r="I651" i="3"/>
  <c r="M651" i="3"/>
  <c r="I523" i="3"/>
  <c r="M523" i="3"/>
  <c r="I395" i="3"/>
  <c r="M395" i="3"/>
  <c r="I211" i="3"/>
  <c r="M211" i="3"/>
  <c r="I649" i="3"/>
  <c r="M649" i="3"/>
  <c r="I174" i="3"/>
  <c r="M174" i="3"/>
  <c r="L1974" i="3"/>
  <c r="N1974" i="3"/>
  <c r="L1722" i="3"/>
  <c r="N1722" i="3"/>
  <c r="L1472" i="3"/>
  <c r="N1472" i="3"/>
  <c r="L2455" i="3"/>
  <c r="N2455" i="3"/>
  <c r="I910" i="3"/>
  <c r="M910" i="3"/>
  <c r="L1328" i="3"/>
  <c r="N1328" i="3"/>
  <c r="I137" i="3"/>
  <c r="M137" i="3"/>
  <c r="L2542" i="3"/>
  <c r="N2542" i="3"/>
  <c r="L1558" i="3"/>
  <c r="N1558" i="3"/>
  <c r="I1121" i="3"/>
  <c r="M1121" i="3"/>
  <c r="I494" i="3"/>
  <c r="M494" i="3"/>
  <c r="L1460" i="3"/>
  <c r="N1460" i="3"/>
  <c r="L1306" i="3"/>
  <c r="N1306" i="3"/>
  <c r="I442" i="3"/>
  <c r="M442" i="3"/>
  <c r="L2492" i="3"/>
  <c r="N2492" i="3"/>
  <c r="I1232" i="3"/>
  <c r="M1232" i="3"/>
  <c r="L1579" i="3"/>
  <c r="N1579" i="3"/>
  <c r="L2231" i="3"/>
  <c r="N2231" i="3"/>
  <c r="L1782" i="3"/>
  <c r="N1782" i="3"/>
  <c r="I857" i="3"/>
  <c r="M857" i="3"/>
  <c r="I750" i="3"/>
  <c r="M750" i="3"/>
  <c r="I1206" i="3"/>
  <c r="M1206" i="3"/>
  <c r="I466" i="3"/>
  <c r="M466" i="3"/>
  <c r="I865" i="3"/>
  <c r="M865" i="3"/>
  <c r="I278" i="3"/>
  <c r="M278" i="3"/>
  <c r="L1814" i="3"/>
  <c r="N1814" i="3"/>
  <c r="I152" i="3"/>
  <c r="M152" i="3"/>
  <c r="I338" i="3"/>
  <c r="M338" i="3"/>
  <c r="L1703" i="3"/>
  <c r="N1703" i="3"/>
  <c r="L2543" i="3"/>
  <c r="N2543" i="3"/>
  <c r="L1935" i="3"/>
  <c r="N1935" i="3"/>
  <c r="I361" i="3"/>
  <c r="M361" i="3"/>
  <c r="I1055" i="3"/>
  <c r="M1055" i="3"/>
  <c r="L1344" i="3"/>
  <c r="N1344" i="3"/>
  <c r="I354" i="3"/>
  <c r="M354" i="3"/>
  <c r="L1516" i="3"/>
  <c r="N1516" i="3"/>
  <c r="I578" i="3"/>
  <c r="M578" i="3"/>
  <c r="L1638" i="3"/>
  <c r="N1638" i="3"/>
  <c r="L1503" i="3"/>
  <c r="N1503" i="3"/>
  <c r="L1414" i="3"/>
  <c r="N1414" i="3"/>
  <c r="L2494" i="3"/>
  <c r="N2494" i="3"/>
  <c r="I312" i="3"/>
  <c r="M312" i="3"/>
  <c r="I1054" i="3"/>
  <c r="M1054" i="3"/>
  <c r="L1421" i="3"/>
  <c r="N1421" i="3"/>
  <c r="L2169" i="3"/>
  <c r="N2169" i="3"/>
  <c r="L1282" i="3"/>
  <c r="N1282" i="3"/>
  <c r="I926" i="3"/>
  <c r="M926" i="3"/>
  <c r="L1433" i="3"/>
  <c r="N1433" i="3"/>
  <c r="L1745" i="3"/>
  <c r="N1745" i="3"/>
  <c r="L1254" i="3"/>
  <c r="N1254" i="3"/>
  <c r="I409" i="3"/>
  <c r="M409" i="3"/>
  <c r="L2568" i="3"/>
  <c r="N2568" i="3"/>
  <c r="L2477" i="3"/>
  <c r="N2477" i="3"/>
  <c r="L2253" i="3"/>
  <c r="N2253" i="3"/>
  <c r="L2061" i="3"/>
  <c r="N2061" i="3"/>
  <c r="L1837" i="3"/>
  <c r="N1837" i="3"/>
  <c r="L1677" i="3"/>
  <c r="N1677" i="3"/>
  <c r="L1453" i="3"/>
  <c r="N1453" i="3"/>
  <c r="L1832" i="3"/>
  <c r="N1832" i="3"/>
  <c r="L2191" i="3"/>
  <c r="N2191" i="3"/>
  <c r="I118" i="3"/>
  <c r="M118" i="3"/>
  <c r="L1286" i="3"/>
  <c r="N1286" i="3"/>
  <c r="I542" i="3"/>
  <c r="M542" i="3"/>
  <c r="I254" i="3"/>
  <c r="M254" i="3"/>
  <c r="I934" i="3"/>
  <c r="M934" i="3"/>
  <c r="I386" i="3"/>
  <c r="M386" i="3"/>
  <c r="L1708" i="3"/>
  <c r="N1708" i="3"/>
  <c r="L1626" i="3"/>
  <c r="N1626" i="3"/>
  <c r="I986" i="3"/>
  <c r="M986" i="3"/>
  <c r="I760" i="3"/>
  <c r="M760" i="3"/>
  <c r="L2220" i="3"/>
  <c r="N2220" i="3"/>
  <c r="I1207" i="3"/>
  <c r="M1207" i="3"/>
  <c r="I839" i="3"/>
  <c r="M839" i="3"/>
  <c r="I535" i="3"/>
  <c r="M535" i="3"/>
  <c r="I215" i="3"/>
  <c r="M215" i="3"/>
  <c r="L2303" i="3"/>
  <c r="N2303" i="3"/>
  <c r="L1961" i="3"/>
  <c r="N1961" i="3"/>
  <c r="I143" i="3"/>
  <c r="M143" i="3"/>
  <c r="L1735" i="3"/>
  <c r="N1735" i="3"/>
  <c r="L1502" i="3"/>
  <c r="N1502" i="3"/>
  <c r="I1118" i="3"/>
  <c r="M1118" i="3"/>
  <c r="I758" i="3"/>
  <c r="M758" i="3"/>
  <c r="I502" i="3"/>
  <c r="M502" i="3"/>
  <c r="I198" i="3"/>
  <c r="M198" i="3"/>
  <c r="L1540" i="3"/>
  <c r="N1540" i="3"/>
  <c r="L1874" i="3"/>
  <c r="N1874" i="3"/>
  <c r="L1586" i="3"/>
  <c r="N1586" i="3"/>
  <c r="L1298" i="3"/>
  <c r="N1298" i="3"/>
  <c r="I978" i="3"/>
  <c r="M978" i="3"/>
  <c r="L1895" i="3"/>
  <c r="N1895" i="3"/>
  <c r="I402" i="3"/>
  <c r="M402" i="3"/>
  <c r="L1488" i="3"/>
  <c r="N1488" i="3"/>
  <c r="I887" i="3"/>
  <c r="M887" i="3"/>
  <c r="I367" i="3"/>
  <c r="M367" i="3"/>
  <c r="L2428" i="3"/>
  <c r="N2428" i="3"/>
  <c r="L1999" i="3"/>
  <c r="N1999" i="3"/>
  <c r="L1539" i="3"/>
  <c r="N1539" i="3"/>
  <c r="L2089" i="3"/>
  <c r="N2089" i="3"/>
  <c r="I1039" i="3"/>
  <c r="M1039" i="3"/>
  <c r="I335" i="3"/>
  <c r="M335" i="3"/>
  <c r="L1812" i="3"/>
  <c r="N1812" i="3"/>
  <c r="L1723" i="3"/>
  <c r="N1723" i="3"/>
  <c r="L1467" i="3"/>
  <c r="N1467" i="3"/>
  <c r="I384" i="3"/>
  <c r="M384" i="3"/>
  <c r="L2190" i="3"/>
  <c r="N2190" i="3"/>
  <c r="L1264" i="3"/>
  <c r="N1264" i="3"/>
  <c r="I538" i="3"/>
  <c r="M538" i="3"/>
  <c r="I953" i="3"/>
  <c r="M953" i="3"/>
  <c r="I1194" i="3"/>
  <c r="M1194" i="3"/>
  <c r="I906" i="3"/>
  <c r="M906" i="3"/>
  <c r="I650" i="3"/>
  <c r="M650" i="3"/>
  <c r="I394" i="3"/>
  <c r="M394" i="3"/>
  <c r="I553" i="3"/>
  <c r="M553" i="3"/>
  <c r="L2039" i="3"/>
  <c r="N2039" i="3"/>
  <c r="L1348" i="3"/>
  <c r="N1348" i="3"/>
  <c r="L1779" i="3"/>
  <c r="N1779" i="3"/>
  <c r="L1491" i="3"/>
  <c r="N1491" i="3"/>
  <c r="L1420" i="3"/>
  <c r="N1420" i="3"/>
  <c r="I598" i="3"/>
  <c r="M598" i="3"/>
  <c r="I768" i="3"/>
  <c r="M768" i="3"/>
  <c r="L1820" i="3"/>
  <c r="N1820" i="3"/>
  <c r="L2453" i="3"/>
  <c r="N2453" i="3"/>
  <c r="L2197" i="3"/>
  <c r="N2197" i="3"/>
  <c r="L1941" i="3"/>
  <c r="N1941" i="3"/>
  <c r="L1685" i="3"/>
  <c r="N1685" i="3"/>
  <c r="L1429" i="3"/>
  <c r="N1429" i="3"/>
  <c r="L2049" i="3"/>
  <c r="N2049" i="3"/>
  <c r="L1680" i="3"/>
  <c r="N1680" i="3"/>
  <c r="I959" i="3"/>
  <c r="M959" i="3"/>
  <c r="I551" i="3"/>
  <c r="M551" i="3"/>
  <c r="I848" i="3"/>
  <c r="M848" i="3"/>
  <c r="L1981" i="3"/>
  <c r="N1981" i="3"/>
  <c r="L1364" i="3"/>
  <c r="N1364" i="3"/>
  <c r="L1507" i="3"/>
  <c r="N1507" i="3"/>
  <c r="L1309" i="3"/>
  <c r="N1309" i="3"/>
  <c r="L2557" i="3"/>
  <c r="N2557" i="3"/>
  <c r="L2237" i="3"/>
  <c r="N2237" i="3"/>
  <c r="L1853" i="3"/>
  <c r="N1853" i="3"/>
  <c r="L1469" i="3"/>
  <c r="N1469" i="3"/>
  <c r="L2206" i="3"/>
  <c r="N2206" i="3"/>
  <c r="L2582" i="3"/>
  <c r="N2582" i="3"/>
  <c r="L2040" i="3"/>
  <c r="N2040" i="3"/>
  <c r="L1667" i="3"/>
  <c r="N1667" i="3"/>
  <c r="I567" i="3"/>
  <c r="M567" i="3"/>
  <c r="L1904" i="3"/>
  <c r="N1904" i="3"/>
  <c r="L2033" i="3"/>
  <c r="N2033" i="3"/>
  <c r="L1872" i="3"/>
  <c r="N1872" i="3"/>
  <c r="L2031" i="3"/>
  <c r="N2031" i="3"/>
  <c r="I871" i="3"/>
  <c r="M871" i="3"/>
  <c r="L2181" i="3"/>
  <c r="N2181" i="3"/>
  <c r="L1669" i="3"/>
  <c r="N1669" i="3"/>
  <c r="L2050" i="3"/>
  <c r="N2050" i="3"/>
  <c r="L1505" i="3"/>
  <c r="N1505" i="3"/>
  <c r="L2464" i="3"/>
  <c r="N2464" i="3"/>
  <c r="L2122" i="3"/>
  <c r="N2122" i="3"/>
  <c r="I840" i="3"/>
  <c r="M840" i="3"/>
  <c r="L2029" i="3"/>
  <c r="N2029" i="3"/>
  <c r="L1886" i="3"/>
  <c r="N1886" i="3"/>
  <c r="I385" i="3"/>
  <c r="M385" i="3"/>
  <c r="L1304" i="3"/>
  <c r="N1304" i="3"/>
  <c r="L1868" i="3"/>
  <c r="N1868" i="3"/>
  <c r="I920" i="3"/>
  <c r="M920" i="3"/>
  <c r="L1521" i="3"/>
  <c r="N1521" i="3"/>
  <c r="I641" i="3"/>
  <c r="M641" i="3"/>
  <c r="I193" i="3"/>
  <c r="M193" i="3"/>
  <c r="L1617" i="3"/>
  <c r="N1617" i="3"/>
  <c r="I153" i="3"/>
  <c r="M153" i="3"/>
  <c r="I748" i="3"/>
  <c r="M748" i="3"/>
  <c r="I451" i="3"/>
  <c r="M451" i="3"/>
  <c r="L1752" i="3"/>
  <c r="N1752" i="3"/>
  <c r="I901" i="3"/>
  <c r="M901" i="3"/>
  <c r="I364" i="3"/>
  <c r="M364" i="3"/>
  <c r="I908" i="3"/>
  <c r="M908" i="3"/>
  <c r="I1067" i="3"/>
  <c r="M1067" i="3"/>
  <c r="L1910" i="3"/>
  <c r="N1910" i="3"/>
  <c r="I150" i="3"/>
  <c r="M150" i="3"/>
  <c r="I1113" i="3"/>
  <c r="M1113" i="3"/>
  <c r="I1072" i="3"/>
  <c r="M1072" i="3"/>
  <c r="I482" i="3"/>
  <c r="M482" i="3"/>
  <c r="I1177" i="3"/>
  <c r="M1177" i="3"/>
  <c r="L2285" i="3"/>
  <c r="N2285" i="3"/>
  <c r="L2271" i="3"/>
  <c r="N2271" i="3"/>
  <c r="I1167" i="3"/>
  <c r="M1167" i="3"/>
  <c r="I958" i="3"/>
  <c r="M958" i="3"/>
  <c r="L1295" i="3"/>
  <c r="N1295" i="3"/>
  <c r="I831" i="3"/>
  <c r="M831" i="3"/>
  <c r="I822" i="3"/>
  <c r="M822" i="3"/>
  <c r="I321" i="3"/>
  <c r="M321" i="3"/>
  <c r="L2257" i="3"/>
  <c r="N2257" i="3"/>
  <c r="I214" i="3"/>
  <c r="M214" i="3"/>
  <c r="L2261" i="3"/>
  <c r="N2261" i="3"/>
  <c r="L1603" i="3"/>
  <c r="N1603" i="3"/>
  <c r="L1336" i="3"/>
  <c r="N1336" i="3"/>
  <c r="I937" i="3"/>
  <c r="M937" i="3"/>
  <c r="I681" i="3"/>
  <c r="M681" i="3"/>
  <c r="L2433" i="3"/>
  <c r="N2433" i="3"/>
  <c r="I128" i="3"/>
  <c r="M128" i="3"/>
  <c r="L1261" i="3"/>
  <c r="N1261" i="3"/>
  <c r="L2157" i="3"/>
  <c r="N2157" i="3"/>
  <c r="I664" i="3"/>
  <c r="M664" i="3"/>
  <c r="I1233" i="3"/>
  <c r="M1233" i="3"/>
  <c r="I756" i="3"/>
  <c r="M756" i="3"/>
  <c r="I316" i="3"/>
  <c r="M316" i="3"/>
  <c r="I620" i="3"/>
  <c r="M620" i="3"/>
  <c r="I813" i="3"/>
  <c r="M813" i="3"/>
  <c r="I557" i="3"/>
  <c r="M557" i="3"/>
  <c r="I732" i="3"/>
  <c r="M732" i="3"/>
  <c r="I132" i="3"/>
  <c r="M132" i="3"/>
  <c r="I1123" i="3"/>
  <c r="M1123" i="3"/>
  <c r="I867" i="3"/>
  <c r="M867" i="3"/>
  <c r="I611" i="3"/>
  <c r="M611" i="3"/>
  <c r="I355" i="3"/>
  <c r="M355" i="3"/>
  <c r="I1108" i="3"/>
  <c r="M1108" i="3"/>
  <c r="L1317" i="3"/>
  <c r="N1317" i="3"/>
  <c r="L1390" i="3"/>
  <c r="N1390" i="3"/>
  <c r="L2501" i="3"/>
  <c r="N2501" i="3"/>
  <c r="L1252" i="3"/>
  <c r="N1252" i="3"/>
  <c r="L2213" i="3"/>
  <c r="N2213" i="3"/>
  <c r="L1701" i="3"/>
  <c r="N1701" i="3"/>
  <c r="L2289" i="3"/>
  <c r="N2289" i="3"/>
  <c r="I866" i="3"/>
  <c r="M866" i="3"/>
  <c r="L1418" i="3"/>
  <c r="N1418" i="3"/>
  <c r="I407" i="3"/>
  <c r="M407" i="3"/>
  <c r="L1305" i="3"/>
  <c r="N1305" i="3"/>
  <c r="L2495" i="3"/>
  <c r="N2495" i="3"/>
  <c r="I820" i="3"/>
  <c r="M820" i="3"/>
  <c r="I114" i="3"/>
  <c r="M114" i="3"/>
  <c r="I1149" i="3"/>
  <c r="M1149" i="3"/>
  <c r="I1021" i="3"/>
  <c r="M1021" i="3"/>
  <c r="I893" i="3"/>
  <c r="M893" i="3"/>
  <c r="I765" i="3"/>
  <c r="M765" i="3"/>
  <c r="I637" i="3"/>
  <c r="M637" i="3"/>
  <c r="I509" i="3"/>
  <c r="M509" i="3"/>
  <c r="I381" i="3"/>
  <c r="M381" i="3"/>
  <c r="I253" i="3"/>
  <c r="M253" i="3"/>
  <c r="I125" i="3"/>
  <c r="M125" i="3"/>
  <c r="I1132" i="3"/>
  <c r="M1132" i="3"/>
  <c r="I676" i="3"/>
  <c r="M676" i="3"/>
  <c r="I548" i="3"/>
  <c r="M548" i="3"/>
  <c r="I220" i="3"/>
  <c r="M220" i="3"/>
  <c r="I1147" i="3"/>
  <c r="M1147" i="3"/>
  <c r="I1019" i="3"/>
  <c r="M1019" i="3"/>
  <c r="I891" i="3"/>
  <c r="M891" i="3"/>
  <c r="I763" i="3"/>
  <c r="M763" i="3"/>
  <c r="I1173" i="3"/>
  <c r="M1173" i="3"/>
  <c r="I1045" i="3"/>
  <c r="M1045" i="3"/>
  <c r="I917" i="3"/>
  <c r="M917" i="3"/>
  <c r="I789" i="3"/>
  <c r="M789" i="3"/>
  <c r="I661" i="3"/>
  <c r="M661" i="3"/>
  <c r="I533" i="3"/>
  <c r="M533" i="3"/>
  <c r="I405" i="3"/>
  <c r="M405" i="3"/>
  <c r="I277" i="3"/>
  <c r="M277" i="3"/>
  <c r="I149" i="3"/>
  <c r="M149" i="3"/>
  <c r="I276" i="3"/>
  <c r="M276" i="3"/>
  <c r="L1976" i="3"/>
  <c r="N1976" i="3"/>
  <c r="L1688" i="3"/>
  <c r="N1688" i="3"/>
  <c r="L1560" i="3"/>
  <c r="N1560" i="3"/>
  <c r="L2015" i="3"/>
  <c r="N2015" i="3"/>
  <c r="I895" i="3"/>
  <c r="M895" i="3"/>
  <c r="I751" i="3"/>
  <c r="M751" i="3"/>
  <c r="I447" i="3"/>
  <c r="M447" i="3"/>
  <c r="I303" i="3"/>
  <c r="M303" i="3"/>
  <c r="I788" i="3"/>
  <c r="M788" i="3"/>
  <c r="I237" i="3"/>
  <c r="M237" i="3"/>
  <c r="I428" i="3"/>
  <c r="M428" i="3"/>
  <c r="I868" i="3"/>
  <c r="M868" i="3"/>
  <c r="I745" i="3"/>
  <c r="M745" i="3"/>
  <c r="I1012" i="3"/>
  <c r="M1012" i="3"/>
  <c r="L1802" i="3"/>
  <c r="N1802" i="3"/>
  <c r="L1674" i="3"/>
  <c r="N1674" i="3"/>
  <c r="L1290" i="3"/>
  <c r="N1290" i="3"/>
  <c r="I258" i="3"/>
  <c r="M258" i="3"/>
  <c r="I272" i="3"/>
  <c r="M272" i="3"/>
  <c r="I696" i="3"/>
  <c r="M696" i="3"/>
  <c r="L1675" i="3"/>
  <c r="N1675" i="3"/>
  <c r="L1376" i="3"/>
  <c r="N1376" i="3"/>
  <c r="L1815" i="3"/>
  <c r="N1815" i="3"/>
  <c r="I1134" i="3"/>
  <c r="M1134" i="3"/>
  <c r="I806" i="3"/>
  <c r="M806" i="3"/>
  <c r="I134" i="3"/>
  <c r="M134" i="3"/>
  <c r="I793" i="3"/>
  <c r="M793" i="3"/>
  <c r="I635" i="3"/>
  <c r="M635" i="3"/>
  <c r="I507" i="3"/>
  <c r="M507" i="3"/>
  <c r="I379" i="3"/>
  <c r="M379" i="3"/>
  <c r="I179" i="3"/>
  <c r="M179" i="3"/>
  <c r="I1000" i="3"/>
  <c r="M1000" i="3"/>
  <c r="L1762" i="3"/>
  <c r="N1762" i="3"/>
  <c r="I313" i="3"/>
  <c r="M313" i="3"/>
  <c r="I440" i="3"/>
  <c r="M440" i="3"/>
  <c r="L1862" i="3"/>
  <c r="N1862" i="3"/>
  <c r="I1188" i="3"/>
  <c r="M1188" i="3"/>
  <c r="I962" i="3"/>
  <c r="M962" i="3"/>
  <c r="I203" i="3"/>
  <c r="M203" i="3"/>
  <c r="L1923" i="3"/>
  <c r="N1923" i="3"/>
  <c r="I148" i="3"/>
  <c r="M148" i="3"/>
  <c r="I1171" i="3"/>
  <c r="M1171" i="3"/>
  <c r="I1043" i="3"/>
  <c r="M1043" i="3"/>
  <c r="I915" i="3"/>
  <c r="M915" i="3"/>
  <c r="I787" i="3"/>
  <c r="M787" i="3"/>
  <c r="I659" i="3"/>
  <c r="M659" i="3"/>
  <c r="I531" i="3"/>
  <c r="M531" i="3"/>
  <c r="I403" i="3"/>
  <c r="M403" i="3"/>
  <c r="I219" i="3"/>
  <c r="M219" i="3"/>
  <c r="L1818" i="3"/>
  <c r="N1818" i="3"/>
  <c r="L1956" i="3"/>
  <c r="N1956" i="3"/>
  <c r="I171" i="3"/>
  <c r="M171" i="3"/>
  <c r="I305" i="3"/>
  <c r="M305" i="3"/>
  <c r="I905" i="3"/>
  <c r="M905" i="3"/>
  <c r="I306" i="3"/>
  <c r="M306" i="3"/>
  <c r="L1618" i="3"/>
  <c r="N1618" i="3"/>
  <c r="I273" i="3"/>
  <c r="M273" i="3"/>
  <c r="I585" i="3"/>
  <c r="M585" i="3"/>
  <c r="L2550" i="3"/>
  <c r="N2550" i="3"/>
  <c r="L1690" i="3"/>
  <c r="N1690" i="3"/>
  <c r="L1319" i="3"/>
  <c r="N1319" i="3"/>
  <c r="I814" i="3"/>
  <c r="M814" i="3"/>
  <c r="I601" i="3"/>
  <c r="M601" i="3"/>
  <c r="L2470" i="3"/>
  <c r="N2470" i="3"/>
  <c r="I913" i="3"/>
  <c r="M913" i="3"/>
  <c r="I608" i="3"/>
  <c r="M608" i="3"/>
  <c r="I633" i="3"/>
  <c r="M633" i="3"/>
  <c r="I1110" i="3"/>
  <c r="M1110" i="3"/>
  <c r="I1185" i="3"/>
  <c r="M1185" i="3"/>
  <c r="L1274" i="3"/>
  <c r="N1274" i="3"/>
  <c r="I1018" i="3"/>
  <c r="M1018" i="3"/>
  <c r="I730" i="3"/>
  <c r="M730" i="3"/>
  <c r="I410" i="3"/>
  <c r="M410" i="3"/>
  <c r="I120" i="3"/>
  <c r="M120" i="3"/>
  <c r="I942" i="3"/>
  <c r="M942" i="3"/>
  <c r="L2280" i="3"/>
  <c r="N2280" i="3"/>
  <c r="L1718" i="3"/>
  <c r="N1718" i="3"/>
  <c r="I462" i="3"/>
  <c r="M462" i="3"/>
  <c r="I849" i="3"/>
  <c r="M849" i="3"/>
  <c r="I370" i="3"/>
  <c r="M370" i="3"/>
  <c r="I190" i="3"/>
  <c r="M190" i="3"/>
  <c r="L1353" i="3"/>
  <c r="N1353" i="3"/>
  <c r="I296" i="3"/>
  <c r="M296" i="3"/>
  <c r="L1337" i="3"/>
  <c r="N1337" i="3"/>
  <c r="I1070" i="3"/>
  <c r="M1070" i="3"/>
  <c r="I558" i="3"/>
  <c r="M558" i="3"/>
  <c r="L1771" i="3"/>
  <c r="N1771" i="3"/>
  <c r="L1620" i="3"/>
  <c r="N1620" i="3"/>
  <c r="I1016" i="3"/>
  <c r="M1016" i="3"/>
  <c r="L2559" i="3"/>
  <c r="N2559" i="3"/>
  <c r="I382" i="3"/>
  <c r="M382" i="3"/>
  <c r="L1768" i="3"/>
  <c r="N1768" i="3"/>
  <c r="I1026" i="3"/>
  <c r="M1026" i="3"/>
  <c r="I290" i="3"/>
  <c r="M290" i="3"/>
  <c r="L1918" i="3"/>
  <c r="N1918" i="3"/>
  <c r="I1190" i="3"/>
  <c r="M1190" i="3"/>
  <c r="I721" i="3"/>
  <c r="M721" i="3"/>
  <c r="I894" i="3"/>
  <c r="M894" i="3"/>
  <c r="I927" i="3"/>
  <c r="M927" i="3"/>
  <c r="I798" i="3"/>
  <c r="M798" i="3"/>
  <c r="I862" i="3"/>
  <c r="M862" i="3"/>
  <c r="L2009" i="3"/>
  <c r="N2009" i="3"/>
  <c r="I1088" i="3"/>
  <c r="M1088" i="3"/>
  <c r="L2448" i="3"/>
  <c r="N2448" i="3"/>
  <c r="I1150" i="3"/>
  <c r="M1150" i="3"/>
  <c r="L2479" i="3"/>
  <c r="N2479" i="3"/>
  <c r="I1218" i="3"/>
  <c r="M1218" i="3"/>
  <c r="L2545" i="3"/>
  <c r="N2545" i="3"/>
  <c r="L1662" i="3"/>
  <c r="N1662" i="3"/>
  <c r="L2104" i="3"/>
  <c r="N2104" i="3"/>
  <c r="L1736" i="3"/>
  <c r="N1736" i="3"/>
  <c r="L2047" i="3"/>
  <c r="N2047" i="3"/>
  <c r="I1222" i="3"/>
  <c r="M1222" i="3"/>
  <c r="I510" i="3"/>
  <c r="M510" i="3"/>
  <c r="I870" i="3"/>
  <c r="M870" i="3"/>
  <c r="I488" i="3"/>
  <c r="M488" i="3"/>
  <c r="L1668" i="3"/>
  <c r="N1668" i="3"/>
  <c r="I922" i="3"/>
  <c r="M922" i="3"/>
  <c r="L2182" i="3"/>
  <c r="N2182" i="3"/>
  <c r="L2502" i="3"/>
  <c r="N2502" i="3"/>
  <c r="L1889" i="3"/>
  <c r="N1889" i="3"/>
  <c r="I807" i="3"/>
  <c r="M807" i="3"/>
  <c r="I503" i="3"/>
  <c r="M503" i="3"/>
  <c r="I183" i="3"/>
  <c r="M183" i="3"/>
  <c r="L2401" i="3"/>
  <c r="N2401" i="3"/>
  <c r="I1127" i="3"/>
  <c r="M1127" i="3"/>
  <c r="I599" i="3"/>
  <c r="M599" i="3"/>
  <c r="L1463" i="3"/>
  <c r="N1463" i="3"/>
  <c r="I1086" i="3"/>
  <c r="M1086" i="3"/>
  <c r="I726" i="3"/>
  <c r="M726" i="3"/>
  <c r="I470" i="3"/>
  <c r="M470" i="3"/>
  <c r="I158" i="3"/>
  <c r="M158" i="3"/>
  <c r="L1492" i="3"/>
  <c r="N1492" i="3"/>
  <c r="L1842" i="3"/>
  <c r="N1842" i="3"/>
  <c r="L1327" i="3"/>
  <c r="N1327" i="3"/>
  <c r="L1809" i="3"/>
  <c r="N1809" i="3"/>
  <c r="L2462" i="3"/>
  <c r="N2462" i="3"/>
  <c r="I240" i="3"/>
  <c r="M240" i="3"/>
  <c r="L2142" i="3"/>
  <c r="N2142" i="3"/>
  <c r="L1616" i="3"/>
  <c r="N1616" i="3"/>
  <c r="L1447" i="3"/>
  <c r="N1447" i="3"/>
  <c r="I775" i="3"/>
  <c r="M775" i="3"/>
  <c r="L2256" i="3"/>
  <c r="N2256" i="3"/>
  <c r="L2553" i="3"/>
  <c r="N2553" i="3"/>
  <c r="L1896" i="3"/>
  <c r="N1896" i="3"/>
  <c r="L1761" i="3"/>
  <c r="N1761" i="3"/>
  <c r="L1303" i="3"/>
  <c r="N1303" i="3"/>
  <c r="L1379" i="3"/>
  <c r="N1379" i="3"/>
  <c r="L2025" i="3"/>
  <c r="N2025" i="3"/>
  <c r="I935" i="3"/>
  <c r="M935" i="3"/>
  <c r="I231" i="3"/>
  <c r="M231" i="3"/>
  <c r="I830" i="3"/>
  <c r="M830" i="3"/>
  <c r="L1644" i="3"/>
  <c r="N1644" i="3"/>
  <c r="L1691" i="3"/>
  <c r="N1691" i="3"/>
  <c r="L1435" i="3"/>
  <c r="N1435" i="3"/>
  <c r="L1401" i="3"/>
  <c r="N1401" i="3"/>
  <c r="L2510" i="3"/>
  <c r="N2510" i="3"/>
  <c r="L2254" i="3"/>
  <c r="N2254" i="3"/>
  <c r="I506" i="3"/>
  <c r="M506" i="3"/>
  <c r="I785" i="3"/>
  <c r="M785" i="3"/>
  <c r="I1230" i="3"/>
  <c r="M1230" i="3"/>
  <c r="L1866" i="3"/>
  <c r="N1866" i="3"/>
  <c r="I1162" i="3"/>
  <c r="M1162" i="3"/>
  <c r="I874" i="3"/>
  <c r="M874" i="3"/>
  <c r="I618" i="3"/>
  <c r="M618" i="3"/>
  <c r="I362" i="3"/>
  <c r="M362" i="3"/>
  <c r="I936" i="3"/>
  <c r="M936" i="3"/>
  <c r="L1321" i="3"/>
  <c r="N1321" i="3"/>
  <c r="L1975" i="3"/>
  <c r="N1975" i="3"/>
  <c r="L1747" i="3"/>
  <c r="N1747" i="3"/>
  <c r="L1459" i="3"/>
  <c r="N1459" i="3"/>
  <c r="L1530" i="3"/>
  <c r="N1530" i="3"/>
  <c r="I951" i="3"/>
  <c r="M951" i="3"/>
  <c r="L1300" i="3"/>
  <c r="N1300" i="3"/>
  <c r="L1564" i="3"/>
  <c r="N1564" i="3"/>
  <c r="I938" i="3"/>
  <c r="M938" i="3"/>
  <c r="I512" i="3"/>
  <c r="M512" i="3"/>
  <c r="L2421" i="3"/>
  <c r="N2421" i="3"/>
  <c r="L2165" i="3"/>
  <c r="N2165" i="3"/>
  <c r="L1909" i="3"/>
  <c r="N1909" i="3"/>
  <c r="L1653" i="3"/>
  <c r="N1653" i="3"/>
  <c r="L1397" i="3"/>
  <c r="N1397" i="3"/>
  <c r="L2489" i="3"/>
  <c r="N2489" i="3"/>
  <c r="L2017" i="3"/>
  <c r="N2017" i="3"/>
  <c r="L1584" i="3"/>
  <c r="N1584" i="3"/>
  <c r="L1399" i="3"/>
  <c r="N1399" i="3"/>
  <c r="I919" i="3"/>
  <c r="M919" i="3"/>
  <c r="I1183" i="3"/>
  <c r="M1183" i="3"/>
  <c r="L2456" i="3"/>
  <c r="N2456" i="3"/>
  <c r="I1104" i="3"/>
  <c r="M1104" i="3"/>
  <c r="L2488" i="3"/>
  <c r="N2488" i="3"/>
  <c r="L1821" i="3"/>
  <c r="N1821" i="3"/>
  <c r="L2526" i="3"/>
  <c r="N2526" i="3"/>
  <c r="L1475" i="3"/>
  <c r="N1475" i="3"/>
  <c r="L2525" i="3"/>
  <c r="N2525" i="3"/>
  <c r="L2205" i="3"/>
  <c r="N2205" i="3"/>
  <c r="L1789" i="3"/>
  <c r="N1789" i="3"/>
  <c r="L1437" i="3"/>
  <c r="N1437" i="3"/>
  <c r="L2390" i="3"/>
  <c r="N2390" i="3"/>
  <c r="L2070" i="3"/>
  <c r="N2070" i="3"/>
  <c r="L2454" i="3"/>
  <c r="N2454" i="3"/>
  <c r="L1519" i="3"/>
  <c r="N1519" i="3"/>
  <c r="L1583" i="3"/>
  <c r="N1583" i="3"/>
  <c r="I1015" i="3"/>
  <c r="M1015" i="3"/>
  <c r="L1411" i="3"/>
  <c r="N1411" i="3"/>
  <c r="L1536" i="3"/>
  <c r="N1536" i="3"/>
  <c r="L2473" i="3"/>
  <c r="N2473" i="3"/>
  <c r="L1824" i="3"/>
  <c r="N1824" i="3"/>
  <c r="L1238" i="3"/>
  <c r="N1238" i="3"/>
  <c r="L1647" i="3"/>
  <c r="N1647" i="3"/>
  <c r="L1993" i="3"/>
  <c r="N1993" i="3"/>
  <c r="L1967" i="3"/>
  <c r="N1967" i="3"/>
  <c r="I1159" i="3"/>
  <c r="M1159" i="3"/>
  <c r="I207" i="3"/>
  <c r="M207" i="3"/>
  <c r="I543" i="3"/>
  <c r="M543" i="3"/>
  <c r="L2117" i="3"/>
  <c r="N2117" i="3"/>
  <c r="L1605" i="3"/>
  <c r="N1605" i="3"/>
  <c r="L1352" i="3"/>
  <c r="N1352" i="3"/>
  <c r="L2474" i="3"/>
  <c r="N2474" i="3"/>
  <c r="I961" i="3"/>
  <c r="M961" i="3"/>
  <c r="L1369" i="3"/>
  <c r="N1369" i="3"/>
  <c r="L1340" i="3"/>
  <c r="N1340" i="3"/>
  <c r="L1805" i="3"/>
  <c r="N1805" i="3"/>
  <c r="I792" i="3"/>
  <c r="M792" i="3"/>
  <c r="L1697" i="3"/>
  <c r="N1697" i="3"/>
  <c r="L2016" i="3"/>
  <c r="N2016" i="3"/>
  <c r="L1727" i="3"/>
  <c r="N1727" i="3"/>
  <c r="L2284" i="3"/>
  <c r="N2284" i="3"/>
  <c r="I1025" i="3"/>
  <c r="M1025" i="3"/>
  <c r="L1920" i="3"/>
  <c r="N1920" i="3"/>
  <c r="L1922" i="3"/>
  <c r="N1922" i="3"/>
  <c r="L1569" i="3"/>
  <c r="N1569" i="3"/>
  <c r="L2266" i="3"/>
  <c r="N2266" i="3"/>
  <c r="I799" i="3"/>
  <c r="M799" i="3"/>
  <c r="L1713" i="3"/>
  <c r="N1713" i="3"/>
  <c r="I1165" i="3"/>
  <c r="M1165" i="3"/>
  <c r="I372" i="3"/>
  <c r="M372" i="3"/>
  <c r="I546" i="3"/>
  <c r="M546" i="3"/>
  <c r="I389" i="3"/>
  <c r="M389" i="3"/>
  <c r="I932" i="3"/>
  <c r="M932" i="3"/>
  <c r="I540" i="3"/>
  <c r="M540" i="3"/>
  <c r="L1486" i="3"/>
  <c r="N1486" i="3"/>
  <c r="L1890" i="3"/>
  <c r="N1890" i="3"/>
  <c r="I427" i="3"/>
  <c r="M427" i="3"/>
  <c r="I200" i="3"/>
  <c r="M200" i="3"/>
  <c r="L1958" i="3"/>
  <c r="N1958" i="3"/>
  <c r="I1042" i="3"/>
  <c r="M1042" i="3"/>
  <c r="L1270" i="3"/>
  <c r="N1270" i="3"/>
  <c r="I1105" i="3"/>
  <c r="M1105" i="3"/>
  <c r="L1323" i="3"/>
  <c r="N1323" i="3"/>
  <c r="L1794" i="3"/>
  <c r="N1794" i="3"/>
  <c r="L2103" i="3"/>
  <c r="N2103" i="3"/>
  <c r="L2268" i="3"/>
  <c r="N2268" i="3"/>
  <c r="L1869" i="3"/>
  <c r="N1869" i="3"/>
  <c r="L1709" i="3"/>
  <c r="N1709" i="3"/>
  <c r="I350" i="3"/>
  <c r="M350" i="3"/>
  <c r="I271" i="3"/>
  <c r="M271" i="3"/>
  <c r="I249" i="3"/>
  <c r="M249" i="3"/>
  <c r="L1712" i="3"/>
  <c r="N1712" i="3"/>
  <c r="L1591" i="3"/>
  <c r="N1591" i="3"/>
  <c r="I487" i="3"/>
  <c r="M487" i="3"/>
  <c r="L2062" i="3"/>
  <c r="N2062" i="3"/>
  <c r="I458" i="3"/>
  <c r="M458" i="3"/>
  <c r="I206" i="3"/>
  <c r="M206" i="3"/>
  <c r="L1555" i="3"/>
  <c r="N1555" i="3"/>
  <c r="L2005" i="3"/>
  <c r="N2005" i="3"/>
  <c r="L1237" i="3"/>
  <c r="N1237" i="3"/>
  <c r="I223" i="3"/>
  <c r="M223" i="3"/>
  <c r="L2199" i="3"/>
  <c r="N2199" i="3"/>
  <c r="I1231" i="3"/>
  <c r="M1231" i="3"/>
  <c r="L1597" i="3"/>
  <c r="N1597" i="3"/>
  <c r="L1664" i="3"/>
  <c r="N1664" i="3"/>
  <c r="L1287" i="3"/>
  <c r="N1287" i="3"/>
  <c r="I647" i="3"/>
  <c r="M647" i="3"/>
  <c r="L1439" i="3"/>
  <c r="N1439" i="3"/>
  <c r="L2309" i="3"/>
  <c r="N2309" i="3"/>
  <c r="L1285" i="3"/>
  <c r="N1285" i="3"/>
  <c r="L2242" i="3"/>
  <c r="N2242" i="3"/>
  <c r="I1217" i="3"/>
  <c r="M1217" i="3"/>
  <c r="I408" i="3"/>
  <c r="M408" i="3"/>
  <c r="I1089" i="3"/>
  <c r="M1089" i="3"/>
  <c r="I801" i="3"/>
  <c r="M801" i="3"/>
  <c r="I812" i="3"/>
  <c r="M812" i="3"/>
  <c r="I140" i="3"/>
  <c r="M140" i="3"/>
  <c r="I1069" i="3"/>
  <c r="M1069" i="3"/>
  <c r="I692" i="3"/>
  <c r="M692" i="3"/>
  <c r="I1092" i="3"/>
  <c r="M1092" i="3"/>
  <c r="I588" i="3"/>
  <c r="M588" i="3"/>
  <c r="I452" i="3"/>
  <c r="M452" i="3"/>
  <c r="I1037" i="3"/>
  <c r="M1037" i="3"/>
  <c r="I781" i="3"/>
  <c r="M781" i="3"/>
  <c r="I525" i="3"/>
  <c r="M525" i="3"/>
  <c r="I668" i="3"/>
  <c r="M668" i="3"/>
  <c r="I1091" i="3"/>
  <c r="M1091" i="3"/>
  <c r="I835" i="3"/>
  <c r="M835" i="3"/>
  <c r="I579" i="3"/>
  <c r="M579" i="3"/>
  <c r="I323" i="3"/>
  <c r="M323" i="3"/>
  <c r="I966" i="3"/>
  <c r="M966" i="3"/>
  <c r="L1253" i="3"/>
  <c r="N1253" i="3"/>
  <c r="I324" i="3"/>
  <c r="M324" i="3"/>
  <c r="L1326" i="3"/>
  <c r="N1326" i="3"/>
  <c r="L2149" i="3"/>
  <c r="N2149" i="3"/>
  <c r="L1637" i="3"/>
  <c r="N1637" i="3"/>
  <c r="L1841" i="3"/>
  <c r="N1841" i="3"/>
  <c r="I802" i="3"/>
  <c r="M802" i="3"/>
  <c r="L1612" i="3"/>
  <c r="N1612" i="3"/>
  <c r="L2183" i="3"/>
  <c r="N2183" i="3"/>
  <c r="I1166" i="3"/>
  <c r="M1166" i="3"/>
  <c r="L1919" i="3"/>
  <c r="N1919" i="3"/>
  <c r="I1221" i="3"/>
  <c r="M1221" i="3"/>
  <c r="I1093" i="3"/>
  <c r="M1093" i="3"/>
  <c r="I965" i="3"/>
  <c r="M965" i="3"/>
  <c r="I837" i="3"/>
  <c r="M837" i="3"/>
  <c r="I709" i="3"/>
  <c r="M709" i="3"/>
  <c r="I581" i="3"/>
  <c r="M581" i="3"/>
  <c r="I453" i="3"/>
  <c r="M453" i="3"/>
  <c r="I325" i="3"/>
  <c r="M325" i="3"/>
  <c r="I197" i="3"/>
  <c r="M197" i="3"/>
  <c r="I228" i="3"/>
  <c r="M228" i="3"/>
  <c r="I1152" i="3"/>
  <c r="M1152" i="3"/>
  <c r="I292" i="3"/>
  <c r="M292" i="3"/>
  <c r="I1020" i="3"/>
  <c r="M1020" i="3"/>
  <c r="I636" i="3"/>
  <c r="M636" i="3"/>
  <c r="I476" i="3"/>
  <c r="M476" i="3"/>
  <c r="I307" i="3"/>
  <c r="M307" i="3"/>
  <c r="I315" i="3"/>
  <c r="M315" i="3"/>
  <c r="I528" i="3"/>
  <c r="M528" i="3"/>
  <c r="L1611" i="3"/>
  <c r="N1611" i="3"/>
  <c r="L1312" i="3"/>
  <c r="N1312" i="3"/>
  <c r="L1614" i="3"/>
  <c r="N1614" i="3"/>
  <c r="L1358" i="3"/>
  <c r="N1358" i="3"/>
  <c r="I1102" i="3"/>
  <c r="M1102" i="3"/>
  <c r="I774" i="3"/>
  <c r="M774" i="3"/>
  <c r="L1698" i="3"/>
  <c r="N1698" i="3"/>
  <c r="L1314" i="3"/>
  <c r="N1314" i="3"/>
  <c r="I322" i="3"/>
  <c r="M322" i="3"/>
  <c r="I1040" i="3"/>
  <c r="M1040" i="3"/>
  <c r="I241" i="3"/>
  <c r="M241" i="3"/>
  <c r="I195" i="3"/>
  <c r="M195" i="3"/>
  <c r="L1273" i="3"/>
  <c r="N1273" i="3"/>
  <c r="I680" i="3"/>
  <c r="M680" i="3"/>
  <c r="I890" i="3"/>
  <c r="M890" i="3"/>
  <c r="I304" i="3"/>
  <c r="M304" i="3"/>
  <c r="I841" i="3"/>
  <c r="M841" i="3"/>
  <c r="I1131" i="3"/>
  <c r="M1131" i="3"/>
  <c r="I1003" i="3"/>
  <c r="M1003" i="3"/>
  <c r="I875" i="3"/>
  <c r="M875" i="3"/>
  <c r="I747" i="3"/>
  <c r="M747" i="3"/>
  <c r="I619" i="3"/>
  <c r="M619" i="3"/>
  <c r="I491" i="3"/>
  <c r="M491" i="3"/>
  <c r="I363" i="3"/>
  <c r="M363" i="3"/>
  <c r="I147" i="3"/>
  <c r="M147" i="3"/>
  <c r="I360" i="3"/>
  <c r="M360" i="3"/>
  <c r="I1106" i="3"/>
  <c r="M1106" i="3"/>
  <c r="I160" i="3"/>
  <c r="M160" i="3"/>
  <c r="I417" i="3"/>
  <c r="M417" i="3"/>
  <c r="I954" i="3"/>
  <c r="M954" i="3"/>
  <c r="L2486" i="3"/>
  <c r="N2486" i="3"/>
  <c r="I263" i="3"/>
  <c r="M263" i="3"/>
  <c r="I697" i="3"/>
  <c r="M697" i="3"/>
  <c r="L1468" i="3"/>
  <c r="N1468" i="3"/>
  <c r="I818" i="3"/>
  <c r="M818" i="3"/>
  <c r="L1682" i="3"/>
  <c r="N1682" i="3"/>
  <c r="L1498" i="3"/>
  <c r="N1498" i="3"/>
  <c r="L1242" i="3"/>
  <c r="N1242" i="3"/>
  <c r="L1451" i="3"/>
  <c r="N1451" i="3"/>
  <c r="L1415" i="3"/>
  <c r="N1415" i="3"/>
  <c r="L1622" i="3"/>
  <c r="N1622" i="3"/>
  <c r="I609" i="3"/>
  <c r="M609" i="3"/>
  <c r="I1138" i="3"/>
  <c r="M1138" i="3"/>
  <c r="I1006" i="3"/>
  <c r="M1006" i="3"/>
  <c r="I1144" i="3"/>
  <c r="M1144" i="3"/>
  <c r="I242" i="3"/>
  <c r="M242" i="3"/>
  <c r="L1554" i="3"/>
  <c r="N1554" i="3"/>
  <c r="I298" i="3"/>
  <c r="M298" i="3"/>
  <c r="L2511" i="3"/>
  <c r="N2511" i="3"/>
  <c r="L1839" i="3"/>
  <c r="N1839" i="3"/>
  <c r="L1372" i="3"/>
  <c r="N1372" i="3"/>
  <c r="I226" i="3"/>
  <c r="M226" i="3"/>
  <c r="L2430" i="3"/>
  <c r="N2430" i="3"/>
  <c r="L1959" i="3"/>
  <c r="N1959" i="3"/>
  <c r="I1023" i="3"/>
  <c r="M1023" i="3"/>
  <c r="L2110" i="3"/>
  <c r="N2110" i="3"/>
  <c r="L1249" i="3"/>
  <c r="N1249" i="3"/>
  <c r="I1046" i="3"/>
  <c r="M1046" i="3"/>
  <c r="I169" i="3"/>
  <c r="M169" i="3"/>
  <c r="L1607" i="3"/>
  <c r="N1607" i="3"/>
  <c r="L1470" i="3"/>
  <c r="N1470" i="3"/>
  <c r="L1817" i="3"/>
  <c r="N1817" i="3"/>
  <c r="I630" i="3"/>
  <c r="M630" i="3"/>
  <c r="I990" i="3"/>
  <c r="M990" i="3"/>
  <c r="I993" i="3"/>
  <c r="M993" i="3"/>
  <c r="L1968" i="3"/>
  <c r="N1968" i="3"/>
  <c r="I918" i="3"/>
  <c r="M918" i="3"/>
  <c r="L2463" i="3"/>
  <c r="N2463" i="3"/>
  <c r="I1145" i="3"/>
  <c r="M1145" i="3"/>
  <c r="L2221" i="3"/>
  <c r="N2221" i="3"/>
  <c r="L1997" i="3"/>
  <c r="N1997" i="3"/>
  <c r="L1773" i="3"/>
  <c r="N1773" i="3"/>
  <c r="L1613" i="3"/>
  <c r="N1613" i="3"/>
  <c r="L1389" i="3"/>
  <c r="N1389" i="3"/>
  <c r="I665" i="3"/>
  <c r="M665" i="3"/>
  <c r="L1704" i="3"/>
  <c r="N1704" i="3"/>
  <c r="L1687" i="3"/>
  <c r="N1687" i="3"/>
  <c r="I1094" i="3"/>
  <c r="M1094" i="3"/>
  <c r="I766" i="3"/>
  <c r="M766" i="3"/>
  <c r="I478" i="3"/>
  <c r="M478" i="3"/>
  <c r="I166" i="3"/>
  <c r="M166" i="3"/>
  <c r="L1385" i="3"/>
  <c r="N1385" i="3"/>
  <c r="L1588" i="3"/>
  <c r="N1588" i="3"/>
  <c r="I858" i="3"/>
  <c r="M858" i="3"/>
  <c r="I210" i="3"/>
  <c r="M210" i="3"/>
  <c r="I457" i="3"/>
  <c r="M457" i="3"/>
  <c r="I1135" i="3"/>
  <c r="M1135" i="3"/>
  <c r="I767" i="3"/>
  <c r="M767" i="3"/>
  <c r="I463" i="3"/>
  <c r="M463" i="3"/>
  <c r="I151" i="3"/>
  <c r="M151" i="3"/>
  <c r="L1881" i="3"/>
  <c r="N1881" i="3"/>
  <c r="I1047" i="3"/>
  <c r="M1047" i="3"/>
  <c r="I527" i="3"/>
  <c r="M527" i="3"/>
  <c r="L1406" i="3"/>
  <c r="N1406" i="3"/>
  <c r="I694" i="3"/>
  <c r="M694" i="3"/>
  <c r="I438" i="3"/>
  <c r="M438" i="3"/>
  <c r="L1452" i="3"/>
  <c r="N1452" i="3"/>
  <c r="L1810" i="3"/>
  <c r="N1810" i="3"/>
  <c r="L1522" i="3"/>
  <c r="N1522" i="3"/>
  <c r="I281" i="3"/>
  <c r="M281" i="3"/>
  <c r="L1320" i="3"/>
  <c r="N1320" i="3"/>
  <c r="L2014" i="3"/>
  <c r="N2014" i="3"/>
  <c r="L1878" i="3"/>
  <c r="N1878" i="3"/>
  <c r="I186" i="3"/>
  <c r="M186" i="3"/>
  <c r="L2449" i="3"/>
  <c r="N2449" i="3"/>
  <c r="L2168" i="3"/>
  <c r="N2168" i="3"/>
  <c r="L2159" i="3"/>
  <c r="N2159" i="3"/>
  <c r="I127" i="3"/>
  <c r="M127" i="3"/>
  <c r="L1808" i="3"/>
  <c r="N1808" i="3"/>
  <c r="L1776" i="3"/>
  <c r="N1776" i="3"/>
  <c r="I663" i="3"/>
  <c r="M663" i="3"/>
  <c r="L1271" i="3"/>
  <c r="N1271" i="3"/>
  <c r="L2081" i="3"/>
  <c r="N2081" i="3"/>
  <c r="L1985" i="3"/>
  <c r="N1985" i="3"/>
  <c r="L2215" i="3"/>
  <c r="N2215" i="3"/>
  <c r="I167" i="3"/>
  <c r="M167" i="3"/>
  <c r="I638" i="3"/>
  <c r="M638" i="3"/>
  <c r="L1604" i="3"/>
  <c r="N1604" i="3"/>
  <c r="L1659" i="3"/>
  <c r="N1659" i="3"/>
  <c r="L1403" i="3"/>
  <c r="N1403" i="3"/>
  <c r="L1408" i="3"/>
  <c r="N1408" i="3"/>
  <c r="L2126" i="3"/>
  <c r="N2126" i="3"/>
  <c r="I1130" i="3"/>
  <c r="M1130" i="3"/>
  <c r="I842" i="3"/>
  <c r="M842" i="3"/>
  <c r="I586" i="3"/>
  <c r="M586" i="3"/>
  <c r="I330" i="3"/>
  <c r="M330" i="3"/>
  <c r="L1715" i="3"/>
  <c r="N1715" i="3"/>
  <c r="L1427" i="3"/>
  <c r="N1427" i="3"/>
  <c r="L1260" i="3"/>
  <c r="N1260" i="3"/>
  <c r="L1897" i="3"/>
  <c r="N1897" i="3"/>
  <c r="L1484" i="3"/>
  <c r="N1484" i="3"/>
  <c r="L2133" i="3"/>
  <c r="N2133" i="3"/>
  <c r="L1877" i="3"/>
  <c r="N1877" i="3"/>
  <c r="L1621" i="3"/>
  <c r="N1621" i="3"/>
  <c r="L1365" i="3"/>
  <c r="N1365" i="3"/>
  <c r="L1977" i="3"/>
  <c r="N1977" i="3"/>
  <c r="L1552" i="3"/>
  <c r="N1552" i="3"/>
  <c r="I847" i="3"/>
  <c r="M847" i="3"/>
  <c r="I471" i="3"/>
  <c r="M471" i="3"/>
  <c r="L2201" i="3"/>
  <c r="N2201" i="3"/>
  <c r="L2200" i="3"/>
  <c r="N2200" i="3"/>
  <c r="L1725" i="3"/>
  <c r="N1725" i="3"/>
  <c r="I448" i="3"/>
  <c r="M448" i="3"/>
  <c r="L2493" i="3"/>
  <c r="N2493" i="3"/>
  <c r="L2173" i="3"/>
  <c r="N2173" i="3"/>
  <c r="L1757" i="3"/>
  <c r="N1757" i="3"/>
  <c r="L1373" i="3"/>
  <c r="N1373" i="3"/>
  <c r="L1846" i="3"/>
  <c r="N1846" i="3"/>
  <c r="L1384" i="3"/>
  <c r="N1384" i="3"/>
  <c r="L1561" i="3"/>
  <c r="N1561" i="3"/>
  <c r="I425" i="3"/>
  <c r="M425" i="3"/>
  <c r="L1449" i="3"/>
  <c r="N1449" i="3"/>
  <c r="L1527" i="3"/>
  <c r="N1527" i="3"/>
  <c r="L2265" i="3"/>
  <c r="N2265" i="3"/>
  <c r="L1652" i="3"/>
  <c r="N1652" i="3"/>
  <c r="L1283" i="3"/>
  <c r="N1283" i="3"/>
  <c r="L2193" i="3"/>
  <c r="N2193" i="3"/>
  <c r="L2175" i="3"/>
  <c r="N2175" i="3"/>
  <c r="L2072" i="3"/>
  <c r="N2072" i="3"/>
  <c r="L1932" i="3"/>
  <c r="N1932" i="3"/>
  <c r="L1879" i="3"/>
  <c r="N1879" i="3"/>
  <c r="I1087" i="3"/>
  <c r="M1087" i="3"/>
  <c r="I791" i="3"/>
  <c r="M791" i="3"/>
  <c r="L2537" i="3"/>
  <c r="N2537" i="3"/>
  <c r="L2312" i="3"/>
  <c r="N2312" i="3"/>
  <c r="L2053" i="3"/>
  <c r="N2053" i="3"/>
  <c r="L1541" i="3"/>
  <c r="N1541" i="3"/>
  <c r="L1489" i="3"/>
  <c r="N1489" i="3"/>
  <c r="L1952" i="3"/>
  <c r="N1952" i="3"/>
  <c r="L1393" i="3"/>
  <c r="N1393" i="3"/>
  <c r="L1962" i="3"/>
  <c r="N1962" i="3"/>
  <c r="L2250" i="3"/>
  <c r="N2250" i="3"/>
  <c r="L1996" i="3"/>
  <c r="N1996" i="3"/>
  <c r="L1581" i="3"/>
  <c r="N1581" i="3"/>
  <c r="I1224" i="3"/>
  <c r="M1224" i="3"/>
  <c r="L1954" i="3"/>
  <c r="N1954" i="3"/>
  <c r="I1078" i="3"/>
  <c r="M1078" i="3"/>
  <c r="L1329" i="3"/>
  <c r="N1329" i="3"/>
  <c r="I177" i="3"/>
  <c r="M177" i="3"/>
  <c r="L2188" i="3"/>
  <c r="N2188" i="3"/>
  <c r="L2240" i="3"/>
  <c r="N2240" i="3"/>
  <c r="L2138" i="3"/>
  <c r="N2138" i="3"/>
  <c r="I1068" i="3"/>
  <c r="M1068" i="3"/>
  <c r="I397" i="3"/>
  <c r="M397" i="3"/>
  <c r="I707" i="3"/>
  <c r="M707" i="3"/>
  <c r="L1582" i="3"/>
  <c r="N1582" i="3"/>
  <c r="L1381" i="3"/>
  <c r="N1381" i="3"/>
  <c r="I1029" i="3"/>
  <c r="M1029" i="3"/>
  <c r="I505" i="3"/>
  <c r="M505" i="3"/>
  <c r="L2515" i="3"/>
  <c r="N2515" i="3"/>
  <c r="I811" i="3"/>
  <c r="M811" i="3"/>
  <c r="I1234" i="3"/>
  <c r="M1234" i="3"/>
  <c r="I882" i="3"/>
  <c r="M882" i="3"/>
  <c r="I530" i="3"/>
  <c r="M530" i="3"/>
  <c r="L2481" i="3"/>
  <c r="N2481" i="3"/>
  <c r="I714" i="3"/>
  <c r="M714" i="3"/>
  <c r="I556" i="3"/>
  <c r="M556" i="3"/>
  <c r="I420" i="3"/>
  <c r="M420" i="3"/>
  <c r="I749" i="3"/>
  <c r="M749" i="3"/>
  <c r="I604" i="3"/>
  <c r="M604" i="3"/>
  <c r="I547" i="3"/>
  <c r="M547" i="3"/>
  <c r="L1262" i="3"/>
  <c r="N1262" i="3"/>
  <c r="L2085" i="3"/>
  <c r="N2085" i="3"/>
  <c r="I678" i="3"/>
  <c r="M678" i="3"/>
  <c r="I780" i="3"/>
  <c r="M780" i="3"/>
  <c r="I861" i="3"/>
  <c r="M861" i="3"/>
  <c r="I605" i="3"/>
  <c r="M605" i="3"/>
  <c r="I772" i="3"/>
  <c r="M772" i="3"/>
  <c r="I1115" i="3"/>
  <c r="M1115" i="3"/>
  <c r="I1141" i="3"/>
  <c r="M1141" i="3"/>
  <c r="I1013" i="3"/>
  <c r="M1013" i="3"/>
  <c r="I885" i="3"/>
  <c r="M885" i="3"/>
  <c r="I757" i="3"/>
  <c r="M757" i="3"/>
  <c r="I629" i="3"/>
  <c r="M629" i="3"/>
  <c r="I501" i="3"/>
  <c r="M501" i="3"/>
  <c r="I373" i="3"/>
  <c r="M373" i="3"/>
  <c r="I116" i="3"/>
  <c r="M116" i="3"/>
  <c r="I244" i="3"/>
  <c r="M244" i="3"/>
  <c r="L1455" i="3"/>
  <c r="N1455" i="3"/>
  <c r="L1785" i="3"/>
  <c r="N1785" i="3"/>
  <c r="L1656" i="3"/>
  <c r="N1656" i="3"/>
  <c r="L1951" i="3"/>
  <c r="N1951" i="3"/>
  <c r="I1151" i="3"/>
  <c r="M1151" i="3"/>
  <c r="I1007" i="3"/>
  <c r="M1007" i="3"/>
  <c r="I711" i="3"/>
  <c r="M711" i="3"/>
  <c r="I559" i="3"/>
  <c r="M559" i="3"/>
  <c r="I340" i="3"/>
  <c r="M340" i="3"/>
  <c r="I205" i="3"/>
  <c r="M205" i="3"/>
  <c r="I388" i="3"/>
  <c r="M388" i="3"/>
  <c r="I1180" i="3"/>
  <c r="M1180" i="3"/>
  <c r="I980" i="3"/>
  <c r="M980" i="3"/>
  <c r="I1041" i="3"/>
  <c r="M1041" i="3"/>
  <c r="L1770" i="3"/>
  <c r="N1770" i="3"/>
  <c r="L1642" i="3"/>
  <c r="N1642" i="3"/>
  <c r="L1514" i="3"/>
  <c r="N1514" i="3"/>
  <c r="L1386" i="3"/>
  <c r="N1386" i="3"/>
  <c r="L1258" i="3"/>
  <c r="N1258" i="3"/>
  <c r="I1081" i="3"/>
  <c r="M1081" i="3"/>
  <c r="I1124" i="3"/>
  <c r="M1124" i="3"/>
  <c r="I257" i="3"/>
  <c r="M257" i="3"/>
  <c r="L1547" i="3"/>
  <c r="N1547" i="3"/>
  <c r="L1838" i="3"/>
  <c r="N1838" i="3"/>
  <c r="I1062" i="3"/>
  <c r="M1062" i="3"/>
  <c r="I390" i="3"/>
  <c r="M390" i="3"/>
  <c r="I537" i="3"/>
  <c r="M537" i="3"/>
  <c r="I731" i="3"/>
  <c r="M731" i="3"/>
  <c r="I603" i="3"/>
  <c r="M603" i="3"/>
  <c r="I475" i="3"/>
  <c r="M475" i="3"/>
  <c r="I347" i="3"/>
  <c r="M347" i="3"/>
  <c r="I122" i="3"/>
  <c r="M122" i="3"/>
  <c r="L1926" i="3"/>
  <c r="N1926" i="3"/>
  <c r="I744" i="3"/>
  <c r="M744" i="3"/>
  <c r="L1634" i="3"/>
  <c r="N1634" i="3"/>
  <c r="L1250" i="3"/>
  <c r="N1250" i="3"/>
  <c r="I266" i="3"/>
  <c r="M266" i="3"/>
  <c r="I129" i="3"/>
  <c r="M129" i="3"/>
  <c r="I1225" i="3"/>
  <c r="M1225" i="3"/>
  <c r="L1440" i="3"/>
  <c r="N1440" i="3"/>
  <c r="I163" i="3"/>
  <c r="M163" i="3"/>
  <c r="I115" i="3"/>
  <c r="M115" i="3"/>
  <c r="I267" i="3"/>
  <c r="M267" i="3"/>
  <c r="I1139" i="3"/>
  <c r="M1139" i="3"/>
  <c r="I1011" i="3"/>
  <c r="M1011" i="3"/>
  <c r="I883" i="3"/>
  <c r="M883" i="3"/>
  <c r="I755" i="3"/>
  <c r="M755" i="3"/>
  <c r="I627" i="3"/>
  <c r="M627" i="3"/>
  <c r="I499" i="3"/>
  <c r="M499" i="3"/>
  <c r="I371" i="3"/>
  <c r="M371" i="3"/>
  <c r="I155" i="3"/>
  <c r="M155" i="3"/>
  <c r="I119" i="3"/>
  <c r="M119" i="3"/>
  <c r="L1746" i="3"/>
  <c r="N1746" i="3"/>
  <c r="I786" i="3"/>
  <c r="M786" i="3"/>
  <c r="I329" i="3"/>
  <c r="M329" i="3"/>
  <c r="I1202" i="3"/>
  <c r="M1202" i="3"/>
  <c r="I396" i="3"/>
  <c r="M396" i="3"/>
  <c r="L1562" i="3"/>
  <c r="N1562" i="3"/>
  <c r="I199" i="3"/>
  <c r="M199" i="3"/>
  <c r="L1748" i="3"/>
  <c r="N1748" i="3"/>
  <c r="L1387" i="3"/>
  <c r="N1387" i="3"/>
  <c r="I864" i="3"/>
  <c r="M864" i="3"/>
  <c r="I400" i="3"/>
  <c r="M400" i="3"/>
  <c r="L1362" i="3"/>
  <c r="N1362" i="3"/>
  <c r="L2534" i="3"/>
  <c r="N2534" i="3"/>
  <c r="I622" i="3"/>
  <c r="M622" i="3"/>
  <c r="I666" i="3"/>
  <c r="M666" i="3"/>
  <c r="I346" i="3"/>
  <c r="M346" i="3"/>
  <c r="I256" i="3"/>
  <c r="M256" i="3"/>
  <c r="I142" i="3"/>
  <c r="M142" i="3"/>
  <c r="I230" i="3"/>
  <c r="M230" i="3"/>
  <c r="L2214" i="3"/>
  <c r="N2214" i="3"/>
  <c r="I239" i="3"/>
  <c r="M239" i="3"/>
  <c r="L1526" i="3"/>
  <c r="N1526" i="3"/>
  <c r="I398" i="3"/>
  <c r="M398" i="3"/>
  <c r="I626" i="3"/>
  <c r="M626" i="3"/>
  <c r="I430" i="3"/>
  <c r="M430" i="3"/>
  <c r="I1170" i="3"/>
  <c r="M1170" i="3"/>
  <c r="L2086" i="3"/>
  <c r="N2086" i="3"/>
  <c r="I846" i="3"/>
  <c r="M846" i="3"/>
  <c r="L1396" i="3"/>
  <c r="N1396" i="3"/>
  <c r="L2447" i="3"/>
  <c r="N2447" i="3"/>
  <c r="L1686" i="3"/>
  <c r="N1686" i="3"/>
  <c r="L2207" i="3"/>
  <c r="N2207" i="3"/>
  <c r="L2295" i="3"/>
  <c r="N2295" i="3"/>
  <c r="L1575" i="3"/>
  <c r="N1575" i="3"/>
  <c r="I784" i="3"/>
  <c r="M784" i="3"/>
  <c r="L1847" i="3"/>
  <c r="N1847" i="3"/>
  <c r="L1798" i="3"/>
  <c r="N1798" i="3"/>
  <c r="L1567" i="3"/>
  <c r="N1567" i="3"/>
  <c r="I136" i="3"/>
  <c r="M136" i="3"/>
  <c r="L1576" i="3"/>
  <c r="N1576" i="3"/>
  <c r="L1753" i="3"/>
  <c r="N1753" i="3"/>
  <c r="L1726" i="3"/>
  <c r="N1726" i="3"/>
  <c r="L2007" i="3"/>
  <c r="N2007" i="3"/>
  <c r="L2392" i="3"/>
  <c r="N2392" i="3"/>
  <c r="I1022" i="3"/>
  <c r="M1022" i="3"/>
  <c r="L2239" i="3"/>
  <c r="N2239" i="3"/>
  <c r="L2111" i="3"/>
  <c r="N2111" i="3"/>
  <c r="I770" i="3"/>
  <c r="M770" i="3"/>
  <c r="L1764" i="3"/>
  <c r="N1764" i="3"/>
  <c r="L2273" i="3"/>
  <c r="N2273" i="3"/>
  <c r="L1495" i="3"/>
  <c r="N1495" i="3"/>
  <c r="I1158" i="3"/>
  <c r="M1158" i="3"/>
  <c r="I1154" i="3"/>
  <c r="M1154" i="3"/>
  <c r="L1969" i="3"/>
  <c r="N1969" i="3"/>
  <c r="I1182" i="3"/>
  <c r="M1182" i="3"/>
  <c r="L1640" i="3"/>
  <c r="N1640" i="3"/>
  <c r="L1559" i="3"/>
  <c r="N1559" i="3"/>
  <c r="L2527" i="3"/>
  <c r="N2527" i="3"/>
  <c r="L1783" i="3"/>
  <c r="N1783" i="3"/>
  <c r="L1478" i="3"/>
  <c r="N1478" i="3"/>
  <c r="I734" i="3"/>
  <c r="M734" i="3"/>
  <c r="I446" i="3"/>
  <c r="M446" i="3"/>
  <c r="I117" i="3"/>
  <c r="M117" i="3"/>
  <c r="L1308" i="3"/>
  <c r="N1308" i="3"/>
  <c r="I1129" i="3"/>
  <c r="M1129" i="3"/>
  <c r="L2152" i="3"/>
  <c r="N2152" i="3"/>
  <c r="L1548" i="3"/>
  <c r="N1548" i="3"/>
  <c r="I826" i="3"/>
  <c r="M826" i="3"/>
  <c r="L2054" i="3"/>
  <c r="N2054" i="3"/>
  <c r="I1095" i="3"/>
  <c r="M1095" i="3"/>
  <c r="I727" i="3"/>
  <c r="M727" i="3"/>
  <c r="I431" i="3"/>
  <c r="M431" i="3"/>
  <c r="L2071" i="3"/>
  <c r="N2071" i="3"/>
  <c r="I975" i="3"/>
  <c r="M975" i="3"/>
  <c r="I455" i="3"/>
  <c r="M455" i="3"/>
  <c r="L1374" i="3"/>
  <c r="N1374" i="3"/>
  <c r="I662" i="3"/>
  <c r="M662" i="3"/>
  <c r="I406" i="3"/>
  <c r="M406" i="3"/>
  <c r="L1412" i="3"/>
  <c r="N1412" i="3"/>
  <c r="L1483" i="3"/>
  <c r="N1483" i="3"/>
  <c r="L1778" i="3"/>
  <c r="N1778" i="3"/>
  <c r="L1490" i="3"/>
  <c r="N1490" i="3"/>
  <c r="L1316" i="3"/>
  <c r="N1316" i="3"/>
  <c r="I282" i="3"/>
  <c r="M282" i="3"/>
  <c r="I320" i="3"/>
  <c r="M320" i="3"/>
  <c r="L2398" i="3"/>
  <c r="N2398" i="3"/>
  <c r="I351" i="3"/>
  <c r="M351" i="3"/>
  <c r="L1953" i="3"/>
  <c r="N1953" i="3"/>
  <c r="L2424" i="3"/>
  <c r="N2424" i="3"/>
  <c r="L1905" i="3"/>
  <c r="N1905" i="3"/>
  <c r="L1648" i="3"/>
  <c r="N1648" i="3"/>
  <c r="L1631" i="3"/>
  <c r="N1631" i="3"/>
  <c r="L2167" i="3"/>
  <c r="N2167" i="3"/>
  <c r="I783" i="3"/>
  <c r="M783" i="3"/>
  <c r="L1556" i="3"/>
  <c r="N1556" i="3"/>
  <c r="L1627" i="3"/>
  <c r="N1627" i="3"/>
  <c r="L1371" i="3"/>
  <c r="N1371" i="3"/>
  <c r="I896" i="3"/>
  <c r="M896" i="3"/>
  <c r="I944" i="3"/>
  <c r="M944" i="3"/>
  <c r="L1511" i="3"/>
  <c r="N1511" i="3"/>
  <c r="I209" i="3"/>
  <c r="M209" i="3"/>
  <c r="I401" i="3"/>
  <c r="M401" i="3"/>
  <c r="L1772" i="3"/>
  <c r="N1772" i="3"/>
  <c r="I1098" i="3"/>
  <c r="M1098" i="3"/>
  <c r="I810" i="3"/>
  <c r="M810" i="3"/>
  <c r="I554" i="3"/>
  <c r="M554" i="3"/>
  <c r="I274" i="3"/>
  <c r="M274" i="3"/>
  <c r="L2120" i="3"/>
  <c r="N2120" i="3"/>
  <c r="L2512" i="3"/>
  <c r="N2512" i="3"/>
  <c r="L1359" i="3"/>
  <c r="N1359" i="3"/>
  <c r="L2079" i="3"/>
  <c r="N2079" i="3"/>
  <c r="L1683" i="3"/>
  <c r="N1683" i="3"/>
  <c r="L1395" i="3"/>
  <c r="N1395" i="3"/>
  <c r="L1825" i="3"/>
  <c r="N1825" i="3"/>
  <c r="I1024" i="3"/>
  <c r="M1024" i="3"/>
  <c r="I777" i="3"/>
  <c r="M777" i="3"/>
  <c r="L1436" i="3"/>
  <c r="N1436" i="3"/>
  <c r="I288" i="3"/>
  <c r="M288" i="3"/>
  <c r="L1500" i="3"/>
  <c r="N1500" i="3"/>
  <c r="L2101" i="3"/>
  <c r="N2101" i="3"/>
  <c r="L1845" i="3"/>
  <c r="N1845" i="3"/>
  <c r="L1589" i="3"/>
  <c r="N1589" i="3"/>
  <c r="L1333" i="3"/>
  <c r="N1333" i="3"/>
  <c r="L2417" i="3"/>
  <c r="N2417" i="3"/>
  <c r="L1520" i="3"/>
  <c r="N1520" i="3"/>
  <c r="I1215" i="3"/>
  <c r="M1215" i="3"/>
  <c r="I815" i="3"/>
  <c r="M815" i="3"/>
  <c r="I399" i="3"/>
  <c r="M399" i="3"/>
  <c r="L1236" i="3"/>
  <c r="N1236" i="3"/>
  <c r="L2288" i="3"/>
  <c r="N2288" i="3"/>
  <c r="L2429" i="3"/>
  <c r="N2429" i="3"/>
  <c r="L1565" i="3"/>
  <c r="N1565" i="3"/>
  <c r="I1216" i="3"/>
  <c r="M1216" i="3"/>
  <c r="I238" i="3"/>
  <c r="M238" i="3"/>
  <c r="L1827" i="3"/>
  <c r="N1827" i="3"/>
  <c r="L2552" i="3"/>
  <c r="N2552" i="3"/>
  <c r="L2461" i="3"/>
  <c r="N2461" i="3"/>
  <c r="L2077" i="3"/>
  <c r="N2077" i="3"/>
  <c r="L1693" i="3"/>
  <c r="N1693" i="3"/>
  <c r="L1341" i="3"/>
  <c r="N1341" i="3"/>
  <c r="L2096" i="3"/>
  <c r="N2096" i="3"/>
  <c r="L2134" i="3"/>
  <c r="N2134" i="3"/>
  <c r="L1777" i="3"/>
  <c r="N1777" i="3"/>
  <c r="L1699" i="3"/>
  <c r="N1699" i="3"/>
  <c r="L1504" i="3"/>
  <c r="N1504" i="3"/>
  <c r="I383" i="3"/>
  <c r="M383" i="3"/>
  <c r="L2423" i="3"/>
  <c r="N2423" i="3"/>
  <c r="L1251" i="3"/>
  <c r="N1251" i="3"/>
  <c r="L2128" i="3"/>
  <c r="N2128" i="3"/>
  <c r="I495" i="3"/>
  <c r="M495" i="3"/>
  <c r="I415" i="3"/>
  <c r="M415" i="3"/>
  <c r="L1544" i="3"/>
  <c r="N1544" i="3"/>
  <c r="L2233" i="3"/>
  <c r="N2233" i="3"/>
  <c r="L1921" i="3"/>
  <c r="N1921" i="3"/>
  <c r="L1760" i="3"/>
  <c r="N1760" i="3"/>
  <c r="L2471" i="3"/>
  <c r="N2471" i="3"/>
  <c r="L1655" i="3"/>
  <c r="N1655" i="3"/>
  <c r="L2505" i="3"/>
  <c r="N2505" i="3"/>
  <c r="L2536" i="3"/>
  <c r="N2536" i="3"/>
  <c r="L1989" i="3"/>
  <c r="N1989" i="3"/>
  <c r="L1477" i="3"/>
  <c r="N1477" i="3"/>
  <c r="I584" i="3"/>
  <c r="M584" i="3"/>
  <c r="L2546" i="3"/>
  <c r="N2546" i="3"/>
  <c r="L1888" i="3"/>
  <c r="N1888" i="3"/>
  <c r="I712" i="3"/>
  <c r="M712" i="3"/>
  <c r="L1357" i="3"/>
  <c r="N1357" i="3"/>
  <c r="L2186" i="3"/>
  <c r="N2186" i="3"/>
  <c r="I1169" i="3"/>
  <c r="M1169" i="3"/>
  <c r="L2226" i="3"/>
  <c r="N2226" i="3"/>
  <c r="I279" i="3"/>
  <c r="M279" i="3"/>
  <c r="L2466" i="3"/>
  <c r="N2466" i="3"/>
  <c r="L1933" i="3"/>
  <c r="N1933" i="3"/>
  <c r="L2106" i="3"/>
  <c r="N2106" i="3"/>
  <c r="L1553" i="3"/>
  <c r="N1553" i="3"/>
  <c r="L2316" i="3"/>
  <c r="N2316" i="3"/>
  <c r="L1870" i="3"/>
  <c r="N1870" i="3"/>
  <c r="I817" i="3"/>
  <c r="M817" i="3"/>
  <c r="K99" i="3"/>
  <c r="J91" i="3"/>
  <c r="I19" i="3"/>
  <c r="I30" i="3"/>
  <c r="K105" i="3"/>
  <c r="I42" i="3"/>
  <c r="I12" i="3"/>
  <c r="I45" i="3"/>
  <c r="I21" i="3"/>
  <c r="I10" i="3"/>
  <c r="I25" i="3"/>
  <c r="J96" i="3"/>
  <c r="I27" i="3"/>
  <c r="I49" i="3"/>
  <c r="I31" i="3"/>
  <c r="J94" i="3"/>
  <c r="I20" i="3"/>
  <c r="I44" i="3"/>
  <c r="K106" i="3"/>
  <c r="I17" i="3"/>
  <c r="J95" i="3"/>
  <c r="I11" i="3"/>
  <c r="K100" i="3"/>
  <c r="I34" i="3"/>
  <c r="I41" i="3"/>
  <c r="K104" i="3"/>
  <c r="I24" i="3"/>
  <c r="K111" i="3"/>
  <c r="J97" i="3"/>
  <c r="J93" i="3"/>
  <c r="I16" i="3"/>
  <c r="I26" i="3"/>
  <c r="K108" i="3"/>
  <c r="I38" i="3"/>
  <c r="K110" i="3"/>
  <c r="I23" i="3"/>
  <c r="I29" i="3"/>
  <c r="I14" i="3"/>
  <c r="K107" i="3"/>
  <c r="I32" i="3"/>
  <c r="K109" i="3"/>
  <c r="I37" i="3"/>
  <c r="K101" i="3"/>
  <c r="I8" i="3"/>
  <c r="I33" i="3"/>
  <c r="I40" i="3"/>
  <c r="K103" i="3"/>
  <c r="I13" i="3"/>
  <c r="I22" i="3"/>
  <c r="K102" i="3"/>
  <c r="J92" i="3"/>
  <c r="I7" i="3"/>
  <c r="J98" i="3"/>
  <c r="I50" i="3"/>
  <c r="I18" i="3"/>
  <c r="I6" i="3"/>
  <c r="I9" i="3"/>
  <c r="I43" i="3"/>
  <c r="I28" i="3"/>
  <c r="I35" i="3"/>
  <c r="I15" i="3"/>
  <c r="I46" i="3"/>
  <c r="I36" i="3"/>
  <c r="I48" i="3"/>
  <c r="L98" i="3"/>
  <c r="I97" i="3"/>
  <c r="I98" i="3"/>
  <c r="I104" i="3"/>
  <c r="I91" i="3"/>
  <c r="I108" i="3"/>
  <c r="I100" i="3"/>
  <c r="I96" i="3"/>
  <c r="I101" i="3"/>
  <c r="I102" i="3"/>
  <c r="L92" i="3"/>
  <c r="I92" i="3"/>
  <c r="L93" i="3"/>
  <c r="L91" i="3"/>
  <c r="I107" i="3"/>
  <c r="I106" i="3"/>
  <c r="I94" i="3"/>
  <c r="I103" i="3"/>
  <c r="L96" i="3"/>
  <c r="I99" i="3"/>
  <c r="I105" i="3"/>
  <c r="I109" i="3"/>
  <c r="L94" i="3"/>
  <c r="I93" i="3"/>
  <c r="L95" i="3"/>
  <c r="I95" i="3"/>
  <c r="L99" i="3"/>
  <c r="I111" i="3"/>
  <c r="L97" i="3"/>
  <c r="I110" i="3"/>
  <c r="L2541" i="3"/>
  <c r="L2391" i="3"/>
  <c r="L2414" i="3"/>
  <c r="L2528" i="3"/>
  <c r="L2544" i="3"/>
  <c r="L2589" i="3"/>
  <c r="L2389" i="3"/>
  <c r="L2581" i="3"/>
  <c r="L1856" i="3"/>
  <c r="L2576" i="3"/>
  <c r="L2431" i="3"/>
  <c r="L2441" i="3"/>
  <c r="L2524" i="3"/>
  <c r="L2584" i="3"/>
  <c r="L1855" i="3"/>
  <c r="L2561" i="3"/>
  <c r="L2574" i="3"/>
  <c r="L1898" i="3"/>
  <c r="L2446" i="3"/>
  <c r="L2413" i="3"/>
  <c r="L2575" i="3"/>
  <c r="L2558" i="3"/>
  <c r="L2573" i="3"/>
  <c r="L2583" i="3"/>
  <c r="L2588" i="3"/>
  <c r="L2551" i="3"/>
  <c r="L2567" i="3"/>
  <c r="L2405" i="3"/>
  <c r="L2529" i="3"/>
  <c r="I5" i="3"/>
  <c r="G2645" i="3"/>
  <c r="L2533" i="3"/>
  <c r="H2645" i="3"/>
  <c r="J2645" i="3" l="1"/>
  <c r="I2645" i="3"/>
  <c r="I2647" i="3" s="1"/>
  <c r="N2645" i="3"/>
  <c r="K2645" i="3"/>
  <c r="L2645" i="3"/>
  <c r="M2645" i="3"/>
  <c r="N2647" i="3" l="1"/>
  <c r="M2646" i="3"/>
  <c r="H3" i="2"/>
  <c r="G3" i="2"/>
  <c r="M2647" i="3" l="1"/>
  <c r="J2646" i="3"/>
  <c r="J2647" i="3" s="1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</authors>
  <commentList>
    <comment ref="D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Javier:</t>
        </r>
        <r>
          <rPr>
            <sz val="9"/>
            <color indexed="81"/>
            <rFont val="Tahoma"/>
            <family val="2"/>
          </rPr>
          <t xml:space="preserve">
Filtrar las que tienen X</t>
        </r>
      </text>
    </comment>
  </commentList>
</comments>
</file>

<file path=xl/sharedStrings.xml><?xml version="1.0" encoding="utf-8"?>
<sst xmlns="http://schemas.openxmlformats.org/spreadsheetml/2006/main" count="430" uniqueCount="302">
  <si>
    <t>CUENTA</t>
  </si>
  <si>
    <t>DESCRIPCION</t>
  </si>
  <si>
    <t>TIPO</t>
  </si>
  <si>
    <t>NRO</t>
  </si>
  <si>
    <t>FECHA</t>
  </si>
  <si>
    <t>GLOSA</t>
  </si>
  <si>
    <t>OBS</t>
  </si>
  <si>
    <t>DETALLE</t>
  </si>
  <si>
    <t>DEBE</t>
  </si>
  <si>
    <t>HABER</t>
  </si>
  <si>
    <t>X</t>
  </si>
  <si>
    <t>Y</t>
  </si>
  <si>
    <t>SUMAS</t>
  </si>
  <si>
    <t>SALDOS</t>
  </si>
  <si>
    <t>DEUDOR</t>
  </si>
  <si>
    <t>ACREEDOR</t>
  </si>
  <si>
    <t>ACTIVO</t>
  </si>
  <si>
    <t>PASIVO</t>
  </si>
  <si>
    <t>ER NATURALEZA</t>
  </si>
  <si>
    <t>PERDIDA</t>
  </si>
  <si>
    <t>GANACIA</t>
  </si>
  <si>
    <t>PERDIDA2</t>
  </si>
  <si>
    <t>GANACIA3</t>
  </si>
  <si>
    <t>OTROS ACTIVOS</t>
  </si>
  <si>
    <t>DEPRECIACION ACUMULADA</t>
  </si>
  <si>
    <t>SUELDOS Y SALARIOS POR PAGAR</t>
  </si>
  <si>
    <t>PROVISIONES</t>
  </si>
  <si>
    <t>CAPITAL SOCIAL</t>
  </si>
  <si>
    <t>PERDIDAS ACUMULADAS</t>
  </si>
  <si>
    <t>COMPRAS</t>
  </si>
  <si>
    <t>ACTIVO REALIZABLE</t>
  </si>
  <si>
    <t>VENTAS</t>
  </si>
  <si>
    <t>TOTALES</t>
  </si>
  <si>
    <t>DIFERENCIAS</t>
  </si>
  <si>
    <t>1D</t>
  </si>
  <si>
    <t>2D</t>
  </si>
  <si>
    <t>BALANCE DE COMPROBACION</t>
  </si>
  <si>
    <t>PLAN DE CUENTAS</t>
  </si>
  <si>
    <t>ACTIVO CORRIENTE</t>
  </si>
  <si>
    <t>1.1.1</t>
  </si>
  <si>
    <t>ACTIVO DISPONIBLE</t>
  </si>
  <si>
    <t>1.1.1.01</t>
  </si>
  <si>
    <t>CAJA MONEDA NACIONAL</t>
  </si>
  <si>
    <t>1.1.1.02</t>
  </si>
  <si>
    <t>FONDO FIJO DE CAJA CHICA</t>
  </si>
  <si>
    <t>1.1.1.03</t>
  </si>
  <si>
    <t>CAJA MONEDA EXTRANJERA</t>
  </si>
  <si>
    <t>1.1.1.04</t>
  </si>
  <si>
    <t>BANCO MONEDA NACIONAL</t>
  </si>
  <si>
    <t>1.1.1.05</t>
  </si>
  <si>
    <t>BANCO MONEDA EXTRANJERA</t>
  </si>
  <si>
    <t>1.1.1.06</t>
  </si>
  <si>
    <t>DEPOSITOS DE CAJA DE AHORRO</t>
  </si>
  <si>
    <t>1.1.1.07</t>
  </si>
  <si>
    <t>DEPOSITOS A PLAZO FIJO</t>
  </si>
  <si>
    <t>1.1.2</t>
  </si>
  <si>
    <t>ACTIVO EXIGIBLE</t>
  </si>
  <si>
    <t>1.1.2.01</t>
  </si>
  <si>
    <t>CUENTAS POR COBRAR</t>
  </si>
  <si>
    <t>1.1.2.02</t>
  </si>
  <si>
    <t>DOCUENTOS POR COBRAR</t>
  </si>
  <si>
    <t>1.1.2.03</t>
  </si>
  <si>
    <t>ANTICIPOS SOBRE SUELDOS</t>
  </si>
  <si>
    <t>1.1.2.04</t>
  </si>
  <si>
    <t>PRESTAMOS AL PERSONAL</t>
  </si>
  <si>
    <t>1.1.2.05</t>
  </si>
  <si>
    <t>DEUDORES CON CARGO DE CUENTA</t>
  </si>
  <si>
    <t>1.1.2.06</t>
  </si>
  <si>
    <t>CREDITO FISCAL</t>
  </si>
  <si>
    <t>1.1.2.07</t>
  </si>
  <si>
    <t>ANTICIPO PROVEEDORES</t>
  </si>
  <si>
    <t>1.1.2.08</t>
  </si>
  <si>
    <t>ANTICIPO IMPUESTOS</t>
  </si>
  <si>
    <t>1.1.2.09</t>
  </si>
  <si>
    <t>IUE POR COMPENSAR</t>
  </si>
  <si>
    <t>1.1.2.10</t>
  </si>
  <si>
    <t>IVA DIFERIDO</t>
  </si>
  <si>
    <t>1.1.3</t>
  </si>
  <si>
    <t>1.1.3.01</t>
  </si>
  <si>
    <t>INVENTARIO INICIAL</t>
  </si>
  <si>
    <t>1.1.3.02</t>
  </si>
  <si>
    <t>1.1.3.03</t>
  </si>
  <si>
    <t>MERCADERIAS EN TRANSITO</t>
  </si>
  <si>
    <t>1.1.3.04</t>
  </si>
  <si>
    <t>EXISTENCIA EN TIENDA</t>
  </si>
  <si>
    <t>1.1.3.05</t>
  </si>
  <si>
    <t>MERCADERIAS EN MOSTRADOR</t>
  </si>
  <si>
    <t>ACTIVO NO CORRIENTE</t>
  </si>
  <si>
    <t>1.2.1</t>
  </si>
  <si>
    <t>BIENES DE USO</t>
  </si>
  <si>
    <t>1.2.1.01</t>
  </si>
  <si>
    <t>TERRENOS</t>
  </si>
  <si>
    <t>1.2.1.02</t>
  </si>
  <si>
    <t>EDIFICIOS</t>
  </si>
  <si>
    <t>1.2.1.03</t>
  </si>
  <si>
    <t>MUEBLES Y ENSERES</t>
  </si>
  <si>
    <t>1.2.1.04</t>
  </si>
  <si>
    <t>VEHICULOS</t>
  </si>
  <si>
    <t>1.2.1.05</t>
  </si>
  <si>
    <t>EQUIPO DE COMPUTACION</t>
  </si>
  <si>
    <t>1.2.2</t>
  </si>
  <si>
    <t>INVERSIONES</t>
  </si>
  <si>
    <t>1.2.3</t>
  </si>
  <si>
    <t>1.2.3.01</t>
  </si>
  <si>
    <t>ACTIVOS DIFERIDOS</t>
  </si>
  <si>
    <t>1.2.3.01.01</t>
  </si>
  <si>
    <t>INVENTARIO MATERIAL DE ESCRITORIO</t>
  </si>
  <si>
    <t>1.2.3.01.02</t>
  </si>
  <si>
    <t>SEGUROS PAGADOS POR ADELANTADO</t>
  </si>
  <si>
    <t>1.2.3.01.03</t>
  </si>
  <si>
    <t>GASTOS DE ORGANIZACIÓN</t>
  </si>
  <si>
    <t>1.2.3.01.04</t>
  </si>
  <si>
    <t>ALQUILERES PAGADOS POR ADELANTADO</t>
  </si>
  <si>
    <t>1.2.3.01.05</t>
  </si>
  <si>
    <t>OPERACIONES PENDIENTES</t>
  </si>
  <si>
    <t>1.2.3.01.06</t>
  </si>
  <si>
    <t>PROPAGANDA PAGADA POR ADELANTADO</t>
  </si>
  <si>
    <t>1.2.3.02</t>
  </si>
  <si>
    <t>ACTIVOS NO CORRIENTES MANTENIDOS PARA VENTA</t>
  </si>
  <si>
    <t>1.2.3.02.01</t>
  </si>
  <si>
    <t>PASIVO CORRIENTE</t>
  </si>
  <si>
    <t>2.1.1</t>
  </si>
  <si>
    <t>CUENTAS POR PAGAR M/N</t>
  </si>
  <si>
    <t>2.1.2</t>
  </si>
  <si>
    <t>CUENTAS POR PAGAR M/E</t>
  </si>
  <si>
    <t>2.1.3</t>
  </si>
  <si>
    <t>DOCUMENTOS POR PAGAR M/N</t>
  </si>
  <si>
    <t>2.1.4</t>
  </si>
  <si>
    <t>DOCUMENTOS POR PAGAR M/E</t>
  </si>
  <si>
    <t>2.1.5</t>
  </si>
  <si>
    <t>OBLIGACIONES CON EL PERSONAL</t>
  </si>
  <si>
    <t>2.1.5.01</t>
  </si>
  <si>
    <t>2.1.5.02</t>
  </si>
  <si>
    <t>AGUINALDOS POR PAGAR</t>
  </si>
  <si>
    <t>2.1.6</t>
  </si>
  <si>
    <t>APORTES Y RENTENCIONES POR PAGAR</t>
  </si>
  <si>
    <t>2.1.6.01</t>
  </si>
  <si>
    <t>CAJA NACIONAL DE SALUD</t>
  </si>
  <si>
    <t>2.1.6.02</t>
  </si>
  <si>
    <t>FONDO NACIONAL DE VIVIENDA SOCIAL</t>
  </si>
  <si>
    <t>2.1.6.03</t>
  </si>
  <si>
    <t>INSTITUTO DE FORMACION Y CAPACITACION LABORAL</t>
  </si>
  <si>
    <t>2.1.6.04</t>
  </si>
  <si>
    <t>AFP</t>
  </si>
  <si>
    <t>2.1.7</t>
  </si>
  <si>
    <t>IMPUESTOS POR PAGAR</t>
  </si>
  <si>
    <t>2.1.7.01</t>
  </si>
  <si>
    <t>RC IVA DEPENDIENTES</t>
  </si>
  <si>
    <t>2.1.7.02</t>
  </si>
  <si>
    <t>RC IVA TERCEROS</t>
  </si>
  <si>
    <t>2.1.7.03</t>
  </si>
  <si>
    <t>IVA A TERCEROS</t>
  </si>
  <si>
    <t>2.1.7.04</t>
  </si>
  <si>
    <t>IT A TERCEROS</t>
  </si>
  <si>
    <t>2.1.7.05</t>
  </si>
  <si>
    <t>IUE A TERCEROS</t>
  </si>
  <si>
    <t>2.1.7.06</t>
  </si>
  <si>
    <t>IT ACUMULADO POR PAGAR</t>
  </si>
  <si>
    <t>2.1.8</t>
  </si>
  <si>
    <t xml:space="preserve">DEBITO FISCAL </t>
  </si>
  <si>
    <t>2.1.9</t>
  </si>
  <si>
    <t>OBLIGACIONES BANCARIAS POR PAGAR</t>
  </si>
  <si>
    <t>2.1.10</t>
  </si>
  <si>
    <t>OTROS ACREEDORES</t>
  </si>
  <si>
    <t>2.1.11</t>
  </si>
  <si>
    <t>INGRESOS COBRADOS POR ADELANTADO</t>
  </si>
  <si>
    <t>2.1.11.01</t>
  </si>
  <si>
    <t>ALQUILERES COBRADOS POR ADELANTADO</t>
  </si>
  <si>
    <t>2.1.11.02</t>
  </si>
  <si>
    <t>INTERESES COBRADOS POR ADELANTADO</t>
  </si>
  <si>
    <t>2.1.11.03</t>
  </si>
  <si>
    <t>ANTICIPO CLIENTES</t>
  </si>
  <si>
    <t>PASIVO NO CORRIENTE</t>
  </si>
  <si>
    <t>2.2.1</t>
  </si>
  <si>
    <t>OBLIGACIONES BANCARIAS</t>
  </si>
  <si>
    <t>2.3.1</t>
  </si>
  <si>
    <t>PROVISION PARA CUENTAS INCOBRABLES</t>
  </si>
  <si>
    <t>2.3.2</t>
  </si>
  <si>
    <t>PROVISION PARA INDEMNIZACIONES</t>
  </si>
  <si>
    <t>2.3.3</t>
  </si>
  <si>
    <t>PROVISION PARA AGUINALDO</t>
  </si>
  <si>
    <t>OTROS</t>
  </si>
  <si>
    <t>2.5.1</t>
  </si>
  <si>
    <t>DEPRECIACION ACUMULADA EDIFICIO</t>
  </si>
  <si>
    <t>2.5.2</t>
  </si>
  <si>
    <t>DEPRECIACION ACUMULADA MUEBLES Y ENSERES</t>
  </si>
  <si>
    <t>2.5.3</t>
  </si>
  <si>
    <t>DEPRECIACION ACUMULADA VEHICULO</t>
  </si>
  <si>
    <t>2.5.4</t>
  </si>
  <si>
    <t>DEPRECIACION ACUMULADA EQUIPO DE COMPUTACION</t>
  </si>
  <si>
    <t>PATRIMONIO O CAPITAL CONTABLE</t>
  </si>
  <si>
    <t>AJUSTE DE CAPITAL</t>
  </si>
  <si>
    <t>UTILIDADES RETENIDAS</t>
  </si>
  <si>
    <t>UTILIDAD DE LA GESTION</t>
  </si>
  <si>
    <t>PERDIDA DE LA GESTION</t>
  </si>
  <si>
    <t>CUENTAS DE ORDEN</t>
  </si>
  <si>
    <t>CUENTAS DE INGRESOS</t>
  </si>
  <si>
    <t>INGRESOS</t>
  </si>
  <si>
    <t>5.1.1</t>
  </si>
  <si>
    <t>INGRESOS DE OPERACIÓN</t>
  </si>
  <si>
    <t>5.1.1.01</t>
  </si>
  <si>
    <t>5.1.2</t>
  </si>
  <si>
    <t>OTROS INGRESOS</t>
  </si>
  <si>
    <t>5.1.2.01</t>
  </si>
  <si>
    <t>DESCUENTOS SOBRE COMPRAS</t>
  </si>
  <si>
    <t>5.1.2.02</t>
  </si>
  <si>
    <t>DEVOLUCION Y BONIFICACION SOBRE COMPRAS</t>
  </si>
  <si>
    <t>5.1.2.03</t>
  </si>
  <si>
    <t>ALQUILERES PERCIBIDOS</t>
  </si>
  <si>
    <t>5.1.2.04</t>
  </si>
  <si>
    <t>COMISIONES GANADAS</t>
  </si>
  <si>
    <t>5.1.2.05</t>
  </si>
  <si>
    <t>INTERESES GANADOS</t>
  </si>
  <si>
    <t>5.1.2.06</t>
  </si>
  <si>
    <t>AJUSTE POR INFLACION Y TENENCIA DE BIENES</t>
  </si>
  <si>
    <t>5.1.2.07</t>
  </si>
  <si>
    <t>DIFERENCIA DE CAMBIO M/N</t>
  </si>
  <si>
    <t>5.1.2.08</t>
  </si>
  <si>
    <t>GANANCIA EN VENTA DE BIENES DE USO</t>
  </si>
  <si>
    <t>EGRESOS</t>
  </si>
  <si>
    <t>COSTO MERCADERIAS VENDIDAS</t>
  </si>
  <si>
    <t>DEVOLUCION Y BONIFICACION SOBRE VENTAS</t>
  </si>
  <si>
    <t>DESCUENTOS SOBRE VENTAS</t>
  </si>
  <si>
    <t>GASTOS DE OPERACIÓN</t>
  </si>
  <si>
    <t>6.4.1</t>
  </si>
  <si>
    <t>GASTOS ADMINISTRATIVOS Y DE VENTAS</t>
  </si>
  <si>
    <t>6.4.1.01</t>
  </si>
  <si>
    <t>ASEO Y LIMPIEZA</t>
  </si>
  <si>
    <t>6.4.1.02</t>
  </si>
  <si>
    <t>COMISIONES A VENDEDORES</t>
  </si>
  <si>
    <t>6.4.1.03</t>
  </si>
  <si>
    <t>DONACIONES Y OBSEQUIOS</t>
  </si>
  <si>
    <t>6.4.1.04</t>
  </si>
  <si>
    <t>FLETES SOBRE VENTAS</t>
  </si>
  <si>
    <t>6.4.1.05</t>
  </si>
  <si>
    <t>GASTOS DE EMPAQUE</t>
  </si>
  <si>
    <t>6.4.1.06</t>
  </si>
  <si>
    <t>MATERIAL DE ESCRITORIO</t>
  </si>
  <si>
    <t>ASIENTO DE APERTURA</t>
  </si>
  <si>
    <t>ESTADO DE RESULTADOS</t>
  </si>
  <si>
    <t>6.4.2</t>
  </si>
  <si>
    <t>IMPUESTOS FISCALES E INDIRECTOS</t>
  </si>
  <si>
    <t>6.4.2.01</t>
  </si>
  <si>
    <t>GASTO IT</t>
  </si>
  <si>
    <t xml:space="preserve">LIBRO DIARIO </t>
  </si>
  <si>
    <t>CONTABILIDAD COMPUTARIZADA - ING. CRISTHIAN SAIQUITA</t>
  </si>
  <si>
    <t>BALANCE GENERAL</t>
  </si>
  <si>
    <t>UTLIDAD O PÉRDIDA DE LA GESTION</t>
  </si>
  <si>
    <t>1.2.1.06</t>
  </si>
  <si>
    <t>EQUIPO DE LIMPIEZA</t>
  </si>
  <si>
    <t>6.4.1.07</t>
  </si>
  <si>
    <t>COMBUSTIBLES Y LUBRICANTES</t>
  </si>
  <si>
    <t>COMPRA DE MERCADERIA</t>
  </si>
  <si>
    <t>COMPRA DE MATERIAL DE LIMPIEZA</t>
  </si>
  <si>
    <t>VENTA DE MERCADERIAS A CREDITO</t>
  </si>
  <si>
    <t>VENTA AL CONTADO</t>
  </si>
  <si>
    <t>DEVOL. SOBRE COMPRA</t>
  </si>
  <si>
    <t>VENTA DE MERCADERIAS AL CONTADO</t>
  </si>
  <si>
    <t>VENTA DE MERCADERIAS</t>
  </si>
  <si>
    <t>CF</t>
  </si>
  <si>
    <t>CAJA</t>
  </si>
  <si>
    <t>5 %</t>
  </si>
  <si>
    <t>DESCUENTO</t>
  </si>
  <si>
    <t>CF (13%)</t>
  </si>
  <si>
    <t>NETO (87%)</t>
  </si>
  <si>
    <t>IT(3%)</t>
  </si>
  <si>
    <t>DF(13%)</t>
  </si>
  <si>
    <t>NETO VENTAS</t>
  </si>
  <si>
    <t>COBRO DE LA DEUDA 4 DE ENERO 50%</t>
  </si>
  <si>
    <t>COMPRA DE TERRENO Y EQU. COMPT</t>
  </si>
  <si>
    <t>COMPRA DE MERCADERIAS CON DSCT 2%</t>
  </si>
  <si>
    <t>2%</t>
  </si>
  <si>
    <t>DF</t>
  </si>
  <si>
    <t>DSCT NETO</t>
  </si>
  <si>
    <t>COMPRA DE COMBUSTIBLE</t>
  </si>
  <si>
    <t>IVA</t>
  </si>
  <si>
    <t>DEVOL. SOBRE VENTAS</t>
  </si>
  <si>
    <t>COMPRA MERD. CONTADO 30% SALDO CREDITO</t>
  </si>
  <si>
    <t>PAGO DE DEUDA 12/01</t>
  </si>
  <si>
    <t>PAGO SUELDOS</t>
  </si>
  <si>
    <t>SUELDOS Y SALARIOS</t>
  </si>
  <si>
    <t>6.4.2.02</t>
  </si>
  <si>
    <t>VENTA CON DESCUENTO</t>
  </si>
  <si>
    <t>TOTAL</t>
  </si>
  <si>
    <t>DESC NETO</t>
  </si>
  <si>
    <t>IT</t>
  </si>
  <si>
    <t>VENTA</t>
  </si>
  <si>
    <t>DEVOL. MERCADERIAS</t>
  </si>
  <si>
    <t>ASIENTO IMPOSITIVO</t>
  </si>
  <si>
    <t>EMPRESA VIDA SRL</t>
  </si>
  <si>
    <t>EXPRESADO EN BS.</t>
  </si>
  <si>
    <t>TOTAL ACTIVO</t>
  </si>
  <si>
    <t>PASIVO Y CAPITAL</t>
  </si>
  <si>
    <t>EMPRESA COMERCIAL VIDA SRL</t>
  </si>
  <si>
    <t>OTROS INRESOS</t>
  </si>
  <si>
    <t>UTILIDAD BRUTA EN VENTAS</t>
  </si>
  <si>
    <t>más</t>
  </si>
  <si>
    <t>menos</t>
  </si>
  <si>
    <t>GASTOS OPERATIVOS</t>
  </si>
  <si>
    <t>OTROS EGRESOS</t>
  </si>
  <si>
    <t>IUE (25%)</t>
  </si>
  <si>
    <t>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</si>
</sst>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  <xf numFmtId="0" fontId="2" fillId="0" borderId="0" xfId="0" applyFont="1" applyAlignment="1">
      <alignment horizontal="right"/>
    </xf>
    <xf numFmtId="4" fontId="2" fillId="0" borderId="1" xfId="0" applyNumberFormat="1" applyFont="1" applyBorder="1"/>
    <xf numFmtId="4" fontId="3" fillId="0" borderId="0" xfId="0" applyNumberFormat="1" applyFont="1"/>
    <xf numFmtId="0" fontId="0" fillId="4" borderId="0" xfId="0" applyFill="1"/>
    <xf numFmtId="4" fontId="0" fillId="4" borderId="0" xfId="0" applyNumberFormat="1" applyFill="1"/>
    <xf numFmtId="0" fontId="4" fillId="0" borderId="0" xfId="0" applyFont="1"/>
    <xf numFmtId="49" fontId="4" fillId="0" borderId="0" xfId="0" applyNumberFormat="1" applyFont="1"/>
    <xf numFmtId="4" fontId="0" fillId="4" borderId="2" xfId="0" applyNumberFormat="1" applyFill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6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4" fontId="0" fillId="0" borderId="1" xfId="0" applyNumberFormat="1" applyBorder="1"/>
    <xf numFmtId="4" fontId="0" fillId="6" borderId="1" xfId="0" applyNumberFormat="1" applyFill="1" applyBorder="1"/>
    <xf numFmtId="49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49" fontId="0" fillId="0" borderId="0" xfId="0" applyNumberFormat="1" applyAlignment="1">
      <alignment horizontal="left"/>
    </xf>
    <xf numFmtId="4" fontId="0" fillId="0" borderId="9" xfId="0" applyNumberFormat="1" applyBorder="1"/>
    <xf numFmtId="4" fontId="0" fillId="7" borderId="0" xfId="0" applyNumberFormat="1" applyFill="1"/>
    <xf numFmtId="4" fontId="0" fillId="8" borderId="0" xfId="0" applyNumberFormat="1" applyFill="1"/>
    <xf numFmtId="4" fontId="0" fillId="9" borderId="0" xfId="0" applyNumberFormat="1" applyFill="1"/>
    <xf numFmtId="49" fontId="0" fillId="9" borderId="0" xfId="0" applyNumberFormat="1" applyFill="1"/>
    <xf numFmtId="0" fontId="0" fillId="9" borderId="0" xfId="0" applyFill="1"/>
    <xf numFmtId="9" fontId="0" fillId="7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4" fontId="0" fillId="11" borderId="0" xfId="0" applyNumberFormat="1" applyFill="1"/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4" fillId="11" borderId="0" xfId="0" applyNumberFormat="1" applyFont="1" applyFill="1" applyAlignment="1">
      <alignment horizontal="center"/>
    </xf>
    <xf numFmtId="4" fontId="0" fillId="11" borderId="1" xfId="0" applyNumberFormat="1" applyFill="1" applyBorder="1"/>
    <xf numFmtId="4" fontId="0" fillId="5" borderId="1" xfId="0" applyNumberFormat="1" applyFill="1" applyBorder="1"/>
    <xf numFmtId="0" fontId="4" fillId="12" borderId="10" xfId="0" applyFont="1" applyFill="1" applyBorder="1"/>
    <xf numFmtId="0" fontId="4" fillId="12" borderId="0" xfId="0" applyFont="1" applyFill="1" applyBorder="1"/>
    <xf numFmtId="0" fontId="0" fillId="0" borderId="0" xfId="0" applyBorder="1"/>
    <xf numFmtId="0" fontId="4" fillId="0" borderId="10" xfId="0" applyFont="1" applyBorder="1"/>
    <xf numFmtId="0" fontId="0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4" fillId="13" borderId="0" xfId="0" applyNumberFormat="1" applyFont="1" applyFill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4" fillId="0" borderId="0" xfId="0" applyNumberFormat="1" applyFont="1" applyAlignment="1">
      <alignment vertical="center"/>
    </xf>
    <xf numFmtId="2" fontId="0" fillId="0" borderId="11" xfId="0" applyNumberFormat="1" applyBorder="1" applyAlignment="1">
      <alignment vertical="center"/>
    </xf>
    <xf numFmtId="0" fontId="0" fillId="0" borderId="0" xfId="0" applyAlignment="1">
      <alignment horizontal="right"/>
    </xf>
    <xf numFmtId="2" fontId="0" fillId="0" borderId="0" xfId="0" applyNumberFormat="1" applyFont="1" applyAlignment="1">
      <alignment vertical="center"/>
    </xf>
    <xf numFmtId="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7" borderId="11" xfId="0" applyNumberFormat="1" applyFill="1" applyBorder="1" applyAlignment="1">
      <alignment vertical="center"/>
    </xf>
    <xf numFmtId="49" fontId="4" fillId="12" borderId="0" xfId="0" applyNumberFormat="1" applyFont="1" applyFill="1"/>
    <xf numFmtId="0" fontId="4" fillId="12" borderId="0" xfId="0" applyFont="1" applyFill="1"/>
    <xf numFmtId="4" fontId="0" fillId="12" borderId="3" xfId="0" applyNumberFormat="1" applyFill="1" applyBorder="1"/>
    <xf numFmtId="4" fontId="0" fillId="12" borderId="4" xfId="0" applyNumberFormat="1" applyFill="1" applyBorder="1"/>
    <xf numFmtId="4" fontId="0" fillId="12" borderId="5" xfId="0" applyNumberFormat="1" applyFill="1" applyBorder="1"/>
    <xf numFmtId="49" fontId="4" fillId="0" borderId="0" xfId="0" applyNumberFormat="1" applyFont="1" applyAlignment="1">
      <alignment horizontal="left"/>
    </xf>
    <xf numFmtId="4" fontId="4" fillId="2" borderId="1" xfId="0" applyNumberFormat="1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7">
    <dxf>
      <numFmt numFmtId="4" formatCode="#,##0.00"/>
      <fill>
        <patternFill patternType="solid">
          <fgColor indexed="64"/>
          <bgColor theme="0" tint="-0.14999847407452621"/>
        </patternFill>
      </fill>
    </dxf>
    <dxf>
      <numFmt numFmtId="4" formatCode="#,##0.0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</dxf>
    <dxf>
      <numFmt numFmtId="4" formatCode="#,##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/>
      </font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/>
      </font>
    </dxf>
    <dxf>
      <numFmt numFmtId="30" formatCode="@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/>
      </font>
    </dxf>
    <dxf>
      <fill>
        <patternFill patternType="solid">
          <fgColor indexed="64"/>
          <bgColor theme="0" tint="-0.14999847407452621"/>
        </patternFill>
      </fill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uentas" displayName="tcuentas" ref="A4:E2644" totalsRowShown="0">
  <autoFilter ref="A4:E2644" xr:uid="{00000000-0009-0000-0100-000001000000}"/>
  <tableColumns count="5">
    <tableColumn id="1" xr3:uid="{00000000-0010-0000-0000-000001000000}" name="CUENTA" dataDxfId="36"/>
    <tableColumn id="2" xr3:uid="{00000000-0010-0000-0000-000002000000}" name="DESCRIPCION"/>
    <tableColumn id="3" xr3:uid="{00000000-0010-0000-0000-000003000000}" name="TIPO"/>
    <tableColumn id="4" xr3:uid="{00000000-0010-0000-0000-000004000000}" name="1D" dataDxfId="35"/>
    <tableColumn id="5" xr3:uid="{00000000-0010-0000-0000-000005000000}" name="2D" dataDxfId="3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diario" displayName="tdiario" ref="A5:H156" totalsRowShown="0" headerRowDxfId="33">
  <autoFilter ref="A5:H156" xr:uid="{00000000-0009-0000-0100-000002000000}"/>
  <tableColumns count="8">
    <tableColumn id="1" xr3:uid="{00000000-0010-0000-0100-000001000000}" name="NRO"/>
    <tableColumn id="2" xr3:uid="{00000000-0010-0000-0100-000002000000}" name="FECHA"/>
    <tableColumn id="3" xr3:uid="{00000000-0010-0000-0100-000003000000}" name="GLOSA"/>
    <tableColumn id="4" xr3:uid="{00000000-0010-0000-0100-000004000000}" name="OBS"/>
    <tableColumn id="5" xr3:uid="{00000000-0010-0000-0100-000005000000}" name="CUENTA" dataDxfId="32"/>
    <tableColumn id="6" xr3:uid="{00000000-0010-0000-0100-000006000000}" name="DETALLE" dataDxfId="31">
      <calculatedColumnFormula>IF(E6="","",VLOOKUP(tdiario[[#This Row],[CUENTA]],tcuentas[],2,FALSE))</calculatedColumnFormula>
    </tableColumn>
    <tableColumn id="7" xr3:uid="{00000000-0010-0000-0100-000007000000}" name="DEBE" dataDxfId="30"/>
    <tableColumn id="8" xr3:uid="{00000000-0010-0000-0100-000008000000}" name="HABER" dataDxfId="2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al" displayName="tbal" ref="A4:N2645" totalsRowCount="1" headerRowDxfId="28" totalsRowDxfId="27">
  <autoFilter ref="A4:N2644" xr:uid="{00000000-0009-0000-0100-000003000000}">
    <filterColumn colId="3">
      <customFilters>
        <customFilter operator="notEqual" val=" "/>
      </customFilters>
    </filterColumn>
  </autoFilter>
  <tableColumns count="14">
    <tableColumn id="1" xr3:uid="{00000000-0010-0000-0200-000001000000}" name="CUENTA" dataDxfId="26" totalsRowDxfId="25">
      <calculatedColumnFormula>+'PLAN DE CUENTAS'!A5</calculatedColumnFormula>
    </tableColumn>
    <tableColumn id="2" xr3:uid="{00000000-0010-0000-0200-000002000000}" name="DETALLE" totalsRowLabel="TOTALES" dataDxfId="24" totalsRowDxfId="23">
      <calculatedColumnFormula>+'PLAN DE CUENTAS'!B5</calculatedColumnFormula>
    </tableColumn>
    <tableColumn id="3" xr3:uid="{00000000-0010-0000-0200-000003000000}" name="X" dataDxfId="22" totalsRowDxfId="21">
      <calculatedColumnFormula>+'PLAN DE CUENTAS'!C5</calculatedColumnFormula>
    </tableColumn>
    <tableColumn id="4" xr3:uid="{00000000-0010-0000-0200-000004000000}" name="Y" totalsRowDxfId="20">
      <calculatedColumnFormula>IF(tbal[[#This Row],[DEBE]]+tbal[[#This Row],[HABER]]=0,"","X")</calculatedColumnFormula>
    </tableColumn>
    <tableColumn id="5" xr3:uid="{00000000-0010-0000-0200-000005000000}" name="DEBE" totalsRowFunction="sum" dataDxfId="19" totalsRowDxfId="18">
      <calculatedColumnFormula>SUMIF(tdiario[CUENTA],tbal[[#This Row],[CUENTA]],tdiario[DEBE])</calculatedColumnFormula>
    </tableColumn>
    <tableColumn id="6" xr3:uid="{00000000-0010-0000-0200-000006000000}" name="HABER" totalsRowFunction="sum" dataDxfId="17" totalsRowDxfId="16">
      <calculatedColumnFormula>SUMIF(tdiario[CUENTA],tbal[[#This Row],[CUENTA]],tdiario[HABER])</calculatedColumnFormula>
    </tableColumn>
    <tableColumn id="7" xr3:uid="{00000000-0010-0000-0200-000007000000}" name="DEUDOR" totalsRowFunction="sum" dataDxfId="15" totalsRowDxfId="14">
      <calculatedColumnFormula>IF(tbal[[#This Row],[DEBE]]-tbal[[#This Row],[HABER]]&gt;0,tbal[[#This Row],[DEBE]]-tbal[[#This Row],[HABER]],0)</calculatedColumnFormula>
    </tableColumn>
    <tableColumn id="8" xr3:uid="{00000000-0010-0000-0200-000008000000}" name="ACREEDOR" totalsRowFunction="sum" dataDxfId="13" totalsRowDxfId="12">
      <calculatedColumnFormula>IF(tbal[[#This Row],[HABER]]-tbal[[#This Row],[DEBE]]&gt;0,tbal[[#This Row],[HABER]]-tbal[[#This Row],[DEBE]],0)</calculatedColumnFormula>
    </tableColumn>
    <tableColumn id="9" xr3:uid="{00000000-0010-0000-0200-000009000000}" name="ACTIVO" totalsRowFunction="custom" dataDxfId="11" totalsRowDxfId="10">
      <calculatedColumnFormula>IF((OR(tbal[[#This Row],[X]]=1,tbal[[#This Row],[X]]=2)),tbal[[#This Row],[DEUDOR]],0)</calculatedColumnFormula>
      <totalsRowFormula>SUM(tbal[ACTIVO])</totalsRowFormula>
    </tableColumn>
    <tableColumn id="10" xr3:uid="{00000000-0010-0000-0200-00000A000000}" name="PASIVO" totalsRowFunction="custom" dataDxfId="9" totalsRowDxfId="8">
      <calculatedColumnFormula>IF((OR(tbal[[#This Row],[X]]=2,tbal[[#This Row],[X]]=3)),tbal[[#This Row],[ACREEDOR]],0)</calculatedColumnFormula>
      <totalsRowFormula>SUM(tbal[PASIVO])</totalsRowFormula>
    </tableColumn>
    <tableColumn id="11" xr3:uid="{00000000-0010-0000-0200-00000B000000}" name="PERDIDA" totalsRowFunction="sum" dataDxfId="7" totalsRowDxfId="6">
      <calculatedColumnFormula>IF((OR(tbal[[#This Row],[X]]=3,tbal[[#This Row],[X]]=5)),tbal[[#This Row],[DEUDOR]],0)</calculatedColumnFormula>
    </tableColumn>
    <tableColumn id="12" xr3:uid="{00000000-0010-0000-0200-00000C000000}" name="GANACIA" totalsRowFunction="sum" dataDxfId="5" totalsRowDxfId="4">
      <calculatedColumnFormula>IF((OR(tbal[[#This Row],[X]]=3,tbal[[#This Row],[X]]=4)),tbal[[#This Row],[ACREEDOR]],0)</calculatedColumnFormula>
    </tableColumn>
    <tableColumn id="13" xr3:uid="{00000000-0010-0000-0200-00000D000000}" name="PERDIDA2" totalsRowFunction="sum" dataDxfId="3" totalsRowDxfId="2">
      <calculatedColumnFormula>IF((OR(tbal[[#This Row],[X]]=0,tbal[[#This Row],[X]]=6)),tbal[[#This Row],[DEUDOR]],0)</calculatedColumnFormula>
    </tableColumn>
    <tableColumn id="14" xr3:uid="{00000000-0010-0000-0200-00000E000000}" name="GANACIA3" totalsRowFunction="sum" dataDxfId="1" totalsRowDxfId="0">
      <calculatedColumnFormula>IF((OR(tbal[[#This Row],[X]]=0,tbal[[#This Row],[X]]=5)),tbal[[#This Row],[ACREEDOR]],0)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opLeftCell="A111" zoomScaleNormal="115" workbookViewId="0">
      <selection activeCell="C125" sqref="C125"/>
    </sheetView>
  </sheetViews>
  <sheetFormatPr baseColWidth="10" defaultRowHeight="14.4" x14ac:dyDescent="0.3"/>
  <cols>
    <col min="1" max="1" width="11" style="1" bestFit="1" customWidth="1"/>
    <col min="2" max="2" width="88.88671875" customWidth="1"/>
    <col min="3" max="3" width="9.5546875" customWidth="1"/>
  </cols>
  <sheetData>
    <row r="1" spans="1:5" x14ac:dyDescent="0.3">
      <c r="A1" s="67" t="s">
        <v>245</v>
      </c>
      <c r="B1" s="67"/>
    </row>
    <row r="2" spans="1:5" x14ac:dyDescent="0.3">
      <c r="B2" s="13" t="s">
        <v>37</v>
      </c>
    </row>
    <row r="4" spans="1:5" x14ac:dyDescent="0.3">
      <c r="A4" s="1" t="s">
        <v>0</v>
      </c>
      <c r="B4" t="s">
        <v>1</v>
      </c>
      <c r="C4" s="6" t="s">
        <v>2</v>
      </c>
      <c r="D4" t="s">
        <v>34</v>
      </c>
      <c r="E4" t="s">
        <v>35</v>
      </c>
    </row>
    <row r="5" spans="1:5" x14ac:dyDescent="0.3">
      <c r="A5" s="60">
        <v>1</v>
      </c>
      <c r="B5" t="s">
        <v>16</v>
      </c>
      <c r="C5">
        <v>1</v>
      </c>
      <c r="D5">
        <v>1</v>
      </c>
      <c r="E5">
        <v>10</v>
      </c>
    </row>
    <row r="6" spans="1:5" ht="16.5" customHeight="1" x14ac:dyDescent="0.3">
      <c r="A6" s="59">
        <v>1.1000000000000001</v>
      </c>
      <c r="B6" t="s">
        <v>38</v>
      </c>
      <c r="C6">
        <v>1</v>
      </c>
      <c r="D6">
        <v>1</v>
      </c>
      <c r="E6">
        <v>10</v>
      </c>
    </row>
    <row r="7" spans="1:5" x14ac:dyDescent="0.3">
      <c r="A7" s="60" t="s">
        <v>39</v>
      </c>
      <c r="B7" t="s">
        <v>40</v>
      </c>
      <c r="C7">
        <v>1</v>
      </c>
      <c r="D7">
        <v>1</v>
      </c>
      <c r="E7">
        <v>10</v>
      </c>
    </row>
    <row r="8" spans="1:5" x14ac:dyDescent="0.3">
      <c r="A8" s="60" t="s">
        <v>41</v>
      </c>
      <c r="B8" t="s">
        <v>42</v>
      </c>
      <c r="C8">
        <v>1</v>
      </c>
      <c r="D8">
        <v>1</v>
      </c>
      <c r="E8">
        <v>10</v>
      </c>
    </row>
    <row r="9" spans="1:5" x14ac:dyDescent="0.3">
      <c r="A9" s="60" t="s">
        <v>43</v>
      </c>
      <c r="B9" t="s">
        <v>44</v>
      </c>
      <c r="C9">
        <v>1</v>
      </c>
      <c r="D9">
        <v>1</v>
      </c>
      <c r="E9">
        <v>10</v>
      </c>
    </row>
    <row r="10" spans="1:5" x14ac:dyDescent="0.3">
      <c r="A10" s="60" t="s">
        <v>45</v>
      </c>
      <c r="B10" t="s">
        <v>46</v>
      </c>
      <c r="C10">
        <v>1</v>
      </c>
      <c r="D10">
        <v>1</v>
      </c>
      <c r="E10">
        <v>10</v>
      </c>
    </row>
    <row r="11" spans="1:5" x14ac:dyDescent="0.3">
      <c r="A11" s="60" t="s">
        <v>47</v>
      </c>
      <c r="B11" t="s">
        <v>48</v>
      </c>
      <c r="C11">
        <v>1</v>
      </c>
      <c r="D11">
        <v>1</v>
      </c>
      <c r="E11">
        <v>10</v>
      </c>
    </row>
    <row r="12" spans="1:5" x14ac:dyDescent="0.3">
      <c r="A12" s="60" t="s">
        <v>49</v>
      </c>
      <c r="B12" t="s">
        <v>50</v>
      </c>
      <c r="C12">
        <v>1</v>
      </c>
      <c r="D12">
        <v>1</v>
      </c>
      <c r="E12">
        <v>10</v>
      </c>
    </row>
    <row r="13" spans="1:5" x14ac:dyDescent="0.3">
      <c r="A13" s="60" t="s">
        <v>51</v>
      </c>
      <c r="B13" t="s">
        <v>52</v>
      </c>
      <c r="C13">
        <v>1</v>
      </c>
      <c r="D13">
        <v>1</v>
      </c>
      <c r="E13">
        <v>10</v>
      </c>
    </row>
    <row r="14" spans="1:5" x14ac:dyDescent="0.3">
      <c r="A14" s="60" t="s">
        <v>53</v>
      </c>
      <c r="B14" t="s">
        <v>54</v>
      </c>
      <c r="C14">
        <v>1</v>
      </c>
      <c r="D14">
        <v>1</v>
      </c>
      <c r="E14">
        <v>10</v>
      </c>
    </row>
    <row r="15" spans="1:5" x14ac:dyDescent="0.3">
      <c r="A15" s="60" t="s">
        <v>55</v>
      </c>
      <c r="B15" t="s">
        <v>56</v>
      </c>
      <c r="C15">
        <v>1</v>
      </c>
      <c r="D15">
        <v>1</v>
      </c>
      <c r="E15">
        <v>10</v>
      </c>
    </row>
    <row r="16" spans="1:5" x14ac:dyDescent="0.3">
      <c r="A16" s="60" t="s">
        <v>57</v>
      </c>
      <c r="B16" t="s">
        <v>58</v>
      </c>
      <c r="C16">
        <v>1</v>
      </c>
      <c r="D16">
        <v>1</v>
      </c>
      <c r="E16">
        <v>10</v>
      </c>
    </row>
    <row r="17" spans="1:5" x14ac:dyDescent="0.3">
      <c r="A17" s="60" t="s">
        <v>59</v>
      </c>
      <c r="B17" t="s">
        <v>60</v>
      </c>
      <c r="C17">
        <v>1</v>
      </c>
      <c r="D17">
        <v>1</v>
      </c>
      <c r="E17">
        <v>10</v>
      </c>
    </row>
    <row r="18" spans="1:5" x14ac:dyDescent="0.3">
      <c r="A18" s="60" t="s">
        <v>61</v>
      </c>
      <c r="B18" t="s">
        <v>62</v>
      </c>
      <c r="C18">
        <v>1</v>
      </c>
      <c r="D18">
        <v>1</v>
      </c>
      <c r="E18">
        <v>10</v>
      </c>
    </row>
    <row r="19" spans="1:5" x14ac:dyDescent="0.3">
      <c r="A19" s="60" t="s">
        <v>63</v>
      </c>
      <c r="B19" t="s">
        <v>64</v>
      </c>
      <c r="C19">
        <v>1</v>
      </c>
      <c r="D19">
        <v>1</v>
      </c>
      <c r="E19">
        <v>10</v>
      </c>
    </row>
    <row r="20" spans="1:5" x14ac:dyDescent="0.3">
      <c r="A20" s="60" t="s">
        <v>65</v>
      </c>
      <c r="B20" t="s">
        <v>66</v>
      </c>
      <c r="C20">
        <v>1</v>
      </c>
      <c r="D20">
        <v>1</v>
      </c>
      <c r="E20">
        <v>10</v>
      </c>
    </row>
    <row r="21" spans="1:5" x14ac:dyDescent="0.3">
      <c r="A21" s="60" t="s">
        <v>67</v>
      </c>
      <c r="B21" t="s">
        <v>68</v>
      </c>
      <c r="C21">
        <v>1</v>
      </c>
      <c r="D21">
        <v>1</v>
      </c>
      <c r="E21">
        <v>10</v>
      </c>
    </row>
    <row r="22" spans="1:5" x14ac:dyDescent="0.3">
      <c r="A22" s="60" t="s">
        <v>69</v>
      </c>
      <c r="B22" t="s">
        <v>70</v>
      </c>
      <c r="C22">
        <v>1</v>
      </c>
      <c r="D22">
        <v>1</v>
      </c>
      <c r="E22">
        <v>10</v>
      </c>
    </row>
    <row r="23" spans="1:5" x14ac:dyDescent="0.3">
      <c r="A23" s="60" t="s">
        <v>71</v>
      </c>
      <c r="B23" t="s">
        <v>72</v>
      </c>
      <c r="C23">
        <v>1</v>
      </c>
      <c r="D23">
        <v>1</v>
      </c>
      <c r="E23">
        <v>10</v>
      </c>
    </row>
    <row r="24" spans="1:5" x14ac:dyDescent="0.3">
      <c r="A24" s="60" t="s">
        <v>73</v>
      </c>
      <c r="B24" t="s">
        <v>74</v>
      </c>
      <c r="C24">
        <v>1</v>
      </c>
      <c r="D24">
        <v>1</v>
      </c>
      <c r="E24">
        <v>10</v>
      </c>
    </row>
    <row r="25" spans="1:5" x14ac:dyDescent="0.3">
      <c r="A25" s="60" t="s">
        <v>75</v>
      </c>
      <c r="B25" t="s">
        <v>76</v>
      </c>
      <c r="C25">
        <v>1</v>
      </c>
      <c r="D25">
        <v>1</v>
      </c>
      <c r="E25">
        <v>10</v>
      </c>
    </row>
    <row r="26" spans="1:5" x14ac:dyDescent="0.3">
      <c r="A26" s="60" t="s">
        <v>77</v>
      </c>
      <c r="B26" t="s">
        <v>30</v>
      </c>
      <c r="C26">
        <v>1</v>
      </c>
      <c r="D26">
        <v>1</v>
      </c>
      <c r="E26">
        <v>10</v>
      </c>
    </row>
    <row r="27" spans="1:5" x14ac:dyDescent="0.3">
      <c r="A27" s="60" t="s">
        <v>78</v>
      </c>
      <c r="B27" t="s">
        <v>79</v>
      </c>
      <c r="C27">
        <v>1</v>
      </c>
      <c r="D27">
        <v>1</v>
      </c>
      <c r="E27">
        <v>10</v>
      </c>
    </row>
    <row r="28" spans="1:5" x14ac:dyDescent="0.3">
      <c r="A28" s="60" t="s">
        <v>80</v>
      </c>
      <c r="B28" t="s">
        <v>29</v>
      </c>
      <c r="C28">
        <v>1</v>
      </c>
      <c r="D28">
        <v>1</v>
      </c>
      <c r="E28">
        <v>10</v>
      </c>
    </row>
    <row r="29" spans="1:5" x14ac:dyDescent="0.3">
      <c r="A29" s="60" t="s">
        <v>81</v>
      </c>
      <c r="B29" t="s">
        <v>82</v>
      </c>
      <c r="C29">
        <v>1</v>
      </c>
      <c r="D29">
        <v>1</v>
      </c>
      <c r="E29">
        <v>10</v>
      </c>
    </row>
    <row r="30" spans="1:5" x14ac:dyDescent="0.3">
      <c r="A30" s="60" t="s">
        <v>83</v>
      </c>
      <c r="B30" t="s">
        <v>84</v>
      </c>
      <c r="C30">
        <v>1</v>
      </c>
      <c r="D30">
        <v>1</v>
      </c>
      <c r="E30">
        <v>10</v>
      </c>
    </row>
    <row r="31" spans="1:5" x14ac:dyDescent="0.3">
      <c r="A31" s="60" t="s">
        <v>85</v>
      </c>
      <c r="B31" t="s">
        <v>86</v>
      </c>
      <c r="C31">
        <v>1</v>
      </c>
      <c r="D31">
        <v>1</v>
      </c>
      <c r="E31">
        <v>10</v>
      </c>
    </row>
    <row r="32" spans="1:5" x14ac:dyDescent="0.3">
      <c r="A32" s="59">
        <v>1.2</v>
      </c>
      <c r="B32" t="s">
        <v>87</v>
      </c>
      <c r="C32">
        <v>1</v>
      </c>
      <c r="D32">
        <v>1</v>
      </c>
      <c r="E32">
        <v>10</v>
      </c>
    </row>
    <row r="33" spans="1:5" x14ac:dyDescent="0.3">
      <c r="A33" s="60" t="s">
        <v>88</v>
      </c>
      <c r="B33" t="s">
        <v>89</v>
      </c>
      <c r="C33">
        <v>1</v>
      </c>
      <c r="D33">
        <v>1</v>
      </c>
      <c r="E33">
        <v>10</v>
      </c>
    </row>
    <row r="34" spans="1:5" x14ac:dyDescent="0.3">
      <c r="A34" s="60" t="s">
        <v>90</v>
      </c>
      <c r="B34" t="s">
        <v>91</v>
      </c>
      <c r="C34">
        <v>1</v>
      </c>
      <c r="D34">
        <v>1</v>
      </c>
      <c r="E34">
        <v>10</v>
      </c>
    </row>
    <row r="35" spans="1:5" x14ac:dyDescent="0.3">
      <c r="A35" s="60" t="s">
        <v>92</v>
      </c>
      <c r="B35" t="s">
        <v>93</v>
      </c>
      <c r="C35">
        <v>1</v>
      </c>
      <c r="D35">
        <v>1</v>
      </c>
      <c r="E35">
        <v>10</v>
      </c>
    </row>
    <row r="36" spans="1:5" x14ac:dyDescent="0.3">
      <c r="A36" s="60" t="s">
        <v>94</v>
      </c>
      <c r="B36" t="s">
        <v>95</v>
      </c>
      <c r="C36">
        <v>1</v>
      </c>
      <c r="D36">
        <v>1</v>
      </c>
      <c r="E36">
        <v>10</v>
      </c>
    </row>
    <row r="37" spans="1:5" x14ac:dyDescent="0.3">
      <c r="A37" s="60" t="s">
        <v>96</v>
      </c>
      <c r="B37" t="s">
        <v>97</v>
      </c>
      <c r="C37">
        <v>1</v>
      </c>
      <c r="D37">
        <v>1</v>
      </c>
      <c r="E37">
        <v>10</v>
      </c>
    </row>
    <row r="38" spans="1:5" x14ac:dyDescent="0.3">
      <c r="A38" s="60" t="s">
        <v>98</v>
      </c>
      <c r="B38" t="s">
        <v>99</v>
      </c>
      <c r="C38">
        <v>1</v>
      </c>
      <c r="D38">
        <v>1</v>
      </c>
      <c r="E38">
        <v>10</v>
      </c>
    </row>
    <row r="39" spans="1:5" x14ac:dyDescent="0.3">
      <c r="A39" s="60" t="s">
        <v>248</v>
      </c>
      <c r="B39" t="s">
        <v>249</v>
      </c>
      <c r="C39">
        <v>1</v>
      </c>
      <c r="D39">
        <v>1</v>
      </c>
      <c r="E39">
        <v>10</v>
      </c>
    </row>
    <row r="40" spans="1:5" x14ac:dyDescent="0.3">
      <c r="A40" s="60" t="s">
        <v>100</v>
      </c>
      <c r="B40" t="s">
        <v>101</v>
      </c>
      <c r="C40">
        <v>1</v>
      </c>
      <c r="D40">
        <v>1</v>
      </c>
      <c r="E40">
        <v>10</v>
      </c>
    </row>
    <row r="41" spans="1:5" x14ac:dyDescent="0.3">
      <c r="A41" s="60" t="s">
        <v>102</v>
      </c>
      <c r="B41" t="s">
        <v>23</v>
      </c>
      <c r="C41">
        <v>1</v>
      </c>
      <c r="D41">
        <v>1</v>
      </c>
      <c r="E41">
        <v>10</v>
      </c>
    </row>
    <row r="42" spans="1:5" x14ac:dyDescent="0.3">
      <c r="A42" s="60" t="s">
        <v>103</v>
      </c>
      <c r="B42" t="s">
        <v>104</v>
      </c>
      <c r="C42">
        <v>1</v>
      </c>
      <c r="D42">
        <v>1</v>
      </c>
      <c r="E42">
        <v>10</v>
      </c>
    </row>
    <row r="43" spans="1:5" x14ac:dyDescent="0.3">
      <c r="A43" s="60" t="s">
        <v>105</v>
      </c>
      <c r="B43" t="s">
        <v>106</v>
      </c>
      <c r="C43">
        <v>1</v>
      </c>
      <c r="D43">
        <v>1</v>
      </c>
      <c r="E43">
        <v>10</v>
      </c>
    </row>
    <row r="44" spans="1:5" x14ac:dyDescent="0.3">
      <c r="A44" s="60" t="s">
        <v>107</v>
      </c>
      <c r="B44" t="s">
        <v>108</v>
      </c>
      <c r="C44">
        <v>1</v>
      </c>
      <c r="D44">
        <v>1</v>
      </c>
      <c r="E44">
        <v>10</v>
      </c>
    </row>
    <row r="45" spans="1:5" x14ac:dyDescent="0.3">
      <c r="A45" s="60" t="s">
        <v>109</v>
      </c>
      <c r="B45" t="s">
        <v>110</v>
      </c>
      <c r="C45">
        <v>1</v>
      </c>
      <c r="D45">
        <v>1</v>
      </c>
      <c r="E45">
        <v>10</v>
      </c>
    </row>
    <row r="46" spans="1:5" x14ac:dyDescent="0.3">
      <c r="A46" s="60" t="s">
        <v>111</v>
      </c>
      <c r="B46" t="s">
        <v>112</v>
      </c>
      <c r="C46">
        <v>1</v>
      </c>
      <c r="D46">
        <v>1</v>
      </c>
      <c r="E46">
        <v>10</v>
      </c>
    </row>
    <row r="47" spans="1:5" x14ac:dyDescent="0.3">
      <c r="A47" s="60" t="s">
        <v>113</v>
      </c>
      <c r="B47" t="s">
        <v>114</v>
      </c>
      <c r="C47">
        <v>1</v>
      </c>
      <c r="D47">
        <v>1</v>
      </c>
      <c r="E47">
        <v>10</v>
      </c>
    </row>
    <row r="48" spans="1:5" x14ac:dyDescent="0.3">
      <c r="A48" s="60" t="s">
        <v>115</v>
      </c>
      <c r="B48" t="s">
        <v>116</v>
      </c>
      <c r="C48">
        <v>1</v>
      </c>
      <c r="D48">
        <v>1</v>
      </c>
      <c r="E48">
        <v>10</v>
      </c>
    </row>
    <row r="49" spans="1:5" x14ac:dyDescent="0.3">
      <c r="A49" s="60" t="s">
        <v>117</v>
      </c>
      <c r="B49" t="s">
        <v>118</v>
      </c>
      <c r="C49">
        <v>1</v>
      </c>
      <c r="D49">
        <v>1</v>
      </c>
      <c r="E49">
        <v>10</v>
      </c>
    </row>
    <row r="50" spans="1:5" x14ac:dyDescent="0.3">
      <c r="A50" s="60" t="s">
        <v>119</v>
      </c>
      <c r="B50" t="s">
        <v>99</v>
      </c>
      <c r="C50">
        <v>1</v>
      </c>
      <c r="D50">
        <v>1</v>
      </c>
      <c r="E50">
        <v>10</v>
      </c>
    </row>
    <row r="51" spans="1:5" x14ac:dyDescent="0.3">
      <c r="A51" s="60">
        <v>2</v>
      </c>
      <c r="B51" t="s">
        <v>17</v>
      </c>
      <c r="C51">
        <v>2</v>
      </c>
      <c r="D51">
        <v>2</v>
      </c>
      <c r="E51">
        <v>20</v>
      </c>
    </row>
    <row r="52" spans="1:5" x14ac:dyDescent="0.3">
      <c r="A52" s="59">
        <v>2.1</v>
      </c>
      <c r="B52" t="s">
        <v>120</v>
      </c>
      <c r="C52">
        <v>2</v>
      </c>
      <c r="D52">
        <v>2</v>
      </c>
      <c r="E52">
        <v>20</v>
      </c>
    </row>
    <row r="53" spans="1:5" x14ac:dyDescent="0.3">
      <c r="A53" s="60" t="s">
        <v>121</v>
      </c>
      <c r="B53" t="s">
        <v>122</v>
      </c>
      <c r="C53">
        <v>2</v>
      </c>
      <c r="D53">
        <v>2</v>
      </c>
      <c r="E53">
        <v>20</v>
      </c>
    </row>
    <row r="54" spans="1:5" x14ac:dyDescent="0.3">
      <c r="A54" s="60" t="s">
        <v>123</v>
      </c>
      <c r="B54" t="s">
        <v>124</v>
      </c>
      <c r="C54">
        <v>2</v>
      </c>
      <c r="D54">
        <v>2</v>
      </c>
      <c r="E54">
        <v>20</v>
      </c>
    </row>
    <row r="55" spans="1:5" x14ac:dyDescent="0.3">
      <c r="A55" s="60" t="s">
        <v>125</v>
      </c>
      <c r="B55" t="s">
        <v>126</v>
      </c>
      <c r="C55">
        <v>2</v>
      </c>
      <c r="D55">
        <v>2</v>
      </c>
      <c r="E55">
        <v>20</v>
      </c>
    </row>
    <row r="56" spans="1:5" x14ac:dyDescent="0.3">
      <c r="A56" s="60" t="s">
        <v>127</v>
      </c>
      <c r="B56" t="s">
        <v>128</v>
      </c>
      <c r="C56">
        <v>2</v>
      </c>
      <c r="D56">
        <v>2</v>
      </c>
      <c r="E56">
        <v>20</v>
      </c>
    </row>
    <row r="57" spans="1:5" x14ac:dyDescent="0.3">
      <c r="A57" s="60" t="s">
        <v>129</v>
      </c>
      <c r="B57" t="s">
        <v>130</v>
      </c>
      <c r="C57">
        <v>2</v>
      </c>
      <c r="D57">
        <v>2</v>
      </c>
      <c r="E57">
        <v>20</v>
      </c>
    </row>
    <row r="58" spans="1:5" x14ac:dyDescent="0.3">
      <c r="A58" s="60" t="s">
        <v>131</v>
      </c>
      <c r="B58" t="s">
        <v>25</v>
      </c>
      <c r="C58">
        <v>2</v>
      </c>
      <c r="D58">
        <v>2</v>
      </c>
      <c r="E58">
        <v>20</v>
      </c>
    </row>
    <row r="59" spans="1:5" x14ac:dyDescent="0.3">
      <c r="A59" s="60" t="s">
        <v>132</v>
      </c>
      <c r="B59" t="s">
        <v>133</v>
      </c>
      <c r="C59">
        <v>2</v>
      </c>
      <c r="D59">
        <v>2</v>
      </c>
      <c r="E59">
        <v>20</v>
      </c>
    </row>
    <row r="60" spans="1:5" x14ac:dyDescent="0.3">
      <c r="A60" s="60" t="s">
        <v>134</v>
      </c>
      <c r="B60" t="s">
        <v>135</v>
      </c>
      <c r="C60">
        <v>2</v>
      </c>
      <c r="D60">
        <v>2</v>
      </c>
      <c r="E60">
        <v>20</v>
      </c>
    </row>
    <row r="61" spans="1:5" x14ac:dyDescent="0.3">
      <c r="A61" s="60" t="s">
        <v>136</v>
      </c>
      <c r="B61" t="s">
        <v>137</v>
      </c>
      <c r="C61">
        <v>2</v>
      </c>
      <c r="D61">
        <v>2</v>
      </c>
      <c r="E61">
        <v>20</v>
      </c>
    </row>
    <row r="62" spans="1:5" x14ac:dyDescent="0.3">
      <c r="A62" s="60" t="s">
        <v>138</v>
      </c>
      <c r="B62" t="s">
        <v>139</v>
      </c>
      <c r="C62">
        <v>2</v>
      </c>
      <c r="D62">
        <v>2</v>
      </c>
      <c r="E62">
        <v>20</v>
      </c>
    </row>
    <row r="63" spans="1:5" x14ac:dyDescent="0.3">
      <c r="A63" s="60" t="s">
        <v>140</v>
      </c>
      <c r="B63" t="s">
        <v>141</v>
      </c>
      <c r="C63">
        <v>2</v>
      </c>
      <c r="D63">
        <v>2</v>
      </c>
      <c r="E63">
        <v>20</v>
      </c>
    </row>
    <row r="64" spans="1:5" x14ac:dyDescent="0.3">
      <c r="A64" s="60" t="s">
        <v>142</v>
      </c>
      <c r="B64" t="s">
        <v>143</v>
      </c>
      <c r="C64">
        <v>2</v>
      </c>
      <c r="D64">
        <v>2</v>
      </c>
      <c r="E64">
        <v>20</v>
      </c>
    </row>
    <row r="65" spans="1:5" x14ac:dyDescent="0.3">
      <c r="A65" s="60" t="s">
        <v>144</v>
      </c>
      <c r="B65" t="s">
        <v>145</v>
      </c>
      <c r="C65">
        <v>2</v>
      </c>
      <c r="D65">
        <v>2</v>
      </c>
      <c r="E65">
        <v>20</v>
      </c>
    </row>
    <row r="66" spans="1:5" x14ac:dyDescent="0.3">
      <c r="A66" s="60" t="s">
        <v>146</v>
      </c>
      <c r="B66" t="s">
        <v>147</v>
      </c>
      <c r="C66">
        <v>2</v>
      </c>
      <c r="D66">
        <v>2</v>
      </c>
      <c r="E66">
        <v>20</v>
      </c>
    </row>
    <row r="67" spans="1:5" x14ac:dyDescent="0.3">
      <c r="A67" s="60" t="s">
        <v>148</v>
      </c>
      <c r="B67" t="s">
        <v>149</v>
      </c>
      <c r="C67">
        <v>2</v>
      </c>
      <c r="D67">
        <v>2</v>
      </c>
      <c r="E67">
        <v>20</v>
      </c>
    </row>
    <row r="68" spans="1:5" x14ac:dyDescent="0.3">
      <c r="A68" s="60" t="s">
        <v>150</v>
      </c>
      <c r="B68" t="s">
        <v>151</v>
      </c>
      <c r="C68">
        <v>2</v>
      </c>
      <c r="D68">
        <v>2</v>
      </c>
      <c r="E68">
        <v>20</v>
      </c>
    </row>
    <row r="69" spans="1:5" x14ac:dyDescent="0.3">
      <c r="A69" s="60" t="s">
        <v>152</v>
      </c>
      <c r="B69" t="s">
        <v>153</v>
      </c>
      <c r="C69">
        <v>2</v>
      </c>
      <c r="D69">
        <v>2</v>
      </c>
      <c r="E69">
        <v>20</v>
      </c>
    </row>
    <row r="70" spans="1:5" x14ac:dyDescent="0.3">
      <c r="A70" s="60" t="s">
        <v>154</v>
      </c>
      <c r="B70" t="s">
        <v>155</v>
      </c>
      <c r="C70">
        <v>2</v>
      </c>
      <c r="D70">
        <v>2</v>
      </c>
      <c r="E70">
        <v>20</v>
      </c>
    </row>
    <row r="71" spans="1:5" x14ac:dyDescent="0.3">
      <c r="A71" s="60" t="s">
        <v>156</v>
      </c>
      <c r="B71" t="s">
        <v>157</v>
      </c>
      <c r="C71">
        <v>2</v>
      </c>
      <c r="D71">
        <v>2</v>
      </c>
      <c r="E71">
        <v>20</v>
      </c>
    </row>
    <row r="72" spans="1:5" x14ac:dyDescent="0.3">
      <c r="A72" s="60" t="s">
        <v>158</v>
      </c>
      <c r="B72" t="s">
        <v>159</v>
      </c>
      <c r="C72">
        <v>2</v>
      </c>
      <c r="D72">
        <v>2</v>
      </c>
      <c r="E72">
        <v>20</v>
      </c>
    </row>
    <row r="73" spans="1:5" x14ac:dyDescent="0.3">
      <c r="A73" s="60" t="s">
        <v>160</v>
      </c>
      <c r="B73" t="s">
        <v>161</v>
      </c>
      <c r="C73">
        <v>2</v>
      </c>
      <c r="D73">
        <v>2</v>
      </c>
      <c r="E73">
        <v>20</v>
      </c>
    </row>
    <row r="74" spans="1:5" x14ac:dyDescent="0.3">
      <c r="A74" s="60" t="s">
        <v>162</v>
      </c>
      <c r="B74" t="s">
        <v>163</v>
      </c>
      <c r="C74">
        <v>2</v>
      </c>
      <c r="D74">
        <v>2</v>
      </c>
      <c r="E74">
        <v>20</v>
      </c>
    </row>
    <row r="75" spans="1:5" x14ac:dyDescent="0.3">
      <c r="A75" s="60" t="s">
        <v>164</v>
      </c>
      <c r="B75" t="s">
        <v>165</v>
      </c>
      <c r="C75">
        <v>2</v>
      </c>
      <c r="D75">
        <v>2</v>
      </c>
      <c r="E75">
        <v>20</v>
      </c>
    </row>
    <row r="76" spans="1:5" x14ac:dyDescent="0.3">
      <c r="A76" s="60" t="s">
        <v>166</v>
      </c>
      <c r="B76" t="s">
        <v>167</v>
      </c>
      <c r="C76">
        <v>2</v>
      </c>
      <c r="D76">
        <v>2</v>
      </c>
      <c r="E76">
        <v>20</v>
      </c>
    </row>
    <row r="77" spans="1:5" x14ac:dyDescent="0.3">
      <c r="A77" s="60" t="s">
        <v>168</v>
      </c>
      <c r="B77" t="s">
        <v>169</v>
      </c>
      <c r="C77">
        <v>2</v>
      </c>
      <c r="D77">
        <v>2</v>
      </c>
      <c r="E77">
        <v>20</v>
      </c>
    </row>
    <row r="78" spans="1:5" x14ac:dyDescent="0.3">
      <c r="A78" s="60" t="s">
        <v>170</v>
      </c>
      <c r="B78" t="s">
        <v>171</v>
      </c>
      <c r="C78">
        <v>2</v>
      </c>
      <c r="D78">
        <v>2</v>
      </c>
      <c r="E78">
        <v>20</v>
      </c>
    </row>
    <row r="79" spans="1:5" x14ac:dyDescent="0.3">
      <c r="A79" s="59">
        <v>2.2000000000000002</v>
      </c>
      <c r="B79" t="s">
        <v>172</v>
      </c>
      <c r="C79">
        <v>2</v>
      </c>
      <c r="D79">
        <v>2</v>
      </c>
      <c r="E79">
        <v>20</v>
      </c>
    </row>
    <row r="80" spans="1:5" x14ac:dyDescent="0.3">
      <c r="A80" s="60" t="s">
        <v>173</v>
      </c>
      <c r="B80" t="s">
        <v>174</v>
      </c>
      <c r="C80">
        <v>2</v>
      </c>
      <c r="D80">
        <v>2</v>
      </c>
      <c r="E80">
        <v>20</v>
      </c>
    </row>
    <row r="81" spans="1:5" x14ac:dyDescent="0.3">
      <c r="A81" s="59">
        <v>2.2999999999999998</v>
      </c>
      <c r="B81" t="s">
        <v>26</v>
      </c>
      <c r="C81">
        <v>2</v>
      </c>
      <c r="D81">
        <v>2</v>
      </c>
      <c r="E81">
        <v>20</v>
      </c>
    </row>
    <row r="82" spans="1:5" x14ac:dyDescent="0.3">
      <c r="A82" s="60" t="s">
        <v>175</v>
      </c>
      <c r="B82" t="s">
        <v>176</v>
      </c>
      <c r="C82">
        <v>2</v>
      </c>
      <c r="D82">
        <v>2</v>
      </c>
      <c r="E82">
        <v>20</v>
      </c>
    </row>
    <row r="83" spans="1:5" x14ac:dyDescent="0.3">
      <c r="A83" s="60" t="s">
        <v>177</v>
      </c>
      <c r="B83" t="s">
        <v>178</v>
      </c>
      <c r="C83">
        <v>2</v>
      </c>
      <c r="D83">
        <v>2</v>
      </c>
      <c r="E83">
        <v>20</v>
      </c>
    </row>
    <row r="84" spans="1:5" x14ac:dyDescent="0.3">
      <c r="A84" s="60" t="s">
        <v>179</v>
      </c>
      <c r="B84" t="s">
        <v>180</v>
      </c>
      <c r="C84">
        <v>2</v>
      </c>
      <c r="D84">
        <v>2</v>
      </c>
      <c r="E84">
        <v>20</v>
      </c>
    </row>
    <row r="85" spans="1:5" x14ac:dyDescent="0.3">
      <c r="A85" s="59">
        <v>2.4</v>
      </c>
      <c r="B85" t="s">
        <v>181</v>
      </c>
      <c r="C85">
        <v>2</v>
      </c>
      <c r="D85">
        <v>2</v>
      </c>
      <c r="E85">
        <v>20</v>
      </c>
    </row>
    <row r="86" spans="1:5" x14ac:dyDescent="0.3">
      <c r="A86" s="60">
        <v>2.5</v>
      </c>
      <c r="B86" t="s">
        <v>24</v>
      </c>
      <c r="C86">
        <v>2</v>
      </c>
      <c r="D86">
        <v>2</v>
      </c>
      <c r="E86">
        <v>20</v>
      </c>
    </row>
    <row r="87" spans="1:5" x14ac:dyDescent="0.3">
      <c r="A87" s="60" t="s">
        <v>182</v>
      </c>
      <c r="B87" t="s">
        <v>183</v>
      </c>
      <c r="C87">
        <v>2</v>
      </c>
      <c r="D87">
        <v>2</v>
      </c>
      <c r="E87">
        <v>20</v>
      </c>
    </row>
    <row r="88" spans="1:5" x14ac:dyDescent="0.3">
      <c r="A88" s="60" t="s">
        <v>184</v>
      </c>
      <c r="B88" t="s">
        <v>185</v>
      </c>
      <c r="C88">
        <v>2</v>
      </c>
      <c r="D88">
        <v>2</v>
      </c>
      <c r="E88">
        <v>20</v>
      </c>
    </row>
    <row r="89" spans="1:5" x14ac:dyDescent="0.3">
      <c r="A89" s="60" t="s">
        <v>186</v>
      </c>
      <c r="B89" t="s">
        <v>187</v>
      </c>
      <c r="C89">
        <v>2</v>
      </c>
      <c r="D89">
        <v>2</v>
      </c>
      <c r="E89">
        <v>20</v>
      </c>
    </row>
    <row r="90" spans="1:5" x14ac:dyDescent="0.3">
      <c r="A90" s="60" t="s">
        <v>188</v>
      </c>
      <c r="B90" t="s">
        <v>189</v>
      </c>
      <c r="C90">
        <v>2</v>
      </c>
      <c r="D90">
        <v>2</v>
      </c>
      <c r="E90">
        <v>20</v>
      </c>
    </row>
    <row r="91" spans="1:5" x14ac:dyDescent="0.3">
      <c r="A91" s="60">
        <v>3</v>
      </c>
      <c r="B91" t="s">
        <v>190</v>
      </c>
      <c r="C91">
        <v>3</v>
      </c>
      <c r="D91">
        <v>3</v>
      </c>
      <c r="E91">
        <v>30</v>
      </c>
    </row>
    <row r="92" spans="1:5" x14ac:dyDescent="0.3">
      <c r="A92" s="59">
        <v>3.1</v>
      </c>
      <c r="B92" t="s">
        <v>27</v>
      </c>
      <c r="C92">
        <v>3</v>
      </c>
      <c r="D92">
        <v>3</v>
      </c>
      <c r="E92">
        <v>30</v>
      </c>
    </row>
    <row r="93" spans="1:5" x14ac:dyDescent="0.3">
      <c r="A93" s="59">
        <v>3.2</v>
      </c>
      <c r="B93" t="s">
        <v>191</v>
      </c>
      <c r="C93">
        <v>3</v>
      </c>
      <c r="D93">
        <v>3</v>
      </c>
      <c r="E93">
        <v>30</v>
      </c>
    </row>
    <row r="94" spans="1:5" x14ac:dyDescent="0.3">
      <c r="A94" s="59">
        <v>3.3</v>
      </c>
      <c r="B94" t="s">
        <v>192</v>
      </c>
      <c r="C94">
        <v>3</v>
      </c>
      <c r="D94">
        <v>3</v>
      </c>
      <c r="E94">
        <v>30</v>
      </c>
    </row>
    <row r="95" spans="1:5" x14ac:dyDescent="0.3">
      <c r="A95" s="59">
        <v>3.4</v>
      </c>
      <c r="B95" t="s">
        <v>28</v>
      </c>
      <c r="C95">
        <v>3</v>
      </c>
      <c r="D95">
        <v>3</v>
      </c>
      <c r="E95">
        <v>30</v>
      </c>
    </row>
    <row r="96" spans="1:5" x14ac:dyDescent="0.3">
      <c r="A96" s="59">
        <v>3.5</v>
      </c>
      <c r="B96" t="s">
        <v>193</v>
      </c>
      <c r="C96">
        <v>3</v>
      </c>
      <c r="D96">
        <v>3</v>
      </c>
      <c r="E96">
        <v>30</v>
      </c>
    </row>
    <row r="97" spans="1:5" x14ac:dyDescent="0.3">
      <c r="A97" s="59">
        <v>3.6</v>
      </c>
      <c r="B97" t="s">
        <v>194</v>
      </c>
      <c r="C97">
        <v>3</v>
      </c>
      <c r="D97">
        <v>3</v>
      </c>
      <c r="E97">
        <v>30</v>
      </c>
    </row>
    <row r="98" spans="1:5" x14ac:dyDescent="0.3">
      <c r="A98" s="60">
        <v>4</v>
      </c>
      <c r="B98" t="s">
        <v>195</v>
      </c>
      <c r="C98">
        <v>4</v>
      </c>
      <c r="D98">
        <v>4</v>
      </c>
      <c r="E98">
        <v>40</v>
      </c>
    </row>
    <row r="99" spans="1:5" x14ac:dyDescent="0.3">
      <c r="A99" s="60">
        <v>5</v>
      </c>
      <c r="B99" t="s">
        <v>196</v>
      </c>
      <c r="C99">
        <v>5</v>
      </c>
      <c r="D99">
        <v>5</v>
      </c>
      <c r="E99">
        <v>50</v>
      </c>
    </row>
    <row r="100" spans="1:5" x14ac:dyDescent="0.3">
      <c r="A100" s="59">
        <v>5.0999999999999996</v>
      </c>
      <c r="B100" t="s">
        <v>197</v>
      </c>
      <c r="C100">
        <v>5</v>
      </c>
      <c r="D100">
        <v>5</v>
      </c>
      <c r="E100">
        <v>50</v>
      </c>
    </row>
    <row r="101" spans="1:5" x14ac:dyDescent="0.3">
      <c r="A101" s="60" t="s">
        <v>198</v>
      </c>
      <c r="B101" t="s">
        <v>199</v>
      </c>
      <c r="C101">
        <v>5</v>
      </c>
      <c r="D101">
        <v>5</v>
      </c>
      <c r="E101">
        <v>50</v>
      </c>
    </row>
    <row r="102" spans="1:5" x14ac:dyDescent="0.3">
      <c r="A102" s="60" t="s">
        <v>200</v>
      </c>
      <c r="B102" t="s">
        <v>31</v>
      </c>
      <c r="C102">
        <v>5</v>
      </c>
      <c r="D102">
        <v>5</v>
      </c>
      <c r="E102">
        <v>50</v>
      </c>
    </row>
    <row r="103" spans="1:5" x14ac:dyDescent="0.3">
      <c r="A103" s="60" t="s">
        <v>201</v>
      </c>
      <c r="B103" t="s">
        <v>202</v>
      </c>
      <c r="C103">
        <v>5</v>
      </c>
      <c r="D103">
        <v>5</v>
      </c>
      <c r="E103">
        <v>50</v>
      </c>
    </row>
    <row r="104" spans="1:5" x14ac:dyDescent="0.3">
      <c r="A104" s="60" t="s">
        <v>203</v>
      </c>
      <c r="B104" t="s">
        <v>204</v>
      </c>
      <c r="C104">
        <v>5</v>
      </c>
      <c r="D104">
        <v>5</v>
      </c>
      <c r="E104">
        <v>50</v>
      </c>
    </row>
    <row r="105" spans="1:5" x14ac:dyDescent="0.3">
      <c r="A105" s="60" t="s">
        <v>205</v>
      </c>
      <c r="B105" t="s">
        <v>206</v>
      </c>
      <c r="C105">
        <v>5</v>
      </c>
      <c r="D105">
        <v>5</v>
      </c>
      <c r="E105">
        <v>50</v>
      </c>
    </row>
    <row r="106" spans="1:5" x14ac:dyDescent="0.3">
      <c r="A106" s="60" t="s">
        <v>207</v>
      </c>
      <c r="B106" t="s">
        <v>208</v>
      </c>
      <c r="C106">
        <v>5</v>
      </c>
      <c r="D106">
        <v>5</v>
      </c>
      <c r="E106">
        <v>50</v>
      </c>
    </row>
    <row r="107" spans="1:5" x14ac:dyDescent="0.3">
      <c r="A107" s="60" t="s">
        <v>209</v>
      </c>
      <c r="B107" t="s">
        <v>210</v>
      </c>
      <c r="C107">
        <v>5</v>
      </c>
      <c r="D107">
        <v>5</v>
      </c>
      <c r="E107">
        <v>50</v>
      </c>
    </row>
    <row r="108" spans="1:5" x14ac:dyDescent="0.3">
      <c r="A108" s="60" t="s">
        <v>211</v>
      </c>
      <c r="B108" t="s">
        <v>212</v>
      </c>
      <c r="C108">
        <v>5</v>
      </c>
      <c r="D108">
        <v>5</v>
      </c>
      <c r="E108">
        <v>50</v>
      </c>
    </row>
    <row r="109" spans="1:5" x14ac:dyDescent="0.3">
      <c r="A109" s="60" t="s">
        <v>213</v>
      </c>
      <c r="B109" t="s">
        <v>214</v>
      </c>
      <c r="C109">
        <v>5</v>
      </c>
      <c r="D109">
        <v>5</v>
      </c>
      <c r="E109">
        <v>50</v>
      </c>
    </row>
    <row r="110" spans="1:5" x14ac:dyDescent="0.3">
      <c r="A110" s="60" t="s">
        <v>215</v>
      </c>
      <c r="B110" t="s">
        <v>216</v>
      </c>
      <c r="C110">
        <v>5</v>
      </c>
      <c r="D110">
        <v>5</v>
      </c>
      <c r="E110">
        <v>50</v>
      </c>
    </row>
    <row r="111" spans="1:5" x14ac:dyDescent="0.3">
      <c r="A111" s="60" t="s">
        <v>217</v>
      </c>
      <c r="B111" t="s">
        <v>218</v>
      </c>
      <c r="C111">
        <v>5</v>
      </c>
      <c r="D111">
        <v>5</v>
      </c>
      <c r="E111">
        <v>50</v>
      </c>
    </row>
    <row r="112" spans="1:5" x14ac:dyDescent="0.3">
      <c r="A112" s="60">
        <v>6</v>
      </c>
      <c r="B112" t="s">
        <v>219</v>
      </c>
      <c r="C112">
        <v>6</v>
      </c>
      <c r="D112">
        <v>6</v>
      </c>
      <c r="E112">
        <v>60</v>
      </c>
    </row>
    <row r="113" spans="1:5" x14ac:dyDescent="0.3">
      <c r="A113" s="59">
        <v>6.1</v>
      </c>
      <c r="B113" t="s">
        <v>220</v>
      </c>
      <c r="C113">
        <v>6</v>
      </c>
      <c r="D113">
        <v>6</v>
      </c>
      <c r="E113">
        <v>60</v>
      </c>
    </row>
    <row r="114" spans="1:5" x14ac:dyDescent="0.3">
      <c r="A114" s="59">
        <v>6.2</v>
      </c>
      <c r="B114" t="s">
        <v>221</v>
      </c>
      <c r="C114">
        <v>6</v>
      </c>
      <c r="D114">
        <v>6</v>
      </c>
      <c r="E114">
        <v>60</v>
      </c>
    </row>
    <row r="115" spans="1:5" x14ac:dyDescent="0.3">
      <c r="A115" s="59">
        <v>6.3</v>
      </c>
      <c r="B115" t="s">
        <v>222</v>
      </c>
      <c r="C115">
        <v>6</v>
      </c>
      <c r="D115">
        <v>6</v>
      </c>
      <c r="E115">
        <v>60</v>
      </c>
    </row>
    <row r="116" spans="1:5" x14ac:dyDescent="0.3">
      <c r="A116" s="59">
        <v>6.4</v>
      </c>
      <c r="B116" t="s">
        <v>223</v>
      </c>
      <c r="C116">
        <v>6</v>
      </c>
      <c r="D116">
        <v>6</v>
      </c>
      <c r="E116">
        <v>60</v>
      </c>
    </row>
    <row r="117" spans="1:5" x14ac:dyDescent="0.3">
      <c r="A117" s="60" t="s">
        <v>224</v>
      </c>
      <c r="B117" t="s">
        <v>225</v>
      </c>
      <c r="C117">
        <v>6</v>
      </c>
      <c r="D117">
        <v>6</v>
      </c>
      <c r="E117">
        <v>60</v>
      </c>
    </row>
    <row r="118" spans="1:5" x14ac:dyDescent="0.3">
      <c r="A118" s="60" t="s">
        <v>226</v>
      </c>
      <c r="B118" t="s">
        <v>227</v>
      </c>
      <c r="C118">
        <v>6</v>
      </c>
      <c r="D118">
        <v>6</v>
      </c>
      <c r="E118">
        <v>60</v>
      </c>
    </row>
    <row r="119" spans="1:5" x14ac:dyDescent="0.3">
      <c r="A119" s="60" t="s">
        <v>228</v>
      </c>
      <c r="B119" t="s">
        <v>229</v>
      </c>
      <c r="C119">
        <v>6</v>
      </c>
      <c r="D119">
        <v>6</v>
      </c>
      <c r="E119">
        <v>60</v>
      </c>
    </row>
    <row r="120" spans="1:5" x14ac:dyDescent="0.3">
      <c r="A120" s="60" t="s">
        <v>230</v>
      </c>
      <c r="B120" t="s">
        <v>231</v>
      </c>
      <c r="C120">
        <v>6</v>
      </c>
      <c r="D120">
        <v>6</v>
      </c>
      <c r="E120">
        <v>60</v>
      </c>
    </row>
    <row r="121" spans="1:5" x14ac:dyDescent="0.3">
      <c r="A121" s="60" t="s">
        <v>232</v>
      </c>
      <c r="B121" t="s">
        <v>233</v>
      </c>
      <c r="C121">
        <v>6</v>
      </c>
      <c r="D121">
        <v>6</v>
      </c>
      <c r="E121">
        <v>60</v>
      </c>
    </row>
    <row r="122" spans="1:5" x14ac:dyDescent="0.3">
      <c r="A122" s="60" t="s">
        <v>234</v>
      </c>
      <c r="B122" t="s">
        <v>235</v>
      </c>
      <c r="C122">
        <v>6</v>
      </c>
      <c r="D122">
        <v>6</v>
      </c>
      <c r="E122">
        <v>60</v>
      </c>
    </row>
    <row r="123" spans="1:5" x14ac:dyDescent="0.3">
      <c r="A123" s="60" t="s">
        <v>236</v>
      </c>
      <c r="B123" t="s">
        <v>237</v>
      </c>
      <c r="C123">
        <v>6</v>
      </c>
      <c r="D123">
        <v>6</v>
      </c>
      <c r="E123">
        <v>60</v>
      </c>
    </row>
    <row r="124" spans="1:5" x14ac:dyDescent="0.3">
      <c r="A124" s="60" t="s">
        <v>250</v>
      </c>
      <c r="B124" t="s">
        <v>251</v>
      </c>
      <c r="C124">
        <v>6</v>
      </c>
      <c r="D124">
        <v>6</v>
      </c>
      <c r="E124">
        <v>60</v>
      </c>
    </row>
    <row r="125" spans="1:5" x14ac:dyDescent="0.3">
      <c r="A125" s="60" t="s">
        <v>240</v>
      </c>
      <c r="B125" t="s">
        <v>241</v>
      </c>
      <c r="C125">
        <v>6</v>
      </c>
      <c r="D125">
        <v>6</v>
      </c>
      <c r="E125">
        <v>60</v>
      </c>
    </row>
    <row r="126" spans="1:5" x14ac:dyDescent="0.3">
      <c r="A126" s="60" t="s">
        <v>242</v>
      </c>
      <c r="B126" t="s">
        <v>243</v>
      </c>
      <c r="C126">
        <v>6</v>
      </c>
      <c r="D126">
        <v>6</v>
      </c>
      <c r="E126">
        <v>60</v>
      </c>
    </row>
    <row r="127" spans="1:5" x14ac:dyDescent="0.3">
      <c r="A127" s="60" t="s">
        <v>281</v>
      </c>
      <c r="B127" t="s">
        <v>280</v>
      </c>
      <c r="C127">
        <v>6</v>
      </c>
      <c r="D127">
        <v>6</v>
      </c>
      <c r="E127">
        <v>60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56"/>
  <sheetViews>
    <sheetView zoomScale="59" zoomScaleNormal="85" workbookViewId="0">
      <pane ySplit="5" topLeftCell="A88" activePane="bottomLeft" state="frozen"/>
      <selection pane="bottomLeft" activeCell="E114" sqref="E114"/>
    </sheetView>
  </sheetViews>
  <sheetFormatPr baseColWidth="10" defaultRowHeight="14.4" x14ac:dyDescent="0.3"/>
  <cols>
    <col min="2" max="2" width="13.33203125" customWidth="1"/>
    <col min="3" max="3" width="31.44140625" customWidth="1"/>
    <col min="4" max="4" width="13.109375" customWidth="1"/>
    <col min="5" max="5" width="14" style="1" customWidth="1"/>
    <col min="6" max="6" width="51.6640625" customWidth="1"/>
    <col min="7" max="8" width="13.88671875" style="5" customWidth="1"/>
    <col min="13" max="13" width="12.33203125" customWidth="1"/>
  </cols>
  <sheetData>
    <row r="2" spans="1:8" ht="21" x14ac:dyDescent="0.4">
      <c r="C2" s="22" t="s">
        <v>244</v>
      </c>
      <c r="G2" s="7" t="s">
        <v>33</v>
      </c>
      <c r="H2" s="10">
        <f>+G3-H3</f>
        <v>0</v>
      </c>
    </row>
    <row r="3" spans="1:8" x14ac:dyDescent="0.3">
      <c r="F3" s="8" t="s">
        <v>32</v>
      </c>
      <c r="G3" s="9">
        <f>SUM(tdiario[DEBE])</f>
        <v>1701215.4</v>
      </c>
      <c r="H3" s="9">
        <f>SUM(tdiario[HABER])</f>
        <v>1701215.4</v>
      </c>
    </row>
    <row r="5" spans="1:8" s="2" customFormat="1" x14ac:dyDescent="0.3">
      <c r="A5" s="2" t="s">
        <v>3</v>
      </c>
      <c r="B5" s="2" t="s">
        <v>4</v>
      </c>
      <c r="C5" s="2" t="s">
        <v>5</v>
      </c>
      <c r="D5" s="2" t="s">
        <v>6</v>
      </c>
      <c r="E5" s="3" t="s">
        <v>0</v>
      </c>
      <c r="F5" s="2" t="s">
        <v>7</v>
      </c>
      <c r="G5" s="4" t="s">
        <v>8</v>
      </c>
      <c r="H5" s="4" t="s">
        <v>9</v>
      </c>
    </row>
    <row r="6" spans="1:8" x14ac:dyDescent="0.3">
      <c r="A6">
        <v>1</v>
      </c>
      <c r="B6" s="20">
        <v>45292</v>
      </c>
      <c r="C6" t="s">
        <v>238</v>
      </c>
      <c r="E6" s="21" t="s">
        <v>41</v>
      </c>
      <c r="F6" s="11" t="str">
        <f>IF(E6="","",VLOOKUP(tdiario[[#This Row],[CUENTA]],tcuentas[],2,FALSE))</f>
        <v>CAJA MONEDA NACIONAL</v>
      </c>
      <c r="G6" s="5">
        <v>140000</v>
      </c>
    </row>
    <row r="7" spans="1:8" x14ac:dyDescent="0.3">
      <c r="E7" s="21" t="s">
        <v>57</v>
      </c>
      <c r="F7" s="11" t="str">
        <f>IF(E7="","",VLOOKUP(tdiario[[#This Row],[CUENTA]],tcuentas[],2,FALSE))</f>
        <v>CUENTAS POR COBRAR</v>
      </c>
      <c r="G7" s="5">
        <v>13000</v>
      </c>
    </row>
    <row r="8" spans="1:8" x14ac:dyDescent="0.3">
      <c r="E8" s="21" t="s">
        <v>78</v>
      </c>
      <c r="F8" s="11" t="str">
        <f>IF(E8="","",VLOOKUP(tdiario[[#This Row],[CUENTA]],tcuentas[],2,FALSE))</f>
        <v>INVENTARIO INICIAL</v>
      </c>
      <c r="G8" s="5">
        <v>89000</v>
      </c>
    </row>
    <row r="9" spans="1:8" x14ac:dyDescent="0.3">
      <c r="B9" s="20"/>
      <c r="E9" s="21" t="s">
        <v>90</v>
      </c>
      <c r="F9" s="11" t="str">
        <f>IF(E9="","",VLOOKUP(tdiario[[#This Row],[CUENTA]],tcuentas[],2,FALSE))</f>
        <v>TERRENOS</v>
      </c>
      <c r="G9" s="5">
        <v>25000</v>
      </c>
    </row>
    <row r="10" spans="1:8" x14ac:dyDescent="0.3">
      <c r="E10" s="21" t="s">
        <v>92</v>
      </c>
      <c r="F10" s="11" t="str">
        <f>IF(E10="","",VLOOKUP(tdiario[[#This Row],[CUENTA]],tcuentas[],2,FALSE))</f>
        <v>EDIFICIOS</v>
      </c>
      <c r="G10" s="5">
        <v>99000</v>
      </c>
    </row>
    <row r="11" spans="1:8" x14ac:dyDescent="0.3">
      <c r="E11" s="21" t="s">
        <v>96</v>
      </c>
      <c r="F11" s="11" t="str">
        <f>IF(E11="","",VLOOKUP(tdiario[[#This Row],[CUENTA]],tcuentas[],2,FALSE))</f>
        <v>VEHICULOS</v>
      </c>
      <c r="G11" s="5">
        <v>65000</v>
      </c>
    </row>
    <row r="12" spans="1:8" x14ac:dyDescent="0.3">
      <c r="E12" s="21" t="s">
        <v>94</v>
      </c>
      <c r="F12" s="11" t="str">
        <f>IF(E12="","",VLOOKUP(tdiario[[#This Row],[CUENTA]],tcuentas[],2,FALSE))</f>
        <v>MUEBLES Y ENSERES</v>
      </c>
      <c r="G12" s="5">
        <v>23000</v>
      </c>
    </row>
    <row r="13" spans="1:8" x14ac:dyDescent="0.3">
      <c r="B13" s="20"/>
      <c r="E13" s="21" t="s">
        <v>125</v>
      </c>
      <c r="F13" s="11" t="str">
        <f>IF(E13="","",VLOOKUP(tdiario[[#This Row],[CUENTA]],tcuentas[],2,FALSE))</f>
        <v>DOCUMENTOS POR PAGAR M/N</v>
      </c>
      <c r="H13" s="5">
        <v>120000</v>
      </c>
    </row>
    <row r="14" spans="1:8" x14ac:dyDescent="0.3">
      <c r="E14" s="59">
        <v>3.1</v>
      </c>
      <c r="F14" s="11" t="str">
        <f>IF(E14="","",VLOOKUP(tdiario[[#This Row],[CUENTA]],tcuentas[],2,FALSE))</f>
        <v>CAPITAL SOCIAL</v>
      </c>
      <c r="H14" s="5">
        <v>334000</v>
      </c>
    </row>
    <row r="15" spans="1:8" x14ac:dyDescent="0.3">
      <c r="E15" s="21"/>
      <c r="F15" s="11" t="str">
        <f>IF(E15="","",VLOOKUP(tdiario[[#This Row],[CUENTA]],tcuentas[],2,FALSE))</f>
        <v/>
      </c>
    </row>
    <row r="16" spans="1:8" x14ac:dyDescent="0.3">
      <c r="A16">
        <v>2</v>
      </c>
      <c r="B16" s="20">
        <v>45293</v>
      </c>
      <c r="C16" t="s">
        <v>252</v>
      </c>
      <c r="E16" s="21" t="s">
        <v>80</v>
      </c>
      <c r="F16" s="11" t="str">
        <f>IF(E16="","",VLOOKUP(tdiario[[#This Row],[CUENTA]],tcuentas[],2,FALSE))</f>
        <v>COMPRAS</v>
      </c>
      <c r="G16" s="5">
        <f>H18-G17</f>
        <v>107010</v>
      </c>
    </row>
    <row r="17" spans="1:8" x14ac:dyDescent="0.3">
      <c r="E17" s="21" t="s">
        <v>67</v>
      </c>
      <c r="F17" s="11" t="str">
        <f>IF(E17="","",VLOOKUP(tdiario[[#This Row],[CUENTA]],tcuentas[],2,FALSE))</f>
        <v>CREDITO FISCAL</v>
      </c>
      <c r="G17" s="5">
        <f>H18*0.13</f>
        <v>15990</v>
      </c>
    </row>
    <row r="18" spans="1:8" x14ac:dyDescent="0.3">
      <c r="E18" s="21" t="s">
        <v>41</v>
      </c>
      <c r="F18" s="11" t="str">
        <f>IF(E18="","",VLOOKUP(tdiario[[#This Row],[CUENTA]],tcuentas[],2,FALSE))</f>
        <v>CAJA MONEDA NACIONAL</v>
      </c>
      <c r="H18" s="5">
        <v>123000</v>
      </c>
    </row>
    <row r="19" spans="1:8" x14ac:dyDescent="0.3">
      <c r="B19" s="20"/>
      <c r="E19" s="21"/>
      <c r="F19" s="11" t="str">
        <f>IF(E19="","",VLOOKUP(tdiario[[#This Row],[CUENTA]],tcuentas[],2,FALSE))</f>
        <v/>
      </c>
    </row>
    <row r="20" spans="1:8" x14ac:dyDescent="0.3">
      <c r="A20">
        <v>3</v>
      </c>
      <c r="B20" s="20">
        <v>45293</v>
      </c>
      <c r="C20" t="s">
        <v>253</v>
      </c>
      <c r="E20" s="21" t="s">
        <v>226</v>
      </c>
      <c r="F20" s="11" t="str">
        <f>IF(E20="","",VLOOKUP(tdiario[[#This Row],[CUENTA]],tcuentas[],2,FALSE))</f>
        <v>ASEO Y LIMPIEZA</v>
      </c>
      <c r="G20" s="5">
        <f>H22-G21</f>
        <v>1044</v>
      </c>
    </row>
    <row r="21" spans="1:8" x14ac:dyDescent="0.3">
      <c r="E21" s="21" t="s">
        <v>67</v>
      </c>
      <c r="F21" s="11" t="str">
        <f>IF(E21="","",VLOOKUP(tdiario[[#This Row],[CUENTA]],tcuentas[],2,FALSE))</f>
        <v>CREDITO FISCAL</v>
      </c>
      <c r="G21" s="5">
        <f>H22*0.13</f>
        <v>156</v>
      </c>
    </row>
    <row r="22" spans="1:8" x14ac:dyDescent="0.3">
      <c r="B22" s="20"/>
      <c r="E22" s="21" t="s">
        <v>41</v>
      </c>
      <c r="F22" s="11" t="str">
        <f>IF(E22="","",VLOOKUP(tdiario[[#This Row],[CUENTA]],tcuentas[],2,FALSE))</f>
        <v>CAJA MONEDA NACIONAL</v>
      </c>
      <c r="H22" s="5">
        <v>1200</v>
      </c>
    </row>
    <row r="23" spans="1:8" x14ac:dyDescent="0.3">
      <c r="E23" s="21"/>
      <c r="F23" s="11" t="str">
        <f>IF(E23="","",VLOOKUP(tdiario[[#This Row],[CUENTA]],tcuentas[],2,FALSE))</f>
        <v/>
      </c>
    </row>
    <row r="24" spans="1:8" x14ac:dyDescent="0.3">
      <c r="A24">
        <v>4</v>
      </c>
      <c r="B24" s="20">
        <v>45294</v>
      </c>
      <c r="C24" t="s">
        <v>255</v>
      </c>
      <c r="E24" s="21" t="s">
        <v>41</v>
      </c>
      <c r="F24" s="11" t="str">
        <f>IF(E24="","",VLOOKUP(tdiario[[#This Row],[CUENTA]],tcuentas[],2,FALSE))</f>
        <v>CAJA MONEDA NACIONAL</v>
      </c>
      <c r="G24" s="5">
        <v>160000</v>
      </c>
    </row>
    <row r="25" spans="1:8" x14ac:dyDescent="0.3">
      <c r="E25" s="21" t="s">
        <v>242</v>
      </c>
      <c r="F25" s="11" t="str">
        <f>IF(E25="","",VLOOKUP(tdiario[[#This Row],[CUENTA]],tcuentas[],2,FALSE))</f>
        <v>GASTO IT</v>
      </c>
      <c r="G25" s="5">
        <f>G24*0.03</f>
        <v>4800</v>
      </c>
    </row>
    <row r="26" spans="1:8" x14ac:dyDescent="0.3">
      <c r="B26" s="20"/>
      <c r="E26" s="21" t="s">
        <v>200</v>
      </c>
      <c r="F26" s="11" t="str">
        <f>IF(E26="","",VLOOKUP(tdiario[[#This Row],[CUENTA]],tcuentas[],2,FALSE))</f>
        <v>VENTAS</v>
      </c>
      <c r="H26" s="5">
        <f>G24-H27</f>
        <v>139200</v>
      </c>
    </row>
    <row r="27" spans="1:8" x14ac:dyDescent="0.3">
      <c r="E27" s="21" t="s">
        <v>158</v>
      </c>
      <c r="F27" s="11" t="str">
        <f>IF(E27="","",VLOOKUP(tdiario[[#This Row],[CUENTA]],tcuentas[],2,FALSE))</f>
        <v xml:space="preserve">DEBITO FISCAL </v>
      </c>
      <c r="H27" s="5">
        <f>G24*0.13</f>
        <v>20800</v>
      </c>
    </row>
    <row r="28" spans="1:8" x14ac:dyDescent="0.3">
      <c r="E28" s="21" t="s">
        <v>156</v>
      </c>
      <c r="F28" s="11" t="str">
        <f>IF(E28="","",VLOOKUP(tdiario[[#This Row],[CUENTA]],tcuentas[],2,FALSE))</f>
        <v>IT ACUMULADO POR PAGAR</v>
      </c>
      <c r="H28" s="5">
        <v>4800</v>
      </c>
    </row>
    <row r="29" spans="1:8" x14ac:dyDescent="0.3">
      <c r="E29" s="21"/>
      <c r="F29" s="11" t="str">
        <f>IF(E29="","",VLOOKUP(tdiario[[#This Row],[CUENTA]],tcuentas[],2,FALSE))</f>
        <v/>
      </c>
    </row>
    <row r="30" spans="1:8" x14ac:dyDescent="0.3">
      <c r="A30">
        <v>5</v>
      </c>
      <c r="B30" s="20">
        <v>45295</v>
      </c>
      <c r="C30" t="s">
        <v>254</v>
      </c>
      <c r="E30" s="21" t="s">
        <v>57</v>
      </c>
      <c r="F30" s="11" t="str">
        <f>IF(E30="","",VLOOKUP(tdiario[[#This Row],[CUENTA]],tcuentas[],2,FALSE))</f>
        <v>CUENTAS POR COBRAR</v>
      </c>
      <c r="G30" s="5">
        <v>150000</v>
      </c>
    </row>
    <row r="31" spans="1:8" x14ac:dyDescent="0.3">
      <c r="E31" s="21" t="s">
        <v>242</v>
      </c>
      <c r="F31" s="11" t="str">
        <f>IF(E31="","",VLOOKUP(tdiario[[#This Row],[CUENTA]],tcuentas[],2,FALSE))</f>
        <v>GASTO IT</v>
      </c>
      <c r="G31" s="5">
        <f>G30*0.03</f>
        <v>4500</v>
      </c>
    </row>
    <row r="32" spans="1:8" x14ac:dyDescent="0.3">
      <c r="E32" s="21" t="s">
        <v>200</v>
      </c>
      <c r="F32" s="11" t="str">
        <f>IF(E32="","",VLOOKUP(tdiario[[#This Row],[CUENTA]],tcuentas[],2,FALSE))</f>
        <v>VENTAS</v>
      </c>
      <c r="H32" s="5">
        <f>G30-H33</f>
        <v>130500</v>
      </c>
    </row>
    <row r="33" spans="1:8" x14ac:dyDescent="0.3">
      <c r="E33" s="21" t="s">
        <v>158</v>
      </c>
      <c r="F33" s="11" t="str">
        <f>IF(E33="","",VLOOKUP(tdiario[[#This Row],[CUENTA]],tcuentas[],2,FALSE))</f>
        <v xml:space="preserve">DEBITO FISCAL </v>
      </c>
      <c r="H33" s="5">
        <f>G30*0.13</f>
        <v>19500</v>
      </c>
    </row>
    <row r="34" spans="1:8" x14ac:dyDescent="0.3">
      <c r="E34" s="21" t="s">
        <v>156</v>
      </c>
      <c r="F34" s="11" t="str">
        <f>IF(E34="","",VLOOKUP(tdiario[[#This Row],[CUENTA]],tcuentas[],2,FALSE))</f>
        <v>IT ACUMULADO POR PAGAR</v>
      </c>
      <c r="H34" s="5">
        <v>4500</v>
      </c>
    </row>
    <row r="35" spans="1:8" x14ac:dyDescent="0.3">
      <c r="E35" s="21"/>
      <c r="F35" s="11" t="str">
        <f>IF(E35="","",VLOOKUP(tdiario[[#This Row],[CUENTA]],tcuentas[],2,FALSE))</f>
        <v/>
      </c>
    </row>
    <row r="36" spans="1:8" x14ac:dyDescent="0.3">
      <c r="A36">
        <v>6</v>
      </c>
      <c r="B36" s="20">
        <v>45296</v>
      </c>
      <c r="C36" t="s">
        <v>256</v>
      </c>
      <c r="E36" s="21" t="s">
        <v>41</v>
      </c>
      <c r="F36" s="11" t="str">
        <f>IF(E36="","",VLOOKUP(tdiario[[#This Row],[CUENTA]],tcuentas[],2,FALSE))</f>
        <v>CAJA MONEDA NACIONAL</v>
      </c>
      <c r="G36" s="5">
        <v>12000</v>
      </c>
    </row>
    <row r="37" spans="1:8" x14ac:dyDescent="0.3">
      <c r="E37" s="21" t="s">
        <v>205</v>
      </c>
      <c r="F37" s="11" t="str">
        <f>IF(E37="","",VLOOKUP(tdiario[[#This Row],[CUENTA]],tcuentas[],2,FALSE))</f>
        <v>DEVOLUCION Y BONIFICACION SOBRE COMPRAS</v>
      </c>
      <c r="H37" s="5">
        <f>G36-H38</f>
        <v>10440</v>
      </c>
    </row>
    <row r="38" spans="1:8" x14ac:dyDescent="0.3">
      <c r="E38" s="21" t="s">
        <v>158</v>
      </c>
      <c r="F38" s="11" t="str">
        <f>IF(E38="","",VLOOKUP(tdiario[[#This Row],[CUENTA]],tcuentas[],2,FALSE))</f>
        <v xml:space="preserve">DEBITO FISCAL </v>
      </c>
      <c r="H38" s="5">
        <f>G36*0.13</f>
        <v>1560</v>
      </c>
    </row>
    <row r="39" spans="1:8" x14ac:dyDescent="0.3">
      <c r="E39" s="21"/>
      <c r="F39" s="11" t="str">
        <f>IF(E39="","",VLOOKUP(tdiario[[#This Row],[CUENTA]],tcuentas[],2,FALSE))</f>
        <v/>
      </c>
    </row>
    <row r="40" spans="1:8" x14ac:dyDescent="0.3">
      <c r="A40">
        <v>7</v>
      </c>
      <c r="B40" s="20">
        <v>45297</v>
      </c>
      <c r="C40" t="s">
        <v>257</v>
      </c>
      <c r="E40" s="21" t="s">
        <v>41</v>
      </c>
      <c r="F40" s="11" t="str">
        <f>IF(E40="","",VLOOKUP(tdiario[[#This Row],[CUENTA]],tcuentas[],2,FALSE))</f>
        <v>CAJA MONEDA NACIONAL</v>
      </c>
      <c r="G40" s="5">
        <v>240000</v>
      </c>
    </row>
    <row r="41" spans="1:8" x14ac:dyDescent="0.3">
      <c r="E41" s="21" t="s">
        <v>242</v>
      </c>
      <c r="F41" s="11" t="str">
        <f>IF(E41="","",VLOOKUP(tdiario[[#This Row],[CUENTA]],tcuentas[],2,FALSE))</f>
        <v>GASTO IT</v>
      </c>
      <c r="G41" s="5">
        <f>G40*0.03</f>
        <v>7200</v>
      </c>
    </row>
    <row r="42" spans="1:8" x14ac:dyDescent="0.3">
      <c r="E42" s="21" t="s">
        <v>200</v>
      </c>
      <c r="F42" s="11" t="str">
        <f>IF(E42="","",VLOOKUP(tdiario[[#This Row],[CUENTA]],tcuentas[],2,FALSE))</f>
        <v>VENTAS</v>
      </c>
      <c r="H42" s="5">
        <f>G40-H43</f>
        <v>208800</v>
      </c>
    </row>
    <row r="43" spans="1:8" x14ac:dyDescent="0.3">
      <c r="E43" s="21" t="s">
        <v>158</v>
      </c>
      <c r="F43" s="11" t="str">
        <f>IF(E43="","",VLOOKUP(tdiario[[#This Row],[CUENTA]],tcuentas[],2,FALSE))</f>
        <v xml:space="preserve">DEBITO FISCAL </v>
      </c>
      <c r="H43" s="5">
        <f>G40*0.13</f>
        <v>31200</v>
      </c>
    </row>
    <row r="44" spans="1:8" x14ac:dyDescent="0.3">
      <c r="E44" s="21" t="s">
        <v>156</v>
      </c>
      <c r="F44" s="11" t="str">
        <f>IF(E44="","",VLOOKUP(tdiario[[#This Row],[CUENTA]],tcuentas[],2,FALSE))</f>
        <v>IT ACUMULADO POR PAGAR</v>
      </c>
      <c r="H44" s="5">
        <v>7200</v>
      </c>
    </row>
    <row r="45" spans="1:8" x14ac:dyDescent="0.3">
      <c r="F45" s="11" t="str">
        <f>IF(E45="","",VLOOKUP(tdiario[[#This Row],[CUENTA]],tcuentas[],2,FALSE))</f>
        <v/>
      </c>
    </row>
    <row r="46" spans="1:8" x14ac:dyDescent="0.3">
      <c r="A46">
        <v>8</v>
      </c>
      <c r="B46" s="20">
        <v>45664</v>
      </c>
      <c r="C46" t="s">
        <v>258</v>
      </c>
      <c r="E46" s="21"/>
      <c r="F46" s="11" t="str">
        <f>IF(E46="","",VLOOKUP(tdiario[[#This Row],[CUENTA]],tcuentas[],2,FALSE))</f>
        <v/>
      </c>
    </row>
    <row r="47" spans="1:8" x14ac:dyDescent="0.3">
      <c r="E47" s="21"/>
      <c r="F47" s="11" t="str">
        <f>IF(E47="","",VLOOKUP(tdiario[[#This Row],[CUENTA]],tcuentas[],2,FALSE))</f>
        <v/>
      </c>
    </row>
    <row r="48" spans="1:8" x14ac:dyDescent="0.3">
      <c r="E48" s="21"/>
      <c r="F48" s="11" t="str">
        <f>IF(E48="","",VLOOKUP(tdiario[[#This Row],[CUENTA]],tcuentas[],2,FALSE))</f>
        <v/>
      </c>
    </row>
    <row r="49" spans="1:14" x14ac:dyDescent="0.3">
      <c r="E49" s="21"/>
      <c r="F49" s="11" t="str">
        <f>IF(E49="","",VLOOKUP(tdiario[[#This Row],[CUENTA]],tcuentas[],2,FALSE))</f>
        <v/>
      </c>
    </row>
    <row r="50" spans="1:14" x14ac:dyDescent="0.3">
      <c r="E50" s="21"/>
      <c r="F50" s="11" t="str">
        <f>IF(E50="","",VLOOKUP(tdiario[[#This Row],[CUENTA]],tcuentas[],2,FALSE))</f>
        <v/>
      </c>
    </row>
    <row r="51" spans="1:14" x14ac:dyDescent="0.3">
      <c r="F51" s="11" t="str">
        <f>IF(E51="","",VLOOKUP(tdiario[[#This Row],[CUENTA]],tcuentas[],2,FALSE))</f>
        <v/>
      </c>
    </row>
    <row r="52" spans="1:14" x14ac:dyDescent="0.3">
      <c r="A52">
        <v>8</v>
      </c>
      <c r="B52" s="20">
        <v>45664</v>
      </c>
      <c r="C52" t="s">
        <v>258</v>
      </c>
      <c r="E52" s="21" t="s">
        <v>41</v>
      </c>
      <c r="F52" s="11" t="str">
        <f>IF(E52="","",VLOOKUP(tdiario[[#This Row],[CUENTA]],tcuentas[],2,FALSE))</f>
        <v>CAJA MONEDA NACIONAL</v>
      </c>
      <c r="G52" s="30">
        <v>28500</v>
      </c>
      <c r="J52" s="5">
        <v>30000</v>
      </c>
      <c r="K52" s="5">
        <v>0.05</v>
      </c>
      <c r="L52" s="5">
        <f>J52*K52</f>
        <v>1500</v>
      </c>
      <c r="M52" s="5"/>
    </row>
    <row r="53" spans="1:14" x14ac:dyDescent="0.3">
      <c r="E53" s="59">
        <v>6.3</v>
      </c>
      <c r="F53" s="11" t="str">
        <f>IF(E53="","",VLOOKUP(tdiario[[#This Row],[CUENTA]],tcuentas[],2,FALSE))</f>
        <v>DESCUENTOS SOBRE VENTAS</v>
      </c>
      <c r="G53" s="29">
        <v>1305</v>
      </c>
      <c r="J53" s="29">
        <v>1500</v>
      </c>
      <c r="K53" s="5">
        <v>0.13</v>
      </c>
      <c r="L53" s="5">
        <f>J53*K53</f>
        <v>195</v>
      </c>
      <c r="M53" s="5" t="s">
        <v>259</v>
      </c>
      <c r="N53" s="5">
        <f>J53-L53</f>
        <v>1305</v>
      </c>
    </row>
    <row r="54" spans="1:14" x14ac:dyDescent="0.3">
      <c r="E54" s="21" t="s">
        <v>67</v>
      </c>
      <c r="F54" s="11" t="str">
        <f>IF(E54="","",VLOOKUP(tdiario[[#This Row],[CUENTA]],tcuentas[],2,FALSE))</f>
        <v>CREDITO FISCAL</v>
      </c>
      <c r="G54" s="29">
        <v>195</v>
      </c>
      <c r="J54" s="30">
        <f>J52-J53</f>
        <v>28500</v>
      </c>
      <c r="K54" s="30" t="s">
        <v>260</v>
      </c>
      <c r="L54" s="5"/>
      <c r="M54" s="5"/>
    </row>
    <row r="55" spans="1:14" x14ac:dyDescent="0.3">
      <c r="E55" s="21" t="s">
        <v>242</v>
      </c>
      <c r="F55" s="11" t="str">
        <f>IF(E55="","",VLOOKUP(tdiario[[#This Row],[CUENTA]],tcuentas[],2,FALSE))</f>
        <v>GASTO IT</v>
      </c>
      <c r="G55" s="5">
        <f>J56*0.03</f>
        <v>900</v>
      </c>
      <c r="J55" s="5"/>
      <c r="K55" s="5"/>
      <c r="L55" s="5"/>
      <c r="M55" s="5"/>
    </row>
    <row r="56" spans="1:14" x14ac:dyDescent="0.3">
      <c r="E56" s="21" t="s">
        <v>200</v>
      </c>
      <c r="F56" s="11" t="str">
        <f>IF(E56="","",VLOOKUP(tdiario[[#This Row],[CUENTA]],tcuentas[],2,FALSE))</f>
        <v>VENTAS</v>
      </c>
      <c r="H56" s="5">
        <f>J56*0.87</f>
        <v>26100</v>
      </c>
      <c r="J56" s="31">
        <v>30000</v>
      </c>
      <c r="K56" s="32" t="s">
        <v>261</v>
      </c>
      <c r="L56" s="31">
        <f>J56*0.05</f>
        <v>1500</v>
      </c>
      <c r="M56" s="31" t="s">
        <v>262</v>
      </c>
    </row>
    <row r="57" spans="1:14" x14ac:dyDescent="0.3">
      <c r="E57" s="21" t="s">
        <v>158</v>
      </c>
      <c r="F57" s="11" t="str">
        <f>IF(E57="","",VLOOKUP(tdiario[[#This Row],[CUENTA]],tcuentas[],2,FALSE))</f>
        <v xml:space="preserve">DEBITO FISCAL </v>
      </c>
      <c r="H57" s="5">
        <f>J56*0.13</f>
        <v>3900</v>
      </c>
      <c r="J57" s="31"/>
      <c r="K57" s="31"/>
      <c r="L57" s="31">
        <f>L56*0.13</f>
        <v>195</v>
      </c>
      <c r="M57" s="31" t="s">
        <v>263</v>
      </c>
    </row>
    <row r="58" spans="1:14" x14ac:dyDescent="0.3">
      <c r="E58" s="21" t="s">
        <v>156</v>
      </c>
      <c r="F58" s="11" t="str">
        <f>IF(E58="","",VLOOKUP(tdiario[[#This Row],[CUENTA]],tcuentas[],2,FALSE))</f>
        <v>IT ACUMULADO POR PAGAR</v>
      </c>
      <c r="H58" s="5">
        <v>900</v>
      </c>
      <c r="J58" s="31">
        <f>J56-L56</f>
        <v>28500</v>
      </c>
      <c r="K58" s="31"/>
      <c r="L58" s="31">
        <f>L56-L57</f>
        <v>1305</v>
      </c>
      <c r="M58" s="31" t="s">
        <v>264</v>
      </c>
    </row>
    <row r="59" spans="1:14" x14ac:dyDescent="0.3">
      <c r="F59" s="11" t="str">
        <f>IF(E59="","",VLOOKUP(tdiario[[#This Row],[CUENTA]],tcuentas[],2,FALSE))</f>
        <v/>
      </c>
      <c r="J59" s="33"/>
      <c r="K59" s="33"/>
      <c r="L59" s="33"/>
      <c r="M59" s="33"/>
    </row>
    <row r="60" spans="1:14" x14ac:dyDescent="0.3">
      <c r="A60">
        <v>9</v>
      </c>
      <c r="B60" s="20">
        <v>45299</v>
      </c>
      <c r="C60" t="s">
        <v>268</v>
      </c>
      <c r="E60" s="21" t="s">
        <v>41</v>
      </c>
      <c r="F60" s="11" t="str">
        <f>IF(E60="","",VLOOKUP(tdiario[[#This Row],[CUENTA]],tcuentas[],2,FALSE))</f>
        <v>CAJA MONEDA NACIONAL</v>
      </c>
      <c r="G60" s="5">
        <v>75000</v>
      </c>
      <c r="J60" s="31">
        <v>30000</v>
      </c>
      <c r="K60" s="31">
        <f>J60*0.03</f>
        <v>900</v>
      </c>
      <c r="L60" s="31" t="s">
        <v>265</v>
      </c>
      <c r="M60" s="31"/>
    </row>
    <row r="61" spans="1:14" x14ac:dyDescent="0.3">
      <c r="E61" s="21" t="s">
        <v>57</v>
      </c>
      <c r="F61" s="11" t="str">
        <f>IF(E61="","",VLOOKUP(tdiario[[#This Row],[CUENTA]],tcuentas[],2,FALSE))</f>
        <v>CUENTAS POR COBRAR</v>
      </c>
      <c r="H61" s="5">
        <v>75000</v>
      </c>
      <c r="J61" s="31"/>
      <c r="K61" s="31">
        <f>J60*0.13</f>
        <v>3900</v>
      </c>
      <c r="L61" s="31" t="s">
        <v>266</v>
      </c>
      <c r="M61" s="31"/>
    </row>
    <row r="62" spans="1:14" x14ac:dyDescent="0.3">
      <c r="F62" s="11" t="str">
        <f>IF(E62="","",VLOOKUP(tdiario[[#This Row],[CUENTA]],tcuentas[],2,FALSE))</f>
        <v/>
      </c>
      <c r="J62" s="31"/>
      <c r="K62" s="31">
        <f>J60-K61</f>
        <v>26100</v>
      </c>
      <c r="L62" s="31" t="s">
        <v>267</v>
      </c>
      <c r="M62" s="31"/>
    </row>
    <row r="63" spans="1:14" x14ac:dyDescent="0.3">
      <c r="A63">
        <v>10</v>
      </c>
      <c r="B63" s="20">
        <v>45300</v>
      </c>
      <c r="C63" t="s">
        <v>269</v>
      </c>
      <c r="E63" s="21" t="s">
        <v>90</v>
      </c>
      <c r="F63" s="11" t="str">
        <f>IF(E63="","",VLOOKUP(tdiario[[#This Row],[CUENTA]],tcuentas[],2,FALSE))</f>
        <v>TERRENOS</v>
      </c>
      <c r="G63" s="5">
        <v>10000</v>
      </c>
      <c r="J63" s="5"/>
      <c r="K63" s="5"/>
      <c r="L63" s="5"/>
      <c r="M63" s="5"/>
    </row>
    <row r="64" spans="1:14" x14ac:dyDescent="0.3">
      <c r="E64" s="21" t="s">
        <v>98</v>
      </c>
      <c r="F64" s="11" t="str">
        <f>IF(E64="","",VLOOKUP(tdiario[[#This Row],[CUENTA]],tcuentas[],2,FALSE))</f>
        <v>EQUIPO DE COMPUTACION</v>
      </c>
      <c r="G64" s="5">
        <f>13000*0.87</f>
        <v>11310</v>
      </c>
    </row>
    <row r="65" spans="1:14" x14ac:dyDescent="0.3">
      <c r="E65" s="21" t="s">
        <v>67</v>
      </c>
      <c r="F65" s="11" t="str">
        <f>IF(E65="","",VLOOKUP(tdiario[[#This Row],[CUENTA]],tcuentas[],2,FALSE))</f>
        <v>CREDITO FISCAL</v>
      </c>
      <c r="G65" s="5">
        <f>13000*0.13</f>
        <v>1690</v>
      </c>
    </row>
    <row r="66" spans="1:14" x14ac:dyDescent="0.3">
      <c r="E66" s="21" t="s">
        <v>41</v>
      </c>
      <c r="F66" s="11" t="str">
        <f>IF(E66="","",VLOOKUP(tdiario[[#This Row],[CUENTA]],tcuentas[],2,FALSE))</f>
        <v>CAJA MONEDA NACIONAL</v>
      </c>
      <c r="H66" s="5">
        <v>23000</v>
      </c>
    </row>
    <row r="67" spans="1:14" x14ac:dyDescent="0.3">
      <c r="F67" s="11" t="str">
        <f>IF(E67="","",VLOOKUP(tdiario[[#This Row],[CUENTA]],tcuentas[],2,FALSE))</f>
        <v/>
      </c>
    </row>
    <row r="68" spans="1:14" x14ac:dyDescent="0.3">
      <c r="A68">
        <v>11</v>
      </c>
      <c r="B68" s="20">
        <v>45301</v>
      </c>
      <c r="C68" t="s">
        <v>252</v>
      </c>
      <c r="E68" s="21" t="s">
        <v>80</v>
      </c>
      <c r="F68" s="11" t="str">
        <f>IF(E68="","",VLOOKUP(tdiario[[#This Row],[CUENTA]],tcuentas[],2,FALSE))</f>
        <v>COMPRAS</v>
      </c>
      <c r="G68" s="5">
        <f>H70-G69</f>
        <v>43500</v>
      </c>
    </row>
    <row r="69" spans="1:14" x14ac:dyDescent="0.3">
      <c r="E69" s="21" t="s">
        <v>67</v>
      </c>
      <c r="F69" s="11" t="str">
        <f>IF(E69="","",VLOOKUP(tdiario[[#This Row],[CUENTA]],tcuentas[],2,FALSE))</f>
        <v>CREDITO FISCAL</v>
      </c>
      <c r="G69" s="5">
        <f>H70*0.13</f>
        <v>6500</v>
      </c>
    </row>
    <row r="70" spans="1:14" x14ac:dyDescent="0.3">
      <c r="E70" s="21" t="s">
        <v>41</v>
      </c>
      <c r="F70" s="11" t="str">
        <f>IF(E70="","",VLOOKUP(tdiario[[#This Row],[CUENTA]],tcuentas[],2,FALSE))</f>
        <v>CAJA MONEDA NACIONAL</v>
      </c>
      <c r="H70" s="5">
        <v>50000</v>
      </c>
    </row>
    <row r="71" spans="1:14" x14ac:dyDescent="0.3">
      <c r="F71" s="11" t="str">
        <f>IF(E71="","",VLOOKUP(tdiario[[#This Row],[CUENTA]],tcuentas[],2,FALSE))</f>
        <v/>
      </c>
      <c r="J71" s="5"/>
      <c r="K71" s="5"/>
      <c r="L71" s="5"/>
      <c r="M71" s="5"/>
    </row>
    <row r="72" spans="1:14" x14ac:dyDescent="0.3">
      <c r="A72">
        <v>12</v>
      </c>
      <c r="B72" s="20">
        <v>45302</v>
      </c>
      <c r="C72" t="s">
        <v>270</v>
      </c>
      <c r="E72" s="21" t="s">
        <v>80</v>
      </c>
      <c r="F72" s="11" t="str">
        <f>IF(E72="","",VLOOKUP(tdiario[[#This Row],[CUENTA]],tcuentas[],2,FALSE))</f>
        <v>COMPRAS</v>
      </c>
      <c r="G72" s="5">
        <f>J72-G73</f>
        <v>68730</v>
      </c>
      <c r="J72" s="5">
        <v>79000</v>
      </c>
      <c r="K72" s="1" t="s">
        <v>271</v>
      </c>
      <c r="L72" s="5">
        <f>J72*0.02</f>
        <v>1580</v>
      </c>
      <c r="M72" s="5">
        <f>L72*0.13</f>
        <v>205.4</v>
      </c>
      <c r="N72" t="s">
        <v>272</v>
      </c>
    </row>
    <row r="73" spans="1:14" x14ac:dyDescent="0.3">
      <c r="E73" s="21" t="s">
        <v>67</v>
      </c>
      <c r="F73" s="11" t="str">
        <f>IF(E73="","",VLOOKUP(tdiario[[#This Row],[CUENTA]],tcuentas[],2,FALSE))</f>
        <v>CREDITO FISCAL</v>
      </c>
      <c r="G73" s="5">
        <f>J72*0.13</f>
        <v>10270</v>
      </c>
      <c r="J73" s="5">
        <f>J72-L72</f>
        <v>77420</v>
      </c>
      <c r="K73" s="5"/>
      <c r="L73" s="5"/>
      <c r="M73" s="5">
        <f>L72-M72</f>
        <v>1374.6</v>
      </c>
      <c r="N73" t="s">
        <v>273</v>
      </c>
    </row>
    <row r="74" spans="1:14" x14ac:dyDescent="0.3">
      <c r="E74" s="21" t="s">
        <v>41</v>
      </c>
      <c r="F74" s="11" t="str">
        <f>IF(E74="","",VLOOKUP(tdiario[[#This Row],[CUENTA]],tcuentas[],2,FALSE))</f>
        <v>CAJA MONEDA NACIONAL</v>
      </c>
      <c r="H74" s="5">
        <v>77420</v>
      </c>
      <c r="J74" s="5"/>
      <c r="K74" s="5"/>
      <c r="L74" s="5"/>
      <c r="M74" s="5"/>
    </row>
    <row r="75" spans="1:14" x14ac:dyDescent="0.3">
      <c r="E75" s="21" t="s">
        <v>203</v>
      </c>
      <c r="F75" s="11" t="str">
        <f>IF(E75="","",VLOOKUP(tdiario[[#This Row],[CUENTA]],tcuentas[],2,FALSE))</f>
        <v>DESCUENTOS SOBRE COMPRAS</v>
      </c>
      <c r="H75" s="5">
        <v>1374.6</v>
      </c>
      <c r="J75" s="5"/>
      <c r="K75" s="5"/>
      <c r="L75" s="5"/>
      <c r="M75" s="5"/>
    </row>
    <row r="76" spans="1:14" x14ac:dyDescent="0.3">
      <c r="E76" s="21" t="s">
        <v>158</v>
      </c>
      <c r="F76" s="11" t="str">
        <f>IF(E76="","",VLOOKUP(tdiario[[#This Row],[CUENTA]],tcuentas[],2,FALSE))</f>
        <v xml:space="preserve">DEBITO FISCAL </v>
      </c>
      <c r="H76" s="5">
        <v>205.4</v>
      </c>
      <c r="J76" s="5"/>
      <c r="K76" s="5"/>
      <c r="L76" s="5"/>
      <c r="M76" s="5"/>
    </row>
    <row r="77" spans="1:14" x14ac:dyDescent="0.3">
      <c r="F77" s="11" t="str">
        <f>IF(E77="","",VLOOKUP(tdiario[[#This Row],[CUENTA]],tcuentas[],2,FALSE))</f>
        <v/>
      </c>
      <c r="K77" s="34">
        <v>0.7</v>
      </c>
      <c r="L77" s="35" t="s">
        <v>275</v>
      </c>
    </row>
    <row r="78" spans="1:14" x14ac:dyDescent="0.3">
      <c r="A78">
        <v>13</v>
      </c>
      <c r="B78" s="20">
        <v>45303</v>
      </c>
      <c r="C78" t="s">
        <v>274</v>
      </c>
      <c r="E78" s="27" t="s">
        <v>250</v>
      </c>
      <c r="F78" s="11" t="str">
        <f>IF(E78="","",VLOOKUP(tdiario[[#This Row],[CUENTA]],tcuentas[],2,FALSE))</f>
        <v>COMBUSTIBLES Y LUBRICANTES</v>
      </c>
      <c r="G78" s="5">
        <f>H80-G79</f>
        <v>1136.25</v>
      </c>
      <c r="J78" s="5">
        <v>1250</v>
      </c>
      <c r="K78" s="5">
        <f>J78*0.7</f>
        <v>875</v>
      </c>
      <c r="L78" s="5">
        <f>K78*0.13</f>
        <v>113.75</v>
      </c>
      <c r="M78" s="5"/>
    </row>
    <row r="79" spans="1:14" x14ac:dyDescent="0.3">
      <c r="E79" s="21" t="s">
        <v>67</v>
      </c>
      <c r="F79" s="11" t="str">
        <f>IF(E79="","",VLOOKUP(tdiario[[#This Row],[CUENTA]],tcuentas[],2,FALSE))</f>
        <v>CREDITO FISCAL</v>
      </c>
      <c r="G79" s="5">
        <v>113.75</v>
      </c>
      <c r="J79" s="5"/>
      <c r="K79" s="5"/>
      <c r="L79" s="5"/>
      <c r="M79" s="5"/>
    </row>
    <row r="80" spans="1:14" x14ac:dyDescent="0.3">
      <c r="E80" s="21" t="s">
        <v>121</v>
      </c>
      <c r="F80" s="11" t="str">
        <f>IF(E80="","",VLOOKUP(tdiario[[#This Row],[CUENTA]],tcuentas[],2,FALSE))</f>
        <v>CUENTAS POR PAGAR M/N</v>
      </c>
      <c r="H80" s="5">
        <v>1250</v>
      </c>
      <c r="J80" s="5"/>
      <c r="K80" s="5"/>
      <c r="L80" s="5"/>
      <c r="M80" s="5"/>
    </row>
    <row r="81" spans="1:13" x14ac:dyDescent="0.3">
      <c r="F81" s="11" t="str">
        <f>IF(E81="","",VLOOKUP(tdiario[[#This Row],[CUENTA]],tcuentas[],2,FALSE))</f>
        <v/>
      </c>
      <c r="J81" s="5"/>
      <c r="K81" s="5"/>
      <c r="L81" s="5"/>
      <c r="M81" s="5"/>
    </row>
    <row r="82" spans="1:13" x14ac:dyDescent="0.3">
      <c r="A82">
        <v>14</v>
      </c>
      <c r="B82" s="20">
        <v>45305</v>
      </c>
      <c r="C82" t="s">
        <v>276</v>
      </c>
      <c r="E82" s="59">
        <v>6.2</v>
      </c>
      <c r="F82" s="11" t="str">
        <f>IF(E82="","",VLOOKUP(tdiario[[#This Row],[CUENTA]],tcuentas[],2,FALSE))</f>
        <v>DEVOLUCION Y BONIFICACION SOBRE VENTAS</v>
      </c>
      <c r="G82" s="5">
        <f>H84-G83</f>
        <v>10440</v>
      </c>
      <c r="J82" s="5"/>
      <c r="K82" s="5"/>
      <c r="L82" s="5"/>
      <c r="M82" s="5"/>
    </row>
    <row r="83" spans="1:13" x14ac:dyDescent="0.3">
      <c r="E83" s="21" t="s">
        <v>67</v>
      </c>
      <c r="F83" s="11" t="str">
        <f>IF(E83="","",VLOOKUP(tdiario[[#This Row],[CUENTA]],tcuentas[],2,FALSE))</f>
        <v>CREDITO FISCAL</v>
      </c>
      <c r="G83" s="5">
        <f>H84*0.13</f>
        <v>1560</v>
      </c>
    </row>
    <row r="84" spans="1:13" x14ac:dyDescent="0.3">
      <c r="E84" s="21" t="s">
        <v>41</v>
      </c>
      <c r="F84" s="11" t="str">
        <f>IF(E84="","",VLOOKUP(tdiario[[#This Row],[CUENTA]],tcuentas[],2,FALSE))</f>
        <v>CAJA MONEDA NACIONAL</v>
      </c>
      <c r="H84" s="5">
        <v>12000</v>
      </c>
    </row>
    <row r="85" spans="1:13" x14ac:dyDescent="0.3">
      <c r="F85" s="11" t="str">
        <f>IF(E85="","",VLOOKUP(tdiario[[#This Row],[CUENTA]],tcuentas[],2,FALSE))</f>
        <v/>
      </c>
    </row>
    <row r="86" spans="1:13" x14ac:dyDescent="0.3">
      <c r="A86">
        <v>15</v>
      </c>
      <c r="B86" s="20">
        <v>45307</v>
      </c>
      <c r="C86" t="s">
        <v>277</v>
      </c>
      <c r="E86" s="21" t="s">
        <v>80</v>
      </c>
      <c r="F86" s="11" t="str">
        <f>IF(E86="","",VLOOKUP(tdiario[[#This Row],[CUENTA]],tcuentas[],2,FALSE))</f>
        <v>COMPRAS</v>
      </c>
      <c r="G86" s="5">
        <f>70000*0.87</f>
        <v>60900</v>
      </c>
      <c r="I86">
        <v>70000</v>
      </c>
    </row>
    <row r="87" spans="1:13" x14ac:dyDescent="0.3">
      <c r="E87" s="21" t="s">
        <v>67</v>
      </c>
      <c r="F87" s="11" t="str">
        <f>IF(E87="","",VLOOKUP(tdiario[[#This Row],[CUENTA]],tcuentas[],2,FALSE))</f>
        <v>CREDITO FISCAL</v>
      </c>
      <c r="G87" s="5">
        <v>9100</v>
      </c>
    </row>
    <row r="88" spans="1:13" x14ac:dyDescent="0.3">
      <c r="E88" s="21" t="s">
        <v>41</v>
      </c>
      <c r="F88" s="11" t="str">
        <f>IF(E88="","",VLOOKUP(tdiario[[#This Row],[CUENTA]],tcuentas[],2,FALSE))</f>
        <v>CAJA MONEDA NACIONAL</v>
      </c>
      <c r="H88" s="5">
        <f>70000*0.3</f>
        <v>21000</v>
      </c>
    </row>
    <row r="89" spans="1:13" x14ac:dyDescent="0.3">
      <c r="E89" s="21" t="s">
        <v>121</v>
      </c>
      <c r="F89" s="11" t="str">
        <f>IF(E89="","",VLOOKUP(tdiario[[#This Row],[CUENTA]],tcuentas[],2,FALSE))</f>
        <v>CUENTAS POR PAGAR M/N</v>
      </c>
      <c r="H89" s="5">
        <f>70000-H88</f>
        <v>49000</v>
      </c>
    </row>
    <row r="90" spans="1:13" x14ac:dyDescent="0.3">
      <c r="F90" s="11" t="str">
        <f>IF(E90="","",VLOOKUP(tdiario[[#This Row],[CUENTA]],tcuentas[],2,FALSE))</f>
        <v/>
      </c>
    </row>
    <row r="91" spans="1:13" x14ac:dyDescent="0.3">
      <c r="A91">
        <v>16</v>
      </c>
      <c r="B91" s="20">
        <v>45308</v>
      </c>
      <c r="C91" t="s">
        <v>278</v>
      </c>
      <c r="E91" s="21" t="s">
        <v>121</v>
      </c>
      <c r="F91" s="11" t="str">
        <f>IF(E91="","",VLOOKUP(tdiario[[#This Row],[CUENTA]],tcuentas[],2,FALSE))</f>
        <v>CUENTAS POR PAGAR M/N</v>
      </c>
      <c r="G91" s="5">
        <v>1250</v>
      </c>
    </row>
    <row r="92" spans="1:13" x14ac:dyDescent="0.3">
      <c r="E92" s="21" t="s">
        <v>41</v>
      </c>
      <c r="F92" s="11" t="str">
        <f>IF(E92="","",VLOOKUP(tdiario[[#This Row],[CUENTA]],tcuentas[],2,FALSE))</f>
        <v>CAJA MONEDA NACIONAL</v>
      </c>
      <c r="H92" s="5">
        <v>1250</v>
      </c>
    </row>
    <row r="93" spans="1:13" x14ac:dyDescent="0.3">
      <c r="F93" s="11" t="str">
        <f>IF(E93="","",VLOOKUP(tdiario[[#This Row],[CUENTA]],tcuentas[],2,FALSE))</f>
        <v/>
      </c>
    </row>
    <row r="94" spans="1:13" x14ac:dyDescent="0.3">
      <c r="A94">
        <v>17</v>
      </c>
      <c r="B94" s="20">
        <v>45310</v>
      </c>
      <c r="C94" t="s">
        <v>279</v>
      </c>
      <c r="E94" s="21" t="s">
        <v>281</v>
      </c>
      <c r="F94" s="11" t="str">
        <f>IF(E94="","",VLOOKUP(tdiario[[#This Row],[CUENTA]],tcuentas[],2,FALSE))</f>
        <v>SUELDOS Y SALARIOS</v>
      </c>
      <c r="G94" s="5">
        <v>50000</v>
      </c>
    </row>
    <row r="95" spans="1:13" x14ac:dyDescent="0.3">
      <c r="E95" s="21" t="s">
        <v>41</v>
      </c>
      <c r="F95" s="11" t="str">
        <f>IF(E95="","",VLOOKUP(tdiario[[#This Row],[CUENTA]],tcuentas[],2,FALSE))</f>
        <v>CAJA MONEDA NACIONAL</v>
      </c>
      <c r="H95" s="5">
        <v>50000</v>
      </c>
    </row>
    <row r="96" spans="1:13" x14ac:dyDescent="0.3">
      <c r="F96" s="11" t="str">
        <f>IF(E96="","",VLOOKUP(tdiario[[#This Row],[CUENTA]],tcuentas[],2,FALSE))</f>
        <v/>
      </c>
    </row>
    <row r="97" spans="1:13" x14ac:dyDescent="0.3">
      <c r="A97">
        <v>18</v>
      </c>
      <c r="B97" s="20">
        <v>45311</v>
      </c>
      <c r="C97" t="s">
        <v>282</v>
      </c>
      <c r="E97" s="21" t="s">
        <v>41</v>
      </c>
      <c r="F97" s="11" t="str">
        <f>IF(E97="","",VLOOKUP(tdiario[[#This Row],[CUENTA]],tcuentas[],2,FALSE))</f>
        <v>CAJA MONEDA NACIONAL</v>
      </c>
      <c r="G97" s="5">
        <v>48500</v>
      </c>
      <c r="J97" s="38" t="s">
        <v>283</v>
      </c>
      <c r="K97" s="39">
        <v>0.03</v>
      </c>
      <c r="L97" s="38" t="s">
        <v>259</v>
      </c>
      <c r="M97" s="38" t="s">
        <v>284</v>
      </c>
    </row>
    <row r="98" spans="1:13" x14ac:dyDescent="0.3">
      <c r="E98" s="59">
        <v>6.3</v>
      </c>
      <c r="F98" s="11" t="str">
        <f>IF(E98="","",VLOOKUP(tdiario[[#This Row],[CUENTA]],tcuentas[],2,FALSE))</f>
        <v>DESCUENTOS SOBRE VENTAS</v>
      </c>
      <c r="G98" s="5">
        <v>1305</v>
      </c>
      <c r="I98" s="5"/>
      <c r="J98" s="5">
        <v>50000</v>
      </c>
      <c r="K98" s="36">
        <f>J98*0.03</f>
        <v>1500</v>
      </c>
      <c r="L98" s="5">
        <f>K98*0.13</f>
        <v>195</v>
      </c>
      <c r="M98" s="5">
        <f>K98-L98</f>
        <v>1305</v>
      </c>
    </row>
    <row r="99" spans="1:13" x14ac:dyDescent="0.3">
      <c r="E99" s="21" t="s">
        <v>67</v>
      </c>
      <c r="F99" s="11" t="str">
        <f>IF(E99="","",VLOOKUP(tdiario[[#This Row],[CUENTA]],tcuentas[],2,FALSE))</f>
        <v>CREDITO FISCAL</v>
      </c>
      <c r="G99" s="5">
        <v>195</v>
      </c>
      <c r="I99" s="5"/>
      <c r="J99" s="5">
        <f>J98-K98</f>
        <v>48500</v>
      </c>
      <c r="K99" s="5" t="s">
        <v>260</v>
      </c>
      <c r="L99" s="5"/>
      <c r="M99" s="5"/>
    </row>
    <row r="100" spans="1:13" x14ac:dyDescent="0.3">
      <c r="E100" s="21" t="s">
        <v>242</v>
      </c>
      <c r="F100" s="11" t="str">
        <f>IF(E100="","",VLOOKUP(tdiario[[#This Row],[CUENTA]],tcuentas[],2,FALSE))</f>
        <v>GASTO IT</v>
      </c>
      <c r="G100" s="5">
        <v>1500</v>
      </c>
      <c r="I100" s="5"/>
      <c r="J100" s="5"/>
      <c r="K100" s="37" t="s">
        <v>285</v>
      </c>
      <c r="L100" s="37" t="s">
        <v>272</v>
      </c>
      <c r="M100" s="37" t="s">
        <v>286</v>
      </c>
    </row>
    <row r="101" spans="1:13" x14ac:dyDescent="0.3">
      <c r="E101" s="21" t="s">
        <v>200</v>
      </c>
      <c r="F101" s="11" t="str">
        <f>IF(E101="","",VLOOKUP(tdiario[[#This Row],[CUENTA]],tcuentas[],2,FALSE))</f>
        <v>VENTAS</v>
      </c>
      <c r="H101" s="5">
        <f>J101-L101</f>
        <v>43500</v>
      </c>
      <c r="I101" s="5"/>
      <c r="J101" s="5">
        <v>50000</v>
      </c>
      <c r="K101" s="5">
        <f>J101*0.03</f>
        <v>1500</v>
      </c>
      <c r="L101" s="5">
        <f>J101*0.13</f>
        <v>6500</v>
      </c>
      <c r="M101" s="5">
        <f>J101-L101</f>
        <v>43500</v>
      </c>
    </row>
    <row r="102" spans="1:13" x14ac:dyDescent="0.3">
      <c r="E102" s="21" t="s">
        <v>158</v>
      </c>
      <c r="F102" s="11" t="str">
        <f>IF(E102="","",VLOOKUP(tdiario[[#This Row],[CUENTA]],tcuentas[],2,FALSE))</f>
        <v xml:space="preserve">DEBITO FISCAL </v>
      </c>
      <c r="H102" s="5">
        <v>6500</v>
      </c>
      <c r="I102" s="5"/>
      <c r="J102" s="5"/>
      <c r="K102" s="5"/>
      <c r="L102" s="5"/>
      <c r="M102" s="5"/>
    </row>
    <row r="103" spans="1:13" x14ac:dyDescent="0.3">
      <c r="E103" s="21" t="s">
        <v>156</v>
      </c>
      <c r="F103" s="11" t="str">
        <f>IF(E103="","",VLOOKUP(tdiario[[#This Row],[CUENTA]],tcuentas[],2,FALSE))</f>
        <v>IT ACUMULADO POR PAGAR</v>
      </c>
      <c r="H103" s="5">
        <v>1500</v>
      </c>
      <c r="I103" s="5"/>
      <c r="J103" s="5"/>
      <c r="K103" s="5"/>
      <c r="L103" s="5"/>
      <c r="M103" s="5"/>
    </row>
    <row r="104" spans="1:13" x14ac:dyDescent="0.3">
      <c r="F104" s="11" t="str">
        <f>IF(E104="","",VLOOKUP(tdiario[[#This Row],[CUENTA]],tcuentas[],2,FALSE))</f>
        <v/>
      </c>
      <c r="I104" s="5"/>
      <c r="J104" s="5"/>
      <c r="K104" s="5"/>
      <c r="L104" s="5"/>
      <c r="M104" s="5"/>
    </row>
    <row r="105" spans="1:13" x14ac:dyDescent="0.3">
      <c r="A105">
        <v>19</v>
      </c>
      <c r="B105" s="20">
        <v>45316</v>
      </c>
      <c r="C105" t="s">
        <v>287</v>
      </c>
      <c r="E105" s="21" t="s">
        <v>41</v>
      </c>
      <c r="F105" s="11" t="str">
        <f>IF(E105="","",VLOOKUP(tdiario[[#This Row],[CUENTA]],tcuentas[],2,FALSE))</f>
        <v>CAJA MONEDA NACIONAL</v>
      </c>
      <c r="G105" s="5">
        <v>15000</v>
      </c>
      <c r="I105" s="5"/>
      <c r="J105" s="5"/>
      <c r="K105" s="5"/>
      <c r="L105" s="5"/>
      <c r="M105" s="5"/>
    </row>
    <row r="106" spans="1:13" x14ac:dyDescent="0.3">
      <c r="E106" s="21" t="s">
        <v>205</v>
      </c>
      <c r="F106" s="11" t="str">
        <f>IF(E106="","",VLOOKUP(tdiario[[#This Row],[CUENTA]],tcuentas[],2,FALSE))</f>
        <v>DEVOLUCION Y BONIFICACION SOBRE COMPRAS</v>
      </c>
      <c r="H106" s="5">
        <f>G105-H107</f>
        <v>13050</v>
      </c>
      <c r="I106" s="5"/>
      <c r="J106" s="5"/>
      <c r="K106" s="5"/>
      <c r="L106" s="5"/>
      <c r="M106" s="5"/>
    </row>
    <row r="107" spans="1:13" x14ac:dyDescent="0.3">
      <c r="E107" s="21" t="s">
        <v>158</v>
      </c>
      <c r="F107" s="11" t="str">
        <f>IF(E107="","",VLOOKUP(tdiario[[#This Row],[CUENTA]],tcuentas[],2,FALSE))</f>
        <v xml:space="preserve">DEBITO FISCAL </v>
      </c>
      <c r="H107" s="5">
        <f>G105*0.13</f>
        <v>1950</v>
      </c>
    </row>
    <row r="108" spans="1:13" x14ac:dyDescent="0.3">
      <c r="F108" s="11" t="str">
        <f>IF(E108="","",VLOOKUP(tdiario[[#This Row],[CUENTA]],tcuentas[],2,FALSE))</f>
        <v/>
      </c>
    </row>
    <row r="109" spans="1:13" x14ac:dyDescent="0.3">
      <c r="A109">
        <v>20</v>
      </c>
      <c r="B109" s="20">
        <v>45322</v>
      </c>
      <c r="C109" t="s">
        <v>288</v>
      </c>
      <c r="E109" s="21" t="s">
        <v>158</v>
      </c>
      <c r="F109" s="11" t="str">
        <f>IF(E109="","",VLOOKUP(tdiario[[#This Row],[CUENTA]],tcuentas[],2,FALSE))</f>
        <v xml:space="preserve">DEBITO FISCAL </v>
      </c>
      <c r="G109" s="5">
        <v>85615.4</v>
      </c>
    </row>
    <row r="110" spans="1:13" x14ac:dyDescent="0.3">
      <c r="E110" s="21" t="s">
        <v>67</v>
      </c>
      <c r="F110" s="11" t="str">
        <f>IF(E110="","",VLOOKUP(tdiario[[#This Row],[CUENTA]],tcuentas[],2,FALSE))</f>
        <v>CREDITO FISCAL</v>
      </c>
      <c r="H110" s="5">
        <v>45769.75</v>
      </c>
    </row>
    <row r="111" spans="1:13" x14ac:dyDescent="0.3">
      <c r="E111" s="21" t="s">
        <v>41</v>
      </c>
      <c r="F111" s="11" t="str">
        <f>IF(E111="","",VLOOKUP(tdiario[[#This Row],[CUENTA]],tcuentas[],2,FALSE))</f>
        <v>CAJA MONEDA NACIONAL</v>
      </c>
      <c r="H111" s="5">
        <f>G109-H110</f>
        <v>39845.649999999994</v>
      </c>
    </row>
    <row r="112" spans="1:13" x14ac:dyDescent="0.3">
      <c r="F112" s="11" t="str">
        <f>IF(E112="","",VLOOKUP(tdiario[[#This Row],[CUENTA]],tcuentas[],2,FALSE))</f>
        <v/>
      </c>
    </row>
    <row r="113" spans="6:6" x14ac:dyDescent="0.3">
      <c r="F113" s="11" t="str">
        <f>IF(E113="","",VLOOKUP(tdiario[[#This Row],[CUENTA]],tcuentas[],2,FALSE))</f>
        <v/>
      </c>
    </row>
    <row r="114" spans="6:6" x14ac:dyDescent="0.3">
      <c r="F114" s="11" t="str">
        <f>IF(E114="","",VLOOKUP(tdiario[[#This Row],[CUENTA]],tcuentas[],2,FALSE))</f>
        <v/>
      </c>
    </row>
    <row r="115" spans="6:6" x14ac:dyDescent="0.3">
      <c r="F115" s="11" t="str">
        <f>IF(E115="","",VLOOKUP(tdiario[[#This Row],[CUENTA]],tcuentas[],2,FALSE))</f>
        <v/>
      </c>
    </row>
    <row r="116" spans="6:6" x14ac:dyDescent="0.3">
      <c r="F116" s="11" t="str">
        <f>IF(E116="","",VLOOKUP(tdiario[[#This Row],[CUENTA]],tcuentas[],2,FALSE))</f>
        <v/>
      </c>
    </row>
    <row r="117" spans="6:6" x14ac:dyDescent="0.3">
      <c r="F117" s="11" t="str">
        <f>IF(E117="","",VLOOKUP(tdiario[[#This Row],[CUENTA]],tcuentas[],2,FALSE))</f>
        <v/>
      </c>
    </row>
    <row r="118" spans="6:6" x14ac:dyDescent="0.3">
      <c r="F118" s="11" t="str">
        <f>IF(E118="","",VLOOKUP(tdiario[[#This Row],[CUENTA]],tcuentas[],2,FALSE))</f>
        <v/>
      </c>
    </row>
    <row r="119" spans="6:6" x14ac:dyDescent="0.3">
      <c r="F119" s="11" t="str">
        <f>IF(E119="","",VLOOKUP(tdiario[[#This Row],[CUENTA]],tcuentas[],2,FALSE))</f>
        <v/>
      </c>
    </row>
    <row r="120" spans="6:6" x14ac:dyDescent="0.3">
      <c r="F120" s="11" t="str">
        <f>IF(E120="","",VLOOKUP(tdiario[[#This Row],[CUENTA]],tcuentas[],2,FALSE))</f>
        <v/>
      </c>
    </row>
    <row r="121" spans="6:6" x14ac:dyDescent="0.3">
      <c r="F121" s="11" t="str">
        <f>IF(E121="","",VLOOKUP(tdiario[[#This Row],[CUENTA]],tcuentas[],2,FALSE))</f>
        <v/>
      </c>
    </row>
    <row r="122" spans="6:6" x14ac:dyDescent="0.3">
      <c r="F122" s="11" t="str">
        <f>IF(E122="","",VLOOKUP(tdiario[[#This Row],[CUENTA]],tcuentas[],2,FALSE))</f>
        <v/>
      </c>
    </row>
    <row r="123" spans="6:6" x14ac:dyDescent="0.3">
      <c r="F123" s="11" t="str">
        <f>IF(E123="","",VLOOKUP(tdiario[[#This Row],[CUENTA]],tcuentas[],2,FALSE))</f>
        <v/>
      </c>
    </row>
    <row r="124" spans="6:6" x14ac:dyDescent="0.3">
      <c r="F124" s="11" t="str">
        <f>IF(E124="","",VLOOKUP(tdiario[[#This Row],[CUENTA]],tcuentas[],2,FALSE))</f>
        <v/>
      </c>
    </row>
    <row r="125" spans="6:6" x14ac:dyDescent="0.3">
      <c r="F125" s="11" t="str">
        <f>IF(E125="","",VLOOKUP(tdiario[[#This Row],[CUENTA]],tcuentas[],2,FALSE))</f>
        <v/>
      </c>
    </row>
    <row r="126" spans="6:6" x14ac:dyDescent="0.3">
      <c r="F126" s="11" t="str">
        <f>IF(E126="","",VLOOKUP(tdiario[[#This Row],[CUENTA]],tcuentas[],2,FALSE))</f>
        <v/>
      </c>
    </row>
    <row r="127" spans="6:6" x14ac:dyDescent="0.3">
      <c r="F127" s="11" t="str">
        <f>IF(E127="","",VLOOKUP(tdiario[[#This Row],[CUENTA]],tcuentas[],2,FALSE))</f>
        <v/>
      </c>
    </row>
    <row r="128" spans="6:6" x14ac:dyDescent="0.3">
      <c r="F128" s="11" t="str">
        <f>IF(E128="","",VLOOKUP(tdiario[[#This Row],[CUENTA]],tcuentas[],2,FALSE))</f>
        <v/>
      </c>
    </row>
    <row r="129" spans="6:6" x14ac:dyDescent="0.3">
      <c r="F129" s="11" t="str">
        <f>IF(E129="","",VLOOKUP(tdiario[[#This Row],[CUENTA]],tcuentas[],2,FALSE))</f>
        <v/>
      </c>
    </row>
    <row r="130" spans="6:6" x14ac:dyDescent="0.3">
      <c r="F130" s="11" t="str">
        <f>IF(E130="","",VLOOKUP(tdiario[[#This Row],[CUENTA]],tcuentas[],2,FALSE))</f>
        <v/>
      </c>
    </row>
    <row r="131" spans="6:6" x14ac:dyDescent="0.3">
      <c r="F131" s="11" t="str">
        <f>IF(E131="","",VLOOKUP(tdiario[[#This Row],[CUENTA]],tcuentas[],2,FALSE))</f>
        <v/>
      </c>
    </row>
    <row r="132" spans="6:6" x14ac:dyDescent="0.3">
      <c r="F132" s="11" t="str">
        <f>IF(E132="","",VLOOKUP(tdiario[[#This Row],[CUENTA]],tcuentas[],2,FALSE))</f>
        <v/>
      </c>
    </row>
    <row r="133" spans="6:6" x14ac:dyDescent="0.3">
      <c r="F133" s="11" t="str">
        <f>IF(E133="","",VLOOKUP(tdiario[[#This Row],[CUENTA]],tcuentas[],2,FALSE))</f>
        <v/>
      </c>
    </row>
    <row r="134" spans="6:6" x14ac:dyDescent="0.3">
      <c r="F134" s="11" t="str">
        <f>IF(E134="","",VLOOKUP(tdiario[[#This Row],[CUENTA]],tcuentas[],2,FALSE))</f>
        <v/>
      </c>
    </row>
    <row r="135" spans="6:6" x14ac:dyDescent="0.3">
      <c r="F135" s="11" t="str">
        <f>IF(E135="","",VLOOKUP(tdiario[[#This Row],[CUENTA]],tcuentas[],2,FALSE))</f>
        <v/>
      </c>
    </row>
    <row r="136" spans="6:6" x14ac:dyDescent="0.3">
      <c r="F136" s="11" t="str">
        <f>IF(E136="","",VLOOKUP(tdiario[[#This Row],[CUENTA]],tcuentas[],2,FALSE))</f>
        <v/>
      </c>
    </row>
    <row r="137" spans="6:6" x14ac:dyDescent="0.3">
      <c r="F137" s="11" t="str">
        <f>IF(E137="","",VLOOKUP(tdiario[[#This Row],[CUENTA]],tcuentas[],2,FALSE))</f>
        <v/>
      </c>
    </row>
    <row r="138" spans="6:6" x14ac:dyDescent="0.3">
      <c r="F138" s="11" t="str">
        <f>IF(E138="","",VLOOKUP(tdiario[[#This Row],[CUENTA]],tcuentas[],2,FALSE))</f>
        <v/>
      </c>
    </row>
    <row r="139" spans="6:6" x14ac:dyDescent="0.3">
      <c r="F139" s="11" t="str">
        <f>IF(E139="","",VLOOKUP(tdiario[[#This Row],[CUENTA]],tcuentas[],2,FALSE))</f>
        <v/>
      </c>
    </row>
    <row r="140" spans="6:6" x14ac:dyDescent="0.3">
      <c r="F140" s="11" t="str">
        <f>IF(E140="","",VLOOKUP(tdiario[[#This Row],[CUENTA]],tcuentas[],2,FALSE))</f>
        <v/>
      </c>
    </row>
    <row r="141" spans="6:6" x14ac:dyDescent="0.3">
      <c r="F141" s="11" t="str">
        <f>IF(E141="","",VLOOKUP(tdiario[[#This Row],[CUENTA]],tcuentas[],2,FALSE))</f>
        <v/>
      </c>
    </row>
    <row r="142" spans="6:6" x14ac:dyDescent="0.3">
      <c r="F142" s="11" t="str">
        <f>IF(E142="","",VLOOKUP(tdiario[[#This Row],[CUENTA]],tcuentas[],2,FALSE))</f>
        <v/>
      </c>
    </row>
    <row r="143" spans="6:6" x14ac:dyDescent="0.3">
      <c r="F143" s="11" t="str">
        <f>IF(E143="","",VLOOKUP(tdiario[[#This Row],[CUENTA]],tcuentas[],2,FALSE))</f>
        <v/>
      </c>
    </row>
    <row r="144" spans="6:6" x14ac:dyDescent="0.3">
      <c r="F144" s="11" t="str">
        <f>IF(E144="","",VLOOKUP(tdiario[[#This Row],[CUENTA]],tcuentas[],2,FALSE))</f>
        <v/>
      </c>
    </row>
    <row r="145" spans="6:6" x14ac:dyDescent="0.3">
      <c r="F145" s="11" t="str">
        <f>IF(E145="","",VLOOKUP(tdiario[[#This Row],[CUENTA]],tcuentas[],2,FALSE))</f>
        <v/>
      </c>
    </row>
    <row r="146" spans="6:6" x14ac:dyDescent="0.3">
      <c r="F146" s="11" t="str">
        <f>IF(E146="","",VLOOKUP(tdiario[[#This Row],[CUENTA]],tcuentas[],2,FALSE))</f>
        <v/>
      </c>
    </row>
    <row r="147" spans="6:6" x14ac:dyDescent="0.3">
      <c r="F147" s="11" t="str">
        <f>IF(E147="","",VLOOKUP(tdiario[[#This Row],[CUENTA]],tcuentas[],2,FALSE))</f>
        <v/>
      </c>
    </row>
    <row r="148" spans="6:6" x14ac:dyDescent="0.3">
      <c r="F148" s="11" t="str">
        <f>IF(E148="","",VLOOKUP(tdiario[[#This Row],[CUENTA]],tcuentas[],2,FALSE))</f>
        <v/>
      </c>
    </row>
    <row r="149" spans="6:6" x14ac:dyDescent="0.3">
      <c r="F149" s="11" t="str">
        <f>IF(E149="","",VLOOKUP(tdiario[[#This Row],[CUENTA]],tcuentas[],2,FALSE))</f>
        <v/>
      </c>
    </row>
    <row r="150" spans="6:6" x14ac:dyDescent="0.3">
      <c r="F150" s="11" t="str">
        <f>IF(E150="","",VLOOKUP(tdiario[[#This Row],[CUENTA]],tcuentas[],2,FALSE))</f>
        <v/>
      </c>
    </row>
    <row r="151" spans="6:6" x14ac:dyDescent="0.3">
      <c r="F151" s="11" t="str">
        <f>IF(E151="","",VLOOKUP(tdiario[[#This Row],[CUENTA]],tcuentas[],2,FALSE))</f>
        <v/>
      </c>
    </row>
    <row r="152" spans="6:6" x14ac:dyDescent="0.3">
      <c r="F152" s="11" t="str">
        <f>IF(E152="","",VLOOKUP(tdiario[[#This Row],[CUENTA]],tcuentas[],2,FALSE))</f>
        <v/>
      </c>
    </row>
    <row r="153" spans="6:6" x14ac:dyDescent="0.3">
      <c r="F153" s="11" t="str">
        <f>IF(E153="","",VLOOKUP(tdiario[[#This Row],[CUENTA]],tcuentas[],2,FALSE))</f>
        <v/>
      </c>
    </row>
    <row r="154" spans="6:6" x14ac:dyDescent="0.3">
      <c r="F154" s="11" t="str">
        <f>IF(E154="","",VLOOKUP(tdiario[[#This Row],[CUENTA]],tcuentas[],2,FALSE))</f>
        <v/>
      </c>
    </row>
    <row r="155" spans="6:6" x14ac:dyDescent="0.3">
      <c r="F155" s="11" t="str">
        <f>IF(E155="","",VLOOKUP(tdiario[[#This Row],[CUENTA]],tcuentas[],2,FALSE))</f>
        <v/>
      </c>
    </row>
    <row r="156" spans="6:6" x14ac:dyDescent="0.3">
      <c r="F156" s="11" t="str">
        <f>IF(E156="","",VLOOKUP(tdiario[[#This Row],[CUENTA]],tcuentas[],2,FALSE))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647"/>
  <sheetViews>
    <sheetView zoomScale="78" zoomScaleNormal="100"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E34" sqref="E34:E38"/>
    </sheetView>
  </sheetViews>
  <sheetFormatPr baseColWidth="10" defaultRowHeight="14.4" x14ac:dyDescent="0.3"/>
  <cols>
    <col min="1" max="1" width="12.88671875" bestFit="1" customWidth="1"/>
    <col min="2" max="2" width="52.6640625" customWidth="1"/>
    <col min="3" max="4" width="6" customWidth="1"/>
    <col min="5" max="5" width="17.33203125" style="5" customWidth="1"/>
    <col min="6" max="6" width="16.88671875" style="5" customWidth="1"/>
    <col min="7" max="7" width="15.44140625" style="5" customWidth="1"/>
    <col min="8" max="8" width="13.6640625" style="5" customWidth="1"/>
    <col min="9" max="9" width="15.44140625" style="5" customWidth="1"/>
    <col min="10" max="10" width="12.88671875" style="5" customWidth="1"/>
    <col min="11" max="11" width="14.109375" style="5" hidden="1" customWidth="1"/>
    <col min="12" max="12" width="12.88671875" style="5" hidden="1" customWidth="1"/>
    <col min="13" max="13" width="11.88671875" style="5" customWidth="1"/>
    <col min="14" max="14" width="12.5546875" style="5" customWidth="1"/>
  </cols>
  <sheetData>
    <row r="1" spans="1:14" ht="28.8" x14ac:dyDescent="0.55000000000000004">
      <c r="B1" s="19" t="s">
        <v>36</v>
      </c>
    </row>
    <row r="3" spans="1:14" ht="15" customHeight="1" x14ac:dyDescent="0.3">
      <c r="E3" s="68" t="s">
        <v>12</v>
      </c>
      <c r="F3" s="68"/>
      <c r="G3" s="68" t="s">
        <v>13</v>
      </c>
      <c r="H3" s="68"/>
      <c r="I3" s="68" t="s">
        <v>246</v>
      </c>
      <c r="J3" s="68"/>
      <c r="K3" s="68" t="s">
        <v>18</v>
      </c>
      <c r="L3" s="68"/>
      <c r="M3" s="68" t="s">
        <v>239</v>
      </c>
      <c r="N3" s="68"/>
    </row>
    <row r="4" spans="1:14" s="2" customFormat="1" x14ac:dyDescent="0.3">
      <c r="A4" s="2" t="s">
        <v>0</v>
      </c>
      <c r="B4" s="2" t="s">
        <v>7</v>
      </c>
      <c r="C4" s="2" t="s">
        <v>10</v>
      </c>
      <c r="D4" s="2" t="s">
        <v>11</v>
      </c>
      <c r="E4" s="4" t="s">
        <v>8</v>
      </c>
      <c r="F4" s="4" t="s">
        <v>9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19</v>
      </c>
      <c r="L4" s="4" t="s">
        <v>20</v>
      </c>
      <c r="M4" s="4" t="s">
        <v>21</v>
      </c>
      <c r="N4" s="4" t="s">
        <v>22</v>
      </c>
    </row>
    <row r="5" spans="1:14" x14ac:dyDescent="0.3">
      <c r="A5" s="62">
        <f>+'PLAN DE CUENTAS'!A5</f>
        <v>1</v>
      </c>
      <c r="B5" s="63" t="str">
        <f>+'PLAN DE CUENTAS'!B5</f>
        <v>ACTIVO</v>
      </c>
      <c r="C5" s="13">
        <f>+'PLAN DE CUENTAS'!C5</f>
        <v>1</v>
      </c>
      <c r="D5" t="str">
        <f>IF(tbal[[#This Row],[DEBE]]+tbal[[#This Row],[HABER]]=0,"","X")</f>
        <v/>
      </c>
      <c r="E5" s="16">
        <f>SUMIF(tdiario[CUENTA],tbal[[#This Row],[CUENTA]],tdiario[DEBE])</f>
        <v>0</v>
      </c>
      <c r="F5" s="17">
        <f>SUMIF(tdiario[CUENTA],tbal[[#This Row],[CUENTA]],tdiario[HABER])</f>
        <v>0</v>
      </c>
      <c r="G5" s="16">
        <f>IF(tbal[[#This Row],[DEBE]]-tbal[[#This Row],[HABER]]&gt;0,tbal[[#This Row],[DEBE]]-tbal[[#This Row],[HABER]],0)</f>
        <v>0</v>
      </c>
      <c r="H5" s="18">
        <f>IF(tbal[[#This Row],[HABER]]-tbal[[#This Row],[DEBE]]&gt;0,tbal[[#This Row],[HABER]]-tbal[[#This Row],[DEBE]],0)</f>
        <v>0</v>
      </c>
      <c r="I5" s="16">
        <f>IF((OR(tbal[[#This Row],[X]]=1,tbal[[#This Row],[X]]=2)),tbal[[#This Row],[DEUDOR]],0)</f>
        <v>0</v>
      </c>
      <c r="J5" s="18">
        <f>IF((OR(tbal[[#This Row],[X]]=2,tbal[[#This Row],[X]]=3)),tbal[[#This Row],[ACREEDOR]],0)</f>
        <v>0</v>
      </c>
      <c r="K5" s="16">
        <f>IF((OR(tbal[[#This Row],[X]]=3,tbal[[#This Row],[X]]=5)),tbal[[#This Row],[DEUDOR]],0)</f>
        <v>0</v>
      </c>
      <c r="L5" s="18">
        <f>IF((OR(tbal[[#This Row],[X]]=3,tbal[[#This Row],[X]]=4)),tbal[[#This Row],[ACREEDOR]],0)</f>
        <v>0</v>
      </c>
      <c r="M5" s="16">
        <f>IF((OR(tbal[[#This Row],[X]]=0,tbal[[#This Row],[X]]=6)),tbal[[#This Row],[DEUDOR]],0)</f>
        <v>0</v>
      </c>
      <c r="N5" s="18">
        <f>IF((OR(tbal[[#This Row],[X]]=0,tbal[[#This Row],[X]]=5)),tbal[[#This Row],[ACREEDOR]],0)</f>
        <v>0</v>
      </c>
    </row>
    <row r="6" spans="1:14" x14ac:dyDescent="0.3">
      <c r="A6" s="62">
        <f>+'PLAN DE CUENTAS'!A6</f>
        <v>1.1000000000000001</v>
      </c>
      <c r="B6" s="63" t="str">
        <f>+'PLAN DE CUENTAS'!B6</f>
        <v>ACTIVO CORRIENTE</v>
      </c>
      <c r="C6" s="13">
        <f>+'PLAN DE CUENTAS'!C6</f>
        <v>1</v>
      </c>
      <c r="D6" t="str">
        <f>IF(tbal[[#This Row],[DEBE]]+tbal[[#This Row],[HABER]]=0,"","X")</f>
        <v/>
      </c>
      <c r="E6" s="16">
        <f>SUMIF(tdiario[CUENTA],tbal[[#This Row],[CUENTA]],tdiario[DEBE])</f>
        <v>0</v>
      </c>
      <c r="F6" s="17">
        <f>SUMIF(tdiario[CUENTA],tbal[[#This Row],[CUENTA]],tdiario[HABER])</f>
        <v>0</v>
      </c>
      <c r="G6" s="16">
        <f>IF(tbal[[#This Row],[DEBE]]-tbal[[#This Row],[HABER]]&gt;0,tbal[[#This Row],[DEBE]]-tbal[[#This Row],[HABER]],0)</f>
        <v>0</v>
      </c>
      <c r="H6" s="18">
        <f>IF(tbal[[#This Row],[HABER]]-tbal[[#This Row],[DEBE]]&gt;0,tbal[[#This Row],[HABER]]-tbal[[#This Row],[DEBE]],0)</f>
        <v>0</v>
      </c>
      <c r="I6" s="16">
        <f>IF((OR(tbal[[#This Row],[X]]=1,tbal[[#This Row],[X]]=2)),tbal[[#This Row],[DEUDOR]],0)</f>
        <v>0</v>
      </c>
      <c r="J6" s="18">
        <f>IF((OR(tbal[[#This Row],[X]]=2,tbal[[#This Row],[X]]=3)),tbal[[#This Row],[ACREEDOR]],0)</f>
        <v>0</v>
      </c>
      <c r="K6" s="16">
        <f>IF((OR(tbal[[#This Row],[X]]=3,tbal[[#This Row],[X]]=5)),tbal[[#This Row],[DEUDOR]],0)</f>
        <v>0</v>
      </c>
      <c r="L6" s="18">
        <f>IF((OR(tbal[[#This Row],[X]]=3,tbal[[#This Row],[X]]=4)),tbal[[#This Row],[ACREEDOR]],0)</f>
        <v>0</v>
      </c>
      <c r="M6" s="16">
        <f>IF((OR(tbal[[#This Row],[X]]=0,tbal[[#This Row],[X]]=6)),tbal[[#This Row],[DEUDOR]],0)</f>
        <v>0</v>
      </c>
      <c r="N6" s="18">
        <f>IF((OR(tbal[[#This Row],[X]]=0,tbal[[#This Row],[X]]=5)),tbal[[#This Row],[ACREEDOR]],0)</f>
        <v>0</v>
      </c>
    </row>
    <row r="7" spans="1:14" x14ac:dyDescent="0.3">
      <c r="A7" s="62" t="str">
        <f>+'PLAN DE CUENTAS'!A7</f>
        <v>1.1.1</v>
      </c>
      <c r="B7" s="63" t="str">
        <f>+'PLAN DE CUENTAS'!B7</f>
        <v>ACTIVO DISPONIBLE</v>
      </c>
      <c r="C7" s="13">
        <f>+'PLAN DE CUENTAS'!C7</f>
        <v>1</v>
      </c>
      <c r="D7" t="str">
        <f>IF(tbal[[#This Row],[DEBE]]+tbal[[#This Row],[HABER]]=0,"","X")</f>
        <v/>
      </c>
      <c r="E7" s="16">
        <f>SUMIF(tdiario[CUENTA],tbal[[#This Row],[CUENTA]],tdiario[DEBE])</f>
        <v>0</v>
      </c>
      <c r="F7" s="17">
        <f>SUMIF(tdiario[CUENTA],tbal[[#This Row],[CUENTA]],tdiario[HABER])</f>
        <v>0</v>
      </c>
      <c r="G7" s="16">
        <f>IF(tbal[[#This Row],[DEBE]]-tbal[[#This Row],[HABER]]&gt;0,tbal[[#This Row],[DEBE]]-tbal[[#This Row],[HABER]],0)</f>
        <v>0</v>
      </c>
      <c r="H7" s="18">
        <f>IF(tbal[[#This Row],[HABER]]-tbal[[#This Row],[DEBE]]&gt;0,tbal[[#This Row],[HABER]]-tbal[[#This Row],[DEBE]],0)</f>
        <v>0</v>
      </c>
      <c r="I7" s="16">
        <f>IF((OR(tbal[[#This Row],[X]]=1,tbal[[#This Row],[X]]=2)),tbal[[#This Row],[DEUDOR]],0)</f>
        <v>0</v>
      </c>
      <c r="J7" s="18">
        <f>IF((OR(tbal[[#This Row],[X]]=2,tbal[[#This Row],[X]]=3)),tbal[[#This Row],[ACREEDOR]],0)</f>
        <v>0</v>
      </c>
      <c r="K7" s="16">
        <f>IF((OR(tbal[[#This Row],[X]]=3,tbal[[#This Row],[X]]=5)),tbal[[#This Row],[DEUDOR]],0)</f>
        <v>0</v>
      </c>
      <c r="L7" s="18">
        <f>IF((OR(tbal[[#This Row],[X]]=3,tbal[[#This Row],[X]]=4)),tbal[[#This Row],[ACREEDOR]],0)</f>
        <v>0</v>
      </c>
      <c r="M7" s="16">
        <f>IF((OR(tbal[[#This Row],[X]]=0,tbal[[#This Row],[X]]=6)),tbal[[#This Row],[DEUDOR]],0)</f>
        <v>0</v>
      </c>
      <c r="N7" s="18">
        <f>IF((OR(tbal[[#This Row],[X]]=0,tbal[[#This Row],[X]]=5)),tbal[[#This Row],[ACREEDOR]],0)</f>
        <v>0</v>
      </c>
    </row>
    <row r="8" spans="1:14" x14ac:dyDescent="0.3">
      <c r="A8" s="14" t="str">
        <f>+'PLAN DE CUENTAS'!A8</f>
        <v>1.1.1.01</v>
      </c>
      <c r="B8" s="13" t="str">
        <f>+'PLAN DE CUENTAS'!B8</f>
        <v>CAJA MONEDA NACIONAL</v>
      </c>
      <c r="C8" s="13">
        <f>+'PLAN DE CUENTAS'!C8</f>
        <v>1</v>
      </c>
      <c r="D8" t="str">
        <f>IF(tbal[[#This Row],[DEBE]]+tbal[[#This Row],[HABER]]=0,"","X")</f>
        <v>X</v>
      </c>
      <c r="E8" s="16">
        <f>SUMIF(tdiario[CUENTA],tbal[[#This Row],[CUENTA]],tdiario[DEBE])</f>
        <v>719000</v>
      </c>
      <c r="F8" s="17">
        <f>SUMIF(tdiario[CUENTA],tbal[[#This Row],[CUENTA]],tdiario[HABER])</f>
        <v>398715.65</v>
      </c>
      <c r="G8" s="16">
        <f>IF(tbal[[#This Row],[DEBE]]-tbal[[#This Row],[HABER]]&gt;0,tbal[[#This Row],[DEBE]]-tbal[[#This Row],[HABER]],0)</f>
        <v>320284.34999999998</v>
      </c>
      <c r="H8" s="18">
        <f>IF(tbal[[#This Row],[HABER]]-tbal[[#This Row],[DEBE]]&gt;0,tbal[[#This Row],[HABER]]-tbal[[#This Row],[DEBE]],0)</f>
        <v>0</v>
      </c>
      <c r="I8" s="16">
        <f>IF((OR(tbal[[#This Row],[X]]=1,tbal[[#This Row],[X]]=2)),tbal[[#This Row],[DEUDOR]],0)</f>
        <v>320284.34999999998</v>
      </c>
      <c r="J8" s="18">
        <f>IF((OR(tbal[[#This Row],[X]]=2,tbal[[#This Row],[X]]=3)),tbal[[#This Row],[ACREEDOR]],0)</f>
        <v>0</v>
      </c>
      <c r="K8" s="16">
        <f>IF((OR(tbal[[#This Row],[X]]=3,tbal[[#This Row],[X]]=5)),tbal[[#This Row],[DEUDOR]],0)</f>
        <v>0</v>
      </c>
      <c r="L8" s="18">
        <f>IF((OR(tbal[[#This Row],[X]]=3,tbal[[#This Row],[X]]=4)),tbal[[#This Row],[ACREEDOR]],0)</f>
        <v>0</v>
      </c>
      <c r="M8" s="16">
        <f>IF((OR(tbal[[#This Row],[X]]=0,tbal[[#This Row],[X]]=6)),tbal[[#This Row],[DEUDOR]],0)</f>
        <v>0</v>
      </c>
      <c r="N8" s="18">
        <f>IF((OR(tbal[[#This Row],[X]]=0,tbal[[#This Row],[X]]=5)),tbal[[#This Row],[ACREEDOR]],0)</f>
        <v>0</v>
      </c>
    </row>
    <row r="9" spans="1:14" x14ac:dyDescent="0.3">
      <c r="A9" s="14" t="str">
        <f>+'PLAN DE CUENTAS'!A9</f>
        <v>1.1.1.02</v>
      </c>
      <c r="B9" s="13" t="str">
        <f>+'PLAN DE CUENTAS'!B9</f>
        <v>FONDO FIJO DE CAJA CHICA</v>
      </c>
      <c r="C9" s="13">
        <f>+'PLAN DE CUENTAS'!C9</f>
        <v>1</v>
      </c>
      <c r="D9" t="str">
        <f>IF(tbal[[#This Row],[DEBE]]+tbal[[#This Row],[HABER]]=0,"","X")</f>
        <v/>
      </c>
      <c r="E9" s="16">
        <f>SUMIF(tdiario[CUENTA],tbal[[#This Row],[CUENTA]],tdiario[DEBE])</f>
        <v>0</v>
      </c>
      <c r="F9" s="17">
        <f>SUMIF(tdiario[CUENTA],tbal[[#This Row],[CUENTA]],tdiario[HABER])</f>
        <v>0</v>
      </c>
      <c r="G9" s="16">
        <f>IF(tbal[[#This Row],[DEBE]]-tbal[[#This Row],[HABER]]&gt;0,tbal[[#This Row],[DEBE]]-tbal[[#This Row],[HABER]],0)</f>
        <v>0</v>
      </c>
      <c r="H9" s="18">
        <f>IF(tbal[[#This Row],[HABER]]-tbal[[#This Row],[DEBE]]&gt;0,tbal[[#This Row],[HABER]]-tbal[[#This Row],[DEBE]],0)</f>
        <v>0</v>
      </c>
      <c r="I9" s="16">
        <f>IF((OR(tbal[[#This Row],[X]]=1,tbal[[#This Row],[X]]=2)),tbal[[#This Row],[DEUDOR]],0)</f>
        <v>0</v>
      </c>
      <c r="J9" s="18">
        <f>IF((OR(tbal[[#This Row],[X]]=2,tbal[[#This Row],[X]]=3)),tbal[[#This Row],[ACREEDOR]],0)</f>
        <v>0</v>
      </c>
      <c r="K9" s="16">
        <f>IF((OR(tbal[[#This Row],[X]]=3,tbal[[#This Row],[X]]=5)),tbal[[#This Row],[DEUDOR]],0)</f>
        <v>0</v>
      </c>
      <c r="L9" s="18">
        <f>IF((OR(tbal[[#This Row],[X]]=3,tbal[[#This Row],[X]]=4)),tbal[[#This Row],[ACREEDOR]],0)</f>
        <v>0</v>
      </c>
      <c r="M9" s="16">
        <f>IF((OR(tbal[[#This Row],[X]]=0,tbal[[#This Row],[X]]=6)),tbal[[#This Row],[DEUDOR]],0)</f>
        <v>0</v>
      </c>
      <c r="N9" s="18">
        <f>IF((OR(tbal[[#This Row],[X]]=0,tbal[[#This Row],[X]]=5)),tbal[[#This Row],[ACREEDOR]],0)</f>
        <v>0</v>
      </c>
    </row>
    <row r="10" spans="1:14" x14ac:dyDescent="0.3">
      <c r="A10" s="14" t="str">
        <f>+'PLAN DE CUENTAS'!A10</f>
        <v>1.1.1.03</v>
      </c>
      <c r="B10" s="13" t="str">
        <f>+'PLAN DE CUENTAS'!B10</f>
        <v>CAJA MONEDA EXTRANJERA</v>
      </c>
      <c r="C10" s="13">
        <f>+'PLAN DE CUENTAS'!C10</f>
        <v>1</v>
      </c>
      <c r="D10" t="str">
        <f>IF(tbal[[#This Row],[DEBE]]+tbal[[#This Row],[HABER]]=0,"","X")</f>
        <v/>
      </c>
      <c r="E10" s="16">
        <f>SUMIF(tdiario[CUENTA],tbal[[#This Row],[CUENTA]],tdiario[DEBE])</f>
        <v>0</v>
      </c>
      <c r="F10" s="17">
        <f>SUMIF(tdiario[CUENTA],tbal[[#This Row],[CUENTA]],tdiario[HABER])</f>
        <v>0</v>
      </c>
      <c r="G10" s="16">
        <f>IF(tbal[[#This Row],[DEBE]]-tbal[[#This Row],[HABER]]&gt;0,tbal[[#This Row],[DEBE]]-tbal[[#This Row],[HABER]],0)</f>
        <v>0</v>
      </c>
      <c r="H10" s="18">
        <f>IF(tbal[[#This Row],[HABER]]-tbal[[#This Row],[DEBE]]&gt;0,tbal[[#This Row],[HABER]]-tbal[[#This Row],[DEBE]],0)</f>
        <v>0</v>
      </c>
      <c r="I10" s="16">
        <f>IF((OR(tbal[[#This Row],[X]]=1,tbal[[#This Row],[X]]=2)),tbal[[#This Row],[DEUDOR]],0)</f>
        <v>0</v>
      </c>
      <c r="J10" s="18">
        <f>IF((OR(tbal[[#This Row],[X]]=2,tbal[[#This Row],[X]]=3)),tbal[[#This Row],[ACREEDOR]],0)</f>
        <v>0</v>
      </c>
      <c r="K10" s="16">
        <f>IF((OR(tbal[[#This Row],[X]]=3,tbal[[#This Row],[X]]=5)),tbal[[#This Row],[DEUDOR]],0)</f>
        <v>0</v>
      </c>
      <c r="L10" s="18">
        <f>IF((OR(tbal[[#This Row],[X]]=3,tbal[[#This Row],[X]]=4)),tbal[[#This Row],[ACREEDOR]],0)</f>
        <v>0</v>
      </c>
      <c r="M10" s="16">
        <f>IF((OR(tbal[[#This Row],[X]]=0,tbal[[#This Row],[X]]=6)),tbal[[#This Row],[DEUDOR]],0)</f>
        <v>0</v>
      </c>
      <c r="N10" s="18">
        <f>IF((OR(tbal[[#This Row],[X]]=0,tbal[[#This Row],[X]]=5)),tbal[[#This Row],[ACREEDOR]],0)</f>
        <v>0</v>
      </c>
    </row>
    <row r="11" spans="1:14" x14ac:dyDescent="0.3">
      <c r="A11" s="14" t="str">
        <f>+'PLAN DE CUENTAS'!A11</f>
        <v>1.1.1.04</v>
      </c>
      <c r="B11" s="13" t="str">
        <f>+'PLAN DE CUENTAS'!B11</f>
        <v>BANCO MONEDA NACIONAL</v>
      </c>
      <c r="C11" s="13">
        <f>+'PLAN DE CUENTAS'!C11</f>
        <v>1</v>
      </c>
      <c r="D11" t="str">
        <f>IF(tbal[[#This Row],[DEBE]]+tbal[[#This Row],[HABER]]=0,"","X")</f>
        <v/>
      </c>
      <c r="E11" s="16">
        <f>SUMIF(tdiario[CUENTA],tbal[[#This Row],[CUENTA]],tdiario[DEBE])</f>
        <v>0</v>
      </c>
      <c r="F11" s="17">
        <f>SUMIF(tdiario[CUENTA],tbal[[#This Row],[CUENTA]],tdiario[HABER])</f>
        <v>0</v>
      </c>
      <c r="G11" s="16">
        <f>IF(tbal[[#This Row],[DEBE]]-tbal[[#This Row],[HABER]]&gt;0,tbal[[#This Row],[DEBE]]-tbal[[#This Row],[HABER]],0)</f>
        <v>0</v>
      </c>
      <c r="H11" s="18">
        <f>IF(tbal[[#This Row],[HABER]]-tbal[[#This Row],[DEBE]]&gt;0,tbal[[#This Row],[HABER]]-tbal[[#This Row],[DEBE]],0)</f>
        <v>0</v>
      </c>
      <c r="I11" s="16">
        <f>IF((OR(tbal[[#This Row],[X]]=1,tbal[[#This Row],[X]]=2)),tbal[[#This Row],[DEUDOR]],0)</f>
        <v>0</v>
      </c>
      <c r="J11" s="18">
        <f>IF((OR(tbal[[#This Row],[X]]=2,tbal[[#This Row],[X]]=3)),tbal[[#This Row],[ACREEDOR]],0)</f>
        <v>0</v>
      </c>
      <c r="K11" s="16">
        <f>IF((OR(tbal[[#This Row],[X]]=3,tbal[[#This Row],[X]]=5)),tbal[[#This Row],[DEUDOR]],0)</f>
        <v>0</v>
      </c>
      <c r="L11" s="18">
        <f>IF((OR(tbal[[#This Row],[X]]=3,tbal[[#This Row],[X]]=4)),tbal[[#This Row],[ACREEDOR]],0)</f>
        <v>0</v>
      </c>
      <c r="M11" s="16">
        <f>IF((OR(tbal[[#This Row],[X]]=0,tbal[[#This Row],[X]]=6)),tbal[[#This Row],[DEUDOR]],0)</f>
        <v>0</v>
      </c>
      <c r="N11" s="18">
        <f>IF((OR(tbal[[#This Row],[X]]=0,tbal[[#This Row],[X]]=5)),tbal[[#This Row],[ACREEDOR]],0)</f>
        <v>0</v>
      </c>
    </row>
    <row r="12" spans="1:14" x14ac:dyDescent="0.3">
      <c r="A12" s="14" t="str">
        <f>+'PLAN DE CUENTAS'!A12</f>
        <v>1.1.1.05</v>
      </c>
      <c r="B12" s="13" t="str">
        <f>+'PLAN DE CUENTAS'!B12</f>
        <v>BANCO MONEDA EXTRANJERA</v>
      </c>
      <c r="C12" s="13">
        <f>+'PLAN DE CUENTAS'!C12</f>
        <v>1</v>
      </c>
      <c r="D12" t="str">
        <f>IF(tbal[[#This Row],[DEBE]]+tbal[[#This Row],[HABER]]=0,"","X")</f>
        <v/>
      </c>
      <c r="E12" s="16">
        <f>SUMIF(tdiario[CUENTA],tbal[[#This Row],[CUENTA]],tdiario[DEBE])</f>
        <v>0</v>
      </c>
      <c r="F12" s="17">
        <f>SUMIF(tdiario[CUENTA],tbal[[#This Row],[CUENTA]],tdiario[HABER])</f>
        <v>0</v>
      </c>
      <c r="G12" s="16">
        <f>IF(tbal[[#This Row],[DEBE]]-tbal[[#This Row],[HABER]]&gt;0,tbal[[#This Row],[DEBE]]-tbal[[#This Row],[HABER]],0)</f>
        <v>0</v>
      </c>
      <c r="H12" s="18">
        <f>IF(tbal[[#This Row],[HABER]]-tbal[[#This Row],[DEBE]]&gt;0,tbal[[#This Row],[HABER]]-tbal[[#This Row],[DEBE]],0)</f>
        <v>0</v>
      </c>
      <c r="I12" s="16">
        <f>IF((OR(tbal[[#This Row],[X]]=1,tbal[[#This Row],[X]]=2)),tbal[[#This Row],[DEUDOR]],0)</f>
        <v>0</v>
      </c>
      <c r="J12" s="18">
        <f>IF((OR(tbal[[#This Row],[X]]=2,tbal[[#This Row],[X]]=3)),tbal[[#This Row],[ACREEDOR]],0)</f>
        <v>0</v>
      </c>
      <c r="K12" s="16">
        <f>IF((OR(tbal[[#This Row],[X]]=3,tbal[[#This Row],[X]]=5)),tbal[[#This Row],[DEUDOR]],0)</f>
        <v>0</v>
      </c>
      <c r="L12" s="18">
        <f>IF((OR(tbal[[#This Row],[X]]=3,tbal[[#This Row],[X]]=4)),tbal[[#This Row],[ACREEDOR]],0)</f>
        <v>0</v>
      </c>
      <c r="M12" s="16">
        <f>IF((OR(tbal[[#This Row],[X]]=0,tbal[[#This Row],[X]]=6)),tbal[[#This Row],[DEUDOR]],0)</f>
        <v>0</v>
      </c>
      <c r="N12" s="18">
        <f>IF((OR(tbal[[#This Row],[X]]=0,tbal[[#This Row],[X]]=5)),tbal[[#This Row],[ACREEDOR]],0)</f>
        <v>0</v>
      </c>
    </row>
    <row r="13" spans="1:14" x14ac:dyDescent="0.3">
      <c r="A13" s="14" t="str">
        <f>+'PLAN DE CUENTAS'!A13</f>
        <v>1.1.1.06</v>
      </c>
      <c r="B13" s="13" t="str">
        <f>+'PLAN DE CUENTAS'!B13</f>
        <v>DEPOSITOS DE CAJA DE AHORRO</v>
      </c>
      <c r="C13" s="13">
        <f>+'PLAN DE CUENTAS'!C13</f>
        <v>1</v>
      </c>
      <c r="D13" t="str">
        <f>IF(tbal[[#This Row],[DEBE]]+tbal[[#This Row],[HABER]]=0,"","X")</f>
        <v/>
      </c>
      <c r="E13" s="16">
        <f>SUMIF(tdiario[CUENTA],tbal[[#This Row],[CUENTA]],tdiario[DEBE])</f>
        <v>0</v>
      </c>
      <c r="F13" s="17">
        <f>SUMIF(tdiario[CUENTA],tbal[[#This Row],[CUENTA]],tdiario[HABER])</f>
        <v>0</v>
      </c>
      <c r="G13" s="16">
        <f>IF(tbal[[#This Row],[DEBE]]-tbal[[#This Row],[HABER]]&gt;0,tbal[[#This Row],[DEBE]]-tbal[[#This Row],[HABER]],0)</f>
        <v>0</v>
      </c>
      <c r="H13" s="18">
        <f>IF(tbal[[#This Row],[HABER]]-tbal[[#This Row],[DEBE]]&gt;0,tbal[[#This Row],[HABER]]-tbal[[#This Row],[DEBE]],0)</f>
        <v>0</v>
      </c>
      <c r="I13" s="16">
        <f>IF((OR(tbal[[#This Row],[X]]=1,tbal[[#This Row],[X]]=2)),tbal[[#This Row],[DEUDOR]],0)</f>
        <v>0</v>
      </c>
      <c r="J13" s="18">
        <f>IF((OR(tbal[[#This Row],[X]]=2,tbal[[#This Row],[X]]=3)),tbal[[#This Row],[ACREEDOR]],0)</f>
        <v>0</v>
      </c>
      <c r="K13" s="16">
        <f>IF((OR(tbal[[#This Row],[X]]=3,tbal[[#This Row],[X]]=5)),tbal[[#This Row],[DEUDOR]],0)</f>
        <v>0</v>
      </c>
      <c r="L13" s="18">
        <f>IF((OR(tbal[[#This Row],[X]]=3,tbal[[#This Row],[X]]=4)),tbal[[#This Row],[ACREEDOR]],0)</f>
        <v>0</v>
      </c>
      <c r="M13" s="16">
        <f>IF((OR(tbal[[#This Row],[X]]=0,tbal[[#This Row],[X]]=6)),tbal[[#This Row],[DEUDOR]],0)</f>
        <v>0</v>
      </c>
      <c r="N13" s="18">
        <f>IF((OR(tbal[[#This Row],[X]]=0,tbal[[#This Row],[X]]=5)),tbal[[#This Row],[ACREEDOR]],0)</f>
        <v>0</v>
      </c>
    </row>
    <row r="14" spans="1:14" x14ac:dyDescent="0.3">
      <c r="A14" s="14" t="str">
        <f>+'PLAN DE CUENTAS'!A14</f>
        <v>1.1.1.07</v>
      </c>
      <c r="B14" s="13" t="str">
        <f>+'PLAN DE CUENTAS'!B14</f>
        <v>DEPOSITOS A PLAZO FIJO</v>
      </c>
      <c r="C14" s="13">
        <f>+'PLAN DE CUENTAS'!C14</f>
        <v>1</v>
      </c>
      <c r="D14" t="str">
        <f>IF(tbal[[#This Row],[DEBE]]+tbal[[#This Row],[HABER]]=0,"","X")</f>
        <v/>
      </c>
      <c r="E14" s="16">
        <f>SUMIF(tdiario[CUENTA],tbal[[#This Row],[CUENTA]],tdiario[DEBE])</f>
        <v>0</v>
      </c>
      <c r="F14" s="17">
        <f>SUMIF(tdiario[CUENTA],tbal[[#This Row],[CUENTA]],tdiario[HABER])</f>
        <v>0</v>
      </c>
      <c r="G14" s="16">
        <f>IF(tbal[[#This Row],[DEBE]]-tbal[[#This Row],[HABER]]&gt;0,tbal[[#This Row],[DEBE]]-tbal[[#This Row],[HABER]],0)</f>
        <v>0</v>
      </c>
      <c r="H14" s="18">
        <f>IF(tbal[[#This Row],[HABER]]-tbal[[#This Row],[DEBE]]&gt;0,tbal[[#This Row],[HABER]]-tbal[[#This Row],[DEBE]],0)</f>
        <v>0</v>
      </c>
      <c r="I14" s="16">
        <f>IF((OR(tbal[[#This Row],[X]]=1,tbal[[#This Row],[X]]=2)),tbal[[#This Row],[DEUDOR]],0)</f>
        <v>0</v>
      </c>
      <c r="J14" s="18">
        <f>IF((OR(tbal[[#This Row],[X]]=2,tbal[[#This Row],[X]]=3)),tbal[[#This Row],[ACREEDOR]],0)</f>
        <v>0</v>
      </c>
      <c r="K14" s="16">
        <f>IF((OR(tbal[[#This Row],[X]]=3,tbal[[#This Row],[X]]=5)),tbal[[#This Row],[DEUDOR]],0)</f>
        <v>0</v>
      </c>
      <c r="L14" s="18">
        <f>IF((OR(tbal[[#This Row],[X]]=3,tbal[[#This Row],[X]]=4)),tbal[[#This Row],[ACREEDOR]],0)</f>
        <v>0</v>
      </c>
      <c r="M14" s="16">
        <f>IF((OR(tbal[[#This Row],[X]]=0,tbal[[#This Row],[X]]=6)),tbal[[#This Row],[DEUDOR]],0)</f>
        <v>0</v>
      </c>
      <c r="N14" s="18">
        <f>IF((OR(tbal[[#This Row],[X]]=0,tbal[[#This Row],[X]]=5)),tbal[[#This Row],[ACREEDOR]],0)</f>
        <v>0</v>
      </c>
    </row>
    <row r="15" spans="1:14" x14ac:dyDescent="0.3">
      <c r="A15" s="62" t="str">
        <f>+'PLAN DE CUENTAS'!A15</f>
        <v>1.1.2</v>
      </c>
      <c r="B15" s="63" t="str">
        <f>+'PLAN DE CUENTAS'!B15</f>
        <v>ACTIVO EXIGIBLE</v>
      </c>
      <c r="C15" s="13">
        <f>+'PLAN DE CUENTAS'!C15</f>
        <v>1</v>
      </c>
      <c r="D15" t="str">
        <f>IF(tbal[[#This Row],[DEBE]]+tbal[[#This Row],[HABER]]=0,"","X")</f>
        <v/>
      </c>
      <c r="E15" s="16">
        <f>SUMIF(tdiario[CUENTA],tbal[[#This Row],[CUENTA]],tdiario[DEBE])</f>
        <v>0</v>
      </c>
      <c r="F15" s="17">
        <f>SUMIF(tdiario[CUENTA],tbal[[#This Row],[CUENTA]],tdiario[HABER])</f>
        <v>0</v>
      </c>
      <c r="G15" s="16">
        <f>IF(tbal[[#This Row],[DEBE]]-tbal[[#This Row],[HABER]]&gt;0,tbal[[#This Row],[DEBE]]-tbal[[#This Row],[HABER]],0)</f>
        <v>0</v>
      </c>
      <c r="H15" s="18">
        <f>IF(tbal[[#This Row],[HABER]]-tbal[[#This Row],[DEBE]]&gt;0,tbal[[#This Row],[HABER]]-tbal[[#This Row],[DEBE]],0)</f>
        <v>0</v>
      </c>
      <c r="I15" s="16">
        <f>IF((OR(tbal[[#This Row],[X]]=1,tbal[[#This Row],[X]]=2)),tbal[[#This Row],[DEUDOR]],0)</f>
        <v>0</v>
      </c>
      <c r="J15" s="18">
        <f>IF((OR(tbal[[#This Row],[X]]=2,tbal[[#This Row],[X]]=3)),tbal[[#This Row],[ACREEDOR]],0)</f>
        <v>0</v>
      </c>
      <c r="K15" s="16">
        <f>IF((OR(tbal[[#This Row],[X]]=3,tbal[[#This Row],[X]]=5)),tbal[[#This Row],[DEUDOR]],0)</f>
        <v>0</v>
      </c>
      <c r="L15" s="18">
        <f>IF((OR(tbal[[#This Row],[X]]=3,tbal[[#This Row],[X]]=4)),tbal[[#This Row],[ACREEDOR]],0)</f>
        <v>0</v>
      </c>
      <c r="M15" s="16">
        <f>IF((OR(tbal[[#This Row],[X]]=0,tbal[[#This Row],[X]]=6)),tbal[[#This Row],[DEUDOR]],0)</f>
        <v>0</v>
      </c>
      <c r="N15" s="18">
        <f>IF((OR(tbal[[#This Row],[X]]=0,tbal[[#This Row],[X]]=5)),tbal[[#This Row],[ACREEDOR]],0)</f>
        <v>0</v>
      </c>
    </row>
    <row r="16" spans="1:14" x14ac:dyDescent="0.3">
      <c r="A16" s="14" t="str">
        <f>+'PLAN DE CUENTAS'!A16</f>
        <v>1.1.2.01</v>
      </c>
      <c r="B16" s="13" t="str">
        <f>+'PLAN DE CUENTAS'!B16</f>
        <v>CUENTAS POR COBRAR</v>
      </c>
      <c r="C16" s="13">
        <f>+'PLAN DE CUENTAS'!C16</f>
        <v>1</v>
      </c>
      <c r="D16" t="str">
        <f>IF(tbal[[#This Row],[DEBE]]+tbal[[#This Row],[HABER]]=0,"","X")</f>
        <v>X</v>
      </c>
      <c r="E16" s="16">
        <f>SUMIF(tdiario[CUENTA],tbal[[#This Row],[CUENTA]],tdiario[DEBE])</f>
        <v>163000</v>
      </c>
      <c r="F16" s="17">
        <f>SUMIF(tdiario[CUENTA],tbal[[#This Row],[CUENTA]],tdiario[HABER])</f>
        <v>75000</v>
      </c>
      <c r="G16" s="16">
        <f>IF(tbal[[#This Row],[DEBE]]-tbal[[#This Row],[HABER]]&gt;0,tbal[[#This Row],[DEBE]]-tbal[[#This Row],[HABER]],0)</f>
        <v>88000</v>
      </c>
      <c r="H16" s="18">
        <f>IF(tbal[[#This Row],[HABER]]-tbal[[#This Row],[DEBE]]&gt;0,tbal[[#This Row],[HABER]]-tbal[[#This Row],[DEBE]],0)</f>
        <v>0</v>
      </c>
      <c r="I16" s="16">
        <f>IF((OR(tbal[[#This Row],[X]]=1,tbal[[#This Row],[X]]=2)),tbal[[#This Row],[DEUDOR]],0)</f>
        <v>88000</v>
      </c>
      <c r="J16" s="18">
        <f>IF((OR(tbal[[#This Row],[X]]=2,tbal[[#This Row],[X]]=3)),tbal[[#This Row],[ACREEDOR]],0)</f>
        <v>0</v>
      </c>
      <c r="K16" s="16">
        <f>IF((OR(tbal[[#This Row],[X]]=3,tbal[[#This Row],[X]]=5)),tbal[[#This Row],[DEUDOR]],0)</f>
        <v>0</v>
      </c>
      <c r="L16" s="18">
        <f>IF((OR(tbal[[#This Row],[X]]=3,tbal[[#This Row],[X]]=4)),tbal[[#This Row],[ACREEDOR]],0)</f>
        <v>0</v>
      </c>
      <c r="M16" s="16">
        <f>IF((OR(tbal[[#This Row],[X]]=0,tbal[[#This Row],[X]]=6)),tbal[[#This Row],[DEUDOR]],0)</f>
        <v>0</v>
      </c>
      <c r="N16" s="18">
        <f>IF((OR(tbal[[#This Row],[X]]=0,tbal[[#This Row],[X]]=5)),tbal[[#This Row],[ACREEDOR]],0)</f>
        <v>0</v>
      </c>
    </row>
    <row r="17" spans="1:14" x14ac:dyDescent="0.3">
      <c r="A17" s="14" t="str">
        <f>+'PLAN DE CUENTAS'!A17</f>
        <v>1.1.2.02</v>
      </c>
      <c r="B17" s="13" t="str">
        <f>+'PLAN DE CUENTAS'!B17</f>
        <v>DOCUENTOS POR COBRAR</v>
      </c>
      <c r="C17" s="13">
        <f>+'PLAN DE CUENTAS'!C17</f>
        <v>1</v>
      </c>
      <c r="D17" t="str">
        <f>IF(tbal[[#This Row],[DEBE]]+tbal[[#This Row],[HABER]]=0,"","X")</f>
        <v/>
      </c>
      <c r="E17" s="16">
        <f>SUMIF(tdiario[CUENTA],tbal[[#This Row],[CUENTA]],tdiario[DEBE])</f>
        <v>0</v>
      </c>
      <c r="F17" s="17">
        <f>SUMIF(tdiario[CUENTA],tbal[[#This Row],[CUENTA]],tdiario[HABER])</f>
        <v>0</v>
      </c>
      <c r="G17" s="16">
        <f>IF(tbal[[#This Row],[DEBE]]-tbal[[#This Row],[HABER]]&gt;0,tbal[[#This Row],[DEBE]]-tbal[[#This Row],[HABER]],0)</f>
        <v>0</v>
      </c>
      <c r="H17" s="18">
        <f>IF(tbal[[#This Row],[HABER]]-tbal[[#This Row],[DEBE]]&gt;0,tbal[[#This Row],[HABER]]-tbal[[#This Row],[DEBE]],0)</f>
        <v>0</v>
      </c>
      <c r="I17" s="16">
        <f>IF((OR(tbal[[#This Row],[X]]=1,tbal[[#This Row],[X]]=2)),tbal[[#This Row],[DEUDOR]],0)</f>
        <v>0</v>
      </c>
      <c r="J17" s="18">
        <f>IF((OR(tbal[[#This Row],[X]]=2,tbal[[#This Row],[X]]=3)),tbal[[#This Row],[ACREEDOR]],0)</f>
        <v>0</v>
      </c>
      <c r="K17" s="16">
        <f>IF((OR(tbal[[#This Row],[X]]=3,tbal[[#This Row],[X]]=5)),tbal[[#This Row],[DEUDOR]],0)</f>
        <v>0</v>
      </c>
      <c r="L17" s="18">
        <f>IF((OR(tbal[[#This Row],[X]]=3,tbal[[#This Row],[X]]=4)),tbal[[#This Row],[ACREEDOR]],0)</f>
        <v>0</v>
      </c>
      <c r="M17" s="16">
        <f>IF((OR(tbal[[#This Row],[X]]=0,tbal[[#This Row],[X]]=6)),tbal[[#This Row],[DEUDOR]],0)</f>
        <v>0</v>
      </c>
      <c r="N17" s="18">
        <f>IF((OR(tbal[[#This Row],[X]]=0,tbal[[#This Row],[X]]=5)),tbal[[#This Row],[ACREEDOR]],0)</f>
        <v>0</v>
      </c>
    </row>
    <row r="18" spans="1:14" x14ac:dyDescent="0.3">
      <c r="A18" s="14" t="str">
        <f>+'PLAN DE CUENTAS'!A18</f>
        <v>1.1.2.03</v>
      </c>
      <c r="B18" s="13" t="str">
        <f>+'PLAN DE CUENTAS'!B18</f>
        <v>ANTICIPOS SOBRE SUELDOS</v>
      </c>
      <c r="C18" s="13">
        <f>+'PLAN DE CUENTAS'!C18</f>
        <v>1</v>
      </c>
      <c r="D18" t="str">
        <f>IF(tbal[[#This Row],[DEBE]]+tbal[[#This Row],[HABER]]=0,"","X")</f>
        <v/>
      </c>
      <c r="E18" s="16">
        <f>SUMIF(tdiario[CUENTA],tbal[[#This Row],[CUENTA]],tdiario[DEBE])</f>
        <v>0</v>
      </c>
      <c r="F18" s="17">
        <f>SUMIF(tdiario[CUENTA],tbal[[#This Row],[CUENTA]],tdiario[HABER])</f>
        <v>0</v>
      </c>
      <c r="G18" s="16">
        <f>IF(tbal[[#This Row],[DEBE]]-tbal[[#This Row],[HABER]]&gt;0,tbal[[#This Row],[DEBE]]-tbal[[#This Row],[HABER]],0)</f>
        <v>0</v>
      </c>
      <c r="H18" s="18">
        <f>IF(tbal[[#This Row],[HABER]]-tbal[[#This Row],[DEBE]]&gt;0,tbal[[#This Row],[HABER]]-tbal[[#This Row],[DEBE]],0)</f>
        <v>0</v>
      </c>
      <c r="I18" s="16">
        <f>IF((OR(tbal[[#This Row],[X]]=1,tbal[[#This Row],[X]]=2)),tbal[[#This Row],[DEUDOR]],0)</f>
        <v>0</v>
      </c>
      <c r="J18" s="18">
        <f>IF((OR(tbal[[#This Row],[X]]=2,tbal[[#This Row],[X]]=3)),tbal[[#This Row],[ACREEDOR]],0)</f>
        <v>0</v>
      </c>
      <c r="K18" s="16">
        <f>IF((OR(tbal[[#This Row],[X]]=3,tbal[[#This Row],[X]]=5)),tbal[[#This Row],[DEUDOR]],0)</f>
        <v>0</v>
      </c>
      <c r="L18" s="18">
        <f>IF((OR(tbal[[#This Row],[X]]=3,tbal[[#This Row],[X]]=4)),tbal[[#This Row],[ACREEDOR]],0)</f>
        <v>0</v>
      </c>
      <c r="M18" s="16">
        <f>IF((OR(tbal[[#This Row],[X]]=0,tbal[[#This Row],[X]]=6)),tbal[[#This Row],[DEUDOR]],0)</f>
        <v>0</v>
      </c>
      <c r="N18" s="18">
        <f>IF((OR(tbal[[#This Row],[X]]=0,tbal[[#This Row],[X]]=5)),tbal[[#This Row],[ACREEDOR]],0)</f>
        <v>0</v>
      </c>
    </row>
    <row r="19" spans="1:14" x14ac:dyDescent="0.3">
      <c r="A19" s="14" t="str">
        <f>+'PLAN DE CUENTAS'!A19</f>
        <v>1.1.2.04</v>
      </c>
      <c r="B19" s="13" t="str">
        <f>+'PLAN DE CUENTAS'!B19</f>
        <v>PRESTAMOS AL PERSONAL</v>
      </c>
      <c r="C19" s="13">
        <f>+'PLAN DE CUENTAS'!C19</f>
        <v>1</v>
      </c>
      <c r="D19" t="str">
        <f>IF(tbal[[#This Row],[DEBE]]+tbal[[#This Row],[HABER]]=0,"","X")</f>
        <v/>
      </c>
      <c r="E19" s="16">
        <f>SUMIF(tdiario[CUENTA],tbal[[#This Row],[CUENTA]],tdiario[DEBE])</f>
        <v>0</v>
      </c>
      <c r="F19" s="17">
        <f>SUMIF(tdiario[CUENTA],tbal[[#This Row],[CUENTA]],tdiario[HABER])</f>
        <v>0</v>
      </c>
      <c r="G19" s="16">
        <f>IF(tbal[[#This Row],[DEBE]]-tbal[[#This Row],[HABER]]&gt;0,tbal[[#This Row],[DEBE]]-tbal[[#This Row],[HABER]],0)</f>
        <v>0</v>
      </c>
      <c r="H19" s="18">
        <f>IF(tbal[[#This Row],[HABER]]-tbal[[#This Row],[DEBE]]&gt;0,tbal[[#This Row],[HABER]]-tbal[[#This Row],[DEBE]],0)</f>
        <v>0</v>
      </c>
      <c r="I19" s="16">
        <f>IF((OR(tbal[[#This Row],[X]]=1,tbal[[#This Row],[X]]=2)),tbal[[#This Row],[DEUDOR]],0)</f>
        <v>0</v>
      </c>
      <c r="J19" s="18">
        <f>IF((OR(tbal[[#This Row],[X]]=2,tbal[[#This Row],[X]]=3)),tbal[[#This Row],[ACREEDOR]],0)</f>
        <v>0</v>
      </c>
      <c r="K19" s="16">
        <f>IF((OR(tbal[[#This Row],[X]]=3,tbal[[#This Row],[X]]=5)),tbal[[#This Row],[DEUDOR]],0)</f>
        <v>0</v>
      </c>
      <c r="L19" s="18">
        <f>IF((OR(tbal[[#This Row],[X]]=3,tbal[[#This Row],[X]]=4)),tbal[[#This Row],[ACREEDOR]],0)</f>
        <v>0</v>
      </c>
      <c r="M19" s="16">
        <f>IF((OR(tbal[[#This Row],[X]]=0,tbal[[#This Row],[X]]=6)),tbal[[#This Row],[DEUDOR]],0)</f>
        <v>0</v>
      </c>
      <c r="N19" s="18">
        <f>IF((OR(tbal[[#This Row],[X]]=0,tbal[[#This Row],[X]]=5)),tbal[[#This Row],[ACREEDOR]],0)</f>
        <v>0</v>
      </c>
    </row>
    <row r="20" spans="1:14" x14ac:dyDescent="0.3">
      <c r="A20" s="14" t="str">
        <f>+'PLAN DE CUENTAS'!A20</f>
        <v>1.1.2.05</v>
      </c>
      <c r="B20" s="13" t="str">
        <f>+'PLAN DE CUENTAS'!B20</f>
        <v>DEUDORES CON CARGO DE CUENTA</v>
      </c>
      <c r="C20" s="13">
        <f>+'PLAN DE CUENTAS'!C20</f>
        <v>1</v>
      </c>
      <c r="D20" t="str">
        <f>IF(tbal[[#This Row],[DEBE]]+tbal[[#This Row],[HABER]]=0,"","X")</f>
        <v/>
      </c>
      <c r="E20" s="16">
        <f>SUMIF(tdiario[CUENTA],tbal[[#This Row],[CUENTA]],tdiario[DEBE])</f>
        <v>0</v>
      </c>
      <c r="F20" s="17">
        <f>SUMIF(tdiario[CUENTA],tbal[[#This Row],[CUENTA]],tdiario[HABER])</f>
        <v>0</v>
      </c>
      <c r="G20" s="16">
        <f>IF(tbal[[#This Row],[DEBE]]-tbal[[#This Row],[HABER]]&gt;0,tbal[[#This Row],[DEBE]]-tbal[[#This Row],[HABER]],0)</f>
        <v>0</v>
      </c>
      <c r="H20" s="18">
        <f>IF(tbal[[#This Row],[HABER]]-tbal[[#This Row],[DEBE]]&gt;0,tbal[[#This Row],[HABER]]-tbal[[#This Row],[DEBE]],0)</f>
        <v>0</v>
      </c>
      <c r="I20" s="16">
        <f>IF((OR(tbal[[#This Row],[X]]=1,tbal[[#This Row],[X]]=2)),tbal[[#This Row],[DEUDOR]],0)</f>
        <v>0</v>
      </c>
      <c r="J20" s="18">
        <f>IF((OR(tbal[[#This Row],[X]]=2,tbal[[#This Row],[X]]=3)),tbal[[#This Row],[ACREEDOR]],0)</f>
        <v>0</v>
      </c>
      <c r="K20" s="16">
        <f>IF((OR(tbal[[#This Row],[X]]=3,tbal[[#This Row],[X]]=5)),tbal[[#This Row],[DEUDOR]],0)</f>
        <v>0</v>
      </c>
      <c r="L20" s="18">
        <f>IF((OR(tbal[[#This Row],[X]]=3,tbal[[#This Row],[X]]=4)),tbal[[#This Row],[ACREEDOR]],0)</f>
        <v>0</v>
      </c>
      <c r="M20" s="16">
        <f>IF((OR(tbal[[#This Row],[X]]=0,tbal[[#This Row],[X]]=6)),tbal[[#This Row],[DEUDOR]],0)</f>
        <v>0</v>
      </c>
      <c r="N20" s="18">
        <f>IF((OR(tbal[[#This Row],[X]]=0,tbal[[#This Row],[X]]=5)),tbal[[#This Row],[ACREEDOR]],0)</f>
        <v>0</v>
      </c>
    </row>
    <row r="21" spans="1:14" x14ac:dyDescent="0.3">
      <c r="A21" s="14" t="str">
        <f>+'PLAN DE CUENTAS'!A21</f>
        <v>1.1.2.06</v>
      </c>
      <c r="B21" s="13" t="str">
        <f>+'PLAN DE CUENTAS'!B21</f>
        <v>CREDITO FISCAL</v>
      </c>
      <c r="C21" s="13">
        <f>+'PLAN DE CUENTAS'!C21</f>
        <v>1</v>
      </c>
      <c r="D21" t="str">
        <f>IF(tbal[[#This Row],[DEBE]]+tbal[[#This Row],[HABER]]=0,"","X")</f>
        <v>X</v>
      </c>
      <c r="E21" s="64">
        <f>SUMIF(tdiario[CUENTA],tbal[[#This Row],[CUENTA]],tdiario[DEBE])</f>
        <v>45769.75</v>
      </c>
      <c r="F21" s="65">
        <f>SUMIF(tdiario[CUENTA],tbal[[#This Row],[CUENTA]],tdiario[HABER])</f>
        <v>45769.75</v>
      </c>
      <c r="G21" s="64">
        <f>IF(tbal[[#This Row],[DEBE]]-tbal[[#This Row],[HABER]]&gt;0,tbal[[#This Row],[DEBE]]-tbal[[#This Row],[HABER]],0)</f>
        <v>0</v>
      </c>
      <c r="H21" s="66">
        <f>IF(tbal[[#This Row],[HABER]]-tbal[[#This Row],[DEBE]]&gt;0,tbal[[#This Row],[HABER]]-tbal[[#This Row],[DEBE]],0)</f>
        <v>0</v>
      </c>
      <c r="I21" s="16">
        <f>IF((OR(tbal[[#This Row],[X]]=1,tbal[[#This Row],[X]]=2)),tbal[[#This Row],[DEUDOR]],0)</f>
        <v>0</v>
      </c>
      <c r="J21" s="18">
        <f>IF((OR(tbal[[#This Row],[X]]=2,tbal[[#This Row],[X]]=3)),tbal[[#This Row],[ACREEDOR]],0)</f>
        <v>0</v>
      </c>
      <c r="K21" s="16">
        <f>IF((OR(tbal[[#This Row],[X]]=3,tbal[[#This Row],[X]]=5)),tbal[[#This Row],[DEUDOR]],0)</f>
        <v>0</v>
      </c>
      <c r="L21" s="18">
        <f>IF((OR(tbal[[#This Row],[X]]=3,tbal[[#This Row],[X]]=4)),tbal[[#This Row],[ACREEDOR]],0)</f>
        <v>0</v>
      </c>
      <c r="M21" s="16">
        <f>IF((OR(tbal[[#This Row],[X]]=0,tbal[[#This Row],[X]]=6)),tbal[[#This Row],[DEUDOR]],0)</f>
        <v>0</v>
      </c>
      <c r="N21" s="18">
        <f>IF((OR(tbal[[#This Row],[X]]=0,tbal[[#This Row],[X]]=5)),tbal[[#This Row],[ACREEDOR]],0)</f>
        <v>0</v>
      </c>
    </row>
    <row r="22" spans="1:14" x14ac:dyDescent="0.3">
      <c r="A22" s="14" t="str">
        <f>+'PLAN DE CUENTAS'!A22</f>
        <v>1.1.2.07</v>
      </c>
      <c r="B22" s="13" t="str">
        <f>+'PLAN DE CUENTAS'!B22</f>
        <v>ANTICIPO PROVEEDORES</v>
      </c>
      <c r="C22" s="13">
        <f>+'PLAN DE CUENTAS'!C22</f>
        <v>1</v>
      </c>
      <c r="D22" t="str">
        <f>IF(tbal[[#This Row],[DEBE]]+tbal[[#This Row],[HABER]]=0,"","X")</f>
        <v/>
      </c>
      <c r="E22" s="16">
        <f>SUMIF(tdiario[CUENTA],tbal[[#This Row],[CUENTA]],tdiario[DEBE])</f>
        <v>0</v>
      </c>
      <c r="F22" s="17">
        <f>SUMIF(tdiario[CUENTA],tbal[[#This Row],[CUENTA]],tdiario[HABER])</f>
        <v>0</v>
      </c>
      <c r="G22" s="16">
        <f>IF(tbal[[#This Row],[DEBE]]-tbal[[#This Row],[HABER]]&gt;0,tbal[[#This Row],[DEBE]]-tbal[[#This Row],[HABER]],0)</f>
        <v>0</v>
      </c>
      <c r="H22" s="18">
        <f>IF(tbal[[#This Row],[HABER]]-tbal[[#This Row],[DEBE]]&gt;0,tbal[[#This Row],[HABER]]-tbal[[#This Row],[DEBE]],0)</f>
        <v>0</v>
      </c>
      <c r="I22" s="16">
        <f>IF((OR(tbal[[#This Row],[X]]=1,tbal[[#This Row],[X]]=2)),tbal[[#This Row],[DEUDOR]],0)</f>
        <v>0</v>
      </c>
      <c r="J22" s="18">
        <f>IF((OR(tbal[[#This Row],[X]]=2,tbal[[#This Row],[X]]=3)),tbal[[#This Row],[ACREEDOR]],0)</f>
        <v>0</v>
      </c>
      <c r="K22" s="16">
        <f>IF((OR(tbal[[#This Row],[X]]=3,tbal[[#This Row],[X]]=5)),tbal[[#This Row],[DEUDOR]],0)</f>
        <v>0</v>
      </c>
      <c r="L22" s="18">
        <f>IF((OR(tbal[[#This Row],[X]]=3,tbal[[#This Row],[X]]=4)),tbal[[#This Row],[ACREEDOR]],0)</f>
        <v>0</v>
      </c>
      <c r="M22" s="16">
        <f>IF((OR(tbal[[#This Row],[X]]=0,tbal[[#This Row],[X]]=6)),tbal[[#This Row],[DEUDOR]],0)</f>
        <v>0</v>
      </c>
      <c r="N22" s="18">
        <f>IF((OR(tbal[[#This Row],[X]]=0,tbal[[#This Row],[X]]=5)),tbal[[#This Row],[ACREEDOR]],0)</f>
        <v>0</v>
      </c>
    </row>
    <row r="23" spans="1:14" x14ac:dyDescent="0.3">
      <c r="A23" s="14" t="str">
        <f>+'PLAN DE CUENTAS'!A23</f>
        <v>1.1.2.08</v>
      </c>
      <c r="B23" s="13" t="str">
        <f>+'PLAN DE CUENTAS'!B23</f>
        <v>ANTICIPO IMPUESTOS</v>
      </c>
      <c r="C23" s="13">
        <f>+'PLAN DE CUENTAS'!C23</f>
        <v>1</v>
      </c>
      <c r="D23" t="str">
        <f>IF(tbal[[#This Row],[DEBE]]+tbal[[#This Row],[HABER]]=0,"","X")</f>
        <v/>
      </c>
      <c r="E23" s="16">
        <f>SUMIF(tdiario[CUENTA],tbal[[#This Row],[CUENTA]],tdiario[DEBE])</f>
        <v>0</v>
      </c>
      <c r="F23" s="17">
        <f>SUMIF(tdiario[CUENTA],tbal[[#This Row],[CUENTA]],tdiario[HABER])</f>
        <v>0</v>
      </c>
      <c r="G23" s="16">
        <f>IF(tbal[[#This Row],[DEBE]]-tbal[[#This Row],[HABER]]&gt;0,tbal[[#This Row],[DEBE]]-tbal[[#This Row],[HABER]],0)</f>
        <v>0</v>
      </c>
      <c r="H23" s="18">
        <f>IF(tbal[[#This Row],[HABER]]-tbal[[#This Row],[DEBE]]&gt;0,tbal[[#This Row],[HABER]]-tbal[[#This Row],[DEBE]],0)</f>
        <v>0</v>
      </c>
      <c r="I23" s="16">
        <f>IF((OR(tbal[[#This Row],[X]]=1,tbal[[#This Row],[X]]=2)),tbal[[#This Row],[DEUDOR]],0)</f>
        <v>0</v>
      </c>
      <c r="J23" s="18">
        <f>IF((OR(tbal[[#This Row],[X]]=2,tbal[[#This Row],[X]]=3)),tbal[[#This Row],[ACREEDOR]],0)</f>
        <v>0</v>
      </c>
      <c r="K23" s="16">
        <f>IF((OR(tbal[[#This Row],[X]]=3,tbal[[#This Row],[X]]=5)),tbal[[#This Row],[DEUDOR]],0)</f>
        <v>0</v>
      </c>
      <c r="L23" s="18">
        <f>IF((OR(tbal[[#This Row],[X]]=3,tbal[[#This Row],[X]]=4)),tbal[[#This Row],[ACREEDOR]],0)</f>
        <v>0</v>
      </c>
      <c r="M23" s="16">
        <f>IF((OR(tbal[[#This Row],[X]]=0,tbal[[#This Row],[X]]=6)),tbal[[#This Row],[DEUDOR]],0)</f>
        <v>0</v>
      </c>
      <c r="N23" s="18">
        <f>IF((OR(tbal[[#This Row],[X]]=0,tbal[[#This Row],[X]]=5)),tbal[[#This Row],[ACREEDOR]],0)</f>
        <v>0</v>
      </c>
    </row>
    <row r="24" spans="1:14" x14ac:dyDescent="0.3">
      <c r="A24" s="14" t="str">
        <f>+'PLAN DE CUENTAS'!A24</f>
        <v>1.1.2.09</v>
      </c>
      <c r="B24" s="13" t="str">
        <f>+'PLAN DE CUENTAS'!B24</f>
        <v>IUE POR COMPENSAR</v>
      </c>
      <c r="C24" s="13">
        <f>+'PLAN DE CUENTAS'!C24</f>
        <v>1</v>
      </c>
      <c r="D24" t="str">
        <f>IF(tbal[[#This Row],[DEBE]]+tbal[[#This Row],[HABER]]=0,"","X")</f>
        <v/>
      </c>
      <c r="E24" s="16">
        <f>SUMIF(tdiario[CUENTA],tbal[[#This Row],[CUENTA]],tdiario[DEBE])</f>
        <v>0</v>
      </c>
      <c r="F24" s="17">
        <f>SUMIF(tdiario[CUENTA],tbal[[#This Row],[CUENTA]],tdiario[HABER])</f>
        <v>0</v>
      </c>
      <c r="G24" s="16">
        <f>IF(tbal[[#This Row],[DEBE]]-tbal[[#This Row],[HABER]]&gt;0,tbal[[#This Row],[DEBE]]-tbal[[#This Row],[HABER]],0)</f>
        <v>0</v>
      </c>
      <c r="H24" s="18">
        <f>IF(tbal[[#This Row],[HABER]]-tbal[[#This Row],[DEBE]]&gt;0,tbal[[#This Row],[HABER]]-tbal[[#This Row],[DEBE]],0)</f>
        <v>0</v>
      </c>
      <c r="I24" s="16">
        <f>IF((OR(tbal[[#This Row],[X]]=1,tbal[[#This Row],[X]]=2)),tbal[[#This Row],[DEUDOR]],0)</f>
        <v>0</v>
      </c>
      <c r="J24" s="18">
        <f>IF((OR(tbal[[#This Row],[X]]=2,tbal[[#This Row],[X]]=3)),tbal[[#This Row],[ACREEDOR]],0)</f>
        <v>0</v>
      </c>
      <c r="K24" s="16">
        <f>IF((OR(tbal[[#This Row],[X]]=3,tbal[[#This Row],[X]]=5)),tbal[[#This Row],[DEUDOR]],0)</f>
        <v>0</v>
      </c>
      <c r="L24" s="18">
        <f>IF((OR(tbal[[#This Row],[X]]=3,tbal[[#This Row],[X]]=4)),tbal[[#This Row],[ACREEDOR]],0)</f>
        <v>0</v>
      </c>
      <c r="M24" s="16">
        <f>IF((OR(tbal[[#This Row],[X]]=0,tbal[[#This Row],[X]]=6)),tbal[[#This Row],[DEUDOR]],0)</f>
        <v>0</v>
      </c>
      <c r="N24" s="18">
        <f>IF((OR(tbal[[#This Row],[X]]=0,tbal[[#This Row],[X]]=5)),tbal[[#This Row],[ACREEDOR]],0)</f>
        <v>0</v>
      </c>
    </row>
    <row r="25" spans="1:14" x14ac:dyDescent="0.3">
      <c r="A25" s="14" t="str">
        <f>+'PLAN DE CUENTAS'!A25</f>
        <v>1.1.2.10</v>
      </c>
      <c r="B25" s="13" t="str">
        <f>+'PLAN DE CUENTAS'!B25</f>
        <v>IVA DIFERIDO</v>
      </c>
      <c r="C25" s="13">
        <f>+'PLAN DE CUENTAS'!C25</f>
        <v>1</v>
      </c>
      <c r="D25" t="str">
        <f>IF(tbal[[#This Row],[DEBE]]+tbal[[#This Row],[HABER]]=0,"","X")</f>
        <v/>
      </c>
      <c r="E25" s="16">
        <f>SUMIF(tdiario[CUENTA],tbal[[#This Row],[CUENTA]],tdiario[DEBE])</f>
        <v>0</v>
      </c>
      <c r="F25" s="17">
        <f>SUMIF(tdiario[CUENTA],tbal[[#This Row],[CUENTA]],tdiario[HABER])</f>
        <v>0</v>
      </c>
      <c r="G25" s="16">
        <f>IF(tbal[[#This Row],[DEBE]]-tbal[[#This Row],[HABER]]&gt;0,tbal[[#This Row],[DEBE]]-tbal[[#This Row],[HABER]],0)</f>
        <v>0</v>
      </c>
      <c r="H25" s="18">
        <f>IF(tbal[[#This Row],[HABER]]-tbal[[#This Row],[DEBE]]&gt;0,tbal[[#This Row],[HABER]]-tbal[[#This Row],[DEBE]],0)</f>
        <v>0</v>
      </c>
      <c r="I25" s="16">
        <f>IF((OR(tbal[[#This Row],[X]]=1,tbal[[#This Row],[X]]=2)),tbal[[#This Row],[DEUDOR]],0)</f>
        <v>0</v>
      </c>
      <c r="J25" s="18">
        <f>IF((OR(tbal[[#This Row],[X]]=2,tbal[[#This Row],[X]]=3)),tbal[[#This Row],[ACREEDOR]],0)</f>
        <v>0</v>
      </c>
      <c r="K25" s="16">
        <f>IF((OR(tbal[[#This Row],[X]]=3,tbal[[#This Row],[X]]=5)),tbal[[#This Row],[DEUDOR]],0)</f>
        <v>0</v>
      </c>
      <c r="L25" s="18">
        <f>IF((OR(tbal[[#This Row],[X]]=3,tbal[[#This Row],[X]]=4)),tbal[[#This Row],[ACREEDOR]],0)</f>
        <v>0</v>
      </c>
      <c r="M25" s="16">
        <f>IF((OR(tbal[[#This Row],[X]]=0,tbal[[#This Row],[X]]=6)),tbal[[#This Row],[DEUDOR]],0)</f>
        <v>0</v>
      </c>
      <c r="N25" s="18">
        <f>IF((OR(tbal[[#This Row],[X]]=0,tbal[[#This Row],[X]]=5)),tbal[[#This Row],[ACREEDOR]],0)</f>
        <v>0</v>
      </c>
    </row>
    <row r="26" spans="1:14" x14ac:dyDescent="0.3">
      <c r="A26" s="14" t="str">
        <f>+'PLAN DE CUENTAS'!A26</f>
        <v>1.1.3</v>
      </c>
      <c r="B26" s="13" t="str">
        <f>+'PLAN DE CUENTAS'!B26</f>
        <v>ACTIVO REALIZABLE</v>
      </c>
      <c r="C26" s="13">
        <f>+'PLAN DE CUENTAS'!C26</f>
        <v>1</v>
      </c>
      <c r="D26" t="str">
        <f>IF(tbal[[#This Row],[DEBE]]+tbal[[#This Row],[HABER]]=0,"","X")</f>
        <v/>
      </c>
      <c r="E26" s="16">
        <f>SUMIF(tdiario[CUENTA],tbal[[#This Row],[CUENTA]],tdiario[DEBE])</f>
        <v>0</v>
      </c>
      <c r="F26" s="17">
        <f>SUMIF(tdiario[CUENTA],tbal[[#This Row],[CUENTA]],tdiario[HABER])</f>
        <v>0</v>
      </c>
      <c r="G26" s="16">
        <f>IF(tbal[[#This Row],[DEBE]]-tbal[[#This Row],[HABER]]&gt;0,tbal[[#This Row],[DEBE]]-tbal[[#This Row],[HABER]],0)</f>
        <v>0</v>
      </c>
      <c r="H26" s="18">
        <f>IF(tbal[[#This Row],[HABER]]-tbal[[#This Row],[DEBE]]&gt;0,tbal[[#This Row],[HABER]]-tbal[[#This Row],[DEBE]],0)</f>
        <v>0</v>
      </c>
      <c r="I26" s="16">
        <f>IF((OR(tbal[[#This Row],[X]]=1,tbal[[#This Row],[X]]=2)),tbal[[#This Row],[DEUDOR]],0)</f>
        <v>0</v>
      </c>
      <c r="J26" s="18">
        <f>IF((OR(tbal[[#This Row],[X]]=2,tbal[[#This Row],[X]]=3)),tbal[[#This Row],[ACREEDOR]],0)</f>
        <v>0</v>
      </c>
      <c r="K26" s="16">
        <f>IF((OR(tbal[[#This Row],[X]]=3,tbal[[#This Row],[X]]=5)),tbal[[#This Row],[DEUDOR]],0)</f>
        <v>0</v>
      </c>
      <c r="L26" s="18">
        <f>IF((OR(tbal[[#This Row],[X]]=3,tbal[[#This Row],[X]]=4)),tbal[[#This Row],[ACREEDOR]],0)</f>
        <v>0</v>
      </c>
      <c r="M26" s="16">
        <f>IF((OR(tbal[[#This Row],[X]]=0,tbal[[#This Row],[X]]=6)),tbal[[#This Row],[DEUDOR]],0)</f>
        <v>0</v>
      </c>
      <c r="N26" s="18">
        <f>IF((OR(tbal[[#This Row],[X]]=0,tbal[[#This Row],[X]]=5)),tbal[[#This Row],[ACREEDOR]],0)</f>
        <v>0</v>
      </c>
    </row>
    <row r="27" spans="1:14" x14ac:dyDescent="0.3">
      <c r="A27" s="14" t="str">
        <f>+'PLAN DE CUENTAS'!A27</f>
        <v>1.1.3.01</v>
      </c>
      <c r="B27" s="13" t="str">
        <f>+'PLAN DE CUENTAS'!B27</f>
        <v>INVENTARIO INICIAL</v>
      </c>
      <c r="C27" s="13">
        <f>+'PLAN DE CUENTAS'!C27</f>
        <v>1</v>
      </c>
      <c r="D27" t="str">
        <f>IF(tbal[[#This Row],[DEBE]]+tbal[[#This Row],[HABER]]=0,"","X")</f>
        <v>X</v>
      </c>
      <c r="E27" s="16">
        <f>SUMIF(tdiario[CUENTA],tbal[[#This Row],[CUENTA]],tdiario[DEBE])</f>
        <v>89000</v>
      </c>
      <c r="F27" s="17">
        <f>SUMIF(tdiario[CUENTA],tbal[[#This Row],[CUENTA]],tdiario[HABER])</f>
        <v>0</v>
      </c>
      <c r="G27" s="16">
        <f>IF(tbal[[#This Row],[DEBE]]-tbal[[#This Row],[HABER]]&gt;0,tbal[[#This Row],[DEBE]]-tbal[[#This Row],[HABER]],0)</f>
        <v>89000</v>
      </c>
      <c r="H27" s="18">
        <f>IF(tbal[[#This Row],[HABER]]-tbal[[#This Row],[DEBE]]&gt;0,tbal[[#This Row],[HABER]]-tbal[[#This Row],[DEBE]],0)</f>
        <v>0</v>
      </c>
      <c r="I27" s="16">
        <f>IF((OR(tbal[[#This Row],[X]]=1,tbal[[#This Row],[X]]=2)),tbal[[#This Row],[DEUDOR]],0)</f>
        <v>89000</v>
      </c>
      <c r="J27" s="18">
        <f>IF((OR(tbal[[#This Row],[X]]=2,tbal[[#This Row],[X]]=3)),tbal[[#This Row],[ACREEDOR]],0)</f>
        <v>0</v>
      </c>
      <c r="K27" s="16">
        <f>IF((OR(tbal[[#This Row],[X]]=3,tbal[[#This Row],[X]]=5)),tbal[[#This Row],[DEUDOR]],0)</f>
        <v>0</v>
      </c>
      <c r="L27" s="18">
        <f>IF((OR(tbal[[#This Row],[X]]=3,tbal[[#This Row],[X]]=4)),tbal[[#This Row],[ACREEDOR]],0)</f>
        <v>0</v>
      </c>
      <c r="M27" s="16">
        <f>IF((OR(tbal[[#This Row],[X]]=0,tbal[[#This Row],[X]]=6)),tbal[[#This Row],[DEUDOR]],0)</f>
        <v>0</v>
      </c>
      <c r="N27" s="18">
        <f>IF((OR(tbal[[#This Row],[X]]=0,tbal[[#This Row],[X]]=5)),tbal[[#This Row],[ACREEDOR]],0)</f>
        <v>0</v>
      </c>
    </row>
    <row r="28" spans="1:14" x14ac:dyDescent="0.3">
      <c r="A28" s="14" t="str">
        <f>+'PLAN DE CUENTAS'!A28</f>
        <v>1.1.3.02</v>
      </c>
      <c r="B28" s="13" t="str">
        <f>+'PLAN DE CUENTAS'!B28</f>
        <v>COMPRAS</v>
      </c>
      <c r="C28" s="13">
        <f>+'PLAN DE CUENTAS'!C28</f>
        <v>1</v>
      </c>
      <c r="D28" t="str">
        <f>IF(tbal[[#This Row],[DEBE]]+tbal[[#This Row],[HABER]]=0,"","X")</f>
        <v>X</v>
      </c>
      <c r="E28" s="16">
        <f>SUMIF(tdiario[CUENTA],tbal[[#This Row],[CUENTA]],tdiario[DEBE])</f>
        <v>280140</v>
      </c>
      <c r="F28" s="17">
        <f>SUMIF(tdiario[CUENTA],tbal[[#This Row],[CUENTA]],tdiario[HABER])</f>
        <v>0</v>
      </c>
      <c r="G28" s="16">
        <f>IF(tbal[[#This Row],[DEBE]]-tbal[[#This Row],[HABER]]&gt;0,tbal[[#This Row],[DEBE]]-tbal[[#This Row],[HABER]],0)</f>
        <v>280140</v>
      </c>
      <c r="H28" s="18">
        <f>IF(tbal[[#This Row],[HABER]]-tbal[[#This Row],[DEBE]]&gt;0,tbal[[#This Row],[HABER]]-tbal[[#This Row],[DEBE]],0)</f>
        <v>0</v>
      </c>
      <c r="I28" s="16">
        <f>IF((OR(tbal[[#This Row],[X]]=1,tbal[[#This Row],[X]]=2)),tbal[[#This Row],[DEUDOR]],0)</f>
        <v>280140</v>
      </c>
      <c r="J28" s="18">
        <f>IF((OR(tbal[[#This Row],[X]]=2,tbal[[#This Row],[X]]=3)),tbal[[#This Row],[ACREEDOR]],0)</f>
        <v>0</v>
      </c>
      <c r="K28" s="16">
        <f>IF((OR(tbal[[#This Row],[X]]=3,tbal[[#This Row],[X]]=5)),tbal[[#This Row],[DEUDOR]],0)</f>
        <v>0</v>
      </c>
      <c r="L28" s="18">
        <f>IF((OR(tbal[[#This Row],[X]]=3,tbal[[#This Row],[X]]=4)),tbal[[#This Row],[ACREEDOR]],0)</f>
        <v>0</v>
      </c>
      <c r="M28" s="16">
        <f>IF((OR(tbal[[#This Row],[X]]=0,tbal[[#This Row],[X]]=6)),tbal[[#This Row],[DEUDOR]],0)</f>
        <v>0</v>
      </c>
      <c r="N28" s="18">
        <f>IF((OR(tbal[[#This Row],[X]]=0,tbal[[#This Row],[X]]=5)),tbal[[#This Row],[ACREEDOR]],0)</f>
        <v>0</v>
      </c>
    </row>
    <row r="29" spans="1:14" x14ac:dyDescent="0.3">
      <c r="A29" s="14" t="str">
        <f>+'PLAN DE CUENTAS'!A29</f>
        <v>1.1.3.03</v>
      </c>
      <c r="B29" s="13" t="str">
        <f>+'PLAN DE CUENTAS'!B29</f>
        <v>MERCADERIAS EN TRANSITO</v>
      </c>
      <c r="C29" s="13">
        <f>+'PLAN DE CUENTAS'!C29</f>
        <v>1</v>
      </c>
      <c r="D29" t="str">
        <f>IF(tbal[[#This Row],[DEBE]]+tbal[[#This Row],[HABER]]=0,"","X")</f>
        <v/>
      </c>
      <c r="E29" s="16">
        <f>SUMIF(tdiario[CUENTA],tbal[[#This Row],[CUENTA]],tdiario[DEBE])</f>
        <v>0</v>
      </c>
      <c r="F29" s="17">
        <f>SUMIF(tdiario[CUENTA],tbal[[#This Row],[CUENTA]],tdiario[HABER])</f>
        <v>0</v>
      </c>
      <c r="G29" s="16">
        <f>IF(tbal[[#This Row],[DEBE]]-tbal[[#This Row],[HABER]]&gt;0,tbal[[#This Row],[DEBE]]-tbal[[#This Row],[HABER]],0)</f>
        <v>0</v>
      </c>
      <c r="H29" s="18">
        <f>IF(tbal[[#This Row],[HABER]]-tbal[[#This Row],[DEBE]]&gt;0,tbal[[#This Row],[HABER]]-tbal[[#This Row],[DEBE]],0)</f>
        <v>0</v>
      </c>
      <c r="I29" s="16">
        <f>IF((OR(tbal[[#This Row],[X]]=1,tbal[[#This Row],[X]]=2)),tbal[[#This Row],[DEUDOR]],0)</f>
        <v>0</v>
      </c>
      <c r="J29" s="18">
        <f>IF((OR(tbal[[#This Row],[X]]=2,tbal[[#This Row],[X]]=3)),tbal[[#This Row],[ACREEDOR]],0)</f>
        <v>0</v>
      </c>
      <c r="K29" s="16">
        <f>IF((OR(tbal[[#This Row],[X]]=3,tbal[[#This Row],[X]]=5)),tbal[[#This Row],[DEUDOR]],0)</f>
        <v>0</v>
      </c>
      <c r="L29" s="18">
        <f>IF((OR(tbal[[#This Row],[X]]=3,tbal[[#This Row],[X]]=4)),tbal[[#This Row],[ACREEDOR]],0)</f>
        <v>0</v>
      </c>
      <c r="M29" s="16">
        <f>IF((OR(tbal[[#This Row],[X]]=0,tbal[[#This Row],[X]]=6)),tbal[[#This Row],[DEUDOR]],0)</f>
        <v>0</v>
      </c>
      <c r="N29" s="18">
        <f>IF((OR(tbal[[#This Row],[X]]=0,tbal[[#This Row],[X]]=5)),tbal[[#This Row],[ACREEDOR]],0)</f>
        <v>0</v>
      </c>
    </row>
    <row r="30" spans="1:14" x14ac:dyDescent="0.3">
      <c r="A30" s="14" t="str">
        <f>+'PLAN DE CUENTAS'!A30</f>
        <v>1.1.3.04</v>
      </c>
      <c r="B30" s="13" t="str">
        <f>+'PLAN DE CUENTAS'!B30</f>
        <v>EXISTENCIA EN TIENDA</v>
      </c>
      <c r="C30" s="13">
        <f>+'PLAN DE CUENTAS'!C30</f>
        <v>1</v>
      </c>
      <c r="D30" t="str">
        <f>IF(tbal[[#This Row],[DEBE]]+tbal[[#This Row],[HABER]]=0,"","X")</f>
        <v/>
      </c>
      <c r="E30" s="16">
        <f>SUMIF(tdiario[CUENTA],tbal[[#This Row],[CUENTA]],tdiario[DEBE])</f>
        <v>0</v>
      </c>
      <c r="F30" s="17">
        <f>SUMIF(tdiario[CUENTA],tbal[[#This Row],[CUENTA]],tdiario[HABER])</f>
        <v>0</v>
      </c>
      <c r="G30" s="16">
        <f>IF(tbal[[#This Row],[DEBE]]-tbal[[#This Row],[HABER]]&gt;0,tbal[[#This Row],[DEBE]]-tbal[[#This Row],[HABER]],0)</f>
        <v>0</v>
      </c>
      <c r="H30" s="18">
        <f>IF(tbal[[#This Row],[HABER]]-tbal[[#This Row],[DEBE]]&gt;0,tbal[[#This Row],[HABER]]-tbal[[#This Row],[DEBE]],0)</f>
        <v>0</v>
      </c>
      <c r="I30" s="16">
        <f>IF((OR(tbal[[#This Row],[X]]=1,tbal[[#This Row],[X]]=2)),tbal[[#This Row],[DEUDOR]],0)</f>
        <v>0</v>
      </c>
      <c r="J30" s="18">
        <f>IF((OR(tbal[[#This Row],[X]]=2,tbal[[#This Row],[X]]=3)),tbal[[#This Row],[ACREEDOR]],0)</f>
        <v>0</v>
      </c>
      <c r="K30" s="16">
        <f>IF((OR(tbal[[#This Row],[X]]=3,tbal[[#This Row],[X]]=5)),tbal[[#This Row],[DEUDOR]],0)</f>
        <v>0</v>
      </c>
      <c r="L30" s="18">
        <f>IF((OR(tbal[[#This Row],[X]]=3,tbal[[#This Row],[X]]=4)),tbal[[#This Row],[ACREEDOR]],0)</f>
        <v>0</v>
      </c>
      <c r="M30" s="16">
        <f>IF((OR(tbal[[#This Row],[X]]=0,tbal[[#This Row],[X]]=6)),tbal[[#This Row],[DEUDOR]],0)</f>
        <v>0</v>
      </c>
      <c r="N30" s="18">
        <f>IF((OR(tbal[[#This Row],[X]]=0,tbal[[#This Row],[X]]=5)),tbal[[#This Row],[ACREEDOR]],0)</f>
        <v>0</v>
      </c>
    </row>
    <row r="31" spans="1:14" x14ac:dyDescent="0.3">
      <c r="A31" s="14" t="str">
        <f>+'PLAN DE CUENTAS'!A31</f>
        <v>1.1.3.05</v>
      </c>
      <c r="B31" s="13" t="str">
        <f>+'PLAN DE CUENTAS'!B31</f>
        <v>MERCADERIAS EN MOSTRADOR</v>
      </c>
      <c r="C31" s="13">
        <f>+'PLAN DE CUENTAS'!C31</f>
        <v>1</v>
      </c>
      <c r="D31" t="str">
        <f>IF(tbal[[#This Row],[DEBE]]+tbal[[#This Row],[HABER]]=0,"","X")</f>
        <v/>
      </c>
      <c r="E31" s="16">
        <f>SUMIF(tdiario[CUENTA],tbal[[#This Row],[CUENTA]],tdiario[DEBE])</f>
        <v>0</v>
      </c>
      <c r="F31" s="17">
        <f>SUMIF(tdiario[CUENTA],tbal[[#This Row],[CUENTA]],tdiario[HABER])</f>
        <v>0</v>
      </c>
      <c r="G31" s="16">
        <f>IF(tbal[[#This Row],[DEBE]]-tbal[[#This Row],[HABER]]&gt;0,tbal[[#This Row],[DEBE]]-tbal[[#This Row],[HABER]],0)</f>
        <v>0</v>
      </c>
      <c r="H31" s="18">
        <f>IF(tbal[[#This Row],[HABER]]-tbal[[#This Row],[DEBE]]&gt;0,tbal[[#This Row],[HABER]]-tbal[[#This Row],[DEBE]],0)</f>
        <v>0</v>
      </c>
      <c r="I31" s="16">
        <f>IF((OR(tbal[[#This Row],[X]]=1,tbal[[#This Row],[X]]=2)),tbal[[#This Row],[DEUDOR]],0)</f>
        <v>0</v>
      </c>
      <c r="J31" s="18">
        <f>IF((OR(tbal[[#This Row],[X]]=2,tbal[[#This Row],[X]]=3)),tbal[[#This Row],[ACREEDOR]],0)</f>
        <v>0</v>
      </c>
      <c r="K31" s="16">
        <f>IF((OR(tbal[[#This Row],[X]]=3,tbal[[#This Row],[X]]=5)),tbal[[#This Row],[DEUDOR]],0)</f>
        <v>0</v>
      </c>
      <c r="L31" s="18">
        <f>IF((OR(tbal[[#This Row],[X]]=3,tbal[[#This Row],[X]]=4)),tbal[[#This Row],[ACREEDOR]],0)</f>
        <v>0</v>
      </c>
      <c r="M31" s="16">
        <f>IF((OR(tbal[[#This Row],[X]]=0,tbal[[#This Row],[X]]=6)),tbal[[#This Row],[DEUDOR]],0)</f>
        <v>0</v>
      </c>
      <c r="N31" s="18">
        <f>IF((OR(tbal[[#This Row],[X]]=0,tbal[[#This Row],[X]]=5)),tbal[[#This Row],[ACREEDOR]],0)</f>
        <v>0</v>
      </c>
    </row>
    <row r="32" spans="1:14" x14ac:dyDescent="0.3">
      <c r="A32" s="14">
        <f>+'PLAN DE CUENTAS'!A32</f>
        <v>1.2</v>
      </c>
      <c r="B32" s="13" t="str">
        <f>+'PLAN DE CUENTAS'!B32</f>
        <v>ACTIVO NO CORRIENTE</v>
      </c>
      <c r="C32" s="13">
        <f>+'PLAN DE CUENTAS'!C32</f>
        <v>1</v>
      </c>
      <c r="D32" t="str">
        <f>IF(tbal[[#This Row],[DEBE]]+tbal[[#This Row],[HABER]]=0,"","X")</f>
        <v/>
      </c>
      <c r="E32" s="16">
        <f>SUMIF(tdiario[CUENTA],tbal[[#This Row],[CUENTA]],tdiario[DEBE])</f>
        <v>0</v>
      </c>
      <c r="F32" s="17">
        <f>SUMIF(tdiario[CUENTA],tbal[[#This Row],[CUENTA]],tdiario[HABER])</f>
        <v>0</v>
      </c>
      <c r="G32" s="16">
        <f>IF(tbal[[#This Row],[DEBE]]-tbal[[#This Row],[HABER]]&gt;0,tbal[[#This Row],[DEBE]]-tbal[[#This Row],[HABER]],0)</f>
        <v>0</v>
      </c>
      <c r="H32" s="18">
        <f>IF(tbal[[#This Row],[HABER]]-tbal[[#This Row],[DEBE]]&gt;0,tbal[[#This Row],[HABER]]-tbal[[#This Row],[DEBE]],0)</f>
        <v>0</v>
      </c>
      <c r="I32" s="16">
        <f>IF((OR(tbal[[#This Row],[X]]=1,tbal[[#This Row],[X]]=2)),tbal[[#This Row],[DEUDOR]],0)</f>
        <v>0</v>
      </c>
      <c r="J32" s="18">
        <f>IF((OR(tbal[[#This Row],[X]]=2,tbal[[#This Row],[X]]=3)),tbal[[#This Row],[ACREEDOR]],0)</f>
        <v>0</v>
      </c>
      <c r="K32" s="16">
        <f>IF((OR(tbal[[#This Row],[X]]=3,tbal[[#This Row],[X]]=5)),tbal[[#This Row],[DEUDOR]],0)</f>
        <v>0</v>
      </c>
      <c r="L32" s="18">
        <f>IF((OR(tbal[[#This Row],[X]]=3,tbal[[#This Row],[X]]=4)),tbal[[#This Row],[ACREEDOR]],0)</f>
        <v>0</v>
      </c>
      <c r="M32" s="16">
        <f>IF((OR(tbal[[#This Row],[X]]=0,tbal[[#This Row],[X]]=6)),tbal[[#This Row],[DEUDOR]],0)</f>
        <v>0</v>
      </c>
      <c r="N32" s="18">
        <f>IF((OR(tbal[[#This Row],[X]]=0,tbal[[#This Row],[X]]=5)),tbal[[#This Row],[ACREEDOR]],0)</f>
        <v>0</v>
      </c>
    </row>
    <row r="33" spans="1:14" x14ac:dyDescent="0.3">
      <c r="A33" s="14" t="str">
        <f>+'PLAN DE CUENTAS'!A33</f>
        <v>1.2.1</v>
      </c>
      <c r="B33" s="13" t="str">
        <f>+'PLAN DE CUENTAS'!B33</f>
        <v>BIENES DE USO</v>
      </c>
      <c r="C33" s="13">
        <f>+'PLAN DE CUENTAS'!C33</f>
        <v>1</v>
      </c>
      <c r="D33" t="str">
        <f>IF(tbal[[#This Row],[DEBE]]+tbal[[#This Row],[HABER]]=0,"","X")</f>
        <v/>
      </c>
      <c r="E33" s="16">
        <f>SUMIF(tdiario[CUENTA],tbal[[#This Row],[CUENTA]],tdiario[DEBE])</f>
        <v>0</v>
      </c>
      <c r="F33" s="17">
        <f>SUMIF(tdiario[CUENTA],tbal[[#This Row],[CUENTA]],tdiario[HABER])</f>
        <v>0</v>
      </c>
      <c r="G33" s="16">
        <f>IF(tbal[[#This Row],[DEBE]]-tbal[[#This Row],[HABER]]&gt;0,tbal[[#This Row],[DEBE]]-tbal[[#This Row],[HABER]],0)</f>
        <v>0</v>
      </c>
      <c r="H33" s="18">
        <f>IF(tbal[[#This Row],[HABER]]-tbal[[#This Row],[DEBE]]&gt;0,tbal[[#This Row],[HABER]]-tbal[[#This Row],[DEBE]],0)</f>
        <v>0</v>
      </c>
      <c r="I33" s="16">
        <f>IF((OR(tbal[[#This Row],[X]]=1,tbal[[#This Row],[X]]=2)),tbal[[#This Row],[DEUDOR]],0)</f>
        <v>0</v>
      </c>
      <c r="J33" s="18">
        <f>IF((OR(tbal[[#This Row],[X]]=2,tbal[[#This Row],[X]]=3)),tbal[[#This Row],[ACREEDOR]],0)</f>
        <v>0</v>
      </c>
      <c r="K33" s="16">
        <f>IF((OR(tbal[[#This Row],[X]]=3,tbal[[#This Row],[X]]=5)),tbal[[#This Row],[DEUDOR]],0)</f>
        <v>0</v>
      </c>
      <c r="L33" s="18">
        <f>IF((OR(tbal[[#This Row],[X]]=3,tbal[[#This Row],[X]]=4)),tbal[[#This Row],[ACREEDOR]],0)</f>
        <v>0</v>
      </c>
      <c r="M33" s="16">
        <f>IF((OR(tbal[[#This Row],[X]]=0,tbal[[#This Row],[X]]=6)),tbal[[#This Row],[DEUDOR]],0)</f>
        <v>0</v>
      </c>
      <c r="N33" s="18">
        <f>IF((OR(tbal[[#This Row],[X]]=0,tbal[[#This Row],[X]]=5)),tbal[[#This Row],[ACREEDOR]],0)</f>
        <v>0</v>
      </c>
    </row>
    <row r="34" spans="1:14" x14ac:dyDescent="0.3">
      <c r="A34" s="14" t="str">
        <f>+'PLAN DE CUENTAS'!A34</f>
        <v>1.2.1.01</v>
      </c>
      <c r="B34" s="13" t="str">
        <f>+'PLAN DE CUENTAS'!B34</f>
        <v>TERRENOS</v>
      </c>
      <c r="C34" s="13">
        <f>+'PLAN DE CUENTAS'!C34</f>
        <v>1</v>
      </c>
      <c r="D34" t="str">
        <f>IF(tbal[[#This Row],[DEBE]]+tbal[[#This Row],[HABER]]=0,"","X")</f>
        <v>X</v>
      </c>
      <c r="E34" s="16">
        <f>SUMIF(tdiario[CUENTA],tbal[[#This Row],[CUENTA]],tdiario[DEBE])</f>
        <v>35000</v>
      </c>
      <c r="F34" s="17">
        <f>SUMIF(tdiario[CUENTA],tbal[[#This Row],[CUENTA]],tdiario[HABER])</f>
        <v>0</v>
      </c>
      <c r="G34" s="16">
        <f>IF(tbal[[#This Row],[DEBE]]-tbal[[#This Row],[HABER]]&gt;0,tbal[[#This Row],[DEBE]]-tbal[[#This Row],[HABER]],0)</f>
        <v>35000</v>
      </c>
      <c r="H34" s="18">
        <f>IF(tbal[[#This Row],[HABER]]-tbal[[#This Row],[DEBE]]&gt;0,tbal[[#This Row],[HABER]]-tbal[[#This Row],[DEBE]],0)</f>
        <v>0</v>
      </c>
      <c r="I34" s="16">
        <f>IF((OR(tbal[[#This Row],[X]]=1,tbal[[#This Row],[X]]=2)),tbal[[#This Row],[DEUDOR]],0)</f>
        <v>35000</v>
      </c>
      <c r="J34" s="18">
        <f>IF((OR(tbal[[#This Row],[X]]=2,tbal[[#This Row],[X]]=3)),tbal[[#This Row],[ACREEDOR]],0)</f>
        <v>0</v>
      </c>
      <c r="K34" s="16">
        <f>IF((OR(tbal[[#This Row],[X]]=3,tbal[[#This Row],[X]]=5)),tbal[[#This Row],[DEUDOR]],0)</f>
        <v>0</v>
      </c>
      <c r="L34" s="18">
        <f>IF((OR(tbal[[#This Row],[X]]=3,tbal[[#This Row],[X]]=4)),tbal[[#This Row],[ACREEDOR]],0)</f>
        <v>0</v>
      </c>
      <c r="M34" s="16">
        <f>IF((OR(tbal[[#This Row],[X]]=0,tbal[[#This Row],[X]]=6)),tbal[[#This Row],[DEUDOR]],0)</f>
        <v>0</v>
      </c>
      <c r="N34" s="18">
        <f>IF((OR(tbal[[#This Row],[X]]=0,tbal[[#This Row],[X]]=5)),tbal[[#This Row],[ACREEDOR]],0)</f>
        <v>0</v>
      </c>
    </row>
    <row r="35" spans="1:14" x14ac:dyDescent="0.3">
      <c r="A35" s="14" t="str">
        <f>+'PLAN DE CUENTAS'!A35</f>
        <v>1.2.1.02</v>
      </c>
      <c r="B35" s="13" t="str">
        <f>+'PLAN DE CUENTAS'!B35</f>
        <v>EDIFICIOS</v>
      </c>
      <c r="C35" s="13">
        <f>+'PLAN DE CUENTAS'!C35</f>
        <v>1</v>
      </c>
      <c r="D35" t="str">
        <f>IF(tbal[[#This Row],[DEBE]]+tbal[[#This Row],[HABER]]=0,"","X")</f>
        <v>X</v>
      </c>
      <c r="E35" s="16">
        <f>SUMIF(tdiario[CUENTA],tbal[[#This Row],[CUENTA]],tdiario[DEBE])</f>
        <v>99000</v>
      </c>
      <c r="F35" s="17">
        <f>SUMIF(tdiario[CUENTA],tbal[[#This Row],[CUENTA]],tdiario[HABER])</f>
        <v>0</v>
      </c>
      <c r="G35" s="16">
        <f>IF(tbal[[#This Row],[DEBE]]-tbal[[#This Row],[HABER]]&gt;0,tbal[[#This Row],[DEBE]]-tbal[[#This Row],[HABER]],0)</f>
        <v>99000</v>
      </c>
      <c r="H35" s="18">
        <f>IF(tbal[[#This Row],[HABER]]-tbal[[#This Row],[DEBE]]&gt;0,tbal[[#This Row],[HABER]]-tbal[[#This Row],[DEBE]],0)</f>
        <v>0</v>
      </c>
      <c r="I35" s="16">
        <f>IF((OR(tbal[[#This Row],[X]]=1,tbal[[#This Row],[X]]=2)),tbal[[#This Row],[DEUDOR]],0)</f>
        <v>99000</v>
      </c>
      <c r="J35" s="18">
        <f>IF((OR(tbal[[#This Row],[X]]=2,tbal[[#This Row],[X]]=3)),tbal[[#This Row],[ACREEDOR]],0)</f>
        <v>0</v>
      </c>
      <c r="K35" s="16">
        <f>IF((OR(tbal[[#This Row],[X]]=3,tbal[[#This Row],[X]]=5)),tbal[[#This Row],[DEUDOR]],0)</f>
        <v>0</v>
      </c>
      <c r="L35" s="18">
        <f>IF((OR(tbal[[#This Row],[X]]=3,tbal[[#This Row],[X]]=4)),tbal[[#This Row],[ACREEDOR]],0)</f>
        <v>0</v>
      </c>
      <c r="M35" s="16">
        <f>IF((OR(tbal[[#This Row],[X]]=0,tbal[[#This Row],[X]]=6)),tbal[[#This Row],[DEUDOR]],0)</f>
        <v>0</v>
      </c>
      <c r="N35" s="18">
        <f>IF((OR(tbal[[#This Row],[X]]=0,tbal[[#This Row],[X]]=5)),tbal[[#This Row],[ACREEDOR]],0)</f>
        <v>0</v>
      </c>
    </row>
    <row r="36" spans="1:14" x14ac:dyDescent="0.3">
      <c r="A36" s="14" t="str">
        <f>+'PLAN DE CUENTAS'!A36</f>
        <v>1.2.1.03</v>
      </c>
      <c r="B36" s="13" t="str">
        <f>+'PLAN DE CUENTAS'!B36</f>
        <v>MUEBLES Y ENSERES</v>
      </c>
      <c r="C36" s="13">
        <f>+'PLAN DE CUENTAS'!C36</f>
        <v>1</v>
      </c>
      <c r="D36" t="str">
        <f>IF(tbal[[#This Row],[DEBE]]+tbal[[#This Row],[HABER]]=0,"","X")</f>
        <v>X</v>
      </c>
      <c r="E36" s="16">
        <f>SUMIF(tdiario[CUENTA],tbal[[#This Row],[CUENTA]],tdiario[DEBE])</f>
        <v>23000</v>
      </c>
      <c r="F36" s="17">
        <f>SUMIF(tdiario[CUENTA],tbal[[#This Row],[CUENTA]],tdiario[HABER])</f>
        <v>0</v>
      </c>
      <c r="G36" s="16">
        <f>IF(tbal[[#This Row],[DEBE]]-tbal[[#This Row],[HABER]]&gt;0,tbal[[#This Row],[DEBE]]-tbal[[#This Row],[HABER]],0)</f>
        <v>23000</v>
      </c>
      <c r="H36" s="18">
        <f>IF(tbal[[#This Row],[HABER]]-tbal[[#This Row],[DEBE]]&gt;0,tbal[[#This Row],[HABER]]-tbal[[#This Row],[DEBE]],0)</f>
        <v>0</v>
      </c>
      <c r="I36" s="16">
        <f>IF((OR(tbal[[#This Row],[X]]=1,tbal[[#This Row],[X]]=2)),tbal[[#This Row],[DEUDOR]],0)</f>
        <v>23000</v>
      </c>
      <c r="J36" s="18">
        <f>IF((OR(tbal[[#This Row],[X]]=2,tbal[[#This Row],[X]]=3)),tbal[[#This Row],[ACREEDOR]],0)</f>
        <v>0</v>
      </c>
      <c r="K36" s="16">
        <f>IF((OR(tbal[[#This Row],[X]]=3,tbal[[#This Row],[X]]=5)),tbal[[#This Row],[DEUDOR]],0)</f>
        <v>0</v>
      </c>
      <c r="L36" s="18">
        <f>IF((OR(tbal[[#This Row],[X]]=3,tbal[[#This Row],[X]]=4)),tbal[[#This Row],[ACREEDOR]],0)</f>
        <v>0</v>
      </c>
      <c r="M36" s="16">
        <f>IF((OR(tbal[[#This Row],[X]]=0,tbal[[#This Row],[X]]=6)),tbal[[#This Row],[DEUDOR]],0)</f>
        <v>0</v>
      </c>
      <c r="N36" s="18">
        <f>IF((OR(tbal[[#This Row],[X]]=0,tbal[[#This Row],[X]]=5)),tbal[[#This Row],[ACREEDOR]],0)</f>
        <v>0</v>
      </c>
    </row>
    <row r="37" spans="1:14" x14ac:dyDescent="0.3">
      <c r="A37" s="14" t="str">
        <f>+'PLAN DE CUENTAS'!A37</f>
        <v>1.2.1.04</v>
      </c>
      <c r="B37" s="13" t="str">
        <f>+'PLAN DE CUENTAS'!B37</f>
        <v>VEHICULOS</v>
      </c>
      <c r="C37" s="13">
        <f>+'PLAN DE CUENTAS'!C37</f>
        <v>1</v>
      </c>
      <c r="D37" t="str">
        <f>IF(tbal[[#This Row],[DEBE]]+tbal[[#This Row],[HABER]]=0,"","X")</f>
        <v>X</v>
      </c>
      <c r="E37" s="16">
        <f>SUMIF(tdiario[CUENTA],tbal[[#This Row],[CUENTA]],tdiario[DEBE])</f>
        <v>65000</v>
      </c>
      <c r="F37" s="17">
        <f>SUMIF(tdiario[CUENTA],tbal[[#This Row],[CUENTA]],tdiario[HABER])</f>
        <v>0</v>
      </c>
      <c r="G37" s="16">
        <f>IF(tbal[[#This Row],[DEBE]]-tbal[[#This Row],[HABER]]&gt;0,tbal[[#This Row],[DEBE]]-tbal[[#This Row],[HABER]],0)</f>
        <v>65000</v>
      </c>
      <c r="H37" s="18">
        <f>IF(tbal[[#This Row],[HABER]]-tbal[[#This Row],[DEBE]]&gt;0,tbal[[#This Row],[HABER]]-tbal[[#This Row],[DEBE]],0)</f>
        <v>0</v>
      </c>
      <c r="I37" s="16">
        <f>IF((OR(tbal[[#This Row],[X]]=1,tbal[[#This Row],[X]]=2)),tbal[[#This Row],[DEUDOR]],0)</f>
        <v>65000</v>
      </c>
      <c r="J37" s="18">
        <f>IF((OR(tbal[[#This Row],[X]]=2,tbal[[#This Row],[X]]=3)),tbal[[#This Row],[ACREEDOR]],0)</f>
        <v>0</v>
      </c>
      <c r="K37" s="16">
        <f>IF((OR(tbal[[#This Row],[X]]=3,tbal[[#This Row],[X]]=5)),tbal[[#This Row],[DEUDOR]],0)</f>
        <v>0</v>
      </c>
      <c r="L37" s="18">
        <f>IF((OR(tbal[[#This Row],[X]]=3,tbal[[#This Row],[X]]=4)),tbal[[#This Row],[ACREEDOR]],0)</f>
        <v>0</v>
      </c>
      <c r="M37" s="16">
        <f>IF((OR(tbal[[#This Row],[X]]=0,tbal[[#This Row],[X]]=6)),tbal[[#This Row],[DEUDOR]],0)</f>
        <v>0</v>
      </c>
      <c r="N37" s="18">
        <f>IF((OR(tbal[[#This Row],[X]]=0,tbal[[#This Row],[X]]=5)),tbal[[#This Row],[ACREEDOR]],0)</f>
        <v>0</v>
      </c>
    </row>
    <row r="38" spans="1:14" x14ac:dyDescent="0.3">
      <c r="A38" s="14" t="str">
        <f>+'PLAN DE CUENTAS'!A38</f>
        <v>1.2.1.05</v>
      </c>
      <c r="B38" s="13" t="str">
        <f>+'PLAN DE CUENTAS'!B38</f>
        <v>EQUIPO DE COMPUTACION</v>
      </c>
      <c r="C38" s="13">
        <f>+'PLAN DE CUENTAS'!C38</f>
        <v>1</v>
      </c>
      <c r="D38" t="str">
        <f>IF(tbal[[#This Row],[DEBE]]+tbal[[#This Row],[HABER]]=0,"","X")</f>
        <v>X</v>
      </c>
      <c r="E38" s="16">
        <f>SUMIF(tdiario[CUENTA],tbal[[#This Row],[CUENTA]],tdiario[DEBE])</f>
        <v>11310</v>
      </c>
      <c r="F38" s="17">
        <f>SUMIF(tdiario[CUENTA],tbal[[#This Row],[CUENTA]],tdiario[HABER])</f>
        <v>0</v>
      </c>
      <c r="G38" s="16">
        <f>IF(tbal[[#This Row],[DEBE]]-tbal[[#This Row],[HABER]]&gt;0,tbal[[#This Row],[DEBE]]-tbal[[#This Row],[HABER]],0)</f>
        <v>11310</v>
      </c>
      <c r="H38" s="18">
        <f>IF(tbal[[#This Row],[HABER]]-tbal[[#This Row],[DEBE]]&gt;0,tbal[[#This Row],[HABER]]-tbal[[#This Row],[DEBE]],0)</f>
        <v>0</v>
      </c>
      <c r="I38" s="16">
        <f>IF((OR(tbal[[#This Row],[X]]=1,tbal[[#This Row],[X]]=2)),tbal[[#This Row],[DEUDOR]],0)</f>
        <v>11310</v>
      </c>
      <c r="J38" s="18">
        <f>IF((OR(tbal[[#This Row],[X]]=2,tbal[[#This Row],[X]]=3)),tbal[[#This Row],[ACREEDOR]],0)</f>
        <v>0</v>
      </c>
      <c r="K38" s="16">
        <f>IF((OR(tbal[[#This Row],[X]]=3,tbal[[#This Row],[X]]=5)),tbal[[#This Row],[DEUDOR]],0)</f>
        <v>0</v>
      </c>
      <c r="L38" s="18">
        <f>IF((OR(tbal[[#This Row],[X]]=3,tbal[[#This Row],[X]]=4)),tbal[[#This Row],[ACREEDOR]],0)</f>
        <v>0</v>
      </c>
      <c r="M38" s="16">
        <f>IF((OR(tbal[[#This Row],[X]]=0,tbal[[#This Row],[X]]=6)),tbal[[#This Row],[DEUDOR]],0)</f>
        <v>0</v>
      </c>
      <c r="N38" s="18">
        <f>IF((OR(tbal[[#This Row],[X]]=0,tbal[[#This Row],[X]]=5)),tbal[[#This Row],[ACREEDOR]],0)</f>
        <v>0</v>
      </c>
    </row>
    <row r="39" spans="1:14" x14ac:dyDescent="0.3">
      <c r="A39" s="14" t="str">
        <f>+'PLAN DE CUENTAS'!A39</f>
        <v>1.2.1.06</v>
      </c>
      <c r="B39" s="13" t="str">
        <f>+'PLAN DE CUENTAS'!B39</f>
        <v>EQUIPO DE LIMPIEZA</v>
      </c>
      <c r="C39" s="13">
        <f>+'PLAN DE CUENTAS'!C39</f>
        <v>1</v>
      </c>
      <c r="D39" t="str">
        <f>IF(tbal[[#This Row],[DEBE]]+tbal[[#This Row],[HABER]]=0,"","X")</f>
        <v/>
      </c>
      <c r="E39" s="16">
        <f>SUMIF(tdiario[CUENTA],tbal[[#This Row],[CUENTA]],tdiario[DEBE])</f>
        <v>0</v>
      </c>
      <c r="F39" s="17">
        <f>SUMIF(tdiario[CUENTA],tbal[[#This Row],[CUENTA]],tdiario[HABER])</f>
        <v>0</v>
      </c>
      <c r="G39" s="16">
        <f>IF(tbal[[#This Row],[DEBE]]-tbal[[#This Row],[HABER]]&gt;0,tbal[[#This Row],[DEBE]]-tbal[[#This Row],[HABER]],0)</f>
        <v>0</v>
      </c>
      <c r="H39" s="28">
        <f>IF(tbal[[#This Row],[HABER]]-tbal[[#This Row],[DEBE]]&gt;0,tbal[[#This Row],[HABER]]-tbal[[#This Row],[DEBE]],0)</f>
        <v>0</v>
      </c>
      <c r="I39" s="16">
        <f>IF((OR(tbal[[#This Row],[X]]=1,tbal[[#This Row],[X]]=2)),tbal[[#This Row],[DEUDOR]],0)</f>
        <v>0</v>
      </c>
      <c r="J39" s="28">
        <f>IF((OR(tbal[[#This Row],[X]]=2,tbal[[#This Row],[X]]=3)),tbal[[#This Row],[ACREEDOR]],0)</f>
        <v>0</v>
      </c>
      <c r="K39" s="16">
        <f>IF((OR(tbal[[#This Row],[X]]=3,tbal[[#This Row],[X]]=5)),tbal[[#This Row],[DEUDOR]],0)</f>
        <v>0</v>
      </c>
      <c r="L39" s="28">
        <f>IF((OR(tbal[[#This Row],[X]]=3,tbal[[#This Row],[X]]=4)),tbal[[#This Row],[ACREEDOR]],0)</f>
        <v>0</v>
      </c>
      <c r="M39" s="16">
        <f>IF((OR(tbal[[#This Row],[X]]=0,tbal[[#This Row],[X]]=6)),tbal[[#This Row],[DEUDOR]],0)</f>
        <v>0</v>
      </c>
      <c r="N39" s="28">
        <f>IF((OR(tbal[[#This Row],[X]]=0,tbal[[#This Row],[X]]=5)),tbal[[#This Row],[ACREEDOR]],0)</f>
        <v>0</v>
      </c>
    </row>
    <row r="40" spans="1:14" x14ac:dyDescent="0.3">
      <c r="A40" s="14" t="str">
        <f>+'PLAN DE CUENTAS'!A40</f>
        <v>1.2.2</v>
      </c>
      <c r="B40" s="13" t="str">
        <f>+'PLAN DE CUENTAS'!B40</f>
        <v>INVERSIONES</v>
      </c>
      <c r="C40" s="13">
        <f>+'PLAN DE CUENTAS'!C40</f>
        <v>1</v>
      </c>
      <c r="D40" t="str">
        <f>IF(tbal[[#This Row],[DEBE]]+tbal[[#This Row],[HABER]]=0,"","X")</f>
        <v/>
      </c>
      <c r="E40" s="16">
        <f>SUMIF(tdiario[CUENTA],tbal[[#This Row],[CUENTA]],tdiario[DEBE])</f>
        <v>0</v>
      </c>
      <c r="F40" s="17">
        <f>SUMIF(tdiario[CUENTA],tbal[[#This Row],[CUENTA]],tdiario[HABER])</f>
        <v>0</v>
      </c>
      <c r="G40" s="16">
        <f>IF(tbal[[#This Row],[DEBE]]-tbal[[#This Row],[HABER]]&gt;0,tbal[[#This Row],[DEBE]]-tbal[[#This Row],[HABER]],0)</f>
        <v>0</v>
      </c>
      <c r="H40" s="18">
        <f>IF(tbal[[#This Row],[HABER]]-tbal[[#This Row],[DEBE]]&gt;0,tbal[[#This Row],[HABER]]-tbal[[#This Row],[DEBE]],0)</f>
        <v>0</v>
      </c>
      <c r="I40" s="16">
        <f>IF((OR(tbal[[#This Row],[X]]=1,tbal[[#This Row],[X]]=2)),tbal[[#This Row],[DEUDOR]],0)</f>
        <v>0</v>
      </c>
      <c r="J40" s="18">
        <f>IF((OR(tbal[[#This Row],[X]]=2,tbal[[#This Row],[X]]=3)),tbal[[#This Row],[ACREEDOR]],0)</f>
        <v>0</v>
      </c>
      <c r="K40" s="16">
        <f>IF((OR(tbal[[#This Row],[X]]=3,tbal[[#This Row],[X]]=5)),tbal[[#This Row],[DEUDOR]],0)</f>
        <v>0</v>
      </c>
      <c r="L40" s="18">
        <f>IF((OR(tbal[[#This Row],[X]]=3,tbal[[#This Row],[X]]=4)),tbal[[#This Row],[ACREEDOR]],0)</f>
        <v>0</v>
      </c>
      <c r="M40" s="16">
        <f>IF((OR(tbal[[#This Row],[X]]=0,tbal[[#This Row],[X]]=6)),tbal[[#This Row],[DEUDOR]],0)</f>
        <v>0</v>
      </c>
      <c r="N40" s="18">
        <f>IF((OR(tbal[[#This Row],[X]]=0,tbal[[#This Row],[X]]=5)),tbal[[#This Row],[ACREEDOR]],0)</f>
        <v>0</v>
      </c>
    </row>
    <row r="41" spans="1:14" x14ac:dyDescent="0.3">
      <c r="A41" s="14" t="str">
        <f>+'PLAN DE CUENTAS'!A41</f>
        <v>1.2.3</v>
      </c>
      <c r="B41" s="13" t="str">
        <f>+'PLAN DE CUENTAS'!B41</f>
        <v>OTROS ACTIVOS</v>
      </c>
      <c r="C41" s="13">
        <f>+'PLAN DE CUENTAS'!C41</f>
        <v>1</v>
      </c>
      <c r="D41" t="str">
        <f>IF(tbal[[#This Row],[DEBE]]+tbal[[#This Row],[HABER]]=0,"","X")</f>
        <v/>
      </c>
      <c r="E41" s="16">
        <f>SUMIF(tdiario[CUENTA],tbal[[#This Row],[CUENTA]],tdiario[DEBE])</f>
        <v>0</v>
      </c>
      <c r="F41" s="17">
        <f>SUMIF(tdiario[CUENTA],tbal[[#This Row],[CUENTA]],tdiario[HABER])</f>
        <v>0</v>
      </c>
      <c r="G41" s="16">
        <f>IF(tbal[[#This Row],[DEBE]]-tbal[[#This Row],[HABER]]&gt;0,tbal[[#This Row],[DEBE]]-tbal[[#This Row],[HABER]],0)</f>
        <v>0</v>
      </c>
      <c r="H41" s="18">
        <f>IF(tbal[[#This Row],[HABER]]-tbal[[#This Row],[DEBE]]&gt;0,tbal[[#This Row],[HABER]]-tbal[[#This Row],[DEBE]],0)</f>
        <v>0</v>
      </c>
      <c r="I41" s="16">
        <f>IF((OR(tbal[[#This Row],[X]]=1,tbal[[#This Row],[X]]=2)),tbal[[#This Row],[DEUDOR]],0)</f>
        <v>0</v>
      </c>
      <c r="J41" s="18">
        <f>IF((OR(tbal[[#This Row],[X]]=2,tbal[[#This Row],[X]]=3)),tbal[[#This Row],[ACREEDOR]],0)</f>
        <v>0</v>
      </c>
      <c r="K41" s="16">
        <f>IF((OR(tbal[[#This Row],[X]]=3,tbal[[#This Row],[X]]=5)),tbal[[#This Row],[DEUDOR]],0)</f>
        <v>0</v>
      </c>
      <c r="L41" s="18">
        <f>IF((OR(tbal[[#This Row],[X]]=3,tbal[[#This Row],[X]]=4)),tbal[[#This Row],[ACREEDOR]],0)</f>
        <v>0</v>
      </c>
      <c r="M41" s="16">
        <f>IF((OR(tbal[[#This Row],[X]]=0,tbal[[#This Row],[X]]=6)),tbal[[#This Row],[DEUDOR]],0)</f>
        <v>0</v>
      </c>
      <c r="N41" s="18">
        <f>IF((OR(tbal[[#This Row],[X]]=0,tbal[[#This Row],[X]]=5)),tbal[[#This Row],[ACREEDOR]],0)</f>
        <v>0</v>
      </c>
    </row>
    <row r="42" spans="1:14" x14ac:dyDescent="0.3">
      <c r="A42" s="14" t="str">
        <f>+'PLAN DE CUENTAS'!A42</f>
        <v>1.2.3.01</v>
      </c>
      <c r="B42" s="13" t="str">
        <f>+'PLAN DE CUENTAS'!B42</f>
        <v>ACTIVOS DIFERIDOS</v>
      </c>
      <c r="C42" s="13">
        <f>+'PLAN DE CUENTAS'!C42</f>
        <v>1</v>
      </c>
      <c r="D42" t="str">
        <f>IF(tbal[[#This Row],[DEBE]]+tbal[[#This Row],[HABER]]=0,"","X")</f>
        <v/>
      </c>
      <c r="E42" s="16">
        <f>SUMIF(tdiario[CUENTA],tbal[[#This Row],[CUENTA]],tdiario[DEBE])</f>
        <v>0</v>
      </c>
      <c r="F42" s="17">
        <f>SUMIF(tdiario[CUENTA],tbal[[#This Row],[CUENTA]],tdiario[HABER])</f>
        <v>0</v>
      </c>
      <c r="G42" s="16">
        <f>IF(tbal[[#This Row],[DEBE]]-tbal[[#This Row],[HABER]]&gt;0,tbal[[#This Row],[DEBE]]-tbal[[#This Row],[HABER]],0)</f>
        <v>0</v>
      </c>
      <c r="H42" s="18">
        <f>IF(tbal[[#This Row],[HABER]]-tbal[[#This Row],[DEBE]]&gt;0,tbal[[#This Row],[HABER]]-tbal[[#This Row],[DEBE]],0)</f>
        <v>0</v>
      </c>
      <c r="I42" s="16">
        <f>IF((OR(tbal[[#This Row],[X]]=1,tbal[[#This Row],[X]]=2)),tbal[[#This Row],[DEUDOR]],0)</f>
        <v>0</v>
      </c>
      <c r="J42" s="18">
        <f>IF((OR(tbal[[#This Row],[X]]=2,tbal[[#This Row],[X]]=3)),tbal[[#This Row],[ACREEDOR]],0)</f>
        <v>0</v>
      </c>
      <c r="K42" s="16">
        <f>IF((OR(tbal[[#This Row],[X]]=3,tbal[[#This Row],[X]]=5)),tbal[[#This Row],[DEUDOR]],0)</f>
        <v>0</v>
      </c>
      <c r="L42" s="18">
        <f>IF((OR(tbal[[#This Row],[X]]=3,tbal[[#This Row],[X]]=4)),tbal[[#This Row],[ACREEDOR]],0)</f>
        <v>0</v>
      </c>
      <c r="M42" s="16">
        <f>IF((OR(tbal[[#This Row],[X]]=0,tbal[[#This Row],[X]]=6)),tbal[[#This Row],[DEUDOR]],0)</f>
        <v>0</v>
      </c>
      <c r="N42" s="18">
        <f>IF((OR(tbal[[#This Row],[X]]=0,tbal[[#This Row],[X]]=5)),tbal[[#This Row],[ACREEDOR]],0)</f>
        <v>0</v>
      </c>
    </row>
    <row r="43" spans="1:14" x14ac:dyDescent="0.3">
      <c r="A43" s="14" t="str">
        <f>+'PLAN DE CUENTAS'!A43</f>
        <v>1.2.3.01.01</v>
      </c>
      <c r="B43" s="13" t="str">
        <f>+'PLAN DE CUENTAS'!B43</f>
        <v>INVENTARIO MATERIAL DE ESCRITORIO</v>
      </c>
      <c r="C43" s="13">
        <f>+'PLAN DE CUENTAS'!C43</f>
        <v>1</v>
      </c>
      <c r="D43" t="str">
        <f>IF(tbal[[#This Row],[DEBE]]+tbal[[#This Row],[HABER]]=0,"","X")</f>
        <v/>
      </c>
      <c r="E43" s="16">
        <f>SUMIF(tdiario[CUENTA],tbal[[#This Row],[CUENTA]],tdiario[DEBE])</f>
        <v>0</v>
      </c>
      <c r="F43" s="17">
        <f>SUMIF(tdiario[CUENTA],tbal[[#This Row],[CUENTA]],tdiario[HABER])</f>
        <v>0</v>
      </c>
      <c r="G43" s="16">
        <f>IF(tbal[[#This Row],[DEBE]]-tbal[[#This Row],[HABER]]&gt;0,tbal[[#This Row],[DEBE]]-tbal[[#This Row],[HABER]],0)</f>
        <v>0</v>
      </c>
      <c r="H43" s="18">
        <f>IF(tbal[[#This Row],[HABER]]-tbal[[#This Row],[DEBE]]&gt;0,tbal[[#This Row],[HABER]]-tbal[[#This Row],[DEBE]],0)</f>
        <v>0</v>
      </c>
      <c r="I43" s="16">
        <f>IF((OR(tbal[[#This Row],[X]]=1,tbal[[#This Row],[X]]=2)),tbal[[#This Row],[DEUDOR]],0)</f>
        <v>0</v>
      </c>
      <c r="J43" s="18">
        <f>IF((OR(tbal[[#This Row],[X]]=2,tbal[[#This Row],[X]]=3)),tbal[[#This Row],[ACREEDOR]],0)</f>
        <v>0</v>
      </c>
      <c r="K43" s="16">
        <f>IF((OR(tbal[[#This Row],[X]]=3,tbal[[#This Row],[X]]=5)),tbal[[#This Row],[DEUDOR]],0)</f>
        <v>0</v>
      </c>
      <c r="L43" s="18">
        <f>IF((OR(tbal[[#This Row],[X]]=3,tbal[[#This Row],[X]]=4)),tbal[[#This Row],[ACREEDOR]],0)</f>
        <v>0</v>
      </c>
      <c r="M43" s="16">
        <f>IF((OR(tbal[[#This Row],[X]]=0,tbal[[#This Row],[X]]=6)),tbal[[#This Row],[DEUDOR]],0)</f>
        <v>0</v>
      </c>
      <c r="N43" s="18">
        <f>IF((OR(tbal[[#This Row],[X]]=0,tbal[[#This Row],[X]]=5)),tbal[[#This Row],[ACREEDOR]],0)</f>
        <v>0</v>
      </c>
    </row>
    <row r="44" spans="1:14" x14ac:dyDescent="0.3">
      <c r="A44" s="14" t="str">
        <f>+'PLAN DE CUENTAS'!A44</f>
        <v>1.2.3.01.02</v>
      </c>
      <c r="B44" s="13" t="str">
        <f>+'PLAN DE CUENTAS'!B44</f>
        <v>SEGUROS PAGADOS POR ADELANTADO</v>
      </c>
      <c r="C44" s="13">
        <f>+'PLAN DE CUENTAS'!C44</f>
        <v>1</v>
      </c>
      <c r="D44" t="str">
        <f>IF(tbal[[#This Row],[DEBE]]+tbal[[#This Row],[HABER]]=0,"","X")</f>
        <v/>
      </c>
      <c r="E44" s="16">
        <f>SUMIF(tdiario[CUENTA],tbal[[#This Row],[CUENTA]],tdiario[DEBE])</f>
        <v>0</v>
      </c>
      <c r="F44" s="17">
        <f>SUMIF(tdiario[CUENTA],tbal[[#This Row],[CUENTA]],tdiario[HABER])</f>
        <v>0</v>
      </c>
      <c r="G44" s="16">
        <f>IF(tbal[[#This Row],[DEBE]]-tbal[[#This Row],[HABER]]&gt;0,tbal[[#This Row],[DEBE]]-tbal[[#This Row],[HABER]],0)</f>
        <v>0</v>
      </c>
      <c r="H44" s="18">
        <f>IF(tbal[[#This Row],[HABER]]-tbal[[#This Row],[DEBE]]&gt;0,tbal[[#This Row],[HABER]]-tbal[[#This Row],[DEBE]],0)</f>
        <v>0</v>
      </c>
      <c r="I44" s="16">
        <f>IF((OR(tbal[[#This Row],[X]]=1,tbal[[#This Row],[X]]=2)),tbal[[#This Row],[DEUDOR]],0)</f>
        <v>0</v>
      </c>
      <c r="J44" s="18">
        <f>IF((OR(tbal[[#This Row],[X]]=2,tbal[[#This Row],[X]]=3)),tbal[[#This Row],[ACREEDOR]],0)</f>
        <v>0</v>
      </c>
      <c r="K44" s="16">
        <f>IF((OR(tbal[[#This Row],[X]]=3,tbal[[#This Row],[X]]=5)),tbal[[#This Row],[DEUDOR]],0)</f>
        <v>0</v>
      </c>
      <c r="L44" s="18">
        <f>IF((OR(tbal[[#This Row],[X]]=3,tbal[[#This Row],[X]]=4)),tbal[[#This Row],[ACREEDOR]],0)</f>
        <v>0</v>
      </c>
      <c r="M44" s="16">
        <f>IF((OR(tbal[[#This Row],[X]]=0,tbal[[#This Row],[X]]=6)),tbal[[#This Row],[DEUDOR]],0)</f>
        <v>0</v>
      </c>
      <c r="N44" s="18">
        <f>IF((OR(tbal[[#This Row],[X]]=0,tbal[[#This Row],[X]]=5)),tbal[[#This Row],[ACREEDOR]],0)</f>
        <v>0</v>
      </c>
    </row>
    <row r="45" spans="1:14" x14ac:dyDescent="0.3">
      <c r="A45" s="14" t="str">
        <f>+'PLAN DE CUENTAS'!A45</f>
        <v>1.2.3.01.03</v>
      </c>
      <c r="B45" s="13" t="str">
        <f>+'PLAN DE CUENTAS'!B45</f>
        <v>GASTOS DE ORGANIZACIÓN</v>
      </c>
      <c r="C45" s="13">
        <f>+'PLAN DE CUENTAS'!C45</f>
        <v>1</v>
      </c>
      <c r="D45" t="str">
        <f>IF(tbal[[#This Row],[DEBE]]+tbal[[#This Row],[HABER]]=0,"","X")</f>
        <v/>
      </c>
      <c r="E45" s="16">
        <f>SUMIF(tdiario[CUENTA],tbal[[#This Row],[CUENTA]],tdiario[DEBE])</f>
        <v>0</v>
      </c>
      <c r="F45" s="17">
        <f>SUMIF(tdiario[CUENTA],tbal[[#This Row],[CUENTA]],tdiario[HABER])</f>
        <v>0</v>
      </c>
      <c r="G45" s="16">
        <f>IF(tbal[[#This Row],[DEBE]]-tbal[[#This Row],[HABER]]&gt;0,tbal[[#This Row],[DEBE]]-tbal[[#This Row],[HABER]],0)</f>
        <v>0</v>
      </c>
      <c r="H45" s="18">
        <f>IF(tbal[[#This Row],[HABER]]-tbal[[#This Row],[DEBE]]&gt;0,tbal[[#This Row],[HABER]]-tbal[[#This Row],[DEBE]],0)</f>
        <v>0</v>
      </c>
      <c r="I45" s="16">
        <f>IF((OR(tbal[[#This Row],[X]]=1,tbal[[#This Row],[X]]=2)),tbal[[#This Row],[DEUDOR]],0)</f>
        <v>0</v>
      </c>
      <c r="J45" s="18">
        <f>IF((OR(tbal[[#This Row],[X]]=2,tbal[[#This Row],[X]]=3)),tbal[[#This Row],[ACREEDOR]],0)</f>
        <v>0</v>
      </c>
      <c r="K45" s="16">
        <f>IF((OR(tbal[[#This Row],[X]]=3,tbal[[#This Row],[X]]=5)),tbal[[#This Row],[DEUDOR]],0)</f>
        <v>0</v>
      </c>
      <c r="L45" s="18">
        <f>IF((OR(tbal[[#This Row],[X]]=3,tbal[[#This Row],[X]]=4)),tbal[[#This Row],[ACREEDOR]],0)</f>
        <v>0</v>
      </c>
      <c r="M45" s="16">
        <f>IF((OR(tbal[[#This Row],[X]]=0,tbal[[#This Row],[X]]=6)),tbal[[#This Row],[DEUDOR]],0)</f>
        <v>0</v>
      </c>
      <c r="N45" s="18">
        <f>IF((OR(tbal[[#This Row],[X]]=0,tbal[[#This Row],[X]]=5)),tbal[[#This Row],[ACREEDOR]],0)</f>
        <v>0</v>
      </c>
    </row>
    <row r="46" spans="1:14" x14ac:dyDescent="0.3">
      <c r="A46" s="14" t="str">
        <f>+'PLAN DE CUENTAS'!A46</f>
        <v>1.2.3.01.04</v>
      </c>
      <c r="B46" s="13" t="str">
        <f>+'PLAN DE CUENTAS'!B46</f>
        <v>ALQUILERES PAGADOS POR ADELANTADO</v>
      </c>
      <c r="C46" s="13">
        <f>+'PLAN DE CUENTAS'!C46</f>
        <v>1</v>
      </c>
      <c r="D46" t="str">
        <f>IF(tbal[[#This Row],[DEBE]]+tbal[[#This Row],[HABER]]=0,"","X")</f>
        <v/>
      </c>
      <c r="E46" s="16">
        <f>SUMIF(tdiario[CUENTA],tbal[[#This Row],[CUENTA]],tdiario[DEBE])</f>
        <v>0</v>
      </c>
      <c r="F46" s="17">
        <f>SUMIF(tdiario[CUENTA],tbal[[#This Row],[CUENTA]],tdiario[HABER])</f>
        <v>0</v>
      </c>
      <c r="G46" s="16">
        <f>IF(tbal[[#This Row],[DEBE]]-tbal[[#This Row],[HABER]]&gt;0,tbal[[#This Row],[DEBE]]-tbal[[#This Row],[HABER]],0)</f>
        <v>0</v>
      </c>
      <c r="H46" s="18">
        <f>IF(tbal[[#This Row],[HABER]]-tbal[[#This Row],[DEBE]]&gt;0,tbal[[#This Row],[HABER]]-tbal[[#This Row],[DEBE]],0)</f>
        <v>0</v>
      </c>
      <c r="I46" s="16">
        <f>IF((OR(tbal[[#This Row],[X]]=1,tbal[[#This Row],[X]]=2)),tbal[[#This Row],[DEUDOR]],0)</f>
        <v>0</v>
      </c>
      <c r="J46" s="18">
        <f>IF((OR(tbal[[#This Row],[X]]=2,tbal[[#This Row],[X]]=3)),tbal[[#This Row],[ACREEDOR]],0)</f>
        <v>0</v>
      </c>
      <c r="K46" s="16">
        <f>IF((OR(tbal[[#This Row],[X]]=3,tbal[[#This Row],[X]]=5)),tbal[[#This Row],[DEUDOR]],0)</f>
        <v>0</v>
      </c>
      <c r="L46" s="18">
        <f>IF((OR(tbal[[#This Row],[X]]=3,tbal[[#This Row],[X]]=4)),tbal[[#This Row],[ACREEDOR]],0)</f>
        <v>0</v>
      </c>
      <c r="M46" s="16">
        <f>IF((OR(tbal[[#This Row],[X]]=0,tbal[[#This Row],[X]]=6)),tbal[[#This Row],[DEUDOR]],0)</f>
        <v>0</v>
      </c>
      <c r="N46" s="18">
        <f>IF((OR(tbal[[#This Row],[X]]=0,tbal[[#This Row],[X]]=5)),tbal[[#This Row],[ACREEDOR]],0)</f>
        <v>0</v>
      </c>
    </row>
    <row r="47" spans="1:14" x14ac:dyDescent="0.3">
      <c r="A47" s="14" t="str">
        <f>+'PLAN DE CUENTAS'!A47</f>
        <v>1.2.3.01.05</v>
      </c>
      <c r="B47" s="13" t="str">
        <f>+'PLAN DE CUENTAS'!B47</f>
        <v>OPERACIONES PENDIENTES</v>
      </c>
      <c r="C47" s="13">
        <f>+'PLAN DE CUENTAS'!C47</f>
        <v>1</v>
      </c>
      <c r="D47" t="str">
        <f>IF(tbal[[#This Row],[DEBE]]+tbal[[#This Row],[HABER]]=0,"","X")</f>
        <v/>
      </c>
      <c r="E47" s="16">
        <f>SUMIF(tdiario[CUENTA],tbal[[#This Row],[CUENTA]],tdiario[DEBE])</f>
        <v>0</v>
      </c>
      <c r="F47" s="17">
        <f>SUMIF(tdiario[CUENTA],tbal[[#This Row],[CUENTA]],tdiario[HABER])</f>
        <v>0</v>
      </c>
      <c r="G47" s="16">
        <f>IF(tbal[[#This Row],[DEBE]]-tbal[[#This Row],[HABER]]&gt;0,tbal[[#This Row],[DEBE]]-tbal[[#This Row],[HABER]],0)</f>
        <v>0</v>
      </c>
      <c r="H47" s="18">
        <f>IF(tbal[[#This Row],[HABER]]-tbal[[#This Row],[DEBE]]&gt;0,tbal[[#This Row],[HABER]]-tbal[[#This Row],[DEBE]],0)</f>
        <v>0</v>
      </c>
      <c r="I47" s="16">
        <f>IF((OR(tbal[[#This Row],[X]]=1,tbal[[#This Row],[X]]=2)),tbal[[#This Row],[DEUDOR]],0)</f>
        <v>0</v>
      </c>
      <c r="J47" s="18">
        <f>IF((OR(tbal[[#This Row],[X]]=2,tbal[[#This Row],[X]]=3)),tbal[[#This Row],[ACREEDOR]],0)</f>
        <v>0</v>
      </c>
      <c r="K47" s="16">
        <f>IF((OR(tbal[[#This Row],[X]]=3,tbal[[#This Row],[X]]=5)),tbal[[#This Row],[DEUDOR]],0)</f>
        <v>0</v>
      </c>
      <c r="L47" s="18">
        <f>IF((OR(tbal[[#This Row],[X]]=3,tbal[[#This Row],[X]]=4)),tbal[[#This Row],[ACREEDOR]],0)</f>
        <v>0</v>
      </c>
      <c r="M47" s="16">
        <f>IF((OR(tbal[[#This Row],[X]]=0,tbal[[#This Row],[X]]=6)),tbal[[#This Row],[DEUDOR]],0)</f>
        <v>0</v>
      </c>
      <c r="N47" s="18">
        <f>IF((OR(tbal[[#This Row],[X]]=0,tbal[[#This Row],[X]]=5)),tbal[[#This Row],[ACREEDOR]],0)</f>
        <v>0</v>
      </c>
    </row>
    <row r="48" spans="1:14" x14ac:dyDescent="0.3">
      <c r="A48" s="14" t="str">
        <f>+'PLAN DE CUENTAS'!A48</f>
        <v>1.2.3.01.06</v>
      </c>
      <c r="B48" s="13" t="str">
        <f>+'PLAN DE CUENTAS'!B48</f>
        <v>PROPAGANDA PAGADA POR ADELANTADO</v>
      </c>
      <c r="C48" s="13">
        <f>+'PLAN DE CUENTAS'!C48</f>
        <v>1</v>
      </c>
      <c r="D48" t="str">
        <f>IF(tbal[[#This Row],[DEBE]]+tbal[[#This Row],[HABER]]=0,"","X")</f>
        <v/>
      </c>
      <c r="E48" s="16">
        <f>SUMIF(tdiario[CUENTA],tbal[[#This Row],[CUENTA]],tdiario[DEBE])</f>
        <v>0</v>
      </c>
      <c r="F48" s="17">
        <f>SUMIF(tdiario[CUENTA],tbal[[#This Row],[CUENTA]],tdiario[HABER])</f>
        <v>0</v>
      </c>
      <c r="G48" s="16">
        <f>IF(tbal[[#This Row],[DEBE]]-tbal[[#This Row],[HABER]]&gt;0,tbal[[#This Row],[DEBE]]-tbal[[#This Row],[HABER]],0)</f>
        <v>0</v>
      </c>
      <c r="H48" s="18">
        <f>IF(tbal[[#This Row],[HABER]]-tbal[[#This Row],[DEBE]]&gt;0,tbal[[#This Row],[HABER]]-tbal[[#This Row],[DEBE]],0)</f>
        <v>0</v>
      </c>
      <c r="I48" s="16">
        <f>IF((OR(tbal[[#This Row],[X]]=1,tbal[[#This Row],[X]]=2)),tbal[[#This Row],[DEUDOR]],0)</f>
        <v>0</v>
      </c>
      <c r="J48" s="18">
        <f>IF((OR(tbal[[#This Row],[X]]=2,tbal[[#This Row],[X]]=3)),tbal[[#This Row],[ACREEDOR]],0)</f>
        <v>0</v>
      </c>
      <c r="K48" s="16">
        <f>IF((OR(tbal[[#This Row],[X]]=3,tbal[[#This Row],[X]]=5)),tbal[[#This Row],[DEUDOR]],0)</f>
        <v>0</v>
      </c>
      <c r="L48" s="18">
        <f>IF((OR(tbal[[#This Row],[X]]=3,tbal[[#This Row],[X]]=4)),tbal[[#This Row],[ACREEDOR]],0)</f>
        <v>0</v>
      </c>
      <c r="M48" s="16">
        <f>IF((OR(tbal[[#This Row],[X]]=0,tbal[[#This Row],[X]]=6)),tbal[[#This Row],[DEUDOR]],0)</f>
        <v>0</v>
      </c>
      <c r="N48" s="18">
        <f>IF((OR(tbal[[#This Row],[X]]=0,tbal[[#This Row],[X]]=5)),tbal[[#This Row],[ACREEDOR]],0)</f>
        <v>0</v>
      </c>
    </row>
    <row r="49" spans="1:14" x14ac:dyDescent="0.3">
      <c r="A49" s="14" t="str">
        <f>+'PLAN DE CUENTAS'!A49</f>
        <v>1.2.3.02</v>
      </c>
      <c r="B49" s="13" t="str">
        <f>+'PLAN DE CUENTAS'!B49</f>
        <v>ACTIVOS NO CORRIENTES MANTENIDOS PARA VENTA</v>
      </c>
      <c r="C49" s="13">
        <f>+'PLAN DE CUENTAS'!C49</f>
        <v>1</v>
      </c>
      <c r="D49" t="str">
        <f>IF(tbal[[#This Row],[DEBE]]+tbal[[#This Row],[HABER]]=0,"","X")</f>
        <v/>
      </c>
      <c r="E49" s="16">
        <f>SUMIF(tdiario[CUENTA],tbal[[#This Row],[CUENTA]],tdiario[DEBE])</f>
        <v>0</v>
      </c>
      <c r="F49" s="17">
        <f>SUMIF(tdiario[CUENTA],tbal[[#This Row],[CUENTA]],tdiario[HABER])</f>
        <v>0</v>
      </c>
      <c r="G49" s="16">
        <f>IF(tbal[[#This Row],[DEBE]]-tbal[[#This Row],[HABER]]&gt;0,tbal[[#This Row],[DEBE]]-tbal[[#This Row],[HABER]],0)</f>
        <v>0</v>
      </c>
      <c r="H49" s="18">
        <f>IF(tbal[[#This Row],[HABER]]-tbal[[#This Row],[DEBE]]&gt;0,tbal[[#This Row],[HABER]]-tbal[[#This Row],[DEBE]],0)</f>
        <v>0</v>
      </c>
      <c r="I49" s="16">
        <f>IF((OR(tbal[[#This Row],[X]]=1,tbal[[#This Row],[X]]=2)),tbal[[#This Row],[DEUDOR]],0)</f>
        <v>0</v>
      </c>
      <c r="J49" s="18">
        <f>IF((OR(tbal[[#This Row],[X]]=2,tbal[[#This Row],[X]]=3)),tbal[[#This Row],[ACREEDOR]],0)</f>
        <v>0</v>
      </c>
      <c r="K49" s="16">
        <f>IF((OR(tbal[[#This Row],[X]]=3,tbal[[#This Row],[X]]=5)),tbal[[#This Row],[DEUDOR]],0)</f>
        <v>0</v>
      </c>
      <c r="L49" s="18">
        <f>IF((OR(tbal[[#This Row],[X]]=3,tbal[[#This Row],[X]]=4)),tbal[[#This Row],[ACREEDOR]],0)</f>
        <v>0</v>
      </c>
      <c r="M49" s="16">
        <f>IF((OR(tbal[[#This Row],[X]]=0,tbal[[#This Row],[X]]=6)),tbal[[#This Row],[DEUDOR]],0)</f>
        <v>0</v>
      </c>
      <c r="N49" s="18">
        <f>IF((OR(tbal[[#This Row],[X]]=0,tbal[[#This Row],[X]]=5)),tbal[[#This Row],[ACREEDOR]],0)</f>
        <v>0</v>
      </c>
    </row>
    <row r="50" spans="1:14" x14ac:dyDescent="0.3">
      <c r="A50" s="14" t="str">
        <f>+'PLAN DE CUENTAS'!A50</f>
        <v>1.2.3.02.01</v>
      </c>
      <c r="B50" s="13" t="str">
        <f>+'PLAN DE CUENTAS'!B50</f>
        <v>EQUIPO DE COMPUTACION</v>
      </c>
      <c r="C50" s="13">
        <f>+'PLAN DE CUENTAS'!C50</f>
        <v>1</v>
      </c>
      <c r="D50" t="str">
        <f>IF(tbal[[#This Row],[DEBE]]+tbal[[#This Row],[HABER]]=0,"","X")</f>
        <v/>
      </c>
      <c r="E50" s="16">
        <f>SUMIF(tdiario[CUENTA],tbal[[#This Row],[CUENTA]],tdiario[DEBE])</f>
        <v>0</v>
      </c>
      <c r="F50" s="17">
        <f>SUMIF(tdiario[CUENTA],tbal[[#This Row],[CUENTA]],tdiario[HABER])</f>
        <v>0</v>
      </c>
      <c r="G50" s="16">
        <f>IF(tbal[[#This Row],[DEBE]]-tbal[[#This Row],[HABER]]&gt;0,tbal[[#This Row],[DEBE]]-tbal[[#This Row],[HABER]],0)</f>
        <v>0</v>
      </c>
      <c r="H50" s="18">
        <f>IF(tbal[[#This Row],[HABER]]-tbal[[#This Row],[DEBE]]&gt;0,tbal[[#This Row],[HABER]]-tbal[[#This Row],[DEBE]],0)</f>
        <v>0</v>
      </c>
      <c r="I50" s="16">
        <f>IF((OR(tbal[[#This Row],[X]]=1,tbal[[#This Row],[X]]=2)),tbal[[#This Row],[DEUDOR]],0)</f>
        <v>0</v>
      </c>
      <c r="J50" s="18">
        <f>IF((OR(tbal[[#This Row],[X]]=2,tbal[[#This Row],[X]]=3)),tbal[[#This Row],[ACREEDOR]],0)</f>
        <v>0</v>
      </c>
      <c r="K50" s="16">
        <f>IF((OR(tbal[[#This Row],[X]]=3,tbal[[#This Row],[X]]=5)),tbal[[#This Row],[DEUDOR]],0)</f>
        <v>0</v>
      </c>
      <c r="L50" s="18">
        <f>IF((OR(tbal[[#This Row],[X]]=3,tbal[[#This Row],[X]]=4)),tbal[[#This Row],[ACREEDOR]],0)</f>
        <v>0</v>
      </c>
      <c r="M50" s="16">
        <f>IF((OR(tbal[[#This Row],[X]]=0,tbal[[#This Row],[X]]=6)),tbal[[#This Row],[DEUDOR]],0)</f>
        <v>0</v>
      </c>
      <c r="N50" s="18">
        <f>IF((OR(tbal[[#This Row],[X]]=0,tbal[[#This Row],[X]]=5)),tbal[[#This Row],[ACREEDOR]],0)</f>
        <v>0</v>
      </c>
    </row>
    <row r="51" spans="1:14" x14ac:dyDescent="0.3">
      <c r="A51" s="14">
        <f>+'PLAN DE CUENTAS'!A51</f>
        <v>2</v>
      </c>
      <c r="B51" s="13" t="str">
        <f>+'PLAN DE CUENTAS'!B51</f>
        <v>PASIVO</v>
      </c>
      <c r="C51" s="13">
        <f>+'PLAN DE CUENTAS'!C51</f>
        <v>2</v>
      </c>
      <c r="D51" t="str">
        <f>IF(tbal[[#This Row],[DEBE]]+tbal[[#This Row],[HABER]]=0,"","X")</f>
        <v/>
      </c>
      <c r="E51" s="16">
        <f>SUMIF(tdiario[CUENTA],tbal[[#This Row],[CUENTA]],tdiario[DEBE])</f>
        <v>0</v>
      </c>
      <c r="F51" s="17">
        <f>SUMIF(tdiario[CUENTA],tbal[[#This Row],[CUENTA]],tdiario[HABER])</f>
        <v>0</v>
      </c>
      <c r="G51" s="16">
        <f>IF(tbal[[#This Row],[DEBE]]-tbal[[#This Row],[HABER]]&gt;0,tbal[[#This Row],[DEBE]]-tbal[[#This Row],[HABER]],0)</f>
        <v>0</v>
      </c>
      <c r="H51" s="18">
        <f>IF(tbal[[#This Row],[HABER]]-tbal[[#This Row],[DEBE]]&gt;0,tbal[[#This Row],[HABER]]-tbal[[#This Row],[DEBE]],0)</f>
        <v>0</v>
      </c>
      <c r="I51" s="16">
        <f>IF((OR(tbal[[#This Row],[X]]=1,tbal[[#This Row],[X]]=2)),tbal[[#This Row],[DEUDOR]],0)</f>
        <v>0</v>
      </c>
      <c r="J51" s="18">
        <f>IF((OR(tbal[[#This Row],[X]]=2,tbal[[#This Row],[X]]=3)),tbal[[#This Row],[ACREEDOR]],0)</f>
        <v>0</v>
      </c>
      <c r="K51" s="16">
        <f>IF((OR(tbal[[#This Row],[X]]=3,tbal[[#This Row],[X]]=5)),tbal[[#This Row],[DEUDOR]],0)</f>
        <v>0</v>
      </c>
      <c r="L51" s="18">
        <f>IF((OR(tbal[[#This Row],[X]]=3,tbal[[#This Row],[X]]=4)),tbal[[#This Row],[ACREEDOR]],0)</f>
        <v>0</v>
      </c>
      <c r="M51" s="16">
        <f>IF((OR(tbal[[#This Row],[X]]=0,tbal[[#This Row],[X]]=6)),tbal[[#This Row],[DEUDOR]],0)</f>
        <v>0</v>
      </c>
      <c r="N51" s="18">
        <f>IF((OR(tbal[[#This Row],[X]]=0,tbal[[#This Row],[X]]=5)),tbal[[#This Row],[ACREEDOR]],0)</f>
        <v>0</v>
      </c>
    </row>
    <row r="52" spans="1:14" x14ac:dyDescent="0.3">
      <c r="A52" s="14">
        <f>+'PLAN DE CUENTAS'!A52</f>
        <v>2.1</v>
      </c>
      <c r="B52" s="13" t="str">
        <f>+'PLAN DE CUENTAS'!B52</f>
        <v>PASIVO CORRIENTE</v>
      </c>
      <c r="C52" s="13">
        <f>+'PLAN DE CUENTAS'!C52</f>
        <v>2</v>
      </c>
      <c r="D52" t="str">
        <f>IF(tbal[[#This Row],[DEBE]]+tbal[[#This Row],[HABER]]=0,"","X")</f>
        <v/>
      </c>
      <c r="E52" s="16">
        <f>SUMIF(tdiario[CUENTA],tbal[[#This Row],[CUENTA]],tdiario[DEBE])</f>
        <v>0</v>
      </c>
      <c r="F52" s="17">
        <f>SUMIF(tdiario[CUENTA],tbal[[#This Row],[CUENTA]],tdiario[HABER])</f>
        <v>0</v>
      </c>
      <c r="G52" s="16">
        <f>IF(tbal[[#This Row],[DEBE]]-tbal[[#This Row],[HABER]]&gt;0,tbal[[#This Row],[DEBE]]-tbal[[#This Row],[HABER]],0)</f>
        <v>0</v>
      </c>
      <c r="H52" s="18">
        <f>IF(tbal[[#This Row],[HABER]]-tbal[[#This Row],[DEBE]]&gt;0,tbal[[#This Row],[HABER]]-tbal[[#This Row],[DEBE]],0)</f>
        <v>0</v>
      </c>
      <c r="I52" s="16">
        <f>IF((OR(tbal[[#This Row],[X]]=1,tbal[[#This Row],[X]]=2)),tbal[[#This Row],[DEUDOR]],0)</f>
        <v>0</v>
      </c>
      <c r="J52" s="18">
        <f>IF((OR(tbal[[#This Row],[X]]=2,tbal[[#This Row],[X]]=3)),tbal[[#This Row],[ACREEDOR]],0)</f>
        <v>0</v>
      </c>
      <c r="K52" s="16">
        <f>IF((OR(tbal[[#This Row],[X]]=3,tbal[[#This Row],[X]]=5)),tbal[[#This Row],[DEUDOR]],0)</f>
        <v>0</v>
      </c>
      <c r="L52" s="18">
        <f>IF((OR(tbal[[#This Row],[X]]=3,tbal[[#This Row],[X]]=4)),tbal[[#This Row],[ACREEDOR]],0)</f>
        <v>0</v>
      </c>
      <c r="M52" s="16">
        <f>IF((OR(tbal[[#This Row],[X]]=0,tbal[[#This Row],[X]]=6)),tbal[[#This Row],[DEUDOR]],0)</f>
        <v>0</v>
      </c>
      <c r="N52" s="18">
        <f>IF((OR(tbal[[#This Row],[X]]=0,tbal[[#This Row],[X]]=5)),tbal[[#This Row],[ACREEDOR]],0)</f>
        <v>0</v>
      </c>
    </row>
    <row r="53" spans="1:14" x14ac:dyDescent="0.3">
      <c r="A53" s="14" t="str">
        <f>+'PLAN DE CUENTAS'!A53</f>
        <v>2.1.1</v>
      </c>
      <c r="B53" s="13" t="str">
        <f>+'PLAN DE CUENTAS'!B53</f>
        <v>CUENTAS POR PAGAR M/N</v>
      </c>
      <c r="C53" s="13">
        <f>+'PLAN DE CUENTAS'!C53</f>
        <v>2</v>
      </c>
      <c r="D53" t="str">
        <f>IF(tbal[[#This Row],[DEBE]]+tbal[[#This Row],[HABER]]=0,"","X")</f>
        <v>X</v>
      </c>
      <c r="E53" s="16">
        <f>SUMIF(tdiario[CUENTA],tbal[[#This Row],[CUENTA]],tdiario[DEBE])</f>
        <v>1250</v>
      </c>
      <c r="F53" s="17">
        <f>SUMIF(tdiario[CUENTA],tbal[[#This Row],[CUENTA]],tdiario[HABER])</f>
        <v>50250</v>
      </c>
      <c r="G53" s="16">
        <f>IF(tbal[[#This Row],[DEBE]]-tbal[[#This Row],[HABER]]&gt;0,tbal[[#This Row],[DEBE]]-tbal[[#This Row],[HABER]],0)</f>
        <v>0</v>
      </c>
      <c r="H53" s="18">
        <f>IF(tbal[[#This Row],[HABER]]-tbal[[#This Row],[DEBE]]&gt;0,tbal[[#This Row],[HABER]]-tbal[[#This Row],[DEBE]],0)</f>
        <v>49000</v>
      </c>
      <c r="I53" s="16">
        <f>IF((OR(tbal[[#This Row],[X]]=1,tbal[[#This Row],[X]]=2)),tbal[[#This Row],[DEUDOR]],0)</f>
        <v>0</v>
      </c>
      <c r="J53" s="18">
        <f>IF((OR(tbal[[#This Row],[X]]=2,tbal[[#This Row],[X]]=3)),tbal[[#This Row],[ACREEDOR]],0)</f>
        <v>49000</v>
      </c>
      <c r="K53" s="16">
        <f>IF((OR(tbal[[#This Row],[X]]=3,tbal[[#This Row],[X]]=5)),tbal[[#This Row],[DEUDOR]],0)</f>
        <v>0</v>
      </c>
      <c r="L53" s="18">
        <f>IF((OR(tbal[[#This Row],[X]]=3,tbal[[#This Row],[X]]=4)),tbal[[#This Row],[ACREEDOR]],0)</f>
        <v>0</v>
      </c>
      <c r="M53" s="16">
        <f>IF((OR(tbal[[#This Row],[X]]=0,tbal[[#This Row],[X]]=6)),tbal[[#This Row],[DEUDOR]],0)</f>
        <v>0</v>
      </c>
      <c r="N53" s="18">
        <f>IF((OR(tbal[[#This Row],[X]]=0,tbal[[#This Row],[X]]=5)),tbal[[#This Row],[ACREEDOR]],0)</f>
        <v>0</v>
      </c>
    </row>
    <row r="54" spans="1:14" x14ac:dyDescent="0.3">
      <c r="A54" s="14" t="str">
        <f>+'PLAN DE CUENTAS'!A54</f>
        <v>2.1.2</v>
      </c>
      <c r="B54" s="13" t="str">
        <f>+'PLAN DE CUENTAS'!B54</f>
        <v>CUENTAS POR PAGAR M/E</v>
      </c>
      <c r="C54" s="13">
        <f>+'PLAN DE CUENTAS'!C54</f>
        <v>2</v>
      </c>
      <c r="D54" t="str">
        <f>IF(tbal[[#This Row],[DEBE]]+tbal[[#This Row],[HABER]]=0,"","X")</f>
        <v/>
      </c>
      <c r="E54" s="16">
        <f>SUMIF(tdiario[CUENTA],tbal[[#This Row],[CUENTA]],tdiario[DEBE])</f>
        <v>0</v>
      </c>
      <c r="F54" s="17">
        <f>SUMIF(tdiario[CUENTA],tbal[[#This Row],[CUENTA]],tdiario[HABER])</f>
        <v>0</v>
      </c>
      <c r="G54" s="16">
        <f>IF(tbal[[#This Row],[DEBE]]-tbal[[#This Row],[HABER]]&gt;0,tbal[[#This Row],[DEBE]]-tbal[[#This Row],[HABER]],0)</f>
        <v>0</v>
      </c>
      <c r="H54" s="18">
        <f>IF(tbal[[#This Row],[HABER]]-tbal[[#This Row],[DEBE]]&gt;0,tbal[[#This Row],[HABER]]-tbal[[#This Row],[DEBE]],0)</f>
        <v>0</v>
      </c>
      <c r="I54" s="16">
        <f>IF((OR(tbal[[#This Row],[X]]=1,tbal[[#This Row],[X]]=2)),tbal[[#This Row],[DEUDOR]],0)</f>
        <v>0</v>
      </c>
      <c r="J54" s="18">
        <f>IF((OR(tbal[[#This Row],[X]]=2,tbal[[#This Row],[X]]=3)),tbal[[#This Row],[ACREEDOR]],0)</f>
        <v>0</v>
      </c>
      <c r="K54" s="16">
        <f>IF((OR(tbal[[#This Row],[X]]=3,tbal[[#This Row],[X]]=5)),tbal[[#This Row],[DEUDOR]],0)</f>
        <v>0</v>
      </c>
      <c r="L54" s="18">
        <f>IF((OR(tbal[[#This Row],[X]]=3,tbal[[#This Row],[X]]=4)),tbal[[#This Row],[ACREEDOR]],0)</f>
        <v>0</v>
      </c>
      <c r="M54" s="16">
        <f>IF((OR(tbal[[#This Row],[X]]=0,tbal[[#This Row],[X]]=6)),tbal[[#This Row],[DEUDOR]],0)</f>
        <v>0</v>
      </c>
      <c r="N54" s="18">
        <f>IF((OR(tbal[[#This Row],[X]]=0,tbal[[#This Row],[X]]=5)),tbal[[#This Row],[ACREEDOR]],0)</f>
        <v>0</v>
      </c>
    </row>
    <row r="55" spans="1:14" x14ac:dyDescent="0.3">
      <c r="A55" s="14" t="str">
        <f>+'PLAN DE CUENTAS'!A55</f>
        <v>2.1.3</v>
      </c>
      <c r="B55" s="13" t="str">
        <f>+'PLAN DE CUENTAS'!B55</f>
        <v>DOCUMENTOS POR PAGAR M/N</v>
      </c>
      <c r="C55" s="13">
        <f>+'PLAN DE CUENTAS'!C55</f>
        <v>2</v>
      </c>
      <c r="D55" t="str">
        <f>IF(tbal[[#This Row],[DEBE]]+tbal[[#This Row],[HABER]]=0,"","X")</f>
        <v>X</v>
      </c>
      <c r="E55" s="16">
        <f>SUMIF(tdiario[CUENTA],tbal[[#This Row],[CUENTA]],tdiario[DEBE])</f>
        <v>0</v>
      </c>
      <c r="F55" s="17">
        <f>SUMIF(tdiario[CUENTA],tbal[[#This Row],[CUENTA]],tdiario[HABER])</f>
        <v>120000</v>
      </c>
      <c r="G55" s="16">
        <f>IF(tbal[[#This Row],[DEBE]]-tbal[[#This Row],[HABER]]&gt;0,tbal[[#This Row],[DEBE]]-tbal[[#This Row],[HABER]],0)</f>
        <v>0</v>
      </c>
      <c r="H55" s="18">
        <f>IF(tbal[[#This Row],[HABER]]-tbal[[#This Row],[DEBE]]&gt;0,tbal[[#This Row],[HABER]]-tbal[[#This Row],[DEBE]],0)</f>
        <v>120000</v>
      </c>
      <c r="I55" s="16">
        <f>IF((OR(tbal[[#This Row],[X]]=1,tbal[[#This Row],[X]]=2)),tbal[[#This Row],[DEUDOR]],0)</f>
        <v>0</v>
      </c>
      <c r="J55" s="18">
        <f>IF((OR(tbal[[#This Row],[X]]=2,tbal[[#This Row],[X]]=3)),tbal[[#This Row],[ACREEDOR]],0)</f>
        <v>120000</v>
      </c>
      <c r="K55" s="16">
        <f>IF((OR(tbal[[#This Row],[X]]=3,tbal[[#This Row],[X]]=5)),tbal[[#This Row],[DEUDOR]],0)</f>
        <v>0</v>
      </c>
      <c r="L55" s="18">
        <f>IF((OR(tbal[[#This Row],[X]]=3,tbal[[#This Row],[X]]=4)),tbal[[#This Row],[ACREEDOR]],0)</f>
        <v>0</v>
      </c>
      <c r="M55" s="16">
        <f>IF((OR(tbal[[#This Row],[X]]=0,tbal[[#This Row],[X]]=6)),tbal[[#This Row],[DEUDOR]],0)</f>
        <v>0</v>
      </c>
      <c r="N55" s="18">
        <f>IF((OR(tbal[[#This Row],[X]]=0,tbal[[#This Row],[X]]=5)),tbal[[#This Row],[ACREEDOR]],0)</f>
        <v>0</v>
      </c>
    </row>
    <row r="56" spans="1:14" x14ac:dyDescent="0.3">
      <c r="A56" s="14" t="str">
        <f>+'PLAN DE CUENTAS'!A56</f>
        <v>2.1.4</v>
      </c>
      <c r="B56" s="13" t="str">
        <f>+'PLAN DE CUENTAS'!B56</f>
        <v>DOCUMENTOS POR PAGAR M/E</v>
      </c>
      <c r="C56" s="13">
        <f>+'PLAN DE CUENTAS'!C56</f>
        <v>2</v>
      </c>
      <c r="D56" t="str">
        <f>IF(tbal[[#This Row],[DEBE]]+tbal[[#This Row],[HABER]]=0,"","X")</f>
        <v/>
      </c>
      <c r="E56" s="16">
        <f>SUMIF(tdiario[CUENTA],tbal[[#This Row],[CUENTA]],tdiario[DEBE])</f>
        <v>0</v>
      </c>
      <c r="F56" s="17">
        <f>SUMIF(tdiario[CUENTA],tbal[[#This Row],[CUENTA]],tdiario[HABER])</f>
        <v>0</v>
      </c>
      <c r="G56" s="16">
        <f>IF(tbal[[#This Row],[DEBE]]-tbal[[#This Row],[HABER]]&gt;0,tbal[[#This Row],[DEBE]]-tbal[[#This Row],[HABER]],0)</f>
        <v>0</v>
      </c>
      <c r="H56" s="18">
        <f>IF(tbal[[#This Row],[HABER]]-tbal[[#This Row],[DEBE]]&gt;0,tbal[[#This Row],[HABER]]-tbal[[#This Row],[DEBE]],0)</f>
        <v>0</v>
      </c>
      <c r="I56" s="16">
        <f>IF((OR(tbal[[#This Row],[X]]=1,tbal[[#This Row],[X]]=2)),tbal[[#This Row],[DEUDOR]],0)</f>
        <v>0</v>
      </c>
      <c r="J56" s="18">
        <f>IF((OR(tbal[[#This Row],[X]]=2,tbal[[#This Row],[X]]=3)),tbal[[#This Row],[ACREEDOR]],0)</f>
        <v>0</v>
      </c>
      <c r="K56" s="16">
        <f>IF((OR(tbal[[#This Row],[X]]=3,tbal[[#This Row],[X]]=5)),tbal[[#This Row],[DEUDOR]],0)</f>
        <v>0</v>
      </c>
      <c r="L56" s="18">
        <f>IF((OR(tbal[[#This Row],[X]]=3,tbal[[#This Row],[X]]=4)),tbal[[#This Row],[ACREEDOR]],0)</f>
        <v>0</v>
      </c>
      <c r="M56" s="16">
        <f>IF((OR(tbal[[#This Row],[X]]=0,tbal[[#This Row],[X]]=6)),tbal[[#This Row],[DEUDOR]],0)</f>
        <v>0</v>
      </c>
      <c r="N56" s="18">
        <f>IF((OR(tbal[[#This Row],[X]]=0,tbal[[#This Row],[X]]=5)),tbal[[#This Row],[ACREEDOR]],0)</f>
        <v>0</v>
      </c>
    </row>
    <row r="57" spans="1:14" x14ac:dyDescent="0.3">
      <c r="A57" s="14" t="str">
        <f>+'PLAN DE CUENTAS'!A57</f>
        <v>2.1.5</v>
      </c>
      <c r="B57" s="13" t="str">
        <f>+'PLAN DE CUENTAS'!B57</f>
        <v>OBLIGACIONES CON EL PERSONAL</v>
      </c>
      <c r="C57" s="13">
        <f>+'PLAN DE CUENTAS'!C57</f>
        <v>2</v>
      </c>
      <c r="D57" t="str">
        <f>IF(tbal[[#This Row],[DEBE]]+tbal[[#This Row],[HABER]]=0,"","X")</f>
        <v/>
      </c>
      <c r="E57" s="16">
        <f>SUMIF(tdiario[CUENTA],tbal[[#This Row],[CUENTA]],tdiario[DEBE])</f>
        <v>0</v>
      </c>
      <c r="F57" s="17">
        <f>SUMIF(tdiario[CUENTA],tbal[[#This Row],[CUENTA]],tdiario[HABER])</f>
        <v>0</v>
      </c>
      <c r="G57" s="16">
        <f>IF(tbal[[#This Row],[DEBE]]-tbal[[#This Row],[HABER]]&gt;0,tbal[[#This Row],[DEBE]]-tbal[[#This Row],[HABER]],0)</f>
        <v>0</v>
      </c>
      <c r="H57" s="18">
        <f>IF(tbal[[#This Row],[HABER]]-tbal[[#This Row],[DEBE]]&gt;0,tbal[[#This Row],[HABER]]-tbal[[#This Row],[DEBE]],0)</f>
        <v>0</v>
      </c>
      <c r="I57" s="16">
        <f>IF((OR(tbal[[#This Row],[X]]=1,tbal[[#This Row],[X]]=2)),tbal[[#This Row],[DEUDOR]],0)</f>
        <v>0</v>
      </c>
      <c r="J57" s="18">
        <f>IF((OR(tbal[[#This Row],[X]]=2,tbal[[#This Row],[X]]=3)),tbal[[#This Row],[ACREEDOR]],0)</f>
        <v>0</v>
      </c>
      <c r="K57" s="16">
        <f>IF((OR(tbal[[#This Row],[X]]=3,tbal[[#This Row],[X]]=5)),tbal[[#This Row],[DEUDOR]],0)</f>
        <v>0</v>
      </c>
      <c r="L57" s="18">
        <f>IF((OR(tbal[[#This Row],[X]]=3,tbal[[#This Row],[X]]=4)),tbal[[#This Row],[ACREEDOR]],0)</f>
        <v>0</v>
      </c>
      <c r="M57" s="16">
        <f>IF((OR(tbal[[#This Row],[X]]=0,tbal[[#This Row],[X]]=6)),tbal[[#This Row],[DEUDOR]],0)</f>
        <v>0</v>
      </c>
      <c r="N57" s="18">
        <f>IF((OR(tbal[[#This Row],[X]]=0,tbal[[#This Row],[X]]=5)),tbal[[#This Row],[ACREEDOR]],0)</f>
        <v>0</v>
      </c>
    </row>
    <row r="58" spans="1:14" x14ac:dyDescent="0.3">
      <c r="A58" s="14" t="str">
        <f>+'PLAN DE CUENTAS'!A58</f>
        <v>2.1.5.01</v>
      </c>
      <c r="B58" s="13" t="str">
        <f>+'PLAN DE CUENTAS'!B58</f>
        <v>SUELDOS Y SALARIOS POR PAGAR</v>
      </c>
      <c r="C58" s="13">
        <f>+'PLAN DE CUENTAS'!C58</f>
        <v>2</v>
      </c>
      <c r="D58" t="str">
        <f>IF(tbal[[#This Row],[DEBE]]+tbal[[#This Row],[HABER]]=0,"","X")</f>
        <v/>
      </c>
      <c r="E58" s="16">
        <f>SUMIF(tdiario[CUENTA],tbal[[#This Row],[CUENTA]],tdiario[DEBE])</f>
        <v>0</v>
      </c>
      <c r="F58" s="17">
        <f>SUMIF(tdiario[CUENTA],tbal[[#This Row],[CUENTA]],tdiario[HABER])</f>
        <v>0</v>
      </c>
      <c r="G58" s="16">
        <f>IF(tbal[[#This Row],[DEBE]]-tbal[[#This Row],[HABER]]&gt;0,tbal[[#This Row],[DEBE]]-tbal[[#This Row],[HABER]],0)</f>
        <v>0</v>
      </c>
      <c r="H58" s="18">
        <f>IF(tbal[[#This Row],[HABER]]-tbal[[#This Row],[DEBE]]&gt;0,tbal[[#This Row],[HABER]]-tbal[[#This Row],[DEBE]],0)</f>
        <v>0</v>
      </c>
      <c r="I58" s="16">
        <f>IF((OR(tbal[[#This Row],[X]]=1,tbal[[#This Row],[X]]=2)),tbal[[#This Row],[DEUDOR]],0)</f>
        <v>0</v>
      </c>
      <c r="J58" s="18">
        <f>IF((OR(tbal[[#This Row],[X]]=2,tbal[[#This Row],[X]]=3)),tbal[[#This Row],[ACREEDOR]],0)</f>
        <v>0</v>
      </c>
      <c r="K58" s="16">
        <f>IF((OR(tbal[[#This Row],[X]]=3,tbal[[#This Row],[X]]=5)),tbal[[#This Row],[DEUDOR]],0)</f>
        <v>0</v>
      </c>
      <c r="L58" s="18">
        <f>IF((OR(tbal[[#This Row],[X]]=3,tbal[[#This Row],[X]]=4)),tbal[[#This Row],[ACREEDOR]],0)</f>
        <v>0</v>
      </c>
      <c r="M58" s="16">
        <f>IF((OR(tbal[[#This Row],[X]]=0,tbal[[#This Row],[X]]=6)),tbal[[#This Row],[DEUDOR]],0)</f>
        <v>0</v>
      </c>
      <c r="N58" s="18">
        <f>IF((OR(tbal[[#This Row],[X]]=0,tbal[[#This Row],[X]]=5)),tbal[[#This Row],[ACREEDOR]],0)</f>
        <v>0</v>
      </c>
    </row>
    <row r="59" spans="1:14" x14ac:dyDescent="0.3">
      <c r="A59" s="14" t="str">
        <f>+'PLAN DE CUENTAS'!A59</f>
        <v>2.1.5.02</v>
      </c>
      <c r="B59" s="13" t="str">
        <f>+'PLAN DE CUENTAS'!B59</f>
        <v>AGUINALDOS POR PAGAR</v>
      </c>
      <c r="C59" s="13">
        <f>+'PLAN DE CUENTAS'!C59</f>
        <v>2</v>
      </c>
      <c r="D59" t="str">
        <f>IF(tbal[[#This Row],[DEBE]]+tbal[[#This Row],[HABER]]=0,"","X")</f>
        <v/>
      </c>
      <c r="E59" s="16">
        <f>SUMIF(tdiario[CUENTA],tbal[[#This Row],[CUENTA]],tdiario[DEBE])</f>
        <v>0</v>
      </c>
      <c r="F59" s="17">
        <f>SUMIF(tdiario[CUENTA],tbal[[#This Row],[CUENTA]],tdiario[HABER])</f>
        <v>0</v>
      </c>
      <c r="G59" s="16">
        <f>IF(tbal[[#This Row],[DEBE]]-tbal[[#This Row],[HABER]]&gt;0,tbal[[#This Row],[DEBE]]-tbal[[#This Row],[HABER]],0)</f>
        <v>0</v>
      </c>
      <c r="H59" s="18">
        <f>IF(tbal[[#This Row],[HABER]]-tbal[[#This Row],[DEBE]]&gt;0,tbal[[#This Row],[HABER]]-tbal[[#This Row],[DEBE]],0)</f>
        <v>0</v>
      </c>
      <c r="I59" s="16">
        <f>IF((OR(tbal[[#This Row],[X]]=1,tbal[[#This Row],[X]]=2)),tbal[[#This Row],[DEUDOR]],0)</f>
        <v>0</v>
      </c>
      <c r="J59" s="18">
        <f>IF((OR(tbal[[#This Row],[X]]=2,tbal[[#This Row],[X]]=3)),tbal[[#This Row],[ACREEDOR]],0)</f>
        <v>0</v>
      </c>
      <c r="K59" s="16">
        <f>IF((OR(tbal[[#This Row],[X]]=3,tbal[[#This Row],[X]]=5)),tbal[[#This Row],[DEUDOR]],0)</f>
        <v>0</v>
      </c>
      <c r="L59" s="18">
        <f>IF((OR(tbal[[#This Row],[X]]=3,tbal[[#This Row],[X]]=4)),tbal[[#This Row],[ACREEDOR]],0)</f>
        <v>0</v>
      </c>
      <c r="M59" s="16">
        <f>IF((OR(tbal[[#This Row],[X]]=0,tbal[[#This Row],[X]]=6)),tbal[[#This Row],[DEUDOR]],0)</f>
        <v>0</v>
      </c>
      <c r="N59" s="18">
        <f>IF((OR(tbal[[#This Row],[X]]=0,tbal[[#This Row],[X]]=5)),tbal[[#This Row],[ACREEDOR]],0)</f>
        <v>0</v>
      </c>
    </row>
    <row r="60" spans="1:14" x14ac:dyDescent="0.3">
      <c r="A60" s="14" t="str">
        <f>+'PLAN DE CUENTAS'!A60</f>
        <v>2.1.6</v>
      </c>
      <c r="B60" s="13" t="str">
        <f>+'PLAN DE CUENTAS'!B60</f>
        <v>APORTES Y RENTENCIONES POR PAGAR</v>
      </c>
      <c r="C60" s="13">
        <f>+'PLAN DE CUENTAS'!C60</f>
        <v>2</v>
      </c>
      <c r="D60" t="str">
        <f>IF(tbal[[#This Row],[DEBE]]+tbal[[#This Row],[HABER]]=0,"","X")</f>
        <v/>
      </c>
      <c r="E60" s="16">
        <f>SUMIF(tdiario[CUENTA],tbal[[#This Row],[CUENTA]],tdiario[DEBE])</f>
        <v>0</v>
      </c>
      <c r="F60" s="17">
        <f>SUMIF(tdiario[CUENTA],tbal[[#This Row],[CUENTA]],tdiario[HABER])</f>
        <v>0</v>
      </c>
      <c r="G60" s="16">
        <f>IF(tbal[[#This Row],[DEBE]]-tbal[[#This Row],[HABER]]&gt;0,tbal[[#This Row],[DEBE]]-tbal[[#This Row],[HABER]],0)</f>
        <v>0</v>
      </c>
      <c r="H60" s="18">
        <f>IF(tbal[[#This Row],[HABER]]-tbal[[#This Row],[DEBE]]&gt;0,tbal[[#This Row],[HABER]]-tbal[[#This Row],[DEBE]],0)</f>
        <v>0</v>
      </c>
      <c r="I60" s="16">
        <f>IF((OR(tbal[[#This Row],[X]]=1,tbal[[#This Row],[X]]=2)),tbal[[#This Row],[DEUDOR]],0)</f>
        <v>0</v>
      </c>
      <c r="J60" s="18">
        <f>IF((OR(tbal[[#This Row],[X]]=2,tbal[[#This Row],[X]]=3)),tbal[[#This Row],[ACREEDOR]],0)</f>
        <v>0</v>
      </c>
      <c r="K60" s="16">
        <f>IF((OR(tbal[[#This Row],[X]]=3,tbal[[#This Row],[X]]=5)),tbal[[#This Row],[DEUDOR]],0)</f>
        <v>0</v>
      </c>
      <c r="L60" s="18">
        <f>IF((OR(tbal[[#This Row],[X]]=3,tbal[[#This Row],[X]]=4)),tbal[[#This Row],[ACREEDOR]],0)</f>
        <v>0</v>
      </c>
      <c r="M60" s="16">
        <f>IF((OR(tbal[[#This Row],[X]]=0,tbal[[#This Row],[X]]=6)),tbal[[#This Row],[DEUDOR]],0)</f>
        <v>0</v>
      </c>
      <c r="N60" s="18">
        <f>IF((OR(tbal[[#This Row],[X]]=0,tbal[[#This Row],[X]]=5)),tbal[[#This Row],[ACREEDOR]],0)</f>
        <v>0</v>
      </c>
    </row>
    <row r="61" spans="1:14" x14ac:dyDescent="0.3">
      <c r="A61" s="14" t="str">
        <f>+'PLAN DE CUENTAS'!A61</f>
        <v>2.1.6.01</v>
      </c>
      <c r="B61" s="13" t="str">
        <f>+'PLAN DE CUENTAS'!B61</f>
        <v>CAJA NACIONAL DE SALUD</v>
      </c>
      <c r="C61" s="13">
        <f>+'PLAN DE CUENTAS'!C61</f>
        <v>2</v>
      </c>
      <c r="D61" t="str">
        <f>IF(tbal[[#This Row],[DEBE]]+tbal[[#This Row],[HABER]]=0,"","X")</f>
        <v/>
      </c>
      <c r="E61" s="16">
        <f>SUMIF(tdiario[CUENTA],tbal[[#This Row],[CUENTA]],tdiario[DEBE])</f>
        <v>0</v>
      </c>
      <c r="F61" s="17">
        <f>SUMIF(tdiario[CUENTA],tbal[[#This Row],[CUENTA]],tdiario[HABER])</f>
        <v>0</v>
      </c>
      <c r="G61" s="16">
        <f>IF(tbal[[#This Row],[DEBE]]-tbal[[#This Row],[HABER]]&gt;0,tbal[[#This Row],[DEBE]]-tbal[[#This Row],[HABER]],0)</f>
        <v>0</v>
      </c>
      <c r="H61" s="18">
        <f>IF(tbal[[#This Row],[HABER]]-tbal[[#This Row],[DEBE]]&gt;0,tbal[[#This Row],[HABER]]-tbal[[#This Row],[DEBE]],0)</f>
        <v>0</v>
      </c>
      <c r="I61" s="16">
        <f>IF((OR(tbal[[#This Row],[X]]=1,tbal[[#This Row],[X]]=2)),tbal[[#This Row],[DEUDOR]],0)</f>
        <v>0</v>
      </c>
      <c r="J61" s="18">
        <f>IF((OR(tbal[[#This Row],[X]]=2,tbal[[#This Row],[X]]=3)),tbal[[#This Row],[ACREEDOR]],0)</f>
        <v>0</v>
      </c>
      <c r="K61" s="16">
        <f>IF((OR(tbal[[#This Row],[X]]=3,tbal[[#This Row],[X]]=5)),tbal[[#This Row],[DEUDOR]],0)</f>
        <v>0</v>
      </c>
      <c r="L61" s="18">
        <f>IF((OR(tbal[[#This Row],[X]]=3,tbal[[#This Row],[X]]=4)),tbal[[#This Row],[ACREEDOR]],0)</f>
        <v>0</v>
      </c>
      <c r="M61" s="16">
        <f>IF((OR(tbal[[#This Row],[X]]=0,tbal[[#This Row],[X]]=6)),tbal[[#This Row],[DEUDOR]],0)</f>
        <v>0</v>
      </c>
      <c r="N61" s="18">
        <f>IF((OR(tbal[[#This Row],[X]]=0,tbal[[#This Row],[X]]=5)),tbal[[#This Row],[ACREEDOR]],0)</f>
        <v>0</v>
      </c>
    </row>
    <row r="62" spans="1:14" x14ac:dyDescent="0.3">
      <c r="A62" s="14" t="str">
        <f>+'PLAN DE CUENTAS'!A62</f>
        <v>2.1.6.02</v>
      </c>
      <c r="B62" s="13" t="str">
        <f>+'PLAN DE CUENTAS'!B62</f>
        <v>FONDO NACIONAL DE VIVIENDA SOCIAL</v>
      </c>
      <c r="C62" s="13">
        <f>+'PLAN DE CUENTAS'!C62</f>
        <v>2</v>
      </c>
      <c r="D62" t="str">
        <f>IF(tbal[[#This Row],[DEBE]]+tbal[[#This Row],[HABER]]=0,"","X")</f>
        <v/>
      </c>
      <c r="E62" s="16">
        <f>SUMIF(tdiario[CUENTA],tbal[[#This Row],[CUENTA]],tdiario[DEBE])</f>
        <v>0</v>
      </c>
      <c r="F62" s="17">
        <f>SUMIF(tdiario[CUENTA],tbal[[#This Row],[CUENTA]],tdiario[HABER])</f>
        <v>0</v>
      </c>
      <c r="G62" s="16">
        <f>IF(tbal[[#This Row],[DEBE]]-tbal[[#This Row],[HABER]]&gt;0,tbal[[#This Row],[DEBE]]-tbal[[#This Row],[HABER]],0)</f>
        <v>0</v>
      </c>
      <c r="H62" s="18">
        <f>IF(tbal[[#This Row],[HABER]]-tbal[[#This Row],[DEBE]]&gt;0,tbal[[#This Row],[HABER]]-tbal[[#This Row],[DEBE]],0)</f>
        <v>0</v>
      </c>
      <c r="I62" s="16">
        <f>IF((OR(tbal[[#This Row],[X]]=1,tbal[[#This Row],[X]]=2)),tbal[[#This Row],[DEUDOR]],0)</f>
        <v>0</v>
      </c>
      <c r="J62" s="18">
        <f>IF((OR(tbal[[#This Row],[X]]=2,tbal[[#This Row],[X]]=3)),tbal[[#This Row],[ACREEDOR]],0)</f>
        <v>0</v>
      </c>
      <c r="K62" s="16">
        <f>IF((OR(tbal[[#This Row],[X]]=3,tbal[[#This Row],[X]]=5)),tbal[[#This Row],[DEUDOR]],0)</f>
        <v>0</v>
      </c>
      <c r="L62" s="18">
        <f>IF((OR(tbal[[#This Row],[X]]=3,tbal[[#This Row],[X]]=4)),tbal[[#This Row],[ACREEDOR]],0)</f>
        <v>0</v>
      </c>
      <c r="M62" s="16">
        <f>IF((OR(tbal[[#This Row],[X]]=0,tbal[[#This Row],[X]]=6)),tbal[[#This Row],[DEUDOR]],0)</f>
        <v>0</v>
      </c>
      <c r="N62" s="18">
        <f>IF((OR(tbal[[#This Row],[X]]=0,tbal[[#This Row],[X]]=5)),tbal[[#This Row],[ACREEDOR]],0)</f>
        <v>0</v>
      </c>
    </row>
    <row r="63" spans="1:14" x14ac:dyDescent="0.3">
      <c r="A63" s="14" t="str">
        <f>+'PLAN DE CUENTAS'!A63</f>
        <v>2.1.6.03</v>
      </c>
      <c r="B63" s="13" t="str">
        <f>+'PLAN DE CUENTAS'!B63</f>
        <v>INSTITUTO DE FORMACION Y CAPACITACION LABORAL</v>
      </c>
      <c r="C63" s="13">
        <f>+'PLAN DE CUENTAS'!C63</f>
        <v>2</v>
      </c>
      <c r="D63" t="str">
        <f>IF(tbal[[#This Row],[DEBE]]+tbal[[#This Row],[HABER]]=0,"","X")</f>
        <v/>
      </c>
      <c r="E63" s="16">
        <f>SUMIF(tdiario[CUENTA],tbal[[#This Row],[CUENTA]],tdiario[DEBE])</f>
        <v>0</v>
      </c>
      <c r="F63" s="17">
        <f>SUMIF(tdiario[CUENTA],tbal[[#This Row],[CUENTA]],tdiario[HABER])</f>
        <v>0</v>
      </c>
      <c r="G63" s="16">
        <f>IF(tbal[[#This Row],[DEBE]]-tbal[[#This Row],[HABER]]&gt;0,tbal[[#This Row],[DEBE]]-tbal[[#This Row],[HABER]],0)</f>
        <v>0</v>
      </c>
      <c r="H63" s="18">
        <f>IF(tbal[[#This Row],[HABER]]-tbal[[#This Row],[DEBE]]&gt;0,tbal[[#This Row],[HABER]]-tbal[[#This Row],[DEBE]],0)</f>
        <v>0</v>
      </c>
      <c r="I63" s="16">
        <f>IF((OR(tbal[[#This Row],[X]]=1,tbal[[#This Row],[X]]=2)),tbal[[#This Row],[DEUDOR]],0)</f>
        <v>0</v>
      </c>
      <c r="J63" s="18">
        <f>IF((OR(tbal[[#This Row],[X]]=2,tbal[[#This Row],[X]]=3)),tbal[[#This Row],[ACREEDOR]],0)</f>
        <v>0</v>
      </c>
      <c r="K63" s="16">
        <f>IF((OR(tbal[[#This Row],[X]]=3,tbal[[#This Row],[X]]=5)),tbal[[#This Row],[DEUDOR]],0)</f>
        <v>0</v>
      </c>
      <c r="L63" s="18">
        <f>IF((OR(tbal[[#This Row],[X]]=3,tbal[[#This Row],[X]]=4)),tbal[[#This Row],[ACREEDOR]],0)</f>
        <v>0</v>
      </c>
      <c r="M63" s="16">
        <f>IF((OR(tbal[[#This Row],[X]]=0,tbal[[#This Row],[X]]=6)),tbal[[#This Row],[DEUDOR]],0)</f>
        <v>0</v>
      </c>
      <c r="N63" s="18">
        <f>IF((OR(tbal[[#This Row],[X]]=0,tbal[[#This Row],[X]]=5)),tbal[[#This Row],[ACREEDOR]],0)</f>
        <v>0</v>
      </c>
    </row>
    <row r="64" spans="1:14" x14ac:dyDescent="0.3">
      <c r="A64" s="14" t="str">
        <f>+'PLAN DE CUENTAS'!A64</f>
        <v>2.1.6.04</v>
      </c>
      <c r="B64" s="13" t="str">
        <f>+'PLAN DE CUENTAS'!B64</f>
        <v>AFP</v>
      </c>
      <c r="C64" s="13">
        <f>+'PLAN DE CUENTAS'!C64</f>
        <v>2</v>
      </c>
      <c r="D64" t="str">
        <f>IF(tbal[[#This Row],[DEBE]]+tbal[[#This Row],[HABER]]=0,"","X")</f>
        <v/>
      </c>
      <c r="E64" s="16">
        <f>SUMIF(tdiario[CUENTA],tbal[[#This Row],[CUENTA]],tdiario[DEBE])</f>
        <v>0</v>
      </c>
      <c r="F64" s="17">
        <f>SUMIF(tdiario[CUENTA],tbal[[#This Row],[CUENTA]],tdiario[HABER])</f>
        <v>0</v>
      </c>
      <c r="G64" s="16">
        <f>IF(tbal[[#This Row],[DEBE]]-tbal[[#This Row],[HABER]]&gt;0,tbal[[#This Row],[DEBE]]-tbal[[#This Row],[HABER]],0)</f>
        <v>0</v>
      </c>
      <c r="H64" s="18">
        <f>IF(tbal[[#This Row],[HABER]]-tbal[[#This Row],[DEBE]]&gt;0,tbal[[#This Row],[HABER]]-tbal[[#This Row],[DEBE]],0)</f>
        <v>0</v>
      </c>
      <c r="I64" s="16">
        <f>IF((OR(tbal[[#This Row],[X]]=1,tbal[[#This Row],[X]]=2)),tbal[[#This Row],[DEUDOR]],0)</f>
        <v>0</v>
      </c>
      <c r="J64" s="18">
        <f>IF((OR(tbal[[#This Row],[X]]=2,tbal[[#This Row],[X]]=3)),tbal[[#This Row],[ACREEDOR]],0)</f>
        <v>0</v>
      </c>
      <c r="K64" s="16">
        <f>IF((OR(tbal[[#This Row],[X]]=3,tbal[[#This Row],[X]]=5)),tbal[[#This Row],[DEUDOR]],0)</f>
        <v>0</v>
      </c>
      <c r="L64" s="18">
        <f>IF((OR(tbal[[#This Row],[X]]=3,tbal[[#This Row],[X]]=4)),tbal[[#This Row],[ACREEDOR]],0)</f>
        <v>0</v>
      </c>
      <c r="M64" s="16">
        <f>IF((OR(tbal[[#This Row],[X]]=0,tbal[[#This Row],[X]]=6)),tbal[[#This Row],[DEUDOR]],0)</f>
        <v>0</v>
      </c>
      <c r="N64" s="18">
        <f>IF((OR(tbal[[#This Row],[X]]=0,tbal[[#This Row],[X]]=5)),tbal[[#This Row],[ACREEDOR]],0)</f>
        <v>0</v>
      </c>
    </row>
    <row r="65" spans="1:14" x14ac:dyDescent="0.3">
      <c r="A65" s="14" t="str">
        <f>+'PLAN DE CUENTAS'!A65</f>
        <v>2.1.7</v>
      </c>
      <c r="B65" s="13" t="str">
        <f>+'PLAN DE CUENTAS'!B65</f>
        <v>IMPUESTOS POR PAGAR</v>
      </c>
      <c r="C65" s="13">
        <f>+'PLAN DE CUENTAS'!C65</f>
        <v>2</v>
      </c>
      <c r="D65" t="str">
        <f>IF(tbal[[#This Row],[DEBE]]+tbal[[#This Row],[HABER]]=0,"","X")</f>
        <v/>
      </c>
      <c r="E65" s="16">
        <f>SUMIF(tdiario[CUENTA],tbal[[#This Row],[CUENTA]],tdiario[DEBE])</f>
        <v>0</v>
      </c>
      <c r="F65" s="17">
        <f>SUMIF(tdiario[CUENTA],tbal[[#This Row],[CUENTA]],tdiario[HABER])</f>
        <v>0</v>
      </c>
      <c r="G65" s="16">
        <f>IF(tbal[[#This Row],[DEBE]]-tbal[[#This Row],[HABER]]&gt;0,tbal[[#This Row],[DEBE]]-tbal[[#This Row],[HABER]],0)</f>
        <v>0</v>
      </c>
      <c r="H65" s="18">
        <f>IF(tbal[[#This Row],[HABER]]-tbal[[#This Row],[DEBE]]&gt;0,tbal[[#This Row],[HABER]]-tbal[[#This Row],[DEBE]],0)</f>
        <v>0</v>
      </c>
      <c r="I65" s="16">
        <f>IF((OR(tbal[[#This Row],[X]]=1,tbal[[#This Row],[X]]=2)),tbal[[#This Row],[DEUDOR]],0)</f>
        <v>0</v>
      </c>
      <c r="J65" s="18">
        <f>IF((OR(tbal[[#This Row],[X]]=2,tbal[[#This Row],[X]]=3)),tbal[[#This Row],[ACREEDOR]],0)</f>
        <v>0</v>
      </c>
      <c r="K65" s="16">
        <f>IF((OR(tbal[[#This Row],[X]]=3,tbal[[#This Row],[X]]=5)),tbal[[#This Row],[DEUDOR]],0)</f>
        <v>0</v>
      </c>
      <c r="L65" s="18">
        <f>IF((OR(tbal[[#This Row],[X]]=3,tbal[[#This Row],[X]]=4)),tbal[[#This Row],[ACREEDOR]],0)</f>
        <v>0</v>
      </c>
      <c r="M65" s="16">
        <f>IF((OR(tbal[[#This Row],[X]]=0,tbal[[#This Row],[X]]=6)),tbal[[#This Row],[DEUDOR]],0)</f>
        <v>0</v>
      </c>
      <c r="N65" s="18">
        <f>IF((OR(tbal[[#This Row],[X]]=0,tbal[[#This Row],[X]]=5)),tbal[[#This Row],[ACREEDOR]],0)</f>
        <v>0</v>
      </c>
    </row>
    <row r="66" spans="1:14" x14ac:dyDescent="0.3">
      <c r="A66" s="14" t="str">
        <f>+'PLAN DE CUENTAS'!A66</f>
        <v>2.1.7.01</v>
      </c>
      <c r="B66" s="13" t="str">
        <f>+'PLAN DE CUENTAS'!B66</f>
        <v>RC IVA DEPENDIENTES</v>
      </c>
      <c r="C66" s="13">
        <f>+'PLAN DE CUENTAS'!C66</f>
        <v>2</v>
      </c>
      <c r="D66" t="str">
        <f>IF(tbal[[#This Row],[DEBE]]+tbal[[#This Row],[HABER]]=0,"","X")</f>
        <v/>
      </c>
      <c r="E66" s="16">
        <f>SUMIF(tdiario[CUENTA],tbal[[#This Row],[CUENTA]],tdiario[DEBE])</f>
        <v>0</v>
      </c>
      <c r="F66" s="17">
        <f>SUMIF(tdiario[CUENTA],tbal[[#This Row],[CUENTA]],tdiario[HABER])</f>
        <v>0</v>
      </c>
      <c r="G66" s="16">
        <f>IF(tbal[[#This Row],[DEBE]]-tbal[[#This Row],[HABER]]&gt;0,tbal[[#This Row],[DEBE]]-tbal[[#This Row],[HABER]],0)</f>
        <v>0</v>
      </c>
      <c r="H66" s="18">
        <f>IF(tbal[[#This Row],[HABER]]-tbal[[#This Row],[DEBE]]&gt;0,tbal[[#This Row],[HABER]]-tbal[[#This Row],[DEBE]],0)</f>
        <v>0</v>
      </c>
      <c r="I66" s="16">
        <f>IF((OR(tbal[[#This Row],[X]]=1,tbal[[#This Row],[X]]=2)),tbal[[#This Row],[DEUDOR]],0)</f>
        <v>0</v>
      </c>
      <c r="J66" s="18">
        <f>IF((OR(tbal[[#This Row],[X]]=2,tbal[[#This Row],[X]]=3)),tbal[[#This Row],[ACREEDOR]],0)</f>
        <v>0</v>
      </c>
      <c r="K66" s="16">
        <f>IF((OR(tbal[[#This Row],[X]]=3,tbal[[#This Row],[X]]=5)),tbal[[#This Row],[DEUDOR]],0)</f>
        <v>0</v>
      </c>
      <c r="L66" s="18">
        <f>IF((OR(tbal[[#This Row],[X]]=3,tbal[[#This Row],[X]]=4)),tbal[[#This Row],[ACREEDOR]],0)</f>
        <v>0</v>
      </c>
      <c r="M66" s="16">
        <f>IF((OR(tbal[[#This Row],[X]]=0,tbal[[#This Row],[X]]=6)),tbal[[#This Row],[DEUDOR]],0)</f>
        <v>0</v>
      </c>
      <c r="N66" s="18">
        <f>IF((OR(tbal[[#This Row],[X]]=0,tbal[[#This Row],[X]]=5)),tbal[[#This Row],[ACREEDOR]],0)</f>
        <v>0</v>
      </c>
    </row>
    <row r="67" spans="1:14" x14ac:dyDescent="0.3">
      <c r="A67" s="14" t="str">
        <f>+'PLAN DE CUENTAS'!A67</f>
        <v>2.1.7.02</v>
      </c>
      <c r="B67" s="13" t="str">
        <f>+'PLAN DE CUENTAS'!B67</f>
        <v>RC IVA TERCEROS</v>
      </c>
      <c r="C67" s="13">
        <f>+'PLAN DE CUENTAS'!C67</f>
        <v>2</v>
      </c>
      <c r="D67" t="str">
        <f>IF(tbal[[#This Row],[DEBE]]+tbal[[#This Row],[HABER]]=0,"","X")</f>
        <v/>
      </c>
      <c r="E67" s="16">
        <f>SUMIF(tdiario[CUENTA],tbal[[#This Row],[CUENTA]],tdiario[DEBE])</f>
        <v>0</v>
      </c>
      <c r="F67" s="17">
        <f>SUMIF(tdiario[CUENTA],tbal[[#This Row],[CUENTA]],tdiario[HABER])</f>
        <v>0</v>
      </c>
      <c r="G67" s="16">
        <f>IF(tbal[[#This Row],[DEBE]]-tbal[[#This Row],[HABER]]&gt;0,tbal[[#This Row],[DEBE]]-tbal[[#This Row],[HABER]],0)</f>
        <v>0</v>
      </c>
      <c r="H67" s="18">
        <f>IF(tbal[[#This Row],[HABER]]-tbal[[#This Row],[DEBE]]&gt;0,tbal[[#This Row],[HABER]]-tbal[[#This Row],[DEBE]],0)</f>
        <v>0</v>
      </c>
      <c r="I67" s="16">
        <f>IF((OR(tbal[[#This Row],[X]]=1,tbal[[#This Row],[X]]=2)),tbal[[#This Row],[DEUDOR]],0)</f>
        <v>0</v>
      </c>
      <c r="J67" s="18">
        <f>IF((OR(tbal[[#This Row],[X]]=2,tbal[[#This Row],[X]]=3)),tbal[[#This Row],[ACREEDOR]],0)</f>
        <v>0</v>
      </c>
      <c r="K67" s="16">
        <f>IF((OR(tbal[[#This Row],[X]]=3,tbal[[#This Row],[X]]=5)),tbal[[#This Row],[DEUDOR]],0)</f>
        <v>0</v>
      </c>
      <c r="L67" s="18">
        <f>IF((OR(tbal[[#This Row],[X]]=3,tbal[[#This Row],[X]]=4)),tbal[[#This Row],[ACREEDOR]],0)</f>
        <v>0</v>
      </c>
      <c r="M67" s="16">
        <f>IF((OR(tbal[[#This Row],[X]]=0,tbal[[#This Row],[X]]=6)),tbal[[#This Row],[DEUDOR]],0)</f>
        <v>0</v>
      </c>
      <c r="N67" s="18">
        <f>IF((OR(tbal[[#This Row],[X]]=0,tbal[[#This Row],[X]]=5)),tbal[[#This Row],[ACREEDOR]],0)</f>
        <v>0</v>
      </c>
    </row>
    <row r="68" spans="1:14" x14ac:dyDescent="0.3">
      <c r="A68" s="14" t="str">
        <f>+'PLAN DE CUENTAS'!A68</f>
        <v>2.1.7.03</v>
      </c>
      <c r="B68" s="13" t="str">
        <f>+'PLAN DE CUENTAS'!B68</f>
        <v>IVA A TERCEROS</v>
      </c>
      <c r="C68" s="13">
        <f>+'PLAN DE CUENTAS'!C68</f>
        <v>2</v>
      </c>
      <c r="D68" t="str">
        <f>IF(tbal[[#This Row],[DEBE]]+tbal[[#This Row],[HABER]]=0,"","X")</f>
        <v/>
      </c>
      <c r="E68" s="16">
        <f>SUMIF(tdiario[CUENTA],tbal[[#This Row],[CUENTA]],tdiario[DEBE])</f>
        <v>0</v>
      </c>
      <c r="F68" s="17">
        <f>SUMIF(tdiario[CUENTA],tbal[[#This Row],[CUENTA]],tdiario[HABER])</f>
        <v>0</v>
      </c>
      <c r="G68" s="16">
        <f>IF(tbal[[#This Row],[DEBE]]-tbal[[#This Row],[HABER]]&gt;0,tbal[[#This Row],[DEBE]]-tbal[[#This Row],[HABER]],0)</f>
        <v>0</v>
      </c>
      <c r="H68" s="18">
        <f>IF(tbal[[#This Row],[HABER]]-tbal[[#This Row],[DEBE]]&gt;0,tbal[[#This Row],[HABER]]-tbal[[#This Row],[DEBE]],0)</f>
        <v>0</v>
      </c>
      <c r="I68" s="16">
        <f>IF((OR(tbal[[#This Row],[X]]=1,tbal[[#This Row],[X]]=2)),tbal[[#This Row],[DEUDOR]],0)</f>
        <v>0</v>
      </c>
      <c r="J68" s="18">
        <f>IF((OR(tbal[[#This Row],[X]]=2,tbal[[#This Row],[X]]=3)),tbal[[#This Row],[ACREEDOR]],0)</f>
        <v>0</v>
      </c>
      <c r="K68" s="16">
        <f>IF((OR(tbal[[#This Row],[X]]=3,tbal[[#This Row],[X]]=5)),tbal[[#This Row],[DEUDOR]],0)</f>
        <v>0</v>
      </c>
      <c r="L68" s="18">
        <f>IF((OR(tbal[[#This Row],[X]]=3,tbal[[#This Row],[X]]=4)),tbal[[#This Row],[ACREEDOR]],0)</f>
        <v>0</v>
      </c>
      <c r="M68" s="16">
        <f>IF((OR(tbal[[#This Row],[X]]=0,tbal[[#This Row],[X]]=6)),tbal[[#This Row],[DEUDOR]],0)</f>
        <v>0</v>
      </c>
      <c r="N68" s="18">
        <f>IF((OR(tbal[[#This Row],[X]]=0,tbal[[#This Row],[X]]=5)),tbal[[#This Row],[ACREEDOR]],0)</f>
        <v>0</v>
      </c>
    </row>
    <row r="69" spans="1:14" x14ac:dyDescent="0.3">
      <c r="A69" s="14" t="str">
        <f>+'PLAN DE CUENTAS'!A69</f>
        <v>2.1.7.04</v>
      </c>
      <c r="B69" s="13" t="str">
        <f>+'PLAN DE CUENTAS'!B69</f>
        <v>IT A TERCEROS</v>
      </c>
      <c r="C69" s="13">
        <f>+'PLAN DE CUENTAS'!C69</f>
        <v>2</v>
      </c>
      <c r="D69" t="str">
        <f>IF(tbal[[#This Row],[DEBE]]+tbal[[#This Row],[HABER]]=0,"","X")</f>
        <v/>
      </c>
      <c r="E69" s="16">
        <f>SUMIF(tdiario[CUENTA],tbal[[#This Row],[CUENTA]],tdiario[DEBE])</f>
        <v>0</v>
      </c>
      <c r="F69" s="17">
        <f>SUMIF(tdiario[CUENTA],tbal[[#This Row],[CUENTA]],tdiario[HABER])</f>
        <v>0</v>
      </c>
      <c r="G69" s="16">
        <f>IF(tbal[[#This Row],[DEBE]]-tbal[[#This Row],[HABER]]&gt;0,tbal[[#This Row],[DEBE]]-tbal[[#This Row],[HABER]],0)</f>
        <v>0</v>
      </c>
      <c r="H69" s="18">
        <f>IF(tbal[[#This Row],[HABER]]-tbal[[#This Row],[DEBE]]&gt;0,tbal[[#This Row],[HABER]]-tbal[[#This Row],[DEBE]],0)</f>
        <v>0</v>
      </c>
      <c r="I69" s="16">
        <f>IF((OR(tbal[[#This Row],[X]]=1,tbal[[#This Row],[X]]=2)),tbal[[#This Row],[DEUDOR]],0)</f>
        <v>0</v>
      </c>
      <c r="J69" s="18">
        <f>IF((OR(tbal[[#This Row],[X]]=2,tbal[[#This Row],[X]]=3)),tbal[[#This Row],[ACREEDOR]],0)</f>
        <v>0</v>
      </c>
      <c r="K69" s="16">
        <f>IF((OR(tbal[[#This Row],[X]]=3,tbal[[#This Row],[X]]=5)),tbal[[#This Row],[DEUDOR]],0)</f>
        <v>0</v>
      </c>
      <c r="L69" s="18">
        <f>IF((OR(tbal[[#This Row],[X]]=3,tbal[[#This Row],[X]]=4)),tbal[[#This Row],[ACREEDOR]],0)</f>
        <v>0</v>
      </c>
      <c r="M69" s="16">
        <f>IF((OR(tbal[[#This Row],[X]]=0,tbal[[#This Row],[X]]=6)),tbal[[#This Row],[DEUDOR]],0)</f>
        <v>0</v>
      </c>
      <c r="N69" s="18">
        <f>IF((OR(tbal[[#This Row],[X]]=0,tbal[[#This Row],[X]]=5)),tbal[[#This Row],[ACREEDOR]],0)</f>
        <v>0</v>
      </c>
    </row>
    <row r="70" spans="1:14" x14ac:dyDescent="0.3">
      <c r="A70" s="14" t="str">
        <f>+'PLAN DE CUENTAS'!A70</f>
        <v>2.1.7.05</v>
      </c>
      <c r="B70" s="13" t="str">
        <f>+'PLAN DE CUENTAS'!B70</f>
        <v>IUE A TERCEROS</v>
      </c>
      <c r="C70" s="13">
        <f>+'PLAN DE CUENTAS'!C70</f>
        <v>2</v>
      </c>
      <c r="D70" t="str">
        <f>IF(tbal[[#This Row],[DEBE]]+tbal[[#This Row],[HABER]]=0,"","X")</f>
        <v/>
      </c>
      <c r="E70" s="16">
        <f>SUMIF(tdiario[CUENTA],tbal[[#This Row],[CUENTA]],tdiario[DEBE])</f>
        <v>0</v>
      </c>
      <c r="F70" s="17">
        <f>SUMIF(tdiario[CUENTA],tbal[[#This Row],[CUENTA]],tdiario[HABER])</f>
        <v>0</v>
      </c>
      <c r="G70" s="16">
        <f>IF(tbal[[#This Row],[DEBE]]-tbal[[#This Row],[HABER]]&gt;0,tbal[[#This Row],[DEBE]]-tbal[[#This Row],[HABER]],0)</f>
        <v>0</v>
      </c>
      <c r="H70" s="18">
        <f>IF(tbal[[#This Row],[HABER]]-tbal[[#This Row],[DEBE]]&gt;0,tbal[[#This Row],[HABER]]-tbal[[#This Row],[DEBE]],0)</f>
        <v>0</v>
      </c>
      <c r="I70" s="16">
        <f>IF((OR(tbal[[#This Row],[X]]=1,tbal[[#This Row],[X]]=2)),tbal[[#This Row],[DEUDOR]],0)</f>
        <v>0</v>
      </c>
      <c r="J70" s="18">
        <f>IF((OR(tbal[[#This Row],[X]]=2,tbal[[#This Row],[X]]=3)),tbal[[#This Row],[ACREEDOR]],0)</f>
        <v>0</v>
      </c>
      <c r="K70" s="16">
        <f>IF((OR(tbal[[#This Row],[X]]=3,tbal[[#This Row],[X]]=5)),tbal[[#This Row],[DEUDOR]],0)</f>
        <v>0</v>
      </c>
      <c r="L70" s="18">
        <f>IF((OR(tbal[[#This Row],[X]]=3,tbal[[#This Row],[X]]=4)),tbal[[#This Row],[ACREEDOR]],0)</f>
        <v>0</v>
      </c>
      <c r="M70" s="16">
        <f>IF((OR(tbal[[#This Row],[X]]=0,tbal[[#This Row],[X]]=6)),tbal[[#This Row],[DEUDOR]],0)</f>
        <v>0</v>
      </c>
      <c r="N70" s="18">
        <f>IF((OR(tbal[[#This Row],[X]]=0,tbal[[#This Row],[X]]=5)),tbal[[#This Row],[ACREEDOR]],0)</f>
        <v>0</v>
      </c>
    </row>
    <row r="71" spans="1:14" x14ac:dyDescent="0.3">
      <c r="A71" s="14" t="str">
        <f>+'PLAN DE CUENTAS'!A71</f>
        <v>2.1.7.06</v>
      </c>
      <c r="B71" s="13" t="str">
        <f>+'PLAN DE CUENTAS'!B71</f>
        <v>IT ACUMULADO POR PAGAR</v>
      </c>
      <c r="C71" s="13">
        <f>+'PLAN DE CUENTAS'!C71</f>
        <v>2</v>
      </c>
      <c r="D71" t="str">
        <f>IF(tbal[[#This Row],[DEBE]]+tbal[[#This Row],[HABER]]=0,"","X")</f>
        <v>X</v>
      </c>
      <c r="E71" s="16">
        <f>SUMIF(tdiario[CUENTA],tbal[[#This Row],[CUENTA]],tdiario[DEBE])</f>
        <v>0</v>
      </c>
      <c r="F71" s="17">
        <f>SUMIF(tdiario[CUENTA],tbal[[#This Row],[CUENTA]],tdiario[HABER])</f>
        <v>18900</v>
      </c>
      <c r="G71" s="16">
        <f>IF(tbal[[#This Row],[DEBE]]-tbal[[#This Row],[HABER]]&gt;0,tbal[[#This Row],[DEBE]]-tbal[[#This Row],[HABER]],0)</f>
        <v>0</v>
      </c>
      <c r="H71" s="18">
        <f>IF(tbal[[#This Row],[HABER]]-tbal[[#This Row],[DEBE]]&gt;0,tbal[[#This Row],[HABER]]-tbal[[#This Row],[DEBE]],0)</f>
        <v>18900</v>
      </c>
      <c r="I71" s="16">
        <f>IF((OR(tbal[[#This Row],[X]]=1,tbal[[#This Row],[X]]=2)),tbal[[#This Row],[DEUDOR]],0)</f>
        <v>0</v>
      </c>
      <c r="J71" s="18">
        <f>IF((OR(tbal[[#This Row],[X]]=2,tbal[[#This Row],[X]]=3)),tbal[[#This Row],[ACREEDOR]],0)</f>
        <v>18900</v>
      </c>
      <c r="K71" s="16">
        <f>IF((OR(tbal[[#This Row],[X]]=3,tbal[[#This Row],[X]]=5)),tbal[[#This Row],[DEUDOR]],0)</f>
        <v>0</v>
      </c>
      <c r="L71" s="18">
        <f>IF((OR(tbal[[#This Row],[X]]=3,tbal[[#This Row],[X]]=4)),tbal[[#This Row],[ACREEDOR]],0)</f>
        <v>0</v>
      </c>
      <c r="M71" s="16">
        <f>IF((OR(tbal[[#This Row],[X]]=0,tbal[[#This Row],[X]]=6)),tbal[[#This Row],[DEUDOR]],0)</f>
        <v>0</v>
      </c>
      <c r="N71" s="18">
        <f>IF((OR(tbal[[#This Row],[X]]=0,tbal[[#This Row],[X]]=5)),tbal[[#This Row],[ACREEDOR]],0)</f>
        <v>0</v>
      </c>
    </row>
    <row r="72" spans="1:14" x14ac:dyDescent="0.3">
      <c r="A72" s="14" t="str">
        <f>+'PLAN DE CUENTAS'!A72</f>
        <v>2.1.8</v>
      </c>
      <c r="B72" s="13" t="str">
        <f>+'PLAN DE CUENTAS'!B72</f>
        <v xml:space="preserve">DEBITO FISCAL </v>
      </c>
      <c r="C72" s="13">
        <f>+'PLAN DE CUENTAS'!C72</f>
        <v>2</v>
      </c>
      <c r="D72" t="str">
        <f>IF(tbal[[#This Row],[DEBE]]+tbal[[#This Row],[HABER]]=0,"","X")</f>
        <v>X</v>
      </c>
      <c r="E72" s="64">
        <f>SUMIF(tdiario[CUENTA],tbal[[#This Row],[CUENTA]],tdiario[DEBE])</f>
        <v>85615.4</v>
      </c>
      <c r="F72" s="65">
        <f>SUMIF(tdiario[CUENTA],tbal[[#This Row],[CUENTA]],tdiario[HABER])</f>
        <v>85615.4</v>
      </c>
      <c r="G72" s="64">
        <f>IF(tbal[[#This Row],[DEBE]]-tbal[[#This Row],[HABER]]&gt;0,tbal[[#This Row],[DEBE]]-tbal[[#This Row],[HABER]],0)</f>
        <v>0</v>
      </c>
      <c r="H72" s="66">
        <f>IF(tbal[[#This Row],[HABER]]-tbal[[#This Row],[DEBE]]&gt;0,tbal[[#This Row],[HABER]]-tbal[[#This Row],[DEBE]],0)</f>
        <v>0</v>
      </c>
      <c r="I72" s="16">
        <f>IF((OR(tbal[[#This Row],[X]]=1,tbal[[#This Row],[X]]=2)),tbal[[#This Row],[DEUDOR]],0)</f>
        <v>0</v>
      </c>
      <c r="J72" s="18">
        <f>IF((OR(tbal[[#This Row],[X]]=2,tbal[[#This Row],[X]]=3)),tbal[[#This Row],[ACREEDOR]],0)</f>
        <v>0</v>
      </c>
      <c r="K72" s="16">
        <f>IF((OR(tbal[[#This Row],[X]]=3,tbal[[#This Row],[X]]=5)),tbal[[#This Row],[DEUDOR]],0)</f>
        <v>0</v>
      </c>
      <c r="L72" s="18">
        <f>IF((OR(tbal[[#This Row],[X]]=3,tbal[[#This Row],[X]]=4)),tbal[[#This Row],[ACREEDOR]],0)</f>
        <v>0</v>
      </c>
      <c r="M72" s="16">
        <f>IF((OR(tbal[[#This Row],[X]]=0,tbal[[#This Row],[X]]=6)),tbal[[#This Row],[DEUDOR]],0)</f>
        <v>0</v>
      </c>
      <c r="N72" s="18">
        <f>IF((OR(tbal[[#This Row],[X]]=0,tbal[[#This Row],[X]]=5)),tbal[[#This Row],[ACREEDOR]],0)</f>
        <v>0</v>
      </c>
    </row>
    <row r="73" spans="1:14" x14ac:dyDescent="0.3">
      <c r="A73" s="14" t="str">
        <f>+'PLAN DE CUENTAS'!A73</f>
        <v>2.1.9</v>
      </c>
      <c r="B73" s="13" t="str">
        <f>+'PLAN DE CUENTAS'!B73</f>
        <v>OBLIGACIONES BANCARIAS POR PAGAR</v>
      </c>
      <c r="C73" s="13">
        <f>+'PLAN DE CUENTAS'!C73</f>
        <v>2</v>
      </c>
      <c r="D73" t="str">
        <f>IF(tbal[[#This Row],[DEBE]]+tbal[[#This Row],[HABER]]=0,"","X")</f>
        <v/>
      </c>
      <c r="E73" s="16">
        <f>SUMIF(tdiario[CUENTA],tbal[[#This Row],[CUENTA]],tdiario[DEBE])</f>
        <v>0</v>
      </c>
      <c r="F73" s="17">
        <f>SUMIF(tdiario[CUENTA],tbal[[#This Row],[CUENTA]],tdiario[HABER])</f>
        <v>0</v>
      </c>
      <c r="G73" s="16">
        <f>IF(tbal[[#This Row],[DEBE]]-tbal[[#This Row],[HABER]]&gt;0,tbal[[#This Row],[DEBE]]-tbal[[#This Row],[HABER]],0)</f>
        <v>0</v>
      </c>
      <c r="H73" s="18">
        <f>IF(tbal[[#This Row],[HABER]]-tbal[[#This Row],[DEBE]]&gt;0,tbal[[#This Row],[HABER]]-tbal[[#This Row],[DEBE]],0)</f>
        <v>0</v>
      </c>
      <c r="I73" s="16">
        <f>IF((OR(tbal[[#This Row],[X]]=1,tbal[[#This Row],[X]]=2)),tbal[[#This Row],[DEUDOR]],0)</f>
        <v>0</v>
      </c>
      <c r="J73" s="18">
        <f>IF((OR(tbal[[#This Row],[X]]=2,tbal[[#This Row],[X]]=3)),tbal[[#This Row],[ACREEDOR]],0)</f>
        <v>0</v>
      </c>
      <c r="K73" s="16">
        <f>IF((OR(tbal[[#This Row],[X]]=3,tbal[[#This Row],[X]]=5)),tbal[[#This Row],[DEUDOR]],0)</f>
        <v>0</v>
      </c>
      <c r="L73" s="18">
        <f>IF((OR(tbal[[#This Row],[X]]=3,tbal[[#This Row],[X]]=4)),tbal[[#This Row],[ACREEDOR]],0)</f>
        <v>0</v>
      </c>
      <c r="M73" s="16">
        <f>IF((OR(tbal[[#This Row],[X]]=0,tbal[[#This Row],[X]]=6)),tbal[[#This Row],[DEUDOR]],0)</f>
        <v>0</v>
      </c>
      <c r="N73" s="18">
        <f>IF((OR(tbal[[#This Row],[X]]=0,tbal[[#This Row],[X]]=5)),tbal[[#This Row],[ACREEDOR]],0)</f>
        <v>0</v>
      </c>
    </row>
    <row r="74" spans="1:14" x14ac:dyDescent="0.3">
      <c r="A74" s="14" t="str">
        <f>+'PLAN DE CUENTAS'!A74</f>
        <v>2.1.10</v>
      </c>
      <c r="B74" s="13" t="str">
        <f>+'PLAN DE CUENTAS'!B74</f>
        <v>OTROS ACREEDORES</v>
      </c>
      <c r="C74" s="13">
        <f>+'PLAN DE CUENTAS'!C74</f>
        <v>2</v>
      </c>
      <c r="D74" t="str">
        <f>IF(tbal[[#This Row],[DEBE]]+tbal[[#This Row],[HABER]]=0,"","X")</f>
        <v/>
      </c>
      <c r="E74" s="16">
        <f>SUMIF(tdiario[CUENTA],tbal[[#This Row],[CUENTA]],tdiario[DEBE])</f>
        <v>0</v>
      </c>
      <c r="F74" s="17">
        <f>SUMIF(tdiario[CUENTA],tbal[[#This Row],[CUENTA]],tdiario[HABER])</f>
        <v>0</v>
      </c>
      <c r="G74" s="16">
        <f>IF(tbal[[#This Row],[DEBE]]-tbal[[#This Row],[HABER]]&gt;0,tbal[[#This Row],[DEBE]]-tbal[[#This Row],[HABER]],0)</f>
        <v>0</v>
      </c>
      <c r="H74" s="18">
        <f>IF(tbal[[#This Row],[HABER]]-tbal[[#This Row],[DEBE]]&gt;0,tbal[[#This Row],[HABER]]-tbal[[#This Row],[DEBE]],0)</f>
        <v>0</v>
      </c>
      <c r="I74" s="16">
        <f>IF((OR(tbal[[#This Row],[X]]=1,tbal[[#This Row],[X]]=2)),tbal[[#This Row],[DEUDOR]],0)</f>
        <v>0</v>
      </c>
      <c r="J74" s="18">
        <f>IF((OR(tbal[[#This Row],[X]]=2,tbal[[#This Row],[X]]=3)),tbal[[#This Row],[ACREEDOR]],0)</f>
        <v>0</v>
      </c>
      <c r="K74" s="16">
        <f>IF((OR(tbal[[#This Row],[X]]=3,tbal[[#This Row],[X]]=5)),tbal[[#This Row],[DEUDOR]],0)</f>
        <v>0</v>
      </c>
      <c r="L74" s="18">
        <f>IF((OR(tbal[[#This Row],[X]]=3,tbal[[#This Row],[X]]=4)),tbal[[#This Row],[ACREEDOR]],0)</f>
        <v>0</v>
      </c>
      <c r="M74" s="16">
        <f>IF((OR(tbal[[#This Row],[X]]=0,tbal[[#This Row],[X]]=6)),tbal[[#This Row],[DEUDOR]],0)</f>
        <v>0</v>
      </c>
      <c r="N74" s="18">
        <f>IF((OR(tbal[[#This Row],[X]]=0,tbal[[#This Row],[X]]=5)),tbal[[#This Row],[ACREEDOR]],0)</f>
        <v>0</v>
      </c>
    </row>
    <row r="75" spans="1:14" x14ac:dyDescent="0.3">
      <c r="A75" s="14" t="str">
        <f>+'PLAN DE CUENTAS'!A75</f>
        <v>2.1.11</v>
      </c>
      <c r="B75" s="13" t="str">
        <f>+'PLAN DE CUENTAS'!B75</f>
        <v>INGRESOS COBRADOS POR ADELANTADO</v>
      </c>
      <c r="C75" s="13">
        <f>+'PLAN DE CUENTAS'!C75</f>
        <v>2</v>
      </c>
      <c r="D75" t="str">
        <f>IF(tbal[[#This Row],[DEBE]]+tbal[[#This Row],[HABER]]=0,"","X")</f>
        <v/>
      </c>
      <c r="E75" s="16">
        <f>SUMIF(tdiario[CUENTA],tbal[[#This Row],[CUENTA]],tdiario[DEBE])</f>
        <v>0</v>
      </c>
      <c r="F75" s="17">
        <f>SUMIF(tdiario[CUENTA],tbal[[#This Row],[CUENTA]],tdiario[HABER])</f>
        <v>0</v>
      </c>
      <c r="G75" s="16">
        <f>IF(tbal[[#This Row],[DEBE]]-tbal[[#This Row],[HABER]]&gt;0,tbal[[#This Row],[DEBE]]-tbal[[#This Row],[HABER]],0)</f>
        <v>0</v>
      </c>
      <c r="H75" s="18">
        <f>IF(tbal[[#This Row],[HABER]]-tbal[[#This Row],[DEBE]]&gt;0,tbal[[#This Row],[HABER]]-tbal[[#This Row],[DEBE]],0)</f>
        <v>0</v>
      </c>
      <c r="I75" s="16">
        <f>IF((OR(tbal[[#This Row],[X]]=1,tbal[[#This Row],[X]]=2)),tbal[[#This Row],[DEUDOR]],0)</f>
        <v>0</v>
      </c>
      <c r="J75" s="18">
        <f>IF((OR(tbal[[#This Row],[X]]=2,tbal[[#This Row],[X]]=3)),tbal[[#This Row],[ACREEDOR]],0)</f>
        <v>0</v>
      </c>
      <c r="K75" s="16">
        <f>IF((OR(tbal[[#This Row],[X]]=3,tbal[[#This Row],[X]]=5)),tbal[[#This Row],[DEUDOR]],0)</f>
        <v>0</v>
      </c>
      <c r="L75" s="18">
        <f>IF((OR(tbal[[#This Row],[X]]=3,tbal[[#This Row],[X]]=4)),tbal[[#This Row],[ACREEDOR]],0)</f>
        <v>0</v>
      </c>
      <c r="M75" s="16">
        <f>IF((OR(tbal[[#This Row],[X]]=0,tbal[[#This Row],[X]]=6)),tbal[[#This Row],[DEUDOR]],0)</f>
        <v>0</v>
      </c>
      <c r="N75" s="18">
        <f>IF((OR(tbal[[#This Row],[X]]=0,tbal[[#This Row],[X]]=5)),tbal[[#This Row],[ACREEDOR]],0)</f>
        <v>0</v>
      </c>
    </row>
    <row r="76" spans="1:14" x14ac:dyDescent="0.3">
      <c r="A76" s="14" t="str">
        <f>+'PLAN DE CUENTAS'!A76</f>
        <v>2.1.11.01</v>
      </c>
      <c r="B76" s="13" t="str">
        <f>+'PLAN DE CUENTAS'!B76</f>
        <v>ALQUILERES COBRADOS POR ADELANTADO</v>
      </c>
      <c r="C76" s="13">
        <f>+'PLAN DE CUENTAS'!C76</f>
        <v>2</v>
      </c>
      <c r="D76" t="str">
        <f>IF(tbal[[#This Row],[DEBE]]+tbal[[#This Row],[HABER]]=0,"","X")</f>
        <v/>
      </c>
      <c r="E76" s="16">
        <f>SUMIF(tdiario[CUENTA],tbal[[#This Row],[CUENTA]],tdiario[DEBE])</f>
        <v>0</v>
      </c>
      <c r="F76" s="17">
        <f>SUMIF(tdiario[CUENTA],tbal[[#This Row],[CUENTA]],tdiario[HABER])</f>
        <v>0</v>
      </c>
      <c r="G76" s="16">
        <f>IF(tbal[[#This Row],[DEBE]]-tbal[[#This Row],[HABER]]&gt;0,tbal[[#This Row],[DEBE]]-tbal[[#This Row],[HABER]],0)</f>
        <v>0</v>
      </c>
      <c r="H76" s="18">
        <f>IF(tbal[[#This Row],[HABER]]-tbal[[#This Row],[DEBE]]&gt;0,tbal[[#This Row],[HABER]]-tbal[[#This Row],[DEBE]],0)</f>
        <v>0</v>
      </c>
      <c r="I76" s="16">
        <f>IF((OR(tbal[[#This Row],[X]]=1,tbal[[#This Row],[X]]=2)),tbal[[#This Row],[DEUDOR]],0)</f>
        <v>0</v>
      </c>
      <c r="J76" s="18">
        <f>IF((OR(tbal[[#This Row],[X]]=2,tbal[[#This Row],[X]]=3)),tbal[[#This Row],[ACREEDOR]],0)</f>
        <v>0</v>
      </c>
      <c r="K76" s="16">
        <f>IF((OR(tbal[[#This Row],[X]]=3,tbal[[#This Row],[X]]=5)),tbal[[#This Row],[DEUDOR]],0)</f>
        <v>0</v>
      </c>
      <c r="L76" s="18">
        <f>IF((OR(tbal[[#This Row],[X]]=3,tbal[[#This Row],[X]]=4)),tbal[[#This Row],[ACREEDOR]],0)</f>
        <v>0</v>
      </c>
      <c r="M76" s="16">
        <f>IF((OR(tbal[[#This Row],[X]]=0,tbal[[#This Row],[X]]=6)),tbal[[#This Row],[DEUDOR]],0)</f>
        <v>0</v>
      </c>
      <c r="N76" s="18">
        <f>IF((OR(tbal[[#This Row],[X]]=0,tbal[[#This Row],[X]]=5)),tbal[[#This Row],[ACREEDOR]],0)</f>
        <v>0</v>
      </c>
    </row>
    <row r="77" spans="1:14" x14ac:dyDescent="0.3">
      <c r="A77" s="14" t="str">
        <f>+'PLAN DE CUENTAS'!A77</f>
        <v>2.1.11.02</v>
      </c>
      <c r="B77" s="13" t="str">
        <f>+'PLAN DE CUENTAS'!B77</f>
        <v>INTERESES COBRADOS POR ADELANTADO</v>
      </c>
      <c r="C77" s="13">
        <f>+'PLAN DE CUENTAS'!C77</f>
        <v>2</v>
      </c>
      <c r="D77" t="str">
        <f>IF(tbal[[#This Row],[DEBE]]+tbal[[#This Row],[HABER]]=0,"","X")</f>
        <v/>
      </c>
      <c r="E77" s="16">
        <f>SUMIF(tdiario[CUENTA],tbal[[#This Row],[CUENTA]],tdiario[DEBE])</f>
        <v>0</v>
      </c>
      <c r="F77" s="17">
        <f>SUMIF(tdiario[CUENTA],tbal[[#This Row],[CUENTA]],tdiario[HABER])</f>
        <v>0</v>
      </c>
      <c r="G77" s="16">
        <f>IF(tbal[[#This Row],[DEBE]]-tbal[[#This Row],[HABER]]&gt;0,tbal[[#This Row],[DEBE]]-tbal[[#This Row],[HABER]],0)</f>
        <v>0</v>
      </c>
      <c r="H77" s="18">
        <f>IF(tbal[[#This Row],[HABER]]-tbal[[#This Row],[DEBE]]&gt;0,tbal[[#This Row],[HABER]]-tbal[[#This Row],[DEBE]],0)</f>
        <v>0</v>
      </c>
      <c r="I77" s="16">
        <f>IF((OR(tbal[[#This Row],[X]]=1,tbal[[#This Row],[X]]=2)),tbal[[#This Row],[DEUDOR]],0)</f>
        <v>0</v>
      </c>
      <c r="J77" s="18">
        <f>IF((OR(tbal[[#This Row],[X]]=2,tbal[[#This Row],[X]]=3)),tbal[[#This Row],[ACREEDOR]],0)</f>
        <v>0</v>
      </c>
      <c r="K77" s="16">
        <f>IF((OR(tbal[[#This Row],[X]]=3,tbal[[#This Row],[X]]=5)),tbal[[#This Row],[DEUDOR]],0)</f>
        <v>0</v>
      </c>
      <c r="L77" s="18">
        <f>IF((OR(tbal[[#This Row],[X]]=3,tbal[[#This Row],[X]]=4)),tbal[[#This Row],[ACREEDOR]],0)</f>
        <v>0</v>
      </c>
      <c r="M77" s="16">
        <f>IF((OR(tbal[[#This Row],[X]]=0,tbal[[#This Row],[X]]=6)),tbal[[#This Row],[DEUDOR]],0)</f>
        <v>0</v>
      </c>
      <c r="N77" s="18">
        <f>IF((OR(tbal[[#This Row],[X]]=0,tbal[[#This Row],[X]]=5)),tbal[[#This Row],[ACREEDOR]],0)</f>
        <v>0</v>
      </c>
    </row>
    <row r="78" spans="1:14" x14ac:dyDescent="0.3">
      <c r="A78" s="14" t="str">
        <f>+'PLAN DE CUENTAS'!A78</f>
        <v>2.1.11.03</v>
      </c>
      <c r="B78" s="13" t="str">
        <f>+'PLAN DE CUENTAS'!B78</f>
        <v>ANTICIPO CLIENTES</v>
      </c>
      <c r="C78" s="13">
        <f>+'PLAN DE CUENTAS'!C78</f>
        <v>2</v>
      </c>
      <c r="D78" t="str">
        <f>IF(tbal[[#This Row],[DEBE]]+tbal[[#This Row],[HABER]]=0,"","X")</f>
        <v/>
      </c>
      <c r="E78" s="16">
        <f>SUMIF(tdiario[CUENTA],tbal[[#This Row],[CUENTA]],tdiario[DEBE])</f>
        <v>0</v>
      </c>
      <c r="F78" s="17">
        <f>SUMIF(tdiario[CUENTA],tbal[[#This Row],[CUENTA]],tdiario[HABER])</f>
        <v>0</v>
      </c>
      <c r="G78" s="16">
        <f>IF(tbal[[#This Row],[DEBE]]-tbal[[#This Row],[HABER]]&gt;0,tbal[[#This Row],[DEBE]]-tbal[[#This Row],[HABER]],0)</f>
        <v>0</v>
      </c>
      <c r="H78" s="18">
        <f>IF(tbal[[#This Row],[HABER]]-tbal[[#This Row],[DEBE]]&gt;0,tbal[[#This Row],[HABER]]-tbal[[#This Row],[DEBE]],0)</f>
        <v>0</v>
      </c>
      <c r="I78" s="16">
        <f>IF((OR(tbal[[#This Row],[X]]=1,tbal[[#This Row],[X]]=2)),tbal[[#This Row],[DEUDOR]],0)</f>
        <v>0</v>
      </c>
      <c r="J78" s="18">
        <f>IF((OR(tbal[[#This Row],[X]]=2,tbal[[#This Row],[X]]=3)),tbal[[#This Row],[ACREEDOR]],0)</f>
        <v>0</v>
      </c>
      <c r="K78" s="16">
        <f>IF((OR(tbal[[#This Row],[X]]=3,tbal[[#This Row],[X]]=5)),tbal[[#This Row],[DEUDOR]],0)</f>
        <v>0</v>
      </c>
      <c r="L78" s="18">
        <f>IF((OR(tbal[[#This Row],[X]]=3,tbal[[#This Row],[X]]=4)),tbal[[#This Row],[ACREEDOR]],0)</f>
        <v>0</v>
      </c>
      <c r="M78" s="16">
        <f>IF((OR(tbal[[#This Row],[X]]=0,tbal[[#This Row],[X]]=6)),tbal[[#This Row],[DEUDOR]],0)</f>
        <v>0</v>
      </c>
      <c r="N78" s="18">
        <f>IF((OR(tbal[[#This Row],[X]]=0,tbal[[#This Row],[X]]=5)),tbal[[#This Row],[ACREEDOR]],0)</f>
        <v>0</v>
      </c>
    </row>
    <row r="79" spans="1:14" x14ac:dyDescent="0.3">
      <c r="A79" s="14">
        <f>+'PLAN DE CUENTAS'!A79</f>
        <v>2.2000000000000002</v>
      </c>
      <c r="B79" s="13" t="str">
        <f>+'PLAN DE CUENTAS'!B79</f>
        <v>PASIVO NO CORRIENTE</v>
      </c>
      <c r="C79" s="13">
        <f>+'PLAN DE CUENTAS'!C79</f>
        <v>2</v>
      </c>
      <c r="D79" t="str">
        <f>IF(tbal[[#This Row],[DEBE]]+tbal[[#This Row],[HABER]]=0,"","X")</f>
        <v/>
      </c>
      <c r="E79" s="16">
        <f>SUMIF(tdiario[CUENTA],tbal[[#This Row],[CUENTA]],tdiario[DEBE])</f>
        <v>0</v>
      </c>
      <c r="F79" s="17">
        <f>SUMIF(tdiario[CUENTA],tbal[[#This Row],[CUENTA]],tdiario[HABER])</f>
        <v>0</v>
      </c>
      <c r="G79" s="16">
        <f>IF(tbal[[#This Row],[DEBE]]-tbal[[#This Row],[HABER]]&gt;0,tbal[[#This Row],[DEBE]]-tbal[[#This Row],[HABER]],0)</f>
        <v>0</v>
      </c>
      <c r="H79" s="18">
        <f>IF(tbal[[#This Row],[HABER]]-tbal[[#This Row],[DEBE]]&gt;0,tbal[[#This Row],[HABER]]-tbal[[#This Row],[DEBE]],0)</f>
        <v>0</v>
      </c>
      <c r="I79" s="16">
        <f>IF((OR(tbal[[#This Row],[X]]=1,tbal[[#This Row],[X]]=2)),tbal[[#This Row],[DEUDOR]],0)</f>
        <v>0</v>
      </c>
      <c r="J79" s="18">
        <f>IF((OR(tbal[[#This Row],[X]]=2,tbal[[#This Row],[X]]=3)),tbal[[#This Row],[ACREEDOR]],0)</f>
        <v>0</v>
      </c>
      <c r="K79" s="16">
        <f>IF((OR(tbal[[#This Row],[X]]=3,tbal[[#This Row],[X]]=5)),tbal[[#This Row],[DEUDOR]],0)</f>
        <v>0</v>
      </c>
      <c r="L79" s="18">
        <f>IF((OR(tbal[[#This Row],[X]]=3,tbal[[#This Row],[X]]=4)),tbal[[#This Row],[ACREEDOR]],0)</f>
        <v>0</v>
      </c>
      <c r="M79" s="16">
        <f>IF((OR(tbal[[#This Row],[X]]=0,tbal[[#This Row],[X]]=6)),tbal[[#This Row],[DEUDOR]],0)</f>
        <v>0</v>
      </c>
      <c r="N79" s="18">
        <f>IF((OR(tbal[[#This Row],[X]]=0,tbal[[#This Row],[X]]=5)),tbal[[#This Row],[ACREEDOR]],0)</f>
        <v>0</v>
      </c>
    </row>
    <row r="80" spans="1:14" x14ac:dyDescent="0.3">
      <c r="A80" s="14" t="str">
        <f>+'PLAN DE CUENTAS'!A80</f>
        <v>2.2.1</v>
      </c>
      <c r="B80" s="13" t="str">
        <f>+'PLAN DE CUENTAS'!B80</f>
        <v>OBLIGACIONES BANCARIAS</v>
      </c>
      <c r="C80" s="13">
        <f>+'PLAN DE CUENTAS'!C80</f>
        <v>2</v>
      </c>
      <c r="D80" t="str">
        <f>IF(tbal[[#This Row],[DEBE]]+tbal[[#This Row],[HABER]]=0,"","X")</f>
        <v/>
      </c>
      <c r="E80" s="16">
        <f>SUMIF(tdiario[CUENTA],tbal[[#This Row],[CUENTA]],tdiario[DEBE])</f>
        <v>0</v>
      </c>
      <c r="F80" s="17">
        <f>SUMIF(tdiario[CUENTA],tbal[[#This Row],[CUENTA]],tdiario[HABER])</f>
        <v>0</v>
      </c>
      <c r="G80" s="16">
        <f>IF(tbal[[#This Row],[DEBE]]-tbal[[#This Row],[HABER]]&gt;0,tbal[[#This Row],[DEBE]]-tbal[[#This Row],[HABER]],0)</f>
        <v>0</v>
      </c>
      <c r="H80" s="18">
        <f>IF(tbal[[#This Row],[HABER]]-tbal[[#This Row],[DEBE]]&gt;0,tbal[[#This Row],[HABER]]-tbal[[#This Row],[DEBE]],0)</f>
        <v>0</v>
      </c>
      <c r="I80" s="16">
        <f>IF((OR(tbal[[#This Row],[X]]=1,tbal[[#This Row],[X]]=2)),tbal[[#This Row],[DEUDOR]],0)</f>
        <v>0</v>
      </c>
      <c r="J80" s="18">
        <f>IF((OR(tbal[[#This Row],[X]]=2,tbal[[#This Row],[X]]=3)),tbal[[#This Row],[ACREEDOR]],0)</f>
        <v>0</v>
      </c>
      <c r="K80" s="16">
        <f>IF((OR(tbal[[#This Row],[X]]=3,tbal[[#This Row],[X]]=5)),tbal[[#This Row],[DEUDOR]],0)</f>
        <v>0</v>
      </c>
      <c r="L80" s="18">
        <f>IF((OR(tbal[[#This Row],[X]]=3,tbal[[#This Row],[X]]=4)),tbal[[#This Row],[ACREEDOR]],0)</f>
        <v>0</v>
      </c>
      <c r="M80" s="16">
        <f>IF((OR(tbal[[#This Row],[X]]=0,tbal[[#This Row],[X]]=6)),tbal[[#This Row],[DEUDOR]],0)</f>
        <v>0</v>
      </c>
      <c r="N80" s="18">
        <f>IF((OR(tbal[[#This Row],[X]]=0,tbal[[#This Row],[X]]=5)),tbal[[#This Row],[ACREEDOR]],0)</f>
        <v>0</v>
      </c>
    </row>
    <row r="81" spans="1:14" x14ac:dyDescent="0.3">
      <c r="A81" s="14">
        <f>+'PLAN DE CUENTAS'!A81</f>
        <v>2.2999999999999998</v>
      </c>
      <c r="B81" s="13" t="str">
        <f>+'PLAN DE CUENTAS'!B81</f>
        <v>PROVISIONES</v>
      </c>
      <c r="C81" s="13">
        <f>+'PLAN DE CUENTAS'!C81</f>
        <v>2</v>
      </c>
      <c r="D81" t="str">
        <f>IF(tbal[[#This Row],[DEBE]]+tbal[[#This Row],[HABER]]=0,"","X")</f>
        <v/>
      </c>
      <c r="E81" s="16">
        <f>SUMIF(tdiario[CUENTA],tbal[[#This Row],[CUENTA]],tdiario[DEBE])</f>
        <v>0</v>
      </c>
      <c r="F81" s="17">
        <f>SUMIF(tdiario[CUENTA],tbal[[#This Row],[CUENTA]],tdiario[HABER])</f>
        <v>0</v>
      </c>
      <c r="G81" s="16">
        <f>IF(tbal[[#This Row],[DEBE]]-tbal[[#This Row],[HABER]]&gt;0,tbal[[#This Row],[DEBE]]-tbal[[#This Row],[HABER]],0)</f>
        <v>0</v>
      </c>
      <c r="H81" s="18">
        <f>IF(tbal[[#This Row],[HABER]]-tbal[[#This Row],[DEBE]]&gt;0,tbal[[#This Row],[HABER]]-tbal[[#This Row],[DEBE]],0)</f>
        <v>0</v>
      </c>
      <c r="I81" s="16">
        <f>IF((OR(tbal[[#This Row],[X]]=1,tbal[[#This Row],[X]]=2)),tbal[[#This Row],[DEUDOR]],0)</f>
        <v>0</v>
      </c>
      <c r="J81" s="18">
        <f>IF((OR(tbal[[#This Row],[X]]=2,tbal[[#This Row],[X]]=3)),tbal[[#This Row],[ACREEDOR]],0)</f>
        <v>0</v>
      </c>
      <c r="K81" s="16">
        <f>IF((OR(tbal[[#This Row],[X]]=3,tbal[[#This Row],[X]]=5)),tbal[[#This Row],[DEUDOR]],0)</f>
        <v>0</v>
      </c>
      <c r="L81" s="18">
        <f>IF((OR(tbal[[#This Row],[X]]=3,tbal[[#This Row],[X]]=4)),tbal[[#This Row],[ACREEDOR]],0)</f>
        <v>0</v>
      </c>
      <c r="M81" s="16">
        <f>IF((OR(tbal[[#This Row],[X]]=0,tbal[[#This Row],[X]]=6)),tbal[[#This Row],[DEUDOR]],0)</f>
        <v>0</v>
      </c>
      <c r="N81" s="18">
        <f>IF((OR(tbal[[#This Row],[X]]=0,tbal[[#This Row],[X]]=5)),tbal[[#This Row],[ACREEDOR]],0)</f>
        <v>0</v>
      </c>
    </row>
    <row r="82" spans="1:14" x14ac:dyDescent="0.3">
      <c r="A82" s="14" t="str">
        <f>+'PLAN DE CUENTAS'!A82</f>
        <v>2.3.1</v>
      </c>
      <c r="B82" s="13" t="str">
        <f>+'PLAN DE CUENTAS'!B82</f>
        <v>PROVISION PARA CUENTAS INCOBRABLES</v>
      </c>
      <c r="C82" s="13">
        <f>+'PLAN DE CUENTAS'!C82</f>
        <v>2</v>
      </c>
      <c r="D82" t="str">
        <f>IF(tbal[[#This Row],[DEBE]]+tbal[[#This Row],[HABER]]=0,"","X")</f>
        <v/>
      </c>
      <c r="E82" s="16">
        <f>SUMIF(tdiario[CUENTA],tbal[[#This Row],[CUENTA]],tdiario[DEBE])</f>
        <v>0</v>
      </c>
      <c r="F82" s="17">
        <f>SUMIF(tdiario[CUENTA],tbal[[#This Row],[CUENTA]],tdiario[HABER])</f>
        <v>0</v>
      </c>
      <c r="G82" s="16">
        <f>IF(tbal[[#This Row],[DEBE]]-tbal[[#This Row],[HABER]]&gt;0,tbal[[#This Row],[DEBE]]-tbal[[#This Row],[HABER]],0)</f>
        <v>0</v>
      </c>
      <c r="H82" s="18">
        <f>IF(tbal[[#This Row],[HABER]]-tbal[[#This Row],[DEBE]]&gt;0,tbal[[#This Row],[HABER]]-tbal[[#This Row],[DEBE]],0)</f>
        <v>0</v>
      </c>
      <c r="I82" s="16">
        <f>IF((OR(tbal[[#This Row],[X]]=1,tbal[[#This Row],[X]]=2)),tbal[[#This Row],[DEUDOR]],0)</f>
        <v>0</v>
      </c>
      <c r="J82" s="18">
        <f>IF((OR(tbal[[#This Row],[X]]=2,tbal[[#This Row],[X]]=3)),tbal[[#This Row],[ACREEDOR]],0)</f>
        <v>0</v>
      </c>
      <c r="K82" s="16">
        <f>IF((OR(tbal[[#This Row],[X]]=3,tbal[[#This Row],[X]]=5)),tbal[[#This Row],[DEUDOR]],0)</f>
        <v>0</v>
      </c>
      <c r="L82" s="18">
        <f>IF((OR(tbal[[#This Row],[X]]=3,tbal[[#This Row],[X]]=4)),tbal[[#This Row],[ACREEDOR]],0)</f>
        <v>0</v>
      </c>
      <c r="M82" s="16">
        <f>IF((OR(tbal[[#This Row],[X]]=0,tbal[[#This Row],[X]]=6)),tbal[[#This Row],[DEUDOR]],0)</f>
        <v>0</v>
      </c>
      <c r="N82" s="18">
        <f>IF((OR(tbal[[#This Row],[X]]=0,tbal[[#This Row],[X]]=5)),tbal[[#This Row],[ACREEDOR]],0)</f>
        <v>0</v>
      </c>
    </row>
    <row r="83" spans="1:14" x14ac:dyDescent="0.3">
      <c r="A83" s="14" t="str">
        <f>+'PLAN DE CUENTAS'!A83</f>
        <v>2.3.2</v>
      </c>
      <c r="B83" s="13" t="str">
        <f>+'PLAN DE CUENTAS'!B83</f>
        <v>PROVISION PARA INDEMNIZACIONES</v>
      </c>
      <c r="C83" s="13">
        <f>+'PLAN DE CUENTAS'!C83</f>
        <v>2</v>
      </c>
      <c r="D83" t="str">
        <f>IF(tbal[[#This Row],[DEBE]]+tbal[[#This Row],[HABER]]=0,"","X")</f>
        <v/>
      </c>
      <c r="E83" s="16">
        <f>SUMIF(tdiario[CUENTA],tbal[[#This Row],[CUENTA]],tdiario[DEBE])</f>
        <v>0</v>
      </c>
      <c r="F83" s="17">
        <f>SUMIF(tdiario[CUENTA],tbal[[#This Row],[CUENTA]],tdiario[HABER])</f>
        <v>0</v>
      </c>
      <c r="G83" s="16">
        <f>IF(tbal[[#This Row],[DEBE]]-tbal[[#This Row],[HABER]]&gt;0,tbal[[#This Row],[DEBE]]-tbal[[#This Row],[HABER]],0)</f>
        <v>0</v>
      </c>
      <c r="H83" s="18">
        <f>IF(tbal[[#This Row],[HABER]]-tbal[[#This Row],[DEBE]]&gt;0,tbal[[#This Row],[HABER]]-tbal[[#This Row],[DEBE]],0)</f>
        <v>0</v>
      </c>
      <c r="I83" s="16">
        <f>IF((OR(tbal[[#This Row],[X]]=1,tbal[[#This Row],[X]]=2)),tbal[[#This Row],[DEUDOR]],0)</f>
        <v>0</v>
      </c>
      <c r="J83" s="18">
        <f>IF((OR(tbal[[#This Row],[X]]=2,tbal[[#This Row],[X]]=3)),tbal[[#This Row],[ACREEDOR]],0)</f>
        <v>0</v>
      </c>
      <c r="K83" s="16">
        <f>IF((OR(tbal[[#This Row],[X]]=3,tbal[[#This Row],[X]]=5)),tbal[[#This Row],[DEUDOR]],0)</f>
        <v>0</v>
      </c>
      <c r="L83" s="18">
        <f>IF((OR(tbal[[#This Row],[X]]=3,tbal[[#This Row],[X]]=4)),tbal[[#This Row],[ACREEDOR]],0)</f>
        <v>0</v>
      </c>
      <c r="M83" s="16">
        <f>IF((OR(tbal[[#This Row],[X]]=0,tbal[[#This Row],[X]]=6)),tbal[[#This Row],[DEUDOR]],0)</f>
        <v>0</v>
      </c>
      <c r="N83" s="18">
        <f>IF((OR(tbal[[#This Row],[X]]=0,tbal[[#This Row],[X]]=5)),tbal[[#This Row],[ACREEDOR]],0)</f>
        <v>0</v>
      </c>
    </row>
    <row r="84" spans="1:14" x14ac:dyDescent="0.3">
      <c r="A84" s="14" t="str">
        <f>+'PLAN DE CUENTAS'!A84</f>
        <v>2.3.3</v>
      </c>
      <c r="B84" s="13" t="str">
        <f>+'PLAN DE CUENTAS'!B84</f>
        <v>PROVISION PARA AGUINALDO</v>
      </c>
      <c r="C84" s="13">
        <f>+'PLAN DE CUENTAS'!C84</f>
        <v>2</v>
      </c>
      <c r="D84" t="str">
        <f>IF(tbal[[#This Row],[DEBE]]+tbal[[#This Row],[HABER]]=0,"","X")</f>
        <v/>
      </c>
      <c r="E84" s="16">
        <f>SUMIF(tdiario[CUENTA],tbal[[#This Row],[CUENTA]],tdiario[DEBE])</f>
        <v>0</v>
      </c>
      <c r="F84" s="17">
        <f>SUMIF(tdiario[CUENTA],tbal[[#This Row],[CUENTA]],tdiario[HABER])</f>
        <v>0</v>
      </c>
      <c r="G84" s="16">
        <f>IF(tbal[[#This Row],[DEBE]]-tbal[[#This Row],[HABER]]&gt;0,tbal[[#This Row],[DEBE]]-tbal[[#This Row],[HABER]],0)</f>
        <v>0</v>
      </c>
      <c r="H84" s="18">
        <f>IF(tbal[[#This Row],[HABER]]-tbal[[#This Row],[DEBE]]&gt;0,tbal[[#This Row],[HABER]]-tbal[[#This Row],[DEBE]],0)</f>
        <v>0</v>
      </c>
      <c r="I84" s="16">
        <f>IF((OR(tbal[[#This Row],[X]]=1,tbal[[#This Row],[X]]=2)),tbal[[#This Row],[DEUDOR]],0)</f>
        <v>0</v>
      </c>
      <c r="J84" s="18">
        <f>IF((OR(tbal[[#This Row],[X]]=2,tbal[[#This Row],[X]]=3)),tbal[[#This Row],[ACREEDOR]],0)</f>
        <v>0</v>
      </c>
      <c r="K84" s="16">
        <f>IF((OR(tbal[[#This Row],[X]]=3,tbal[[#This Row],[X]]=5)),tbal[[#This Row],[DEUDOR]],0)</f>
        <v>0</v>
      </c>
      <c r="L84" s="18">
        <f>IF((OR(tbal[[#This Row],[X]]=3,tbal[[#This Row],[X]]=4)),tbal[[#This Row],[ACREEDOR]],0)</f>
        <v>0</v>
      </c>
      <c r="M84" s="16">
        <f>IF((OR(tbal[[#This Row],[X]]=0,tbal[[#This Row],[X]]=6)),tbal[[#This Row],[DEUDOR]],0)</f>
        <v>0</v>
      </c>
      <c r="N84" s="18">
        <f>IF((OR(tbal[[#This Row],[X]]=0,tbal[[#This Row],[X]]=5)),tbal[[#This Row],[ACREEDOR]],0)</f>
        <v>0</v>
      </c>
    </row>
    <row r="85" spans="1:14" x14ac:dyDescent="0.3">
      <c r="A85" s="14">
        <f>+'PLAN DE CUENTAS'!A85</f>
        <v>2.4</v>
      </c>
      <c r="B85" s="13" t="str">
        <f>+'PLAN DE CUENTAS'!B85</f>
        <v>OTROS</v>
      </c>
      <c r="C85" s="13">
        <f>+'PLAN DE CUENTAS'!C85</f>
        <v>2</v>
      </c>
      <c r="D85" t="str">
        <f>IF(tbal[[#This Row],[DEBE]]+tbal[[#This Row],[HABER]]=0,"","X")</f>
        <v/>
      </c>
      <c r="E85" s="16">
        <f>SUMIF(tdiario[CUENTA],tbal[[#This Row],[CUENTA]],tdiario[DEBE])</f>
        <v>0</v>
      </c>
      <c r="F85" s="17">
        <f>SUMIF(tdiario[CUENTA],tbal[[#This Row],[CUENTA]],tdiario[HABER])</f>
        <v>0</v>
      </c>
      <c r="G85" s="16">
        <f>IF(tbal[[#This Row],[DEBE]]-tbal[[#This Row],[HABER]]&gt;0,tbal[[#This Row],[DEBE]]-tbal[[#This Row],[HABER]],0)</f>
        <v>0</v>
      </c>
      <c r="H85" s="18">
        <f>IF(tbal[[#This Row],[HABER]]-tbal[[#This Row],[DEBE]]&gt;0,tbal[[#This Row],[HABER]]-tbal[[#This Row],[DEBE]],0)</f>
        <v>0</v>
      </c>
      <c r="I85" s="16">
        <f>IF((OR(tbal[[#This Row],[X]]=1,tbal[[#This Row],[X]]=2)),tbal[[#This Row],[DEUDOR]],0)</f>
        <v>0</v>
      </c>
      <c r="J85" s="18">
        <f>IF((OR(tbal[[#This Row],[X]]=2,tbal[[#This Row],[X]]=3)),tbal[[#This Row],[ACREEDOR]],0)</f>
        <v>0</v>
      </c>
      <c r="K85" s="16">
        <f>IF((OR(tbal[[#This Row],[X]]=3,tbal[[#This Row],[X]]=5)),tbal[[#This Row],[DEUDOR]],0)</f>
        <v>0</v>
      </c>
      <c r="L85" s="18">
        <f>IF((OR(tbal[[#This Row],[X]]=3,tbal[[#This Row],[X]]=4)),tbal[[#This Row],[ACREEDOR]],0)</f>
        <v>0</v>
      </c>
      <c r="M85" s="16">
        <f>IF((OR(tbal[[#This Row],[X]]=0,tbal[[#This Row],[X]]=6)),tbal[[#This Row],[DEUDOR]],0)</f>
        <v>0</v>
      </c>
      <c r="N85" s="18">
        <f>IF((OR(tbal[[#This Row],[X]]=0,tbal[[#This Row],[X]]=5)),tbal[[#This Row],[ACREEDOR]],0)</f>
        <v>0</v>
      </c>
    </row>
    <row r="86" spans="1:14" x14ac:dyDescent="0.3">
      <c r="A86" s="14">
        <f>+'PLAN DE CUENTAS'!A86</f>
        <v>2.5</v>
      </c>
      <c r="B86" s="13" t="str">
        <f>+'PLAN DE CUENTAS'!B86</f>
        <v>DEPRECIACION ACUMULADA</v>
      </c>
      <c r="C86" s="13">
        <f>+'PLAN DE CUENTAS'!C86</f>
        <v>2</v>
      </c>
      <c r="D86" t="str">
        <f>IF(tbal[[#This Row],[DEBE]]+tbal[[#This Row],[HABER]]=0,"","X")</f>
        <v/>
      </c>
      <c r="E86" s="16">
        <f>SUMIF(tdiario[CUENTA],tbal[[#This Row],[CUENTA]],tdiario[DEBE])</f>
        <v>0</v>
      </c>
      <c r="F86" s="17">
        <f>SUMIF(tdiario[CUENTA],tbal[[#This Row],[CUENTA]],tdiario[HABER])</f>
        <v>0</v>
      </c>
      <c r="G86" s="16">
        <f>IF(tbal[[#This Row],[DEBE]]-tbal[[#This Row],[HABER]]&gt;0,tbal[[#This Row],[DEBE]]-tbal[[#This Row],[HABER]],0)</f>
        <v>0</v>
      </c>
      <c r="H86" s="18">
        <f>IF(tbal[[#This Row],[HABER]]-tbal[[#This Row],[DEBE]]&gt;0,tbal[[#This Row],[HABER]]-tbal[[#This Row],[DEBE]],0)</f>
        <v>0</v>
      </c>
      <c r="I86" s="16">
        <f>IF((OR(tbal[[#This Row],[X]]=1,tbal[[#This Row],[X]]=2)),tbal[[#This Row],[DEUDOR]],0)</f>
        <v>0</v>
      </c>
      <c r="J86" s="18">
        <f>IF((OR(tbal[[#This Row],[X]]=2,tbal[[#This Row],[X]]=3)),tbal[[#This Row],[ACREEDOR]],0)</f>
        <v>0</v>
      </c>
      <c r="K86" s="16">
        <f>IF((OR(tbal[[#This Row],[X]]=3,tbal[[#This Row],[X]]=5)),tbal[[#This Row],[DEUDOR]],0)</f>
        <v>0</v>
      </c>
      <c r="L86" s="18">
        <f>IF((OR(tbal[[#This Row],[X]]=3,tbal[[#This Row],[X]]=4)),tbal[[#This Row],[ACREEDOR]],0)</f>
        <v>0</v>
      </c>
      <c r="M86" s="16">
        <f>IF((OR(tbal[[#This Row],[X]]=0,tbal[[#This Row],[X]]=6)),tbal[[#This Row],[DEUDOR]],0)</f>
        <v>0</v>
      </c>
      <c r="N86" s="18">
        <f>IF((OR(tbal[[#This Row],[X]]=0,tbal[[#This Row],[X]]=5)),tbal[[#This Row],[ACREEDOR]],0)</f>
        <v>0</v>
      </c>
    </row>
    <row r="87" spans="1:14" x14ac:dyDescent="0.3">
      <c r="A87" s="14" t="str">
        <f>+'PLAN DE CUENTAS'!A87</f>
        <v>2.5.1</v>
      </c>
      <c r="B87" s="13" t="str">
        <f>+'PLAN DE CUENTAS'!B87</f>
        <v>DEPRECIACION ACUMULADA EDIFICIO</v>
      </c>
      <c r="C87" s="13">
        <f>+'PLAN DE CUENTAS'!C87</f>
        <v>2</v>
      </c>
      <c r="D87" t="str">
        <f>IF(tbal[[#This Row],[DEBE]]+tbal[[#This Row],[HABER]]=0,"","X")</f>
        <v/>
      </c>
      <c r="E87" s="16">
        <f>SUMIF(tdiario[CUENTA],tbal[[#This Row],[CUENTA]],tdiario[DEBE])</f>
        <v>0</v>
      </c>
      <c r="F87" s="17">
        <f>SUMIF(tdiario[CUENTA],tbal[[#This Row],[CUENTA]],tdiario[HABER])</f>
        <v>0</v>
      </c>
      <c r="G87" s="16">
        <f>IF(tbal[[#This Row],[DEBE]]-tbal[[#This Row],[HABER]]&gt;0,tbal[[#This Row],[DEBE]]-tbal[[#This Row],[HABER]],0)</f>
        <v>0</v>
      </c>
      <c r="H87" s="18">
        <f>IF(tbal[[#This Row],[HABER]]-tbal[[#This Row],[DEBE]]&gt;0,tbal[[#This Row],[HABER]]-tbal[[#This Row],[DEBE]],0)</f>
        <v>0</v>
      </c>
      <c r="I87" s="16">
        <f>IF((OR(tbal[[#This Row],[X]]=1,tbal[[#This Row],[X]]=2)),tbal[[#This Row],[DEUDOR]],0)</f>
        <v>0</v>
      </c>
      <c r="J87" s="18">
        <f>IF((OR(tbal[[#This Row],[X]]=2,tbal[[#This Row],[X]]=3)),tbal[[#This Row],[ACREEDOR]],0)</f>
        <v>0</v>
      </c>
      <c r="K87" s="16">
        <f>IF((OR(tbal[[#This Row],[X]]=3,tbal[[#This Row],[X]]=5)),tbal[[#This Row],[DEUDOR]],0)</f>
        <v>0</v>
      </c>
      <c r="L87" s="18">
        <f>IF((OR(tbal[[#This Row],[X]]=3,tbal[[#This Row],[X]]=4)),tbal[[#This Row],[ACREEDOR]],0)</f>
        <v>0</v>
      </c>
      <c r="M87" s="16">
        <f>IF((OR(tbal[[#This Row],[X]]=0,tbal[[#This Row],[X]]=6)),tbal[[#This Row],[DEUDOR]],0)</f>
        <v>0</v>
      </c>
      <c r="N87" s="18">
        <f>IF((OR(tbal[[#This Row],[X]]=0,tbal[[#This Row],[X]]=5)),tbal[[#This Row],[ACREEDOR]],0)</f>
        <v>0</v>
      </c>
    </row>
    <row r="88" spans="1:14" x14ac:dyDescent="0.3">
      <c r="A88" s="14" t="str">
        <f>+'PLAN DE CUENTAS'!A88</f>
        <v>2.5.2</v>
      </c>
      <c r="B88" s="13" t="str">
        <f>+'PLAN DE CUENTAS'!B88</f>
        <v>DEPRECIACION ACUMULADA MUEBLES Y ENSERES</v>
      </c>
      <c r="C88" s="13">
        <f>+'PLAN DE CUENTAS'!C88</f>
        <v>2</v>
      </c>
      <c r="D88" t="str">
        <f>IF(tbal[[#This Row],[DEBE]]+tbal[[#This Row],[HABER]]=0,"","X")</f>
        <v/>
      </c>
      <c r="E88" s="16">
        <f>SUMIF(tdiario[CUENTA],tbal[[#This Row],[CUENTA]],tdiario[DEBE])</f>
        <v>0</v>
      </c>
      <c r="F88" s="17">
        <f>SUMIF(tdiario[CUENTA],tbal[[#This Row],[CUENTA]],tdiario[HABER])</f>
        <v>0</v>
      </c>
      <c r="G88" s="16">
        <f>IF(tbal[[#This Row],[DEBE]]-tbal[[#This Row],[HABER]]&gt;0,tbal[[#This Row],[DEBE]]-tbal[[#This Row],[HABER]],0)</f>
        <v>0</v>
      </c>
      <c r="H88" s="18">
        <f>IF(tbal[[#This Row],[HABER]]-tbal[[#This Row],[DEBE]]&gt;0,tbal[[#This Row],[HABER]]-tbal[[#This Row],[DEBE]],0)</f>
        <v>0</v>
      </c>
      <c r="I88" s="16">
        <f>IF((OR(tbal[[#This Row],[X]]=1,tbal[[#This Row],[X]]=2)),tbal[[#This Row],[DEUDOR]],0)</f>
        <v>0</v>
      </c>
      <c r="J88" s="18">
        <f>IF((OR(tbal[[#This Row],[X]]=2,tbal[[#This Row],[X]]=3)),tbal[[#This Row],[ACREEDOR]],0)</f>
        <v>0</v>
      </c>
      <c r="K88" s="16">
        <f>IF((OR(tbal[[#This Row],[X]]=3,tbal[[#This Row],[X]]=5)),tbal[[#This Row],[DEUDOR]],0)</f>
        <v>0</v>
      </c>
      <c r="L88" s="18">
        <f>IF((OR(tbal[[#This Row],[X]]=3,tbal[[#This Row],[X]]=4)),tbal[[#This Row],[ACREEDOR]],0)</f>
        <v>0</v>
      </c>
      <c r="M88" s="16">
        <f>IF((OR(tbal[[#This Row],[X]]=0,tbal[[#This Row],[X]]=6)),tbal[[#This Row],[DEUDOR]],0)</f>
        <v>0</v>
      </c>
      <c r="N88" s="18">
        <f>IF((OR(tbal[[#This Row],[X]]=0,tbal[[#This Row],[X]]=5)),tbal[[#This Row],[ACREEDOR]],0)</f>
        <v>0</v>
      </c>
    </row>
    <row r="89" spans="1:14" x14ac:dyDescent="0.3">
      <c r="A89" s="14" t="str">
        <f>+'PLAN DE CUENTAS'!A89</f>
        <v>2.5.3</v>
      </c>
      <c r="B89" s="13" t="str">
        <f>+'PLAN DE CUENTAS'!B89</f>
        <v>DEPRECIACION ACUMULADA VEHICULO</v>
      </c>
      <c r="C89" s="13">
        <f>+'PLAN DE CUENTAS'!C89</f>
        <v>2</v>
      </c>
      <c r="D89" t="str">
        <f>IF(tbal[[#This Row],[DEBE]]+tbal[[#This Row],[HABER]]=0,"","X")</f>
        <v/>
      </c>
      <c r="E89" s="16">
        <f>SUMIF(tdiario[CUENTA],tbal[[#This Row],[CUENTA]],tdiario[DEBE])</f>
        <v>0</v>
      </c>
      <c r="F89" s="17">
        <f>SUMIF(tdiario[CUENTA],tbal[[#This Row],[CUENTA]],tdiario[HABER])</f>
        <v>0</v>
      </c>
      <c r="G89" s="16">
        <f>IF(tbal[[#This Row],[DEBE]]-tbal[[#This Row],[HABER]]&gt;0,tbal[[#This Row],[DEBE]]-tbal[[#This Row],[HABER]],0)</f>
        <v>0</v>
      </c>
      <c r="H89" s="18">
        <f>IF(tbal[[#This Row],[HABER]]-tbal[[#This Row],[DEBE]]&gt;0,tbal[[#This Row],[HABER]]-tbal[[#This Row],[DEBE]],0)</f>
        <v>0</v>
      </c>
      <c r="I89" s="16">
        <f>IF((OR(tbal[[#This Row],[X]]=1,tbal[[#This Row],[X]]=2)),tbal[[#This Row],[DEUDOR]],0)</f>
        <v>0</v>
      </c>
      <c r="J89" s="18">
        <f>IF((OR(tbal[[#This Row],[X]]=2,tbal[[#This Row],[X]]=3)),tbal[[#This Row],[ACREEDOR]],0)</f>
        <v>0</v>
      </c>
      <c r="K89" s="16">
        <f>IF((OR(tbal[[#This Row],[X]]=3,tbal[[#This Row],[X]]=5)),tbal[[#This Row],[DEUDOR]],0)</f>
        <v>0</v>
      </c>
      <c r="L89" s="18">
        <f>IF((OR(tbal[[#This Row],[X]]=3,tbal[[#This Row],[X]]=4)),tbal[[#This Row],[ACREEDOR]],0)</f>
        <v>0</v>
      </c>
      <c r="M89" s="16">
        <f>IF((OR(tbal[[#This Row],[X]]=0,tbal[[#This Row],[X]]=6)),tbal[[#This Row],[DEUDOR]],0)</f>
        <v>0</v>
      </c>
      <c r="N89" s="18">
        <f>IF((OR(tbal[[#This Row],[X]]=0,tbal[[#This Row],[X]]=5)),tbal[[#This Row],[ACREEDOR]],0)</f>
        <v>0</v>
      </c>
    </row>
    <row r="90" spans="1:14" x14ac:dyDescent="0.3">
      <c r="A90" s="14" t="str">
        <f>+'PLAN DE CUENTAS'!A90</f>
        <v>2.5.4</v>
      </c>
      <c r="B90" s="13" t="str">
        <f>+'PLAN DE CUENTAS'!B90</f>
        <v>DEPRECIACION ACUMULADA EQUIPO DE COMPUTACION</v>
      </c>
      <c r="C90" s="13">
        <f>+'PLAN DE CUENTAS'!C90</f>
        <v>2</v>
      </c>
      <c r="D90" t="str">
        <f>IF(tbal[[#This Row],[DEBE]]+tbal[[#This Row],[HABER]]=0,"","X")</f>
        <v/>
      </c>
      <c r="E90" s="16">
        <f>SUMIF(tdiario[CUENTA],tbal[[#This Row],[CUENTA]],tdiario[DEBE])</f>
        <v>0</v>
      </c>
      <c r="F90" s="17">
        <f>SUMIF(tdiario[CUENTA],tbal[[#This Row],[CUENTA]],tdiario[HABER])</f>
        <v>0</v>
      </c>
      <c r="G90" s="16">
        <f>IF(tbal[[#This Row],[DEBE]]-tbal[[#This Row],[HABER]]&gt;0,tbal[[#This Row],[DEBE]]-tbal[[#This Row],[HABER]],0)</f>
        <v>0</v>
      </c>
      <c r="H90" s="18">
        <f>IF(tbal[[#This Row],[HABER]]-tbal[[#This Row],[DEBE]]&gt;0,tbal[[#This Row],[HABER]]-tbal[[#This Row],[DEBE]],0)</f>
        <v>0</v>
      </c>
      <c r="I90" s="16">
        <f>IF((OR(tbal[[#This Row],[X]]=1,tbal[[#This Row],[X]]=2)),tbal[[#This Row],[DEUDOR]],0)</f>
        <v>0</v>
      </c>
      <c r="J90" s="18">
        <f>IF((OR(tbal[[#This Row],[X]]=2,tbal[[#This Row],[X]]=3)),tbal[[#This Row],[ACREEDOR]],0)</f>
        <v>0</v>
      </c>
      <c r="K90" s="16">
        <f>IF((OR(tbal[[#This Row],[X]]=3,tbal[[#This Row],[X]]=5)),tbal[[#This Row],[DEUDOR]],0)</f>
        <v>0</v>
      </c>
      <c r="L90" s="18">
        <f>IF((OR(tbal[[#This Row],[X]]=3,tbal[[#This Row],[X]]=4)),tbal[[#This Row],[ACREEDOR]],0)</f>
        <v>0</v>
      </c>
      <c r="M90" s="16">
        <f>IF((OR(tbal[[#This Row],[X]]=0,tbal[[#This Row],[X]]=6)),tbal[[#This Row],[DEUDOR]],0)</f>
        <v>0</v>
      </c>
      <c r="N90" s="18">
        <f>IF((OR(tbal[[#This Row],[X]]=0,tbal[[#This Row],[X]]=5)),tbal[[#This Row],[ACREEDOR]],0)</f>
        <v>0</v>
      </c>
    </row>
    <row r="91" spans="1:14" x14ac:dyDescent="0.3">
      <c r="A91" s="14">
        <f>+'PLAN DE CUENTAS'!A91</f>
        <v>3</v>
      </c>
      <c r="B91" s="13" t="str">
        <f>+'PLAN DE CUENTAS'!B91</f>
        <v>PATRIMONIO O CAPITAL CONTABLE</v>
      </c>
      <c r="C91" s="13">
        <f>+'PLAN DE CUENTAS'!C91</f>
        <v>3</v>
      </c>
      <c r="D91" t="str">
        <f>IF(tbal[[#This Row],[DEBE]]+tbal[[#This Row],[HABER]]=0,"","X")</f>
        <v/>
      </c>
      <c r="E91" s="16">
        <f>SUMIF(tdiario[CUENTA],tbal[[#This Row],[CUENTA]],tdiario[DEBE])</f>
        <v>0</v>
      </c>
      <c r="F91" s="17">
        <f>SUMIF(tdiario[CUENTA],tbal[[#This Row],[CUENTA]],tdiario[HABER])</f>
        <v>0</v>
      </c>
      <c r="G91" s="16">
        <f>IF(tbal[[#This Row],[DEBE]]-tbal[[#This Row],[HABER]]&gt;0,tbal[[#This Row],[DEBE]]-tbal[[#This Row],[HABER]],0)</f>
        <v>0</v>
      </c>
      <c r="H91" s="18">
        <f>IF(tbal[[#This Row],[HABER]]-tbal[[#This Row],[DEBE]]&gt;0,tbal[[#This Row],[HABER]]-tbal[[#This Row],[DEBE]],0)</f>
        <v>0</v>
      </c>
      <c r="I91" s="16">
        <f>IF((OR(tbal[[#This Row],[X]]=1,tbal[[#This Row],[X]]=2)),tbal[[#This Row],[DEUDOR]],0)</f>
        <v>0</v>
      </c>
      <c r="J91" s="18">
        <f>IF((OR(tbal[[#This Row],[X]]=2,tbal[[#This Row],[X]]=3)),tbal[[#This Row],[ACREEDOR]],0)</f>
        <v>0</v>
      </c>
      <c r="K91" s="16">
        <f>IF((OR(tbal[[#This Row],[X]]=3,tbal[[#This Row],[X]]=5)),tbal[[#This Row],[DEUDOR]],0)</f>
        <v>0</v>
      </c>
      <c r="L91" s="18">
        <f>IF((OR(tbal[[#This Row],[X]]=3,tbal[[#This Row],[X]]=4)),tbal[[#This Row],[ACREEDOR]],0)</f>
        <v>0</v>
      </c>
      <c r="M91" s="16">
        <f>IF((OR(tbal[[#This Row],[X]]=0,tbal[[#This Row],[X]]=6)),tbal[[#This Row],[DEUDOR]],0)</f>
        <v>0</v>
      </c>
      <c r="N91" s="18">
        <f>IF((OR(tbal[[#This Row],[X]]=0,tbal[[#This Row],[X]]=5)),tbal[[#This Row],[ACREEDOR]],0)</f>
        <v>0</v>
      </c>
    </row>
    <row r="92" spans="1:14" x14ac:dyDescent="0.3">
      <c r="A92" s="14">
        <f>+'PLAN DE CUENTAS'!A92</f>
        <v>3.1</v>
      </c>
      <c r="B92" s="13" t="str">
        <f>+'PLAN DE CUENTAS'!B92</f>
        <v>CAPITAL SOCIAL</v>
      </c>
      <c r="C92" s="13">
        <f>+'PLAN DE CUENTAS'!C92</f>
        <v>3</v>
      </c>
      <c r="D92" t="str">
        <f>IF(tbal[[#This Row],[DEBE]]+tbal[[#This Row],[HABER]]=0,"","X")</f>
        <v>X</v>
      </c>
      <c r="E92" s="16">
        <f>SUMIF(tdiario[CUENTA],tbal[[#This Row],[CUENTA]],tdiario[DEBE])</f>
        <v>0</v>
      </c>
      <c r="F92" s="17">
        <f>SUMIF(tdiario[CUENTA],tbal[[#This Row],[CUENTA]],tdiario[HABER])</f>
        <v>334000</v>
      </c>
      <c r="G92" s="16">
        <f>IF(tbal[[#This Row],[DEBE]]-tbal[[#This Row],[HABER]]&gt;0,tbal[[#This Row],[DEBE]]-tbal[[#This Row],[HABER]],0)</f>
        <v>0</v>
      </c>
      <c r="H92" s="18">
        <f>IF(tbal[[#This Row],[HABER]]-tbal[[#This Row],[DEBE]]&gt;0,tbal[[#This Row],[HABER]]-tbal[[#This Row],[DEBE]],0)</f>
        <v>334000</v>
      </c>
      <c r="I92" s="16">
        <f>IF((OR(tbal[[#This Row],[X]]=1,tbal[[#This Row],[X]]=2)),tbal[[#This Row],[DEUDOR]],0)</f>
        <v>0</v>
      </c>
      <c r="J92" s="18">
        <f>IF((OR(tbal[[#This Row],[X]]=2,tbal[[#This Row],[X]]=3)),tbal[[#This Row],[ACREEDOR]],0)</f>
        <v>334000</v>
      </c>
      <c r="K92" s="16">
        <f>IF((OR(tbal[[#This Row],[X]]=3,tbal[[#This Row],[X]]=5)),tbal[[#This Row],[DEUDOR]],0)</f>
        <v>0</v>
      </c>
      <c r="L92" s="18">
        <f>IF((OR(tbal[[#This Row],[X]]=3,tbal[[#This Row],[X]]=4)),tbal[[#This Row],[ACREEDOR]],0)</f>
        <v>334000</v>
      </c>
      <c r="M92" s="16">
        <f>IF((OR(tbal[[#This Row],[X]]=0,tbal[[#This Row],[X]]=6)),tbal[[#This Row],[DEUDOR]],0)</f>
        <v>0</v>
      </c>
      <c r="N92" s="18">
        <f>IF((OR(tbal[[#This Row],[X]]=0,tbal[[#This Row],[X]]=5)),tbal[[#This Row],[ACREEDOR]],0)</f>
        <v>0</v>
      </c>
    </row>
    <row r="93" spans="1:14" x14ac:dyDescent="0.3">
      <c r="A93" s="14">
        <f>+'PLAN DE CUENTAS'!A93</f>
        <v>3.2</v>
      </c>
      <c r="B93" s="13" t="str">
        <f>+'PLAN DE CUENTAS'!B93</f>
        <v>AJUSTE DE CAPITAL</v>
      </c>
      <c r="C93" s="13">
        <f>+'PLAN DE CUENTAS'!C93</f>
        <v>3</v>
      </c>
      <c r="D93" t="str">
        <f>IF(tbal[[#This Row],[DEBE]]+tbal[[#This Row],[HABER]]=0,"","X")</f>
        <v/>
      </c>
      <c r="E93" s="16">
        <f>SUMIF(tdiario[CUENTA],tbal[[#This Row],[CUENTA]],tdiario[DEBE])</f>
        <v>0</v>
      </c>
      <c r="F93" s="17">
        <f>SUMIF(tdiario[CUENTA],tbal[[#This Row],[CUENTA]],tdiario[HABER])</f>
        <v>0</v>
      </c>
      <c r="G93" s="16">
        <f>IF(tbal[[#This Row],[DEBE]]-tbal[[#This Row],[HABER]]&gt;0,tbal[[#This Row],[DEBE]]-tbal[[#This Row],[HABER]],0)</f>
        <v>0</v>
      </c>
      <c r="H93" s="18">
        <f>IF(tbal[[#This Row],[HABER]]-tbal[[#This Row],[DEBE]]&gt;0,tbal[[#This Row],[HABER]]-tbal[[#This Row],[DEBE]],0)</f>
        <v>0</v>
      </c>
      <c r="I93" s="16">
        <f>IF((OR(tbal[[#This Row],[X]]=1,tbal[[#This Row],[X]]=2)),tbal[[#This Row],[DEUDOR]],0)</f>
        <v>0</v>
      </c>
      <c r="J93" s="18">
        <f>IF((OR(tbal[[#This Row],[X]]=2,tbal[[#This Row],[X]]=3)),tbal[[#This Row],[ACREEDOR]],0)</f>
        <v>0</v>
      </c>
      <c r="K93" s="16">
        <f>IF((OR(tbal[[#This Row],[X]]=3,tbal[[#This Row],[X]]=5)),tbal[[#This Row],[DEUDOR]],0)</f>
        <v>0</v>
      </c>
      <c r="L93" s="18">
        <f>IF((OR(tbal[[#This Row],[X]]=3,tbal[[#This Row],[X]]=4)),tbal[[#This Row],[ACREEDOR]],0)</f>
        <v>0</v>
      </c>
      <c r="M93" s="16">
        <f>IF((OR(tbal[[#This Row],[X]]=0,tbal[[#This Row],[X]]=6)),tbal[[#This Row],[DEUDOR]],0)</f>
        <v>0</v>
      </c>
      <c r="N93" s="18">
        <f>IF((OR(tbal[[#This Row],[X]]=0,tbal[[#This Row],[X]]=5)),tbal[[#This Row],[ACREEDOR]],0)</f>
        <v>0</v>
      </c>
    </row>
    <row r="94" spans="1:14" x14ac:dyDescent="0.3">
      <c r="A94" s="14">
        <f>+'PLAN DE CUENTAS'!A94</f>
        <v>3.3</v>
      </c>
      <c r="B94" s="13" t="str">
        <f>+'PLAN DE CUENTAS'!B94</f>
        <v>UTILIDADES RETENIDAS</v>
      </c>
      <c r="C94" s="13">
        <f>+'PLAN DE CUENTAS'!C94</f>
        <v>3</v>
      </c>
      <c r="D94" t="str">
        <f>IF(tbal[[#This Row],[DEBE]]+tbal[[#This Row],[HABER]]=0,"","X")</f>
        <v/>
      </c>
      <c r="E94" s="16">
        <f>SUMIF(tdiario[CUENTA],tbal[[#This Row],[CUENTA]],tdiario[DEBE])</f>
        <v>0</v>
      </c>
      <c r="F94" s="17">
        <f>SUMIF(tdiario[CUENTA],tbal[[#This Row],[CUENTA]],tdiario[HABER])</f>
        <v>0</v>
      </c>
      <c r="G94" s="16">
        <f>IF(tbal[[#This Row],[DEBE]]-tbal[[#This Row],[HABER]]&gt;0,tbal[[#This Row],[DEBE]]-tbal[[#This Row],[HABER]],0)</f>
        <v>0</v>
      </c>
      <c r="H94" s="18">
        <f>IF(tbal[[#This Row],[HABER]]-tbal[[#This Row],[DEBE]]&gt;0,tbal[[#This Row],[HABER]]-tbal[[#This Row],[DEBE]],0)</f>
        <v>0</v>
      </c>
      <c r="I94" s="16">
        <f>IF((OR(tbal[[#This Row],[X]]=1,tbal[[#This Row],[X]]=2)),tbal[[#This Row],[DEUDOR]],0)</f>
        <v>0</v>
      </c>
      <c r="J94" s="18">
        <f>IF((OR(tbal[[#This Row],[X]]=2,tbal[[#This Row],[X]]=3)),tbal[[#This Row],[ACREEDOR]],0)</f>
        <v>0</v>
      </c>
      <c r="K94" s="16">
        <f>IF((OR(tbal[[#This Row],[X]]=3,tbal[[#This Row],[X]]=5)),tbal[[#This Row],[DEUDOR]],0)</f>
        <v>0</v>
      </c>
      <c r="L94" s="18">
        <f>IF((OR(tbal[[#This Row],[X]]=3,tbal[[#This Row],[X]]=4)),tbal[[#This Row],[ACREEDOR]],0)</f>
        <v>0</v>
      </c>
      <c r="M94" s="16">
        <f>IF((OR(tbal[[#This Row],[X]]=0,tbal[[#This Row],[X]]=6)),tbal[[#This Row],[DEUDOR]],0)</f>
        <v>0</v>
      </c>
      <c r="N94" s="18">
        <f>IF((OR(tbal[[#This Row],[X]]=0,tbal[[#This Row],[X]]=5)),tbal[[#This Row],[ACREEDOR]],0)</f>
        <v>0</v>
      </c>
    </row>
    <row r="95" spans="1:14" x14ac:dyDescent="0.3">
      <c r="A95" s="14">
        <f>+'PLAN DE CUENTAS'!A95</f>
        <v>3.4</v>
      </c>
      <c r="B95" s="13" t="str">
        <f>+'PLAN DE CUENTAS'!B95</f>
        <v>PERDIDAS ACUMULADAS</v>
      </c>
      <c r="C95" s="13">
        <f>+'PLAN DE CUENTAS'!C95</f>
        <v>3</v>
      </c>
      <c r="D95" t="str">
        <f>IF(tbal[[#This Row],[DEBE]]+tbal[[#This Row],[HABER]]=0,"","X")</f>
        <v/>
      </c>
      <c r="E95" s="16">
        <f>SUMIF(tdiario[CUENTA],tbal[[#This Row],[CUENTA]],tdiario[DEBE])</f>
        <v>0</v>
      </c>
      <c r="F95" s="17">
        <f>SUMIF(tdiario[CUENTA],tbal[[#This Row],[CUENTA]],tdiario[HABER])</f>
        <v>0</v>
      </c>
      <c r="G95" s="16">
        <f>IF(tbal[[#This Row],[DEBE]]-tbal[[#This Row],[HABER]]&gt;0,tbal[[#This Row],[DEBE]]-tbal[[#This Row],[HABER]],0)</f>
        <v>0</v>
      </c>
      <c r="H95" s="18">
        <f>IF(tbal[[#This Row],[HABER]]-tbal[[#This Row],[DEBE]]&gt;0,tbal[[#This Row],[HABER]]-tbal[[#This Row],[DEBE]],0)</f>
        <v>0</v>
      </c>
      <c r="I95" s="16">
        <f>IF((OR(tbal[[#This Row],[X]]=1,tbal[[#This Row],[X]]=2)),tbal[[#This Row],[DEUDOR]],0)</f>
        <v>0</v>
      </c>
      <c r="J95" s="18">
        <f>IF((OR(tbal[[#This Row],[X]]=2,tbal[[#This Row],[X]]=3)),tbal[[#This Row],[ACREEDOR]],0)</f>
        <v>0</v>
      </c>
      <c r="K95" s="16">
        <f>IF((OR(tbal[[#This Row],[X]]=3,tbal[[#This Row],[X]]=5)),tbal[[#This Row],[DEUDOR]],0)</f>
        <v>0</v>
      </c>
      <c r="L95" s="18">
        <f>IF((OR(tbal[[#This Row],[X]]=3,tbal[[#This Row],[X]]=4)),tbal[[#This Row],[ACREEDOR]],0)</f>
        <v>0</v>
      </c>
      <c r="M95" s="16">
        <f>IF((OR(tbal[[#This Row],[X]]=0,tbal[[#This Row],[X]]=6)),tbal[[#This Row],[DEUDOR]],0)</f>
        <v>0</v>
      </c>
      <c r="N95" s="18">
        <f>IF((OR(tbal[[#This Row],[X]]=0,tbal[[#This Row],[X]]=5)),tbal[[#This Row],[ACREEDOR]],0)</f>
        <v>0</v>
      </c>
    </row>
    <row r="96" spans="1:14" x14ac:dyDescent="0.3">
      <c r="A96" s="14">
        <f>+'PLAN DE CUENTAS'!A96</f>
        <v>3.5</v>
      </c>
      <c r="B96" s="13" t="str">
        <f>+'PLAN DE CUENTAS'!B96</f>
        <v>UTILIDAD DE LA GESTION</v>
      </c>
      <c r="C96" s="13">
        <f>+'PLAN DE CUENTAS'!C96</f>
        <v>3</v>
      </c>
      <c r="D96" t="str">
        <f>IF(tbal[[#This Row],[DEBE]]+tbal[[#This Row],[HABER]]=0,"","X")</f>
        <v/>
      </c>
      <c r="E96" s="16">
        <f>SUMIF(tdiario[CUENTA],tbal[[#This Row],[CUENTA]],tdiario[DEBE])</f>
        <v>0</v>
      </c>
      <c r="F96" s="17">
        <f>SUMIF(tdiario[CUENTA],tbal[[#This Row],[CUENTA]],tdiario[HABER])</f>
        <v>0</v>
      </c>
      <c r="G96" s="16">
        <f>IF(tbal[[#This Row],[DEBE]]-tbal[[#This Row],[HABER]]&gt;0,tbal[[#This Row],[DEBE]]-tbal[[#This Row],[HABER]],0)</f>
        <v>0</v>
      </c>
      <c r="H96" s="18">
        <f>IF(tbal[[#This Row],[HABER]]-tbal[[#This Row],[DEBE]]&gt;0,tbal[[#This Row],[HABER]]-tbal[[#This Row],[DEBE]],0)</f>
        <v>0</v>
      </c>
      <c r="I96" s="16">
        <f>IF((OR(tbal[[#This Row],[X]]=1,tbal[[#This Row],[X]]=2)),tbal[[#This Row],[DEUDOR]],0)</f>
        <v>0</v>
      </c>
      <c r="J96" s="18">
        <f>IF((OR(tbal[[#This Row],[X]]=2,tbal[[#This Row],[X]]=3)),tbal[[#This Row],[ACREEDOR]],0)</f>
        <v>0</v>
      </c>
      <c r="K96" s="16">
        <f>IF((OR(tbal[[#This Row],[X]]=3,tbal[[#This Row],[X]]=5)),tbal[[#This Row],[DEUDOR]],0)</f>
        <v>0</v>
      </c>
      <c r="L96" s="18">
        <f>IF((OR(tbal[[#This Row],[X]]=3,tbal[[#This Row],[X]]=4)),tbal[[#This Row],[ACREEDOR]],0)</f>
        <v>0</v>
      </c>
      <c r="M96" s="16">
        <f>IF((OR(tbal[[#This Row],[X]]=0,tbal[[#This Row],[X]]=6)),tbal[[#This Row],[DEUDOR]],0)</f>
        <v>0</v>
      </c>
      <c r="N96" s="18">
        <f>IF((OR(tbal[[#This Row],[X]]=0,tbal[[#This Row],[X]]=5)),tbal[[#This Row],[ACREEDOR]],0)</f>
        <v>0</v>
      </c>
    </row>
    <row r="97" spans="1:14" x14ac:dyDescent="0.3">
      <c r="A97" s="14">
        <f>+'PLAN DE CUENTAS'!A97</f>
        <v>3.6</v>
      </c>
      <c r="B97" s="13" t="str">
        <f>+'PLAN DE CUENTAS'!B97</f>
        <v>PERDIDA DE LA GESTION</v>
      </c>
      <c r="C97" s="13">
        <f>+'PLAN DE CUENTAS'!C97</f>
        <v>3</v>
      </c>
      <c r="D97" t="str">
        <f>IF(tbal[[#This Row],[DEBE]]+tbal[[#This Row],[HABER]]=0,"","X")</f>
        <v/>
      </c>
      <c r="E97" s="16">
        <f>SUMIF(tdiario[CUENTA],tbal[[#This Row],[CUENTA]],tdiario[DEBE])</f>
        <v>0</v>
      </c>
      <c r="F97" s="17">
        <f>SUMIF(tdiario[CUENTA],tbal[[#This Row],[CUENTA]],tdiario[HABER])</f>
        <v>0</v>
      </c>
      <c r="G97" s="16">
        <f>IF(tbal[[#This Row],[DEBE]]-tbal[[#This Row],[HABER]]&gt;0,tbal[[#This Row],[DEBE]]-tbal[[#This Row],[HABER]],0)</f>
        <v>0</v>
      </c>
      <c r="H97" s="18">
        <f>IF(tbal[[#This Row],[HABER]]-tbal[[#This Row],[DEBE]]&gt;0,tbal[[#This Row],[HABER]]-tbal[[#This Row],[DEBE]],0)</f>
        <v>0</v>
      </c>
      <c r="I97" s="16">
        <f>IF((OR(tbal[[#This Row],[X]]=1,tbal[[#This Row],[X]]=2)),tbal[[#This Row],[DEUDOR]],0)</f>
        <v>0</v>
      </c>
      <c r="J97" s="18">
        <f>IF((OR(tbal[[#This Row],[X]]=2,tbal[[#This Row],[X]]=3)),tbal[[#This Row],[ACREEDOR]],0)</f>
        <v>0</v>
      </c>
      <c r="K97" s="16">
        <f>IF((OR(tbal[[#This Row],[X]]=3,tbal[[#This Row],[X]]=5)),tbal[[#This Row],[DEUDOR]],0)</f>
        <v>0</v>
      </c>
      <c r="L97" s="18">
        <f>IF((OR(tbal[[#This Row],[X]]=3,tbal[[#This Row],[X]]=4)),tbal[[#This Row],[ACREEDOR]],0)</f>
        <v>0</v>
      </c>
      <c r="M97" s="16">
        <f>IF((OR(tbal[[#This Row],[X]]=0,tbal[[#This Row],[X]]=6)),tbal[[#This Row],[DEUDOR]],0)</f>
        <v>0</v>
      </c>
      <c r="N97" s="18">
        <f>IF((OR(tbal[[#This Row],[X]]=0,tbal[[#This Row],[X]]=5)),tbal[[#This Row],[ACREEDOR]],0)</f>
        <v>0</v>
      </c>
    </row>
    <row r="98" spans="1:14" x14ac:dyDescent="0.3">
      <c r="A98" s="14">
        <f>+'PLAN DE CUENTAS'!A98</f>
        <v>4</v>
      </c>
      <c r="B98" s="13" t="str">
        <f>+'PLAN DE CUENTAS'!B98</f>
        <v>CUENTAS DE ORDEN</v>
      </c>
      <c r="C98" s="13">
        <f>+'PLAN DE CUENTAS'!C98</f>
        <v>4</v>
      </c>
      <c r="D98" t="str">
        <f>IF(tbal[[#This Row],[DEBE]]+tbal[[#This Row],[HABER]]=0,"","X")</f>
        <v/>
      </c>
      <c r="E98" s="16">
        <f>SUMIF(tdiario[CUENTA],tbal[[#This Row],[CUENTA]],tdiario[DEBE])</f>
        <v>0</v>
      </c>
      <c r="F98" s="17">
        <f>SUMIF(tdiario[CUENTA],tbal[[#This Row],[CUENTA]],tdiario[HABER])</f>
        <v>0</v>
      </c>
      <c r="G98" s="16">
        <f>IF(tbal[[#This Row],[DEBE]]-tbal[[#This Row],[HABER]]&gt;0,tbal[[#This Row],[DEBE]]-tbal[[#This Row],[HABER]],0)</f>
        <v>0</v>
      </c>
      <c r="H98" s="18">
        <f>IF(tbal[[#This Row],[HABER]]-tbal[[#This Row],[DEBE]]&gt;0,tbal[[#This Row],[HABER]]-tbal[[#This Row],[DEBE]],0)</f>
        <v>0</v>
      </c>
      <c r="I98" s="16">
        <f>IF((OR(tbal[[#This Row],[X]]=1,tbal[[#This Row],[X]]=2)),tbal[[#This Row],[DEUDOR]],0)</f>
        <v>0</v>
      </c>
      <c r="J98" s="18">
        <f>IF((OR(tbal[[#This Row],[X]]=2,tbal[[#This Row],[X]]=3)),tbal[[#This Row],[ACREEDOR]],0)</f>
        <v>0</v>
      </c>
      <c r="K98" s="16">
        <f>IF((OR(tbal[[#This Row],[X]]=3,tbal[[#This Row],[X]]=5)),tbal[[#This Row],[DEUDOR]],0)</f>
        <v>0</v>
      </c>
      <c r="L98" s="18">
        <f>IF((OR(tbal[[#This Row],[X]]=3,tbal[[#This Row],[X]]=4)),tbal[[#This Row],[ACREEDOR]],0)</f>
        <v>0</v>
      </c>
      <c r="M98" s="16">
        <f>IF((OR(tbal[[#This Row],[X]]=0,tbal[[#This Row],[X]]=6)),tbal[[#This Row],[DEUDOR]],0)</f>
        <v>0</v>
      </c>
      <c r="N98" s="18">
        <f>IF((OR(tbal[[#This Row],[X]]=0,tbal[[#This Row],[X]]=5)),tbal[[#This Row],[ACREEDOR]],0)</f>
        <v>0</v>
      </c>
    </row>
    <row r="99" spans="1:14" x14ac:dyDescent="0.3">
      <c r="A99" s="14">
        <f>+'PLAN DE CUENTAS'!A99</f>
        <v>5</v>
      </c>
      <c r="B99" s="13" t="str">
        <f>+'PLAN DE CUENTAS'!B99</f>
        <v>CUENTAS DE INGRESOS</v>
      </c>
      <c r="C99" s="13">
        <f>+'PLAN DE CUENTAS'!C99</f>
        <v>5</v>
      </c>
      <c r="D99" t="str">
        <f>IF(tbal[[#This Row],[DEBE]]+tbal[[#This Row],[HABER]]=0,"","X")</f>
        <v/>
      </c>
      <c r="E99" s="16">
        <f>SUMIF(tdiario[CUENTA],tbal[[#This Row],[CUENTA]],tdiario[DEBE])</f>
        <v>0</v>
      </c>
      <c r="F99" s="17">
        <f>SUMIF(tdiario[CUENTA],tbal[[#This Row],[CUENTA]],tdiario[HABER])</f>
        <v>0</v>
      </c>
      <c r="G99" s="16">
        <f>IF(tbal[[#This Row],[DEBE]]-tbal[[#This Row],[HABER]]&gt;0,tbal[[#This Row],[DEBE]]-tbal[[#This Row],[HABER]],0)</f>
        <v>0</v>
      </c>
      <c r="H99" s="18">
        <f>IF(tbal[[#This Row],[HABER]]-tbal[[#This Row],[DEBE]]&gt;0,tbal[[#This Row],[HABER]]-tbal[[#This Row],[DEBE]],0)</f>
        <v>0</v>
      </c>
      <c r="I99" s="16">
        <f>IF((OR(tbal[[#This Row],[X]]=1,tbal[[#This Row],[X]]=2)),tbal[[#This Row],[DEUDOR]],0)</f>
        <v>0</v>
      </c>
      <c r="J99" s="18">
        <f>IF((OR(tbal[[#This Row],[X]]=2,tbal[[#This Row],[X]]=3)),tbal[[#This Row],[ACREEDOR]],0)</f>
        <v>0</v>
      </c>
      <c r="K99" s="16">
        <f>IF((OR(tbal[[#This Row],[X]]=3,tbal[[#This Row],[X]]=5)),tbal[[#This Row],[DEUDOR]],0)</f>
        <v>0</v>
      </c>
      <c r="L99" s="18">
        <f>IF((OR(tbal[[#This Row],[X]]=3,tbal[[#This Row],[X]]=4)),tbal[[#This Row],[ACREEDOR]],0)</f>
        <v>0</v>
      </c>
      <c r="M99" s="16">
        <f>IF((OR(tbal[[#This Row],[X]]=0,tbal[[#This Row],[X]]=6)),tbal[[#This Row],[DEUDOR]],0)</f>
        <v>0</v>
      </c>
      <c r="N99" s="18">
        <f>IF((OR(tbal[[#This Row],[X]]=0,tbal[[#This Row],[X]]=5)),tbal[[#This Row],[ACREEDOR]],0)</f>
        <v>0</v>
      </c>
    </row>
    <row r="100" spans="1:14" x14ac:dyDescent="0.3">
      <c r="A100" s="14">
        <f>+'PLAN DE CUENTAS'!A100</f>
        <v>5.0999999999999996</v>
      </c>
      <c r="B100" s="13" t="str">
        <f>+'PLAN DE CUENTAS'!B100</f>
        <v>INGRESOS</v>
      </c>
      <c r="C100" s="13">
        <f>+'PLAN DE CUENTAS'!C100</f>
        <v>5</v>
      </c>
      <c r="D100" t="str">
        <f>IF(tbal[[#This Row],[DEBE]]+tbal[[#This Row],[HABER]]=0,"","X")</f>
        <v/>
      </c>
      <c r="E100" s="16">
        <f>SUMIF(tdiario[CUENTA],tbal[[#This Row],[CUENTA]],tdiario[DEBE])</f>
        <v>0</v>
      </c>
      <c r="F100" s="17">
        <f>SUMIF(tdiario[CUENTA],tbal[[#This Row],[CUENTA]],tdiario[HABER])</f>
        <v>0</v>
      </c>
      <c r="G100" s="16">
        <f>IF(tbal[[#This Row],[DEBE]]-tbal[[#This Row],[HABER]]&gt;0,tbal[[#This Row],[DEBE]]-tbal[[#This Row],[HABER]],0)</f>
        <v>0</v>
      </c>
      <c r="H100" s="18">
        <f>IF(tbal[[#This Row],[HABER]]-tbal[[#This Row],[DEBE]]&gt;0,tbal[[#This Row],[HABER]]-tbal[[#This Row],[DEBE]],0)</f>
        <v>0</v>
      </c>
      <c r="I100" s="16">
        <f>IF((OR(tbal[[#This Row],[X]]=1,tbal[[#This Row],[X]]=2)),tbal[[#This Row],[DEUDOR]],0)</f>
        <v>0</v>
      </c>
      <c r="J100" s="18">
        <f>IF((OR(tbal[[#This Row],[X]]=2,tbal[[#This Row],[X]]=3)),tbal[[#This Row],[ACREEDOR]],0)</f>
        <v>0</v>
      </c>
      <c r="K100" s="16">
        <f>IF((OR(tbal[[#This Row],[X]]=3,tbal[[#This Row],[X]]=5)),tbal[[#This Row],[DEUDOR]],0)</f>
        <v>0</v>
      </c>
      <c r="L100" s="18">
        <f>IF((OR(tbal[[#This Row],[X]]=3,tbal[[#This Row],[X]]=4)),tbal[[#This Row],[ACREEDOR]],0)</f>
        <v>0</v>
      </c>
      <c r="M100" s="16">
        <f>IF((OR(tbal[[#This Row],[X]]=0,tbal[[#This Row],[X]]=6)),tbal[[#This Row],[DEUDOR]],0)</f>
        <v>0</v>
      </c>
      <c r="N100" s="18">
        <f>IF((OR(tbal[[#This Row],[X]]=0,tbal[[#This Row],[X]]=5)),tbal[[#This Row],[ACREEDOR]],0)</f>
        <v>0</v>
      </c>
    </row>
    <row r="101" spans="1:14" x14ac:dyDescent="0.3">
      <c r="A101" s="14" t="str">
        <f>+'PLAN DE CUENTAS'!A101</f>
        <v>5.1.1</v>
      </c>
      <c r="B101" s="13" t="str">
        <f>+'PLAN DE CUENTAS'!B101</f>
        <v>INGRESOS DE OPERACIÓN</v>
      </c>
      <c r="C101" s="13">
        <f>+'PLAN DE CUENTAS'!C101</f>
        <v>5</v>
      </c>
      <c r="D101" t="str">
        <f>IF(tbal[[#This Row],[DEBE]]+tbal[[#This Row],[HABER]]=0,"","X")</f>
        <v/>
      </c>
      <c r="E101" s="16">
        <f>SUMIF(tdiario[CUENTA],tbal[[#This Row],[CUENTA]],tdiario[DEBE])</f>
        <v>0</v>
      </c>
      <c r="F101" s="17">
        <f>SUMIF(tdiario[CUENTA],tbal[[#This Row],[CUENTA]],tdiario[HABER])</f>
        <v>0</v>
      </c>
      <c r="G101" s="16">
        <f>IF(tbal[[#This Row],[DEBE]]-tbal[[#This Row],[HABER]]&gt;0,tbal[[#This Row],[DEBE]]-tbal[[#This Row],[HABER]],0)</f>
        <v>0</v>
      </c>
      <c r="H101" s="18">
        <f>IF(tbal[[#This Row],[HABER]]-tbal[[#This Row],[DEBE]]&gt;0,tbal[[#This Row],[HABER]]-tbal[[#This Row],[DEBE]],0)</f>
        <v>0</v>
      </c>
      <c r="I101" s="16">
        <f>IF((OR(tbal[[#This Row],[X]]=1,tbal[[#This Row],[X]]=2)),tbal[[#This Row],[DEUDOR]],0)</f>
        <v>0</v>
      </c>
      <c r="J101" s="18">
        <f>IF((OR(tbal[[#This Row],[X]]=2,tbal[[#This Row],[X]]=3)),tbal[[#This Row],[ACREEDOR]],0)</f>
        <v>0</v>
      </c>
      <c r="K101" s="16">
        <f>IF((OR(tbal[[#This Row],[X]]=3,tbal[[#This Row],[X]]=5)),tbal[[#This Row],[DEUDOR]],0)</f>
        <v>0</v>
      </c>
      <c r="L101" s="18">
        <f>IF((OR(tbal[[#This Row],[X]]=3,tbal[[#This Row],[X]]=4)),tbal[[#This Row],[ACREEDOR]],0)</f>
        <v>0</v>
      </c>
      <c r="M101" s="16">
        <f>IF((OR(tbal[[#This Row],[X]]=0,tbal[[#This Row],[X]]=6)),tbal[[#This Row],[DEUDOR]],0)</f>
        <v>0</v>
      </c>
      <c r="N101" s="18">
        <f>IF((OR(tbal[[#This Row],[X]]=0,tbal[[#This Row],[X]]=5)),tbal[[#This Row],[ACREEDOR]],0)</f>
        <v>0</v>
      </c>
    </row>
    <row r="102" spans="1:14" x14ac:dyDescent="0.3">
      <c r="A102" s="14" t="str">
        <f>+'PLAN DE CUENTAS'!A102</f>
        <v>5.1.1.01</v>
      </c>
      <c r="B102" s="13" t="str">
        <f>+'PLAN DE CUENTAS'!B102</f>
        <v>VENTAS</v>
      </c>
      <c r="C102" s="13">
        <f>+'PLAN DE CUENTAS'!C102</f>
        <v>5</v>
      </c>
      <c r="D102" t="str">
        <f>IF(tbal[[#This Row],[DEBE]]+tbal[[#This Row],[HABER]]=0,"","X")</f>
        <v>X</v>
      </c>
      <c r="E102" s="16">
        <f>SUMIF(tdiario[CUENTA],tbal[[#This Row],[CUENTA]],tdiario[DEBE])</f>
        <v>0</v>
      </c>
      <c r="F102" s="17">
        <f>SUMIF(tdiario[CUENTA],tbal[[#This Row],[CUENTA]],tdiario[HABER])</f>
        <v>548100</v>
      </c>
      <c r="G102" s="16">
        <f>IF(tbal[[#This Row],[DEBE]]-tbal[[#This Row],[HABER]]&gt;0,tbal[[#This Row],[DEBE]]-tbal[[#This Row],[HABER]],0)</f>
        <v>0</v>
      </c>
      <c r="H102" s="18">
        <f>IF(tbal[[#This Row],[HABER]]-tbal[[#This Row],[DEBE]]&gt;0,tbal[[#This Row],[HABER]]-tbal[[#This Row],[DEBE]],0)</f>
        <v>548100</v>
      </c>
      <c r="I102" s="16">
        <f>IF((OR(tbal[[#This Row],[X]]=1,tbal[[#This Row],[X]]=2)),tbal[[#This Row],[DEUDOR]],0)</f>
        <v>0</v>
      </c>
      <c r="J102" s="18">
        <f>IF((OR(tbal[[#This Row],[X]]=2,tbal[[#This Row],[X]]=3)),tbal[[#This Row],[ACREEDOR]],0)</f>
        <v>0</v>
      </c>
      <c r="K102" s="16">
        <f>IF((OR(tbal[[#This Row],[X]]=3,tbal[[#This Row],[X]]=5)),tbal[[#This Row],[DEUDOR]],0)</f>
        <v>0</v>
      </c>
      <c r="L102" s="18">
        <f>IF((OR(tbal[[#This Row],[X]]=3,tbal[[#This Row],[X]]=4)),tbal[[#This Row],[ACREEDOR]],0)</f>
        <v>0</v>
      </c>
      <c r="M102" s="16">
        <f>IF((OR(tbal[[#This Row],[X]]=0,tbal[[#This Row],[X]]=6)),tbal[[#This Row],[DEUDOR]],0)</f>
        <v>0</v>
      </c>
      <c r="N102" s="18">
        <f>IF((OR(tbal[[#This Row],[X]]=0,tbal[[#This Row],[X]]=5)),tbal[[#This Row],[ACREEDOR]],0)</f>
        <v>548100</v>
      </c>
    </row>
    <row r="103" spans="1:14" x14ac:dyDescent="0.3">
      <c r="A103" s="14" t="str">
        <f>+'PLAN DE CUENTAS'!A103</f>
        <v>5.1.2</v>
      </c>
      <c r="B103" s="13" t="str">
        <f>+'PLAN DE CUENTAS'!B103</f>
        <v>OTROS INGRESOS</v>
      </c>
      <c r="C103" s="13">
        <f>+'PLAN DE CUENTAS'!C103</f>
        <v>5</v>
      </c>
      <c r="D103" t="str">
        <f>IF(tbal[[#This Row],[DEBE]]+tbal[[#This Row],[HABER]]=0,"","X")</f>
        <v/>
      </c>
      <c r="E103" s="16">
        <f>SUMIF(tdiario[CUENTA],tbal[[#This Row],[CUENTA]],tdiario[DEBE])</f>
        <v>0</v>
      </c>
      <c r="F103" s="17">
        <f>SUMIF(tdiario[CUENTA],tbal[[#This Row],[CUENTA]],tdiario[HABER])</f>
        <v>0</v>
      </c>
      <c r="G103" s="16">
        <f>IF(tbal[[#This Row],[DEBE]]-tbal[[#This Row],[HABER]]&gt;0,tbal[[#This Row],[DEBE]]-tbal[[#This Row],[HABER]],0)</f>
        <v>0</v>
      </c>
      <c r="H103" s="18">
        <f>IF(tbal[[#This Row],[HABER]]-tbal[[#This Row],[DEBE]]&gt;0,tbal[[#This Row],[HABER]]-tbal[[#This Row],[DEBE]],0)</f>
        <v>0</v>
      </c>
      <c r="I103" s="16">
        <f>IF((OR(tbal[[#This Row],[X]]=1,tbal[[#This Row],[X]]=2)),tbal[[#This Row],[DEUDOR]],0)</f>
        <v>0</v>
      </c>
      <c r="J103" s="18">
        <f>IF((OR(tbal[[#This Row],[X]]=2,tbal[[#This Row],[X]]=3)),tbal[[#This Row],[ACREEDOR]],0)</f>
        <v>0</v>
      </c>
      <c r="K103" s="16">
        <f>IF((OR(tbal[[#This Row],[X]]=3,tbal[[#This Row],[X]]=5)),tbal[[#This Row],[DEUDOR]],0)</f>
        <v>0</v>
      </c>
      <c r="L103" s="18">
        <f>IF((OR(tbal[[#This Row],[X]]=3,tbal[[#This Row],[X]]=4)),tbal[[#This Row],[ACREEDOR]],0)</f>
        <v>0</v>
      </c>
      <c r="M103" s="16">
        <f>IF((OR(tbal[[#This Row],[X]]=0,tbal[[#This Row],[X]]=6)),tbal[[#This Row],[DEUDOR]],0)</f>
        <v>0</v>
      </c>
      <c r="N103" s="18">
        <f>IF((OR(tbal[[#This Row],[X]]=0,tbal[[#This Row],[X]]=5)),tbal[[#This Row],[ACREEDOR]],0)</f>
        <v>0</v>
      </c>
    </row>
    <row r="104" spans="1:14" x14ac:dyDescent="0.3">
      <c r="A104" s="14" t="str">
        <f>+'PLAN DE CUENTAS'!A104</f>
        <v>5.1.2.01</v>
      </c>
      <c r="B104" s="13" t="str">
        <f>+'PLAN DE CUENTAS'!B104</f>
        <v>DESCUENTOS SOBRE COMPRAS</v>
      </c>
      <c r="C104" s="13">
        <f>+'PLAN DE CUENTAS'!C104</f>
        <v>5</v>
      </c>
      <c r="D104" t="str">
        <f>IF(tbal[[#This Row],[DEBE]]+tbal[[#This Row],[HABER]]=0,"","X")</f>
        <v>X</v>
      </c>
      <c r="E104" s="16">
        <f>SUMIF(tdiario[CUENTA],tbal[[#This Row],[CUENTA]],tdiario[DEBE])</f>
        <v>0</v>
      </c>
      <c r="F104" s="17">
        <f>SUMIF(tdiario[CUENTA],tbal[[#This Row],[CUENTA]],tdiario[HABER])</f>
        <v>1374.6</v>
      </c>
      <c r="G104" s="16">
        <f>IF(tbal[[#This Row],[DEBE]]-tbal[[#This Row],[HABER]]&gt;0,tbal[[#This Row],[DEBE]]-tbal[[#This Row],[HABER]],0)</f>
        <v>0</v>
      </c>
      <c r="H104" s="18">
        <f>IF(tbal[[#This Row],[HABER]]-tbal[[#This Row],[DEBE]]&gt;0,tbal[[#This Row],[HABER]]-tbal[[#This Row],[DEBE]],0)</f>
        <v>1374.6</v>
      </c>
      <c r="I104" s="16">
        <f>IF((OR(tbal[[#This Row],[X]]=1,tbal[[#This Row],[X]]=2)),tbal[[#This Row],[DEUDOR]],0)</f>
        <v>0</v>
      </c>
      <c r="J104" s="18">
        <f>IF((OR(tbal[[#This Row],[X]]=2,tbal[[#This Row],[X]]=3)),tbal[[#This Row],[ACREEDOR]],0)</f>
        <v>0</v>
      </c>
      <c r="K104" s="16">
        <f>IF((OR(tbal[[#This Row],[X]]=3,tbal[[#This Row],[X]]=5)),tbal[[#This Row],[DEUDOR]],0)</f>
        <v>0</v>
      </c>
      <c r="L104" s="18">
        <f>IF((OR(tbal[[#This Row],[X]]=3,tbal[[#This Row],[X]]=4)),tbal[[#This Row],[ACREEDOR]],0)</f>
        <v>0</v>
      </c>
      <c r="M104" s="16">
        <f>IF((OR(tbal[[#This Row],[X]]=0,tbal[[#This Row],[X]]=6)),tbal[[#This Row],[DEUDOR]],0)</f>
        <v>0</v>
      </c>
      <c r="N104" s="18">
        <f>IF((OR(tbal[[#This Row],[X]]=0,tbal[[#This Row],[X]]=5)),tbal[[#This Row],[ACREEDOR]],0)</f>
        <v>1374.6</v>
      </c>
    </row>
    <row r="105" spans="1:14" x14ac:dyDescent="0.3">
      <c r="A105" s="14" t="str">
        <f>+'PLAN DE CUENTAS'!A105</f>
        <v>5.1.2.02</v>
      </c>
      <c r="B105" s="13" t="str">
        <f>+'PLAN DE CUENTAS'!B105</f>
        <v>DEVOLUCION Y BONIFICACION SOBRE COMPRAS</v>
      </c>
      <c r="C105" s="13">
        <f>+'PLAN DE CUENTAS'!C105</f>
        <v>5</v>
      </c>
      <c r="D105" t="str">
        <f>IF(tbal[[#This Row],[DEBE]]+tbal[[#This Row],[HABER]]=0,"","X")</f>
        <v>X</v>
      </c>
      <c r="E105" s="16">
        <f>SUMIF(tdiario[CUENTA],tbal[[#This Row],[CUENTA]],tdiario[DEBE])</f>
        <v>0</v>
      </c>
      <c r="F105" s="17">
        <f>SUMIF(tdiario[CUENTA],tbal[[#This Row],[CUENTA]],tdiario[HABER])</f>
        <v>23490</v>
      </c>
      <c r="G105" s="16">
        <f>IF(tbal[[#This Row],[DEBE]]-tbal[[#This Row],[HABER]]&gt;0,tbal[[#This Row],[DEBE]]-tbal[[#This Row],[HABER]],0)</f>
        <v>0</v>
      </c>
      <c r="H105" s="18">
        <f>IF(tbal[[#This Row],[HABER]]-tbal[[#This Row],[DEBE]]&gt;0,tbal[[#This Row],[HABER]]-tbal[[#This Row],[DEBE]],0)</f>
        <v>23490</v>
      </c>
      <c r="I105" s="16">
        <f>IF((OR(tbal[[#This Row],[X]]=1,tbal[[#This Row],[X]]=2)),tbal[[#This Row],[DEUDOR]],0)</f>
        <v>0</v>
      </c>
      <c r="J105" s="18">
        <f>IF((OR(tbal[[#This Row],[X]]=2,tbal[[#This Row],[X]]=3)),tbal[[#This Row],[ACREEDOR]],0)</f>
        <v>0</v>
      </c>
      <c r="K105" s="16">
        <f>IF((OR(tbal[[#This Row],[X]]=3,tbal[[#This Row],[X]]=5)),tbal[[#This Row],[DEUDOR]],0)</f>
        <v>0</v>
      </c>
      <c r="L105" s="18">
        <f>IF((OR(tbal[[#This Row],[X]]=3,tbal[[#This Row],[X]]=4)),tbal[[#This Row],[ACREEDOR]],0)</f>
        <v>0</v>
      </c>
      <c r="M105" s="16">
        <f>IF((OR(tbal[[#This Row],[X]]=0,tbal[[#This Row],[X]]=6)),tbal[[#This Row],[DEUDOR]],0)</f>
        <v>0</v>
      </c>
      <c r="N105" s="18">
        <f>IF((OR(tbal[[#This Row],[X]]=0,tbal[[#This Row],[X]]=5)),tbal[[#This Row],[ACREEDOR]],0)</f>
        <v>23490</v>
      </c>
    </row>
    <row r="106" spans="1:14" x14ac:dyDescent="0.3">
      <c r="A106" s="14" t="str">
        <f>+'PLAN DE CUENTAS'!A106</f>
        <v>5.1.2.03</v>
      </c>
      <c r="B106" s="13" t="str">
        <f>+'PLAN DE CUENTAS'!B106</f>
        <v>ALQUILERES PERCIBIDOS</v>
      </c>
      <c r="C106" s="13">
        <f>+'PLAN DE CUENTAS'!C106</f>
        <v>5</v>
      </c>
      <c r="D106" t="str">
        <f>IF(tbal[[#This Row],[DEBE]]+tbal[[#This Row],[HABER]]=0,"","X")</f>
        <v/>
      </c>
      <c r="E106" s="16">
        <f>SUMIF(tdiario[CUENTA],tbal[[#This Row],[CUENTA]],tdiario[DEBE])</f>
        <v>0</v>
      </c>
      <c r="F106" s="17">
        <f>SUMIF(tdiario[CUENTA],tbal[[#This Row],[CUENTA]],tdiario[HABER])</f>
        <v>0</v>
      </c>
      <c r="G106" s="16">
        <f>IF(tbal[[#This Row],[DEBE]]-tbal[[#This Row],[HABER]]&gt;0,tbal[[#This Row],[DEBE]]-tbal[[#This Row],[HABER]],0)</f>
        <v>0</v>
      </c>
      <c r="H106" s="18">
        <f>IF(tbal[[#This Row],[HABER]]-tbal[[#This Row],[DEBE]]&gt;0,tbal[[#This Row],[HABER]]-tbal[[#This Row],[DEBE]],0)</f>
        <v>0</v>
      </c>
      <c r="I106" s="16">
        <f>IF((OR(tbal[[#This Row],[X]]=1,tbal[[#This Row],[X]]=2)),tbal[[#This Row],[DEUDOR]],0)</f>
        <v>0</v>
      </c>
      <c r="J106" s="18">
        <f>IF((OR(tbal[[#This Row],[X]]=2,tbal[[#This Row],[X]]=3)),tbal[[#This Row],[ACREEDOR]],0)</f>
        <v>0</v>
      </c>
      <c r="K106" s="16">
        <f>IF((OR(tbal[[#This Row],[X]]=3,tbal[[#This Row],[X]]=5)),tbal[[#This Row],[DEUDOR]],0)</f>
        <v>0</v>
      </c>
      <c r="L106" s="18">
        <f>IF((OR(tbal[[#This Row],[X]]=3,tbal[[#This Row],[X]]=4)),tbal[[#This Row],[ACREEDOR]],0)</f>
        <v>0</v>
      </c>
      <c r="M106" s="16">
        <f>IF((OR(tbal[[#This Row],[X]]=0,tbal[[#This Row],[X]]=6)),tbal[[#This Row],[DEUDOR]],0)</f>
        <v>0</v>
      </c>
      <c r="N106" s="18">
        <f>IF((OR(tbal[[#This Row],[X]]=0,tbal[[#This Row],[X]]=5)),tbal[[#This Row],[ACREEDOR]],0)</f>
        <v>0</v>
      </c>
    </row>
    <row r="107" spans="1:14" x14ac:dyDescent="0.3">
      <c r="A107" s="14" t="str">
        <f>+'PLAN DE CUENTAS'!A107</f>
        <v>5.1.2.04</v>
      </c>
      <c r="B107" s="13" t="str">
        <f>+'PLAN DE CUENTAS'!B107</f>
        <v>COMISIONES GANADAS</v>
      </c>
      <c r="C107" s="13">
        <f>+'PLAN DE CUENTAS'!C107</f>
        <v>5</v>
      </c>
      <c r="D107" t="str">
        <f>IF(tbal[[#This Row],[DEBE]]+tbal[[#This Row],[HABER]]=0,"","X")</f>
        <v/>
      </c>
      <c r="E107" s="16">
        <f>SUMIF(tdiario[CUENTA],tbal[[#This Row],[CUENTA]],tdiario[DEBE])</f>
        <v>0</v>
      </c>
      <c r="F107" s="17">
        <f>SUMIF(tdiario[CUENTA],tbal[[#This Row],[CUENTA]],tdiario[HABER])</f>
        <v>0</v>
      </c>
      <c r="G107" s="16">
        <f>IF(tbal[[#This Row],[DEBE]]-tbal[[#This Row],[HABER]]&gt;0,tbal[[#This Row],[DEBE]]-tbal[[#This Row],[HABER]],0)</f>
        <v>0</v>
      </c>
      <c r="H107" s="18">
        <f>IF(tbal[[#This Row],[HABER]]-tbal[[#This Row],[DEBE]]&gt;0,tbal[[#This Row],[HABER]]-tbal[[#This Row],[DEBE]],0)</f>
        <v>0</v>
      </c>
      <c r="I107" s="16">
        <f>IF((OR(tbal[[#This Row],[X]]=1,tbal[[#This Row],[X]]=2)),tbal[[#This Row],[DEUDOR]],0)</f>
        <v>0</v>
      </c>
      <c r="J107" s="18">
        <f>IF((OR(tbal[[#This Row],[X]]=2,tbal[[#This Row],[X]]=3)),tbal[[#This Row],[ACREEDOR]],0)</f>
        <v>0</v>
      </c>
      <c r="K107" s="16">
        <f>IF((OR(tbal[[#This Row],[X]]=3,tbal[[#This Row],[X]]=5)),tbal[[#This Row],[DEUDOR]],0)</f>
        <v>0</v>
      </c>
      <c r="L107" s="18">
        <f>IF((OR(tbal[[#This Row],[X]]=3,tbal[[#This Row],[X]]=4)),tbal[[#This Row],[ACREEDOR]],0)</f>
        <v>0</v>
      </c>
      <c r="M107" s="16">
        <f>IF((OR(tbal[[#This Row],[X]]=0,tbal[[#This Row],[X]]=6)),tbal[[#This Row],[DEUDOR]],0)</f>
        <v>0</v>
      </c>
      <c r="N107" s="18">
        <f>IF((OR(tbal[[#This Row],[X]]=0,tbal[[#This Row],[X]]=5)),tbal[[#This Row],[ACREEDOR]],0)</f>
        <v>0</v>
      </c>
    </row>
    <row r="108" spans="1:14" x14ac:dyDescent="0.3">
      <c r="A108" s="14" t="str">
        <f>+'PLAN DE CUENTAS'!A108</f>
        <v>5.1.2.05</v>
      </c>
      <c r="B108" s="13" t="str">
        <f>+'PLAN DE CUENTAS'!B108</f>
        <v>INTERESES GANADOS</v>
      </c>
      <c r="C108" s="13">
        <f>+'PLAN DE CUENTAS'!C108</f>
        <v>5</v>
      </c>
      <c r="D108" t="str">
        <f>IF(tbal[[#This Row],[DEBE]]+tbal[[#This Row],[HABER]]=0,"","X")</f>
        <v/>
      </c>
      <c r="E108" s="16">
        <f>SUMIF(tdiario[CUENTA],tbal[[#This Row],[CUENTA]],tdiario[DEBE])</f>
        <v>0</v>
      </c>
      <c r="F108" s="17">
        <f>SUMIF(tdiario[CUENTA],tbal[[#This Row],[CUENTA]],tdiario[HABER])</f>
        <v>0</v>
      </c>
      <c r="G108" s="16">
        <f>IF(tbal[[#This Row],[DEBE]]-tbal[[#This Row],[HABER]]&gt;0,tbal[[#This Row],[DEBE]]-tbal[[#This Row],[HABER]],0)</f>
        <v>0</v>
      </c>
      <c r="H108" s="18">
        <f>IF(tbal[[#This Row],[HABER]]-tbal[[#This Row],[DEBE]]&gt;0,tbal[[#This Row],[HABER]]-tbal[[#This Row],[DEBE]],0)</f>
        <v>0</v>
      </c>
      <c r="I108" s="16">
        <f>IF((OR(tbal[[#This Row],[X]]=1,tbal[[#This Row],[X]]=2)),tbal[[#This Row],[DEUDOR]],0)</f>
        <v>0</v>
      </c>
      <c r="J108" s="18">
        <f>IF((OR(tbal[[#This Row],[X]]=2,tbal[[#This Row],[X]]=3)),tbal[[#This Row],[ACREEDOR]],0)</f>
        <v>0</v>
      </c>
      <c r="K108" s="16">
        <f>IF((OR(tbal[[#This Row],[X]]=3,tbal[[#This Row],[X]]=5)),tbal[[#This Row],[DEUDOR]],0)</f>
        <v>0</v>
      </c>
      <c r="L108" s="18">
        <f>IF((OR(tbal[[#This Row],[X]]=3,tbal[[#This Row],[X]]=4)),tbal[[#This Row],[ACREEDOR]],0)</f>
        <v>0</v>
      </c>
      <c r="M108" s="16">
        <f>IF((OR(tbal[[#This Row],[X]]=0,tbal[[#This Row],[X]]=6)),tbal[[#This Row],[DEUDOR]],0)</f>
        <v>0</v>
      </c>
      <c r="N108" s="18">
        <f>IF((OR(tbal[[#This Row],[X]]=0,tbal[[#This Row],[X]]=5)),tbal[[#This Row],[ACREEDOR]],0)</f>
        <v>0</v>
      </c>
    </row>
    <row r="109" spans="1:14" x14ac:dyDescent="0.3">
      <c r="A109" s="14" t="str">
        <f>+'PLAN DE CUENTAS'!A109</f>
        <v>5.1.2.06</v>
      </c>
      <c r="B109" s="13" t="str">
        <f>+'PLAN DE CUENTAS'!B109</f>
        <v>AJUSTE POR INFLACION Y TENENCIA DE BIENES</v>
      </c>
      <c r="C109" s="13">
        <f>+'PLAN DE CUENTAS'!C109</f>
        <v>5</v>
      </c>
      <c r="D109" t="str">
        <f>IF(tbal[[#This Row],[DEBE]]+tbal[[#This Row],[HABER]]=0,"","X")</f>
        <v/>
      </c>
      <c r="E109" s="16">
        <f>SUMIF(tdiario[CUENTA],tbal[[#This Row],[CUENTA]],tdiario[DEBE])</f>
        <v>0</v>
      </c>
      <c r="F109" s="17">
        <f>SUMIF(tdiario[CUENTA],tbal[[#This Row],[CUENTA]],tdiario[HABER])</f>
        <v>0</v>
      </c>
      <c r="G109" s="16">
        <f>IF(tbal[[#This Row],[DEBE]]-tbal[[#This Row],[HABER]]&gt;0,tbal[[#This Row],[DEBE]]-tbal[[#This Row],[HABER]],0)</f>
        <v>0</v>
      </c>
      <c r="H109" s="18">
        <f>IF(tbal[[#This Row],[HABER]]-tbal[[#This Row],[DEBE]]&gt;0,tbal[[#This Row],[HABER]]-tbal[[#This Row],[DEBE]],0)</f>
        <v>0</v>
      </c>
      <c r="I109" s="16">
        <f>IF((OR(tbal[[#This Row],[X]]=1,tbal[[#This Row],[X]]=2)),tbal[[#This Row],[DEUDOR]],0)</f>
        <v>0</v>
      </c>
      <c r="J109" s="18">
        <f>IF((OR(tbal[[#This Row],[X]]=2,tbal[[#This Row],[X]]=3)),tbal[[#This Row],[ACREEDOR]],0)</f>
        <v>0</v>
      </c>
      <c r="K109" s="16">
        <f>IF((OR(tbal[[#This Row],[X]]=3,tbal[[#This Row],[X]]=5)),tbal[[#This Row],[DEUDOR]],0)</f>
        <v>0</v>
      </c>
      <c r="L109" s="18">
        <f>IF((OR(tbal[[#This Row],[X]]=3,tbal[[#This Row],[X]]=4)),tbal[[#This Row],[ACREEDOR]],0)</f>
        <v>0</v>
      </c>
      <c r="M109" s="16">
        <f>IF((OR(tbal[[#This Row],[X]]=0,tbal[[#This Row],[X]]=6)),tbal[[#This Row],[DEUDOR]],0)</f>
        <v>0</v>
      </c>
      <c r="N109" s="18">
        <f>IF((OR(tbal[[#This Row],[X]]=0,tbal[[#This Row],[X]]=5)),tbal[[#This Row],[ACREEDOR]],0)</f>
        <v>0</v>
      </c>
    </row>
    <row r="110" spans="1:14" x14ac:dyDescent="0.3">
      <c r="A110" s="14" t="str">
        <f>+'PLAN DE CUENTAS'!A110</f>
        <v>5.1.2.07</v>
      </c>
      <c r="B110" s="13" t="str">
        <f>+'PLAN DE CUENTAS'!B110</f>
        <v>DIFERENCIA DE CAMBIO M/N</v>
      </c>
      <c r="C110" s="13">
        <f>+'PLAN DE CUENTAS'!C110</f>
        <v>5</v>
      </c>
      <c r="D110" t="str">
        <f>IF(tbal[[#This Row],[DEBE]]+tbal[[#This Row],[HABER]]=0,"","X")</f>
        <v/>
      </c>
      <c r="E110" s="16">
        <f>SUMIF(tdiario[CUENTA],tbal[[#This Row],[CUENTA]],tdiario[DEBE])</f>
        <v>0</v>
      </c>
      <c r="F110" s="17">
        <f>SUMIF(tdiario[CUENTA],tbal[[#This Row],[CUENTA]],tdiario[HABER])</f>
        <v>0</v>
      </c>
      <c r="G110" s="16">
        <f>IF(tbal[[#This Row],[DEBE]]-tbal[[#This Row],[HABER]]&gt;0,tbal[[#This Row],[DEBE]]-tbal[[#This Row],[HABER]],0)</f>
        <v>0</v>
      </c>
      <c r="H110" s="18">
        <f>IF(tbal[[#This Row],[HABER]]-tbal[[#This Row],[DEBE]]&gt;0,tbal[[#This Row],[HABER]]-tbal[[#This Row],[DEBE]],0)</f>
        <v>0</v>
      </c>
      <c r="I110" s="16">
        <f>IF((OR(tbal[[#This Row],[X]]=1,tbal[[#This Row],[X]]=2)),tbal[[#This Row],[DEUDOR]],0)</f>
        <v>0</v>
      </c>
      <c r="J110" s="18">
        <f>IF((OR(tbal[[#This Row],[X]]=2,tbal[[#This Row],[X]]=3)),tbal[[#This Row],[ACREEDOR]],0)</f>
        <v>0</v>
      </c>
      <c r="K110" s="16">
        <f>IF((OR(tbal[[#This Row],[X]]=3,tbal[[#This Row],[X]]=5)),tbal[[#This Row],[DEUDOR]],0)</f>
        <v>0</v>
      </c>
      <c r="L110" s="18">
        <f>IF((OR(tbal[[#This Row],[X]]=3,tbal[[#This Row],[X]]=4)),tbal[[#This Row],[ACREEDOR]],0)</f>
        <v>0</v>
      </c>
      <c r="M110" s="16">
        <f>IF((OR(tbal[[#This Row],[X]]=0,tbal[[#This Row],[X]]=6)),tbal[[#This Row],[DEUDOR]],0)</f>
        <v>0</v>
      </c>
      <c r="N110" s="18">
        <f>IF((OR(tbal[[#This Row],[X]]=0,tbal[[#This Row],[X]]=5)),tbal[[#This Row],[ACREEDOR]],0)</f>
        <v>0</v>
      </c>
    </row>
    <row r="111" spans="1:14" x14ac:dyDescent="0.3">
      <c r="A111" s="14" t="str">
        <f>+'PLAN DE CUENTAS'!A111</f>
        <v>5.1.2.08</v>
      </c>
      <c r="B111" s="13" t="str">
        <f>+'PLAN DE CUENTAS'!B111</f>
        <v>GANANCIA EN VENTA DE BIENES DE USO</v>
      </c>
      <c r="C111" s="13">
        <f>+'PLAN DE CUENTAS'!C111</f>
        <v>5</v>
      </c>
      <c r="D111" t="str">
        <f>IF(tbal[[#This Row],[DEBE]]+tbal[[#This Row],[HABER]]=0,"","X")</f>
        <v/>
      </c>
      <c r="E111" s="16">
        <f>SUMIF(tdiario[CUENTA],tbal[[#This Row],[CUENTA]],tdiario[DEBE])</f>
        <v>0</v>
      </c>
      <c r="F111" s="17">
        <f>SUMIF(tdiario[CUENTA],tbal[[#This Row],[CUENTA]],tdiario[HABER])</f>
        <v>0</v>
      </c>
      <c r="G111" s="16">
        <f>IF(tbal[[#This Row],[DEBE]]-tbal[[#This Row],[HABER]]&gt;0,tbal[[#This Row],[DEBE]]-tbal[[#This Row],[HABER]],0)</f>
        <v>0</v>
      </c>
      <c r="H111" s="18">
        <f>IF(tbal[[#This Row],[HABER]]-tbal[[#This Row],[DEBE]]&gt;0,tbal[[#This Row],[HABER]]-tbal[[#This Row],[DEBE]],0)</f>
        <v>0</v>
      </c>
      <c r="I111" s="16">
        <f>IF((OR(tbal[[#This Row],[X]]=1,tbal[[#This Row],[X]]=2)),tbal[[#This Row],[DEUDOR]],0)</f>
        <v>0</v>
      </c>
      <c r="J111" s="18">
        <f>IF((OR(tbal[[#This Row],[X]]=2,tbal[[#This Row],[X]]=3)),tbal[[#This Row],[ACREEDOR]],0)</f>
        <v>0</v>
      </c>
      <c r="K111" s="16">
        <f>IF((OR(tbal[[#This Row],[X]]=3,tbal[[#This Row],[X]]=5)),tbal[[#This Row],[DEUDOR]],0)</f>
        <v>0</v>
      </c>
      <c r="L111" s="18">
        <f>IF((OR(tbal[[#This Row],[X]]=3,tbal[[#This Row],[X]]=4)),tbal[[#This Row],[ACREEDOR]],0)</f>
        <v>0</v>
      </c>
      <c r="M111" s="16">
        <f>IF((OR(tbal[[#This Row],[X]]=0,tbal[[#This Row],[X]]=6)),tbal[[#This Row],[DEUDOR]],0)</f>
        <v>0</v>
      </c>
      <c r="N111" s="18">
        <f>IF((OR(tbal[[#This Row],[X]]=0,tbal[[#This Row],[X]]=5)),tbal[[#This Row],[ACREEDOR]],0)</f>
        <v>0</v>
      </c>
    </row>
    <row r="112" spans="1:14" x14ac:dyDescent="0.3">
      <c r="A112" s="14">
        <f>+'PLAN DE CUENTAS'!A112</f>
        <v>6</v>
      </c>
      <c r="B112" s="13" t="str">
        <f>+'PLAN DE CUENTAS'!B112</f>
        <v>EGRESOS</v>
      </c>
      <c r="C112" s="13">
        <f>+'PLAN DE CUENTAS'!C112</f>
        <v>6</v>
      </c>
      <c r="D112" t="str">
        <f>IF(tbal[[#This Row],[DEBE]]+tbal[[#This Row],[HABER]]=0,"","X")</f>
        <v/>
      </c>
      <c r="E112" s="16">
        <f>SUMIF(tdiario[CUENTA],tbal[[#This Row],[CUENTA]],tdiario[DEBE])</f>
        <v>0</v>
      </c>
      <c r="F112" s="17">
        <f>SUMIF(tdiario[CUENTA],tbal[[#This Row],[CUENTA]],tdiario[HABER])</f>
        <v>0</v>
      </c>
      <c r="G112" s="16">
        <f>IF(tbal[[#This Row],[DEBE]]-tbal[[#This Row],[HABER]]&gt;0,tbal[[#This Row],[DEBE]]-tbal[[#This Row],[HABER]],0)</f>
        <v>0</v>
      </c>
      <c r="H112" s="18">
        <f>IF(tbal[[#This Row],[HABER]]-tbal[[#This Row],[DEBE]]&gt;0,tbal[[#This Row],[HABER]]-tbal[[#This Row],[DEBE]],0)</f>
        <v>0</v>
      </c>
      <c r="I112" s="16">
        <f>IF((OR(tbal[[#This Row],[X]]=1,tbal[[#This Row],[X]]=2)),tbal[[#This Row],[DEUDOR]],0)</f>
        <v>0</v>
      </c>
      <c r="J112" s="18">
        <f>IF((OR(tbal[[#This Row],[X]]=2,tbal[[#This Row],[X]]=3)),tbal[[#This Row],[ACREEDOR]],0)</f>
        <v>0</v>
      </c>
      <c r="K112" s="16">
        <f>IF((OR(tbal[[#This Row],[X]]=3,tbal[[#This Row],[X]]=5)),tbal[[#This Row],[DEUDOR]],0)</f>
        <v>0</v>
      </c>
      <c r="L112" s="18">
        <f>IF((OR(tbal[[#This Row],[X]]=3,tbal[[#This Row],[X]]=4)),tbal[[#This Row],[ACREEDOR]],0)</f>
        <v>0</v>
      </c>
      <c r="M112" s="16">
        <f>IF((OR(tbal[[#This Row],[X]]=0,tbal[[#This Row],[X]]=6)),tbal[[#This Row],[DEUDOR]],0)</f>
        <v>0</v>
      </c>
      <c r="N112" s="18">
        <f>IF((OR(tbal[[#This Row],[X]]=0,tbal[[#This Row],[X]]=5)),tbal[[#This Row],[ACREEDOR]],0)</f>
        <v>0</v>
      </c>
    </row>
    <row r="113" spans="1:14" x14ac:dyDescent="0.3">
      <c r="A113" s="14">
        <f>+'PLAN DE CUENTAS'!A113</f>
        <v>6.1</v>
      </c>
      <c r="B113" s="13" t="str">
        <f>+'PLAN DE CUENTAS'!B113</f>
        <v>COSTO MERCADERIAS VENDIDAS</v>
      </c>
      <c r="C113" s="13">
        <f>+'PLAN DE CUENTAS'!C113</f>
        <v>6</v>
      </c>
      <c r="D113" t="str">
        <f>IF(tbal[[#This Row],[DEBE]]+tbal[[#This Row],[HABER]]=0,"","X")</f>
        <v/>
      </c>
      <c r="E113" s="16">
        <f>SUMIF(tdiario[CUENTA],tbal[[#This Row],[CUENTA]],tdiario[DEBE])</f>
        <v>0</v>
      </c>
      <c r="F113" s="17">
        <f>SUMIF(tdiario[CUENTA],tbal[[#This Row],[CUENTA]],tdiario[HABER])</f>
        <v>0</v>
      </c>
      <c r="G113" s="16">
        <f>IF(tbal[[#This Row],[DEBE]]-tbal[[#This Row],[HABER]]&gt;0,tbal[[#This Row],[DEBE]]-tbal[[#This Row],[HABER]],0)</f>
        <v>0</v>
      </c>
      <c r="H113" s="18">
        <f>IF(tbal[[#This Row],[HABER]]-tbal[[#This Row],[DEBE]]&gt;0,tbal[[#This Row],[HABER]]-tbal[[#This Row],[DEBE]],0)</f>
        <v>0</v>
      </c>
      <c r="I113" s="16">
        <f>IF((OR(tbal[[#This Row],[X]]=1,tbal[[#This Row],[X]]=2)),tbal[[#This Row],[DEUDOR]],0)</f>
        <v>0</v>
      </c>
      <c r="J113" s="18">
        <f>IF((OR(tbal[[#This Row],[X]]=2,tbal[[#This Row],[X]]=3)),tbal[[#This Row],[ACREEDOR]],0)</f>
        <v>0</v>
      </c>
      <c r="K113" s="16">
        <f>IF((OR(tbal[[#This Row],[X]]=3,tbal[[#This Row],[X]]=5)),tbal[[#This Row],[DEUDOR]],0)</f>
        <v>0</v>
      </c>
      <c r="L113" s="18">
        <f>IF((OR(tbal[[#This Row],[X]]=3,tbal[[#This Row],[X]]=4)),tbal[[#This Row],[ACREEDOR]],0)</f>
        <v>0</v>
      </c>
      <c r="M113" s="16">
        <f>IF((OR(tbal[[#This Row],[X]]=0,tbal[[#This Row],[X]]=6)),tbal[[#This Row],[DEUDOR]],0)</f>
        <v>0</v>
      </c>
      <c r="N113" s="18">
        <f>IF((OR(tbal[[#This Row],[X]]=0,tbal[[#This Row],[X]]=5)),tbal[[#This Row],[ACREEDOR]],0)</f>
        <v>0</v>
      </c>
    </row>
    <row r="114" spans="1:14" x14ac:dyDescent="0.3">
      <c r="A114" s="14">
        <f>+'PLAN DE CUENTAS'!A114</f>
        <v>6.2</v>
      </c>
      <c r="B114" s="13" t="str">
        <f>+'PLAN DE CUENTAS'!B114</f>
        <v>DEVOLUCION Y BONIFICACION SOBRE VENTAS</v>
      </c>
      <c r="C114" s="13">
        <f>+'PLAN DE CUENTAS'!C114</f>
        <v>6</v>
      </c>
      <c r="D114" t="str">
        <f>IF(tbal[[#This Row],[DEBE]]+tbal[[#This Row],[HABER]]=0,"","X")</f>
        <v>X</v>
      </c>
      <c r="E114" s="16">
        <f>SUMIF(tdiario[CUENTA],tbal[[#This Row],[CUENTA]],tdiario[DEBE])</f>
        <v>10440</v>
      </c>
      <c r="F114" s="17">
        <f>SUMIF(tdiario[CUENTA],tbal[[#This Row],[CUENTA]],tdiario[HABER])</f>
        <v>0</v>
      </c>
      <c r="G114" s="16">
        <f>IF(tbal[[#This Row],[DEBE]]-tbal[[#This Row],[HABER]]&gt;0,tbal[[#This Row],[DEBE]]-tbal[[#This Row],[HABER]],0)</f>
        <v>10440</v>
      </c>
      <c r="H114" s="18">
        <f>IF(tbal[[#This Row],[HABER]]-tbal[[#This Row],[DEBE]]&gt;0,tbal[[#This Row],[HABER]]-tbal[[#This Row],[DEBE]],0)</f>
        <v>0</v>
      </c>
      <c r="I114" s="16">
        <f>IF((OR(tbal[[#This Row],[X]]=1,tbal[[#This Row],[X]]=2)),tbal[[#This Row],[DEUDOR]],0)</f>
        <v>0</v>
      </c>
      <c r="J114" s="18">
        <f>IF((OR(tbal[[#This Row],[X]]=2,tbal[[#This Row],[X]]=3)),tbal[[#This Row],[ACREEDOR]],0)</f>
        <v>0</v>
      </c>
      <c r="K114" s="16">
        <f>IF((OR(tbal[[#This Row],[X]]=3,tbal[[#This Row],[X]]=5)),tbal[[#This Row],[DEUDOR]],0)</f>
        <v>0</v>
      </c>
      <c r="L114" s="18">
        <f>IF((OR(tbal[[#This Row],[X]]=3,tbal[[#This Row],[X]]=4)),tbal[[#This Row],[ACREEDOR]],0)</f>
        <v>0</v>
      </c>
      <c r="M114" s="16">
        <f>IF((OR(tbal[[#This Row],[X]]=0,tbal[[#This Row],[X]]=6)),tbal[[#This Row],[DEUDOR]],0)</f>
        <v>10440</v>
      </c>
      <c r="N114" s="18">
        <f>IF((OR(tbal[[#This Row],[X]]=0,tbal[[#This Row],[X]]=5)),tbal[[#This Row],[ACREEDOR]],0)</f>
        <v>0</v>
      </c>
    </row>
    <row r="115" spans="1:14" x14ac:dyDescent="0.3">
      <c r="A115" s="14">
        <f>+'PLAN DE CUENTAS'!A115</f>
        <v>6.3</v>
      </c>
      <c r="B115" s="13" t="str">
        <f>+'PLAN DE CUENTAS'!B115</f>
        <v>DESCUENTOS SOBRE VENTAS</v>
      </c>
      <c r="C115" s="13">
        <f>+'PLAN DE CUENTAS'!C115</f>
        <v>6</v>
      </c>
      <c r="D115" t="str">
        <f>IF(tbal[[#This Row],[DEBE]]+tbal[[#This Row],[HABER]]=0,"","X")</f>
        <v>X</v>
      </c>
      <c r="E115" s="16">
        <f>SUMIF(tdiario[CUENTA],tbal[[#This Row],[CUENTA]],tdiario[DEBE])</f>
        <v>2610</v>
      </c>
      <c r="F115" s="17">
        <f>SUMIF(tdiario[CUENTA],tbal[[#This Row],[CUENTA]],tdiario[HABER])</f>
        <v>0</v>
      </c>
      <c r="G115" s="16">
        <f>IF(tbal[[#This Row],[DEBE]]-tbal[[#This Row],[HABER]]&gt;0,tbal[[#This Row],[DEBE]]-tbal[[#This Row],[HABER]],0)</f>
        <v>2610</v>
      </c>
      <c r="H115" s="18">
        <f>IF(tbal[[#This Row],[HABER]]-tbal[[#This Row],[DEBE]]&gt;0,tbal[[#This Row],[HABER]]-tbal[[#This Row],[DEBE]],0)</f>
        <v>0</v>
      </c>
      <c r="I115" s="16">
        <f>IF((OR(tbal[[#This Row],[X]]=1,tbal[[#This Row],[X]]=2)),tbal[[#This Row],[DEUDOR]],0)</f>
        <v>0</v>
      </c>
      <c r="J115" s="18">
        <f>IF((OR(tbal[[#This Row],[X]]=2,tbal[[#This Row],[X]]=3)),tbal[[#This Row],[ACREEDOR]],0)</f>
        <v>0</v>
      </c>
      <c r="K115" s="16">
        <f>IF((OR(tbal[[#This Row],[X]]=3,tbal[[#This Row],[X]]=5)),tbal[[#This Row],[DEUDOR]],0)</f>
        <v>0</v>
      </c>
      <c r="L115" s="18">
        <f>IF((OR(tbal[[#This Row],[X]]=3,tbal[[#This Row],[X]]=4)),tbal[[#This Row],[ACREEDOR]],0)</f>
        <v>0</v>
      </c>
      <c r="M115" s="16">
        <f>IF((OR(tbal[[#This Row],[X]]=0,tbal[[#This Row],[X]]=6)),tbal[[#This Row],[DEUDOR]],0)</f>
        <v>2610</v>
      </c>
      <c r="N115" s="18">
        <f>IF((OR(tbal[[#This Row],[X]]=0,tbal[[#This Row],[X]]=5)),tbal[[#This Row],[ACREEDOR]],0)</f>
        <v>0</v>
      </c>
    </row>
    <row r="116" spans="1:14" x14ac:dyDescent="0.3">
      <c r="A116" s="14">
        <f>+'PLAN DE CUENTAS'!A116</f>
        <v>6.4</v>
      </c>
      <c r="B116" s="13" t="str">
        <f>+'PLAN DE CUENTAS'!B116</f>
        <v>GASTOS DE OPERACIÓN</v>
      </c>
      <c r="C116" s="13">
        <f>+'PLAN DE CUENTAS'!C116</f>
        <v>6</v>
      </c>
      <c r="D116" t="str">
        <f>IF(tbal[[#This Row],[DEBE]]+tbal[[#This Row],[HABER]]=0,"","X")</f>
        <v/>
      </c>
      <c r="E116" s="16">
        <f>SUMIF(tdiario[CUENTA],tbal[[#This Row],[CUENTA]],tdiario[DEBE])</f>
        <v>0</v>
      </c>
      <c r="F116" s="17">
        <f>SUMIF(tdiario[CUENTA],tbal[[#This Row],[CUENTA]],tdiario[HABER])</f>
        <v>0</v>
      </c>
      <c r="G116" s="16">
        <f>IF(tbal[[#This Row],[DEBE]]-tbal[[#This Row],[HABER]]&gt;0,tbal[[#This Row],[DEBE]]-tbal[[#This Row],[HABER]],0)</f>
        <v>0</v>
      </c>
      <c r="H116" s="18">
        <f>IF(tbal[[#This Row],[HABER]]-tbal[[#This Row],[DEBE]]&gt;0,tbal[[#This Row],[HABER]]-tbal[[#This Row],[DEBE]],0)</f>
        <v>0</v>
      </c>
      <c r="I116" s="16">
        <f>IF((OR(tbal[[#This Row],[X]]=1,tbal[[#This Row],[X]]=2)),tbal[[#This Row],[DEUDOR]],0)</f>
        <v>0</v>
      </c>
      <c r="J116" s="18">
        <f>IF((OR(tbal[[#This Row],[X]]=2,tbal[[#This Row],[X]]=3)),tbal[[#This Row],[ACREEDOR]],0)</f>
        <v>0</v>
      </c>
      <c r="K116" s="16">
        <f>IF((OR(tbal[[#This Row],[X]]=3,tbal[[#This Row],[X]]=5)),tbal[[#This Row],[DEUDOR]],0)</f>
        <v>0</v>
      </c>
      <c r="L116" s="18">
        <f>IF((OR(tbal[[#This Row],[X]]=3,tbal[[#This Row],[X]]=4)),tbal[[#This Row],[ACREEDOR]],0)</f>
        <v>0</v>
      </c>
      <c r="M116" s="16">
        <f>IF((OR(tbal[[#This Row],[X]]=0,tbal[[#This Row],[X]]=6)),tbal[[#This Row],[DEUDOR]],0)</f>
        <v>0</v>
      </c>
      <c r="N116" s="18">
        <f>IF((OR(tbal[[#This Row],[X]]=0,tbal[[#This Row],[X]]=5)),tbal[[#This Row],[ACREEDOR]],0)</f>
        <v>0</v>
      </c>
    </row>
    <row r="117" spans="1:14" x14ac:dyDescent="0.3">
      <c r="A117" s="14" t="str">
        <f>+'PLAN DE CUENTAS'!A117</f>
        <v>6.4.1</v>
      </c>
      <c r="B117" s="13" t="str">
        <f>+'PLAN DE CUENTAS'!B117</f>
        <v>GASTOS ADMINISTRATIVOS Y DE VENTAS</v>
      </c>
      <c r="C117" s="13">
        <f>+'PLAN DE CUENTAS'!C117</f>
        <v>6</v>
      </c>
      <c r="D117" t="str">
        <f>IF(tbal[[#This Row],[DEBE]]+tbal[[#This Row],[HABER]]=0,"","X")</f>
        <v/>
      </c>
      <c r="E117" s="16">
        <f>SUMIF(tdiario[CUENTA],tbal[[#This Row],[CUENTA]],tdiario[DEBE])</f>
        <v>0</v>
      </c>
      <c r="F117" s="17">
        <f>SUMIF(tdiario[CUENTA],tbal[[#This Row],[CUENTA]],tdiario[HABER])</f>
        <v>0</v>
      </c>
      <c r="G117" s="16">
        <f>IF(tbal[[#This Row],[DEBE]]-tbal[[#This Row],[HABER]]&gt;0,tbal[[#This Row],[DEBE]]-tbal[[#This Row],[HABER]],0)</f>
        <v>0</v>
      </c>
      <c r="H117" s="18">
        <f>IF(tbal[[#This Row],[HABER]]-tbal[[#This Row],[DEBE]]&gt;0,tbal[[#This Row],[HABER]]-tbal[[#This Row],[DEBE]],0)</f>
        <v>0</v>
      </c>
      <c r="I117" s="16">
        <f>IF((OR(tbal[[#This Row],[X]]=1,tbal[[#This Row],[X]]=2)),tbal[[#This Row],[DEUDOR]],0)</f>
        <v>0</v>
      </c>
      <c r="J117" s="18">
        <f>IF((OR(tbal[[#This Row],[X]]=2,tbal[[#This Row],[X]]=3)),tbal[[#This Row],[ACREEDOR]],0)</f>
        <v>0</v>
      </c>
      <c r="K117" s="16">
        <f>IF((OR(tbal[[#This Row],[X]]=3,tbal[[#This Row],[X]]=5)),tbal[[#This Row],[DEUDOR]],0)</f>
        <v>0</v>
      </c>
      <c r="L117" s="18">
        <f>IF((OR(tbal[[#This Row],[X]]=3,tbal[[#This Row],[X]]=4)),tbal[[#This Row],[ACREEDOR]],0)</f>
        <v>0</v>
      </c>
      <c r="M117" s="16">
        <f>IF((OR(tbal[[#This Row],[X]]=0,tbal[[#This Row],[X]]=6)),tbal[[#This Row],[DEUDOR]],0)</f>
        <v>0</v>
      </c>
      <c r="N117" s="18">
        <f>IF((OR(tbal[[#This Row],[X]]=0,tbal[[#This Row],[X]]=5)),tbal[[#This Row],[ACREEDOR]],0)</f>
        <v>0</v>
      </c>
    </row>
    <row r="118" spans="1:14" x14ac:dyDescent="0.3">
      <c r="A118" s="14" t="str">
        <f>+'PLAN DE CUENTAS'!A118</f>
        <v>6.4.1.01</v>
      </c>
      <c r="B118" s="13" t="str">
        <f>+'PLAN DE CUENTAS'!B118</f>
        <v>ASEO Y LIMPIEZA</v>
      </c>
      <c r="C118" s="13">
        <f>+'PLAN DE CUENTAS'!C118</f>
        <v>6</v>
      </c>
      <c r="D118" t="str">
        <f>IF(tbal[[#This Row],[DEBE]]+tbal[[#This Row],[HABER]]=0,"","X")</f>
        <v>X</v>
      </c>
      <c r="E118" s="16">
        <f>SUMIF(tdiario[CUENTA],tbal[[#This Row],[CUENTA]],tdiario[DEBE])</f>
        <v>1044</v>
      </c>
      <c r="F118" s="17">
        <f>SUMIF(tdiario[CUENTA],tbal[[#This Row],[CUENTA]],tdiario[HABER])</f>
        <v>0</v>
      </c>
      <c r="G118" s="16">
        <f>IF(tbal[[#This Row],[DEBE]]-tbal[[#This Row],[HABER]]&gt;0,tbal[[#This Row],[DEBE]]-tbal[[#This Row],[HABER]],0)</f>
        <v>1044</v>
      </c>
      <c r="H118" s="18">
        <f>IF(tbal[[#This Row],[HABER]]-tbal[[#This Row],[DEBE]]&gt;0,tbal[[#This Row],[HABER]]-tbal[[#This Row],[DEBE]],0)</f>
        <v>0</v>
      </c>
      <c r="I118" s="16">
        <f>IF((OR(tbal[[#This Row],[X]]=1,tbal[[#This Row],[X]]=2)),tbal[[#This Row],[DEUDOR]],0)</f>
        <v>0</v>
      </c>
      <c r="J118" s="18">
        <f>IF((OR(tbal[[#This Row],[X]]=2,tbal[[#This Row],[X]]=3)),tbal[[#This Row],[ACREEDOR]],0)</f>
        <v>0</v>
      </c>
      <c r="K118" s="16">
        <f>IF((OR(tbal[[#This Row],[X]]=3,tbal[[#This Row],[X]]=5)),tbal[[#This Row],[DEUDOR]],0)</f>
        <v>0</v>
      </c>
      <c r="L118" s="18">
        <f>IF((OR(tbal[[#This Row],[X]]=3,tbal[[#This Row],[X]]=4)),tbal[[#This Row],[ACREEDOR]],0)</f>
        <v>0</v>
      </c>
      <c r="M118" s="16">
        <f>IF((OR(tbal[[#This Row],[X]]=0,tbal[[#This Row],[X]]=6)),tbal[[#This Row],[DEUDOR]],0)</f>
        <v>1044</v>
      </c>
      <c r="N118" s="18">
        <f>IF((OR(tbal[[#This Row],[X]]=0,tbal[[#This Row],[X]]=5)),tbal[[#This Row],[ACREEDOR]],0)</f>
        <v>0</v>
      </c>
    </row>
    <row r="119" spans="1:14" x14ac:dyDescent="0.3">
      <c r="A119" s="14" t="str">
        <f>+'PLAN DE CUENTAS'!A119</f>
        <v>6.4.1.02</v>
      </c>
      <c r="B119" s="13" t="str">
        <f>+'PLAN DE CUENTAS'!B119</f>
        <v>COMISIONES A VENDEDORES</v>
      </c>
      <c r="C119" s="13">
        <f>+'PLAN DE CUENTAS'!C119</f>
        <v>6</v>
      </c>
      <c r="D119" t="str">
        <f>IF(tbal[[#This Row],[DEBE]]+tbal[[#This Row],[HABER]]=0,"","X")</f>
        <v/>
      </c>
      <c r="E119" s="16">
        <f>SUMIF(tdiario[CUENTA],tbal[[#This Row],[CUENTA]],tdiario[DEBE])</f>
        <v>0</v>
      </c>
      <c r="F119" s="17">
        <f>SUMIF(tdiario[CUENTA],tbal[[#This Row],[CUENTA]],tdiario[HABER])</f>
        <v>0</v>
      </c>
      <c r="G119" s="16">
        <f>IF(tbal[[#This Row],[DEBE]]-tbal[[#This Row],[HABER]]&gt;0,tbal[[#This Row],[DEBE]]-tbal[[#This Row],[HABER]],0)</f>
        <v>0</v>
      </c>
      <c r="H119" s="18">
        <f>IF(tbal[[#This Row],[HABER]]-tbal[[#This Row],[DEBE]]&gt;0,tbal[[#This Row],[HABER]]-tbal[[#This Row],[DEBE]],0)</f>
        <v>0</v>
      </c>
      <c r="I119" s="16">
        <f>IF((OR(tbal[[#This Row],[X]]=1,tbal[[#This Row],[X]]=2)),tbal[[#This Row],[DEUDOR]],0)</f>
        <v>0</v>
      </c>
      <c r="J119" s="18">
        <f>IF((OR(tbal[[#This Row],[X]]=2,tbal[[#This Row],[X]]=3)),tbal[[#This Row],[ACREEDOR]],0)</f>
        <v>0</v>
      </c>
      <c r="K119" s="16">
        <f>IF((OR(tbal[[#This Row],[X]]=3,tbal[[#This Row],[X]]=5)),tbal[[#This Row],[DEUDOR]],0)</f>
        <v>0</v>
      </c>
      <c r="L119" s="18">
        <f>IF((OR(tbal[[#This Row],[X]]=3,tbal[[#This Row],[X]]=4)),tbal[[#This Row],[ACREEDOR]],0)</f>
        <v>0</v>
      </c>
      <c r="M119" s="16">
        <f>IF((OR(tbal[[#This Row],[X]]=0,tbal[[#This Row],[X]]=6)),tbal[[#This Row],[DEUDOR]],0)</f>
        <v>0</v>
      </c>
      <c r="N119" s="18">
        <f>IF((OR(tbal[[#This Row],[X]]=0,tbal[[#This Row],[X]]=5)),tbal[[#This Row],[ACREEDOR]],0)</f>
        <v>0</v>
      </c>
    </row>
    <row r="120" spans="1:14" x14ac:dyDescent="0.3">
      <c r="A120" s="14" t="str">
        <f>+'PLAN DE CUENTAS'!A120</f>
        <v>6.4.1.03</v>
      </c>
      <c r="B120" s="13" t="str">
        <f>+'PLAN DE CUENTAS'!B120</f>
        <v>DONACIONES Y OBSEQUIOS</v>
      </c>
      <c r="C120" s="13">
        <f>+'PLAN DE CUENTAS'!C120</f>
        <v>6</v>
      </c>
      <c r="D120" t="str">
        <f>IF(tbal[[#This Row],[DEBE]]+tbal[[#This Row],[HABER]]=0,"","X")</f>
        <v/>
      </c>
      <c r="E120" s="16">
        <f>SUMIF(tdiario[CUENTA],tbal[[#This Row],[CUENTA]],tdiario[DEBE])</f>
        <v>0</v>
      </c>
      <c r="F120" s="17">
        <f>SUMIF(tdiario[CUENTA],tbal[[#This Row],[CUENTA]],tdiario[HABER])</f>
        <v>0</v>
      </c>
      <c r="G120" s="16">
        <f>IF(tbal[[#This Row],[DEBE]]-tbal[[#This Row],[HABER]]&gt;0,tbal[[#This Row],[DEBE]]-tbal[[#This Row],[HABER]],0)</f>
        <v>0</v>
      </c>
      <c r="H120" s="18">
        <f>IF(tbal[[#This Row],[HABER]]-tbal[[#This Row],[DEBE]]&gt;0,tbal[[#This Row],[HABER]]-tbal[[#This Row],[DEBE]],0)</f>
        <v>0</v>
      </c>
      <c r="I120" s="16">
        <f>IF((OR(tbal[[#This Row],[X]]=1,tbal[[#This Row],[X]]=2)),tbal[[#This Row],[DEUDOR]],0)</f>
        <v>0</v>
      </c>
      <c r="J120" s="18">
        <f>IF((OR(tbal[[#This Row],[X]]=2,tbal[[#This Row],[X]]=3)),tbal[[#This Row],[ACREEDOR]],0)</f>
        <v>0</v>
      </c>
      <c r="K120" s="16">
        <f>IF((OR(tbal[[#This Row],[X]]=3,tbal[[#This Row],[X]]=5)),tbal[[#This Row],[DEUDOR]],0)</f>
        <v>0</v>
      </c>
      <c r="L120" s="18">
        <f>IF((OR(tbal[[#This Row],[X]]=3,tbal[[#This Row],[X]]=4)),tbal[[#This Row],[ACREEDOR]],0)</f>
        <v>0</v>
      </c>
      <c r="M120" s="16">
        <f>IF((OR(tbal[[#This Row],[X]]=0,tbal[[#This Row],[X]]=6)),tbal[[#This Row],[DEUDOR]],0)</f>
        <v>0</v>
      </c>
      <c r="N120" s="18">
        <f>IF((OR(tbal[[#This Row],[X]]=0,tbal[[#This Row],[X]]=5)),tbal[[#This Row],[ACREEDOR]],0)</f>
        <v>0</v>
      </c>
    </row>
    <row r="121" spans="1:14" x14ac:dyDescent="0.3">
      <c r="A121" s="14" t="str">
        <f>+'PLAN DE CUENTAS'!A121</f>
        <v>6.4.1.04</v>
      </c>
      <c r="B121" s="13" t="str">
        <f>+'PLAN DE CUENTAS'!B121</f>
        <v>FLETES SOBRE VENTAS</v>
      </c>
      <c r="C121" s="13">
        <f>+'PLAN DE CUENTAS'!C121</f>
        <v>6</v>
      </c>
      <c r="D121" t="str">
        <f>IF(tbal[[#This Row],[DEBE]]+tbal[[#This Row],[HABER]]=0,"","X")</f>
        <v/>
      </c>
      <c r="E121" s="16">
        <f>SUMIF(tdiario[CUENTA],tbal[[#This Row],[CUENTA]],tdiario[DEBE])</f>
        <v>0</v>
      </c>
      <c r="F121" s="17">
        <f>SUMIF(tdiario[CUENTA],tbal[[#This Row],[CUENTA]],tdiario[HABER])</f>
        <v>0</v>
      </c>
      <c r="G121" s="16">
        <f>IF(tbal[[#This Row],[DEBE]]-tbal[[#This Row],[HABER]]&gt;0,tbal[[#This Row],[DEBE]]-tbal[[#This Row],[HABER]],0)</f>
        <v>0</v>
      </c>
      <c r="H121" s="18">
        <f>IF(tbal[[#This Row],[HABER]]-tbal[[#This Row],[DEBE]]&gt;0,tbal[[#This Row],[HABER]]-tbal[[#This Row],[DEBE]],0)</f>
        <v>0</v>
      </c>
      <c r="I121" s="16">
        <f>IF((OR(tbal[[#This Row],[X]]=1,tbal[[#This Row],[X]]=2)),tbal[[#This Row],[DEUDOR]],0)</f>
        <v>0</v>
      </c>
      <c r="J121" s="18">
        <f>IF((OR(tbal[[#This Row],[X]]=2,tbal[[#This Row],[X]]=3)),tbal[[#This Row],[ACREEDOR]],0)</f>
        <v>0</v>
      </c>
      <c r="K121" s="16">
        <f>IF((OR(tbal[[#This Row],[X]]=3,tbal[[#This Row],[X]]=5)),tbal[[#This Row],[DEUDOR]],0)</f>
        <v>0</v>
      </c>
      <c r="L121" s="18">
        <f>IF((OR(tbal[[#This Row],[X]]=3,tbal[[#This Row],[X]]=4)),tbal[[#This Row],[ACREEDOR]],0)</f>
        <v>0</v>
      </c>
      <c r="M121" s="16">
        <f>IF((OR(tbal[[#This Row],[X]]=0,tbal[[#This Row],[X]]=6)),tbal[[#This Row],[DEUDOR]],0)</f>
        <v>0</v>
      </c>
      <c r="N121" s="18">
        <f>IF((OR(tbal[[#This Row],[X]]=0,tbal[[#This Row],[X]]=5)),tbal[[#This Row],[ACREEDOR]],0)</f>
        <v>0</v>
      </c>
    </row>
    <row r="122" spans="1:14" x14ac:dyDescent="0.3">
      <c r="A122" s="14" t="str">
        <f>+'PLAN DE CUENTAS'!A122</f>
        <v>6.4.1.05</v>
      </c>
      <c r="B122" s="13" t="str">
        <f>+'PLAN DE CUENTAS'!B122</f>
        <v>GASTOS DE EMPAQUE</v>
      </c>
      <c r="C122" s="13">
        <f>+'PLAN DE CUENTAS'!C122</f>
        <v>6</v>
      </c>
      <c r="D122" t="str">
        <f>IF(tbal[[#This Row],[DEBE]]+tbal[[#This Row],[HABER]]=0,"","X")</f>
        <v/>
      </c>
      <c r="E122" s="16">
        <f>SUMIF(tdiario[CUENTA],tbal[[#This Row],[CUENTA]],tdiario[DEBE])</f>
        <v>0</v>
      </c>
      <c r="F122" s="17">
        <f>SUMIF(tdiario[CUENTA],tbal[[#This Row],[CUENTA]],tdiario[HABER])</f>
        <v>0</v>
      </c>
      <c r="G122" s="16">
        <f>IF(tbal[[#This Row],[DEBE]]-tbal[[#This Row],[HABER]]&gt;0,tbal[[#This Row],[DEBE]]-tbal[[#This Row],[HABER]],0)</f>
        <v>0</v>
      </c>
      <c r="H122" s="18">
        <f>IF(tbal[[#This Row],[HABER]]-tbal[[#This Row],[DEBE]]&gt;0,tbal[[#This Row],[HABER]]-tbal[[#This Row],[DEBE]],0)</f>
        <v>0</v>
      </c>
      <c r="I122" s="16">
        <f>IF((OR(tbal[[#This Row],[X]]=1,tbal[[#This Row],[X]]=2)),tbal[[#This Row],[DEUDOR]],0)</f>
        <v>0</v>
      </c>
      <c r="J122" s="18">
        <f>IF((OR(tbal[[#This Row],[X]]=2,tbal[[#This Row],[X]]=3)),tbal[[#This Row],[ACREEDOR]],0)</f>
        <v>0</v>
      </c>
      <c r="K122" s="16">
        <f>IF((OR(tbal[[#This Row],[X]]=3,tbal[[#This Row],[X]]=5)),tbal[[#This Row],[DEUDOR]],0)</f>
        <v>0</v>
      </c>
      <c r="L122" s="18">
        <f>IF((OR(tbal[[#This Row],[X]]=3,tbal[[#This Row],[X]]=4)),tbal[[#This Row],[ACREEDOR]],0)</f>
        <v>0</v>
      </c>
      <c r="M122" s="16">
        <f>IF((OR(tbal[[#This Row],[X]]=0,tbal[[#This Row],[X]]=6)),tbal[[#This Row],[DEUDOR]],0)</f>
        <v>0</v>
      </c>
      <c r="N122" s="18">
        <f>IF((OR(tbal[[#This Row],[X]]=0,tbal[[#This Row],[X]]=5)),tbal[[#This Row],[ACREEDOR]],0)</f>
        <v>0</v>
      </c>
    </row>
    <row r="123" spans="1:14" x14ac:dyDescent="0.3">
      <c r="A123" s="14" t="str">
        <f>+'PLAN DE CUENTAS'!A123</f>
        <v>6.4.1.06</v>
      </c>
      <c r="B123" s="13" t="str">
        <f>+'PLAN DE CUENTAS'!B123</f>
        <v>MATERIAL DE ESCRITORIO</v>
      </c>
      <c r="C123" s="13">
        <f>+'PLAN DE CUENTAS'!C123</f>
        <v>6</v>
      </c>
      <c r="D123" t="str">
        <f>IF(tbal[[#This Row],[DEBE]]+tbal[[#This Row],[HABER]]=0,"","X")</f>
        <v/>
      </c>
      <c r="E123" s="16">
        <f>SUMIF(tdiario[CUENTA],tbal[[#This Row],[CUENTA]],tdiario[DEBE])</f>
        <v>0</v>
      </c>
      <c r="F123" s="17">
        <f>SUMIF(tdiario[CUENTA],tbal[[#This Row],[CUENTA]],tdiario[HABER])</f>
        <v>0</v>
      </c>
      <c r="G123" s="16">
        <f>IF(tbal[[#This Row],[DEBE]]-tbal[[#This Row],[HABER]]&gt;0,tbal[[#This Row],[DEBE]]-tbal[[#This Row],[HABER]],0)</f>
        <v>0</v>
      </c>
      <c r="H123" s="18">
        <f>IF(tbal[[#This Row],[HABER]]-tbal[[#This Row],[DEBE]]&gt;0,tbal[[#This Row],[HABER]]-tbal[[#This Row],[DEBE]],0)</f>
        <v>0</v>
      </c>
      <c r="I123" s="16">
        <f>IF((OR(tbal[[#This Row],[X]]=1,tbal[[#This Row],[X]]=2)),tbal[[#This Row],[DEUDOR]],0)</f>
        <v>0</v>
      </c>
      <c r="J123" s="18">
        <f>IF((OR(tbal[[#This Row],[X]]=2,tbal[[#This Row],[X]]=3)),tbal[[#This Row],[ACREEDOR]],0)</f>
        <v>0</v>
      </c>
      <c r="K123" s="16">
        <f>IF((OR(tbal[[#This Row],[X]]=3,tbal[[#This Row],[X]]=5)),tbal[[#This Row],[DEUDOR]],0)</f>
        <v>0</v>
      </c>
      <c r="L123" s="18">
        <f>IF((OR(tbal[[#This Row],[X]]=3,tbal[[#This Row],[X]]=4)),tbal[[#This Row],[ACREEDOR]],0)</f>
        <v>0</v>
      </c>
      <c r="M123" s="16">
        <f>IF((OR(tbal[[#This Row],[X]]=0,tbal[[#This Row],[X]]=6)),tbal[[#This Row],[DEUDOR]],0)</f>
        <v>0</v>
      </c>
      <c r="N123" s="18">
        <f>IF((OR(tbal[[#This Row],[X]]=0,tbal[[#This Row],[X]]=5)),tbal[[#This Row],[ACREEDOR]],0)</f>
        <v>0</v>
      </c>
    </row>
    <row r="124" spans="1:14" x14ac:dyDescent="0.3">
      <c r="A124" s="14" t="str">
        <f>+'PLAN DE CUENTAS'!A124</f>
        <v>6.4.1.07</v>
      </c>
      <c r="B124" s="13" t="str">
        <f>+'PLAN DE CUENTAS'!B124</f>
        <v>COMBUSTIBLES Y LUBRICANTES</v>
      </c>
      <c r="C124" s="13">
        <f>+'PLAN DE CUENTAS'!C124</f>
        <v>6</v>
      </c>
      <c r="D124" t="str">
        <f>IF(tbal[[#This Row],[DEBE]]+tbal[[#This Row],[HABER]]=0,"","X")</f>
        <v>X</v>
      </c>
      <c r="E124" s="16">
        <f>SUMIF(tdiario[CUENTA],tbal[[#This Row],[CUENTA]],tdiario[DEBE])</f>
        <v>1136.25</v>
      </c>
      <c r="F124" s="17">
        <f>SUMIF(tdiario[CUENTA],tbal[[#This Row],[CUENTA]],tdiario[HABER])</f>
        <v>0</v>
      </c>
      <c r="G124" s="16">
        <f>IF(tbal[[#This Row],[DEBE]]-tbal[[#This Row],[HABER]]&gt;0,tbal[[#This Row],[DEBE]]-tbal[[#This Row],[HABER]],0)</f>
        <v>1136.25</v>
      </c>
      <c r="H124" s="28">
        <f>IF(tbal[[#This Row],[HABER]]-tbal[[#This Row],[DEBE]]&gt;0,tbal[[#This Row],[HABER]]-tbal[[#This Row],[DEBE]],0)</f>
        <v>0</v>
      </c>
      <c r="I124" s="16">
        <f>IF((OR(tbal[[#This Row],[X]]=1,tbal[[#This Row],[X]]=2)),tbal[[#This Row],[DEUDOR]],0)</f>
        <v>0</v>
      </c>
      <c r="J124" s="28">
        <f>IF((OR(tbal[[#This Row],[X]]=2,tbal[[#This Row],[X]]=3)),tbal[[#This Row],[ACREEDOR]],0)</f>
        <v>0</v>
      </c>
      <c r="K124" s="16">
        <f>IF((OR(tbal[[#This Row],[X]]=3,tbal[[#This Row],[X]]=5)),tbal[[#This Row],[DEUDOR]],0)</f>
        <v>0</v>
      </c>
      <c r="L124" s="28">
        <f>IF((OR(tbal[[#This Row],[X]]=3,tbal[[#This Row],[X]]=4)),tbal[[#This Row],[ACREEDOR]],0)</f>
        <v>0</v>
      </c>
      <c r="M124" s="16">
        <f>IF((OR(tbal[[#This Row],[X]]=0,tbal[[#This Row],[X]]=6)),tbal[[#This Row],[DEUDOR]],0)</f>
        <v>1136.25</v>
      </c>
      <c r="N124" s="28">
        <f>IF((OR(tbal[[#This Row],[X]]=0,tbal[[#This Row],[X]]=5)),tbal[[#This Row],[ACREEDOR]],0)</f>
        <v>0</v>
      </c>
    </row>
    <row r="125" spans="1:14" x14ac:dyDescent="0.3">
      <c r="A125" s="14" t="str">
        <f>+'PLAN DE CUENTAS'!A125</f>
        <v>6.4.2</v>
      </c>
      <c r="B125" s="13" t="str">
        <f>+'PLAN DE CUENTAS'!B125</f>
        <v>IMPUESTOS FISCALES E INDIRECTOS</v>
      </c>
      <c r="C125" s="13">
        <f>+'PLAN DE CUENTAS'!C125</f>
        <v>6</v>
      </c>
      <c r="D125" t="str">
        <f>IF(tbal[[#This Row],[DEBE]]+tbal[[#This Row],[HABER]]=0,"","X")</f>
        <v/>
      </c>
      <c r="E125" s="16">
        <f>SUMIF(tdiario[CUENTA],tbal[[#This Row],[CUENTA]],tdiario[DEBE])</f>
        <v>0</v>
      </c>
      <c r="F125" s="17">
        <f>SUMIF(tdiario[CUENTA],tbal[[#This Row],[CUENTA]],tdiario[HABER])</f>
        <v>0</v>
      </c>
      <c r="G125" s="16">
        <f>IF(tbal[[#This Row],[DEBE]]-tbal[[#This Row],[HABER]]&gt;0,tbal[[#This Row],[DEBE]]-tbal[[#This Row],[HABER]],0)</f>
        <v>0</v>
      </c>
      <c r="H125" s="18">
        <f>IF(tbal[[#This Row],[HABER]]-tbal[[#This Row],[DEBE]]&gt;0,tbal[[#This Row],[HABER]]-tbal[[#This Row],[DEBE]],0)</f>
        <v>0</v>
      </c>
      <c r="I125" s="16">
        <f>IF((OR(tbal[[#This Row],[X]]=1,tbal[[#This Row],[X]]=2)),tbal[[#This Row],[DEUDOR]],0)</f>
        <v>0</v>
      </c>
      <c r="J125" s="18">
        <f>IF((OR(tbal[[#This Row],[X]]=2,tbal[[#This Row],[X]]=3)),tbal[[#This Row],[ACREEDOR]],0)</f>
        <v>0</v>
      </c>
      <c r="K125" s="16">
        <f>IF((OR(tbal[[#This Row],[X]]=3,tbal[[#This Row],[X]]=5)),tbal[[#This Row],[DEUDOR]],0)</f>
        <v>0</v>
      </c>
      <c r="L125" s="18">
        <f>IF((OR(tbal[[#This Row],[X]]=3,tbal[[#This Row],[X]]=4)),tbal[[#This Row],[ACREEDOR]],0)</f>
        <v>0</v>
      </c>
      <c r="M125" s="16">
        <f>IF((OR(tbal[[#This Row],[X]]=0,tbal[[#This Row],[X]]=6)),tbal[[#This Row],[DEUDOR]],0)</f>
        <v>0</v>
      </c>
      <c r="N125" s="18">
        <f>IF((OR(tbal[[#This Row],[X]]=0,tbal[[#This Row],[X]]=5)),tbal[[#This Row],[ACREEDOR]],0)</f>
        <v>0</v>
      </c>
    </row>
    <row r="126" spans="1:14" x14ac:dyDescent="0.3">
      <c r="A126" s="14" t="str">
        <f>+'PLAN DE CUENTAS'!A126</f>
        <v>6.4.2.01</v>
      </c>
      <c r="B126" s="13" t="str">
        <f>+'PLAN DE CUENTAS'!B126</f>
        <v>GASTO IT</v>
      </c>
      <c r="C126" s="13">
        <f>+'PLAN DE CUENTAS'!C126</f>
        <v>6</v>
      </c>
      <c r="D126" t="str">
        <f>IF(tbal[[#This Row],[DEBE]]+tbal[[#This Row],[HABER]]=0,"","X")</f>
        <v>X</v>
      </c>
      <c r="E126" s="16">
        <f>SUMIF(tdiario[CUENTA],tbal[[#This Row],[CUENTA]],tdiario[DEBE])</f>
        <v>18900</v>
      </c>
      <c r="F126" s="17">
        <f>SUMIF(tdiario[CUENTA],tbal[[#This Row],[CUENTA]],tdiario[HABER])</f>
        <v>0</v>
      </c>
      <c r="G126" s="16">
        <f>IF(tbal[[#This Row],[DEBE]]-tbal[[#This Row],[HABER]]&gt;0,tbal[[#This Row],[DEBE]]-tbal[[#This Row],[HABER]],0)</f>
        <v>18900</v>
      </c>
      <c r="H126" s="18">
        <f>IF(tbal[[#This Row],[HABER]]-tbal[[#This Row],[DEBE]]&gt;0,tbal[[#This Row],[HABER]]-tbal[[#This Row],[DEBE]],0)</f>
        <v>0</v>
      </c>
      <c r="I126" s="16">
        <f>IF((OR(tbal[[#This Row],[X]]=1,tbal[[#This Row],[X]]=2)),tbal[[#This Row],[DEUDOR]],0)</f>
        <v>0</v>
      </c>
      <c r="J126" s="18">
        <f>IF((OR(tbal[[#This Row],[X]]=2,tbal[[#This Row],[X]]=3)),tbal[[#This Row],[ACREEDOR]],0)</f>
        <v>0</v>
      </c>
      <c r="K126" s="16">
        <f>IF((OR(tbal[[#This Row],[X]]=3,tbal[[#This Row],[X]]=5)),tbal[[#This Row],[DEUDOR]],0)</f>
        <v>0</v>
      </c>
      <c r="L126" s="18">
        <f>IF((OR(tbal[[#This Row],[X]]=3,tbal[[#This Row],[X]]=4)),tbal[[#This Row],[ACREEDOR]],0)</f>
        <v>0</v>
      </c>
      <c r="M126" s="16">
        <f>IF((OR(tbal[[#This Row],[X]]=0,tbal[[#This Row],[X]]=6)),tbal[[#This Row],[DEUDOR]],0)</f>
        <v>18900</v>
      </c>
      <c r="N126" s="18">
        <f>IF((OR(tbal[[#This Row],[X]]=0,tbal[[#This Row],[X]]=5)),tbal[[#This Row],[ACREEDOR]],0)</f>
        <v>0</v>
      </c>
    </row>
    <row r="127" spans="1:14" x14ac:dyDescent="0.3">
      <c r="A127" s="14" t="str">
        <f>+'PLAN DE CUENTAS'!A127</f>
        <v>6.4.2.02</v>
      </c>
      <c r="B127" s="13" t="str">
        <f>+'PLAN DE CUENTAS'!B127</f>
        <v>SUELDOS Y SALARIOS</v>
      </c>
      <c r="C127" s="13">
        <f>+'PLAN DE CUENTAS'!C127</f>
        <v>6</v>
      </c>
      <c r="D127" t="str">
        <f>IF(tbal[[#This Row],[DEBE]]+tbal[[#This Row],[HABER]]=0,"","X")</f>
        <v>X</v>
      </c>
      <c r="E127" s="16">
        <f>SUMIF(tdiario[CUENTA],tbal[[#This Row],[CUENTA]],tdiario[DEBE])</f>
        <v>50000</v>
      </c>
      <c r="F127" s="17">
        <f>SUMIF(tdiario[CUENTA],tbal[[#This Row],[CUENTA]],tdiario[HABER])</f>
        <v>0</v>
      </c>
      <c r="G127" s="16">
        <f>IF(tbal[[#This Row],[DEBE]]-tbal[[#This Row],[HABER]]&gt;0,tbal[[#This Row],[DEBE]]-tbal[[#This Row],[HABER]],0)</f>
        <v>50000</v>
      </c>
      <c r="H127" s="18">
        <f>IF(tbal[[#This Row],[HABER]]-tbal[[#This Row],[DEBE]]&gt;0,tbal[[#This Row],[HABER]]-tbal[[#This Row],[DEBE]],0)</f>
        <v>0</v>
      </c>
      <c r="I127" s="16">
        <f>IF((OR(tbal[[#This Row],[X]]=1,tbal[[#This Row],[X]]=2)),tbal[[#This Row],[DEUDOR]],0)</f>
        <v>0</v>
      </c>
      <c r="J127" s="18">
        <f>IF((OR(tbal[[#This Row],[X]]=2,tbal[[#This Row],[X]]=3)),tbal[[#This Row],[ACREEDOR]],0)</f>
        <v>0</v>
      </c>
      <c r="K127" s="16">
        <f>IF((OR(tbal[[#This Row],[X]]=3,tbal[[#This Row],[X]]=5)),tbal[[#This Row],[DEUDOR]],0)</f>
        <v>0</v>
      </c>
      <c r="L127" s="18">
        <f>IF((OR(tbal[[#This Row],[X]]=3,tbal[[#This Row],[X]]=4)),tbal[[#This Row],[ACREEDOR]],0)</f>
        <v>0</v>
      </c>
      <c r="M127" s="16">
        <f>IF((OR(tbal[[#This Row],[X]]=0,tbal[[#This Row],[X]]=6)),tbal[[#This Row],[DEUDOR]],0)</f>
        <v>50000</v>
      </c>
      <c r="N127" s="18">
        <f>IF((OR(tbal[[#This Row],[X]]=0,tbal[[#This Row],[X]]=5)),tbal[[#This Row],[ACREEDOR]],0)</f>
        <v>0</v>
      </c>
    </row>
    <row r="128" spans="1:14" x14ac:dyDescent="0.3">
      <c r="A128" s="14">
        <f>+'PLAN DE CUENTAS'!A128</f>
        <v>0</v>
      </c>
      <c r="B128" s="13">
        <f>+'PLAN DE CUENTAS'!B128</f>
        <v>0</v>
      </c>
      <c r="C128" s="13">
        <f>+'PLAN DE CUENTAS'!C128</f>
        <v>0</v>
      </c>
      <c r="D128" t="str">
        <f>IF(tbal[[#This Row],[DEBE]]+tbal[[#This Row],[HABER]]=0,"","X")</f>
        <v/>
      </c>
      <c r="E128" s="16">
        <f>SUMIF(tdiario[CUENTA],tbal[[#This Row],[CUENTA]],tdiario[DEBE])</f>
        <v>0</v>
      </c>
      <c r="F128" s="17">
        <f>SUMIF(tdiario[CUENTA],tbal[[#This Row],[CUENTA]],tdiario[HABER])</f>
        <v>0</v>
      </c>
      <c r="G128" s="16">
        <f>IF(tbal[[#This Row],[DEBE]]-tbal[[#This Row],[HABER]]&gt;0,tbal[[#This Row],[DEBE]]-tbal[[#This Row],[HABER]],0)</f>
        <v>0</v>
      </c>
      <c r="H128" s="18">
        <f>IF(tbal[[#This Row],[HABER]]-tbal[[#This Row],[DEBE]]&gt;0,tbal[[#This Row],[HABER]]-tbal[[#This Row],[DEBE]],0)</f>
        <v>0</v>
      </c>
      <c r="I128" s="16">
        <f>IF((OR(tbal[[#This Row],[X]]=1,tbal[[#This Row],[X]]=2)),tbal[[#This Row],[DEUDOR]],0)</f>
        <v>0</v>
      </c>
      <c r="J128" s="18">
        <f>IF((OR(tbal[[#This Row],[X]]=2,tbal[[#This Row],[X]]=3)),tbal[[#This Row],[ACREEDOR]],0)</f>
        <v>0</v>
      </c>
      <c r="K128" s="16">
        <f>IF((OR(tbal[[#This Row],[X]]=3,tbal[[#This Row],[X]]=5)),tbal[[#This Row],[DEUDOR]],0)</f>
        <v>0</v>
      </c>
      <c r="L128" s="18">
        <f>IF((OR(tbal[[#This Row],[X]]=3,tbal[[#This Row],[X]]=4)),tbal[[#This Row],[ACREEDOR]],0)</f>
        <v>0</v>
      </c>
      <c r="M128" s="16">
        <f>IF((OR(tbal[[#This Row],[X]]=0,tbal[[#This Row],[X]]=6)),tbal[[#This Row],[DEUDOR]],0)</f>
        <v>0</v>
      </c>
      <c r="N128" s="18">
        <f>IF((OR(tbal[[#This Row],[X]]=0,tbal[[#This Row],[X]]=5)),tbal[[#This Row],[ACREEDOR]],0)</f>
        <v>0</v>
      </c>
    </row>
    <row r="129" spans="1:14" x14ac:dyDescent="0.3">
      <c r="A129" s="14">
        <f>+'PLAN DE CUENTAS'!A129</f>
        <v>0</v>
      </c>
      <c r="B129" s="13">
        <f>+'PLAN DE CUENTAS'!B129</f>
        <v>0</v>
      </c>
      <c r="C129" s="13">
        <f>+'PLAN DE CUENTAS'!C129</f>
        <v>0</v>
      </c>
      <c r="D129" t="str">
        <f>IF(tbal[[#This Row],[DEBE]]+tbal[[#This Row],[HABER]]=0,"","X")</f>
        <v/>
      </c>
      <c r="E129" s="16">
        <f>SUMIF(tdiario[CUENTA],tbal[[#This Row],[CUENTA]],tdiario[DEBE])</f>
        <v>0</v>
      </c>
      <c r="F129" s="17">
        <f>SUMIF(tdiario[CUENTA],tbal[[#This Row],[CUENTA]],tdiario[HABER])</f>
        <v>0</v>
      </c>
      <c r="G129" s="16">
        <f>IF(tbal[[#This Row],[DEBE]]-tbal[[#This Row],[HABER]]&gt;0,tbal[[#This Row],[DEBE]]-tbal[[#This Row],[HABER]],0)</f>
        <v>0</v>
      </c>
      <c r="H129" s="18">
        <f>IF(tbal[[#This Row],[HABER]]-tbal[[#This Row],[DEBE]]&gt;0,tbal[[#This Row],[HABER]]-tbal[[#This Row],[DEBE]],0)</f>
        <v>0</v>
      </c>
      <c r="I129" s="16">
        <f>IF((OR(tbal[[#This Row],[X]]=1,tbal[[#This Row],[X]]=2)),tbal[[#This Row],[DEUDOR]],0)</f>
        <v>0</v>
      </c>
      <c r="J129" s="18">
        <f>IF((OR(tbal[[#This Row],[X]]=2,tbal[[#This Row],[X]]=3)),tbal[[#This Row],[ACREEDOR]],0)</f>
        <v>0</v>
      </c>
      <c r="K129" s="16">
        <f>IF((OR(tbal[[#This Row],[X]]=3,tbal[[#This Row],[X]]=5)),tbal[[#This Row],[DEUDOR]],0)</f>
        <v>0</v>
      </c>
      <c r="L129" s="18">
        <f>IF((OR(tbal[[#This Row],[X]]=3,tbal[[#This Row],[X]]=4)),tbal[[#This Row],[ACREEDOR]],0)</f>
        <v>0</v>
      </c>
      <c r="M129" s="16">
        <f>IF((OR(tbal[[#This Row],[X]]=0,tbal[[#This Row],[X]]=6)),tbal[[#This Row],[DEUDOR]],0)</f>
        <v>0</v>
      </c>
      <c r="N129" s="18">
        <f>IF((OR(tbal[[#This Row],[X]]=0,tbal[[#This Row],[X]]=5)),tbal[[#This Row],[ACREEDOR]],0)</f>
        <v>0</v>
      </c>
    </row>
    <row r="130" spans="1:14" x14ac:dyDescent="0.3">
      <c r="A130" s="14">
        <f>+'PLAN DE CUENTAS'!A130</f>
        <v>0</v>
      </c>
      <c r="B130" s="13">
        <f>+'PLAN DE CUENTAS'!B130</f>
        <v>0</v>
      </c>
      <c r="C130" s="13">
        <f>+'PLAN DE CUENTAS'!C130</f>
        <v>0</v>
      </c>
      <c r="D130" t="str">
        <f>IF(tbal[[#This Row],[DEBE]]+tbal[[#This Row],[HABER]]=0,"","X")</f>
        <v/>
      </c>
      <c r="E130" s="16">
        <f>SUMIF(tdiario[CUENTA],tbal[[#This Row],[CUENTA]],tdiario[DEBE])</f>
        <v>0</v>
      </c>
      <c r="F130" s="17">
        <f>SUMIF(tdiario[CUENTA],tbal[[#This Row],[CUENTA]],tdiario[HABER])</f>
        <v>0</v>
      </c>
      <c r="G130" s="16">
        <f>IF(tbal[[#This Row],[DEBE]]-tbal[[#This Row],[HABER]]&gt;0,tbal[[#This Row],[DEBE]]-tbal[[#This Row],[HABER]],0)</f>
        <v>0</v>
      </c>
      <c r="H130" s="18">
        <f>IF(tbal[[#This Row],[HABER]]-tbal[[#This Row],[DEBE]]&gt;0,tbal[[#This Row],[HABER]]-tbal[[#This Row],[DEBE]],0)</f>
        <v>0</v>
      </c>
      <c r="I130" s="16">
        <f>IF((OR(tbal[[#This Row],[X]]=1,tbal[[#This Row],[X]]=2)),tbal[[#This Row],[DEUDOR]],0)</f>
        <v>0</v>
      </c>
      <c r="J130" s="18">
        <f>IF((OR(tbal[[#This Row],[X]]=2,tbal[[#This Row],[X]]=3)),tbal[[#This Row],[ACREEDOR]],0)</f>
        <v>0</v>
      </c>
      <c r="K130" s="16">
        <f>IF((OR(tbal[[#This Row],[X]]=3,tbal[[#This Row],[X]]=5)),tbal[[#This Row],[DEUDOR]],0)</f>
        <v>0</v>
      </c>
      <c r="L130" s="18">
        <f>IF((OR(tbal[[#This Row],[X]]=3,tbal[[#This Row],[X]]=4)),tbal[[#This Row],[ACREEDOR]],0)</f>
        <v>0</v>
      </c>
      <c r="M130" s="16">
        <f>IF((OR(tbal[[#This Row],[X]]=0,tbal[[#This Row],[X]]=6)),tbal[[#This Row],[DEUDOR]],0)</f>
        <v>0</v>
      </c>
      <c r="N130" s="18">
        <f>IF((OR(tbal[[#This Row],[X]]=0,tbal[[#This Row],[X]]=5)),tbal[[#This Row],[ACREEDOR]],0)</f>
        <v>0</v>
      </c>
    </row>
    <row r="131" spans="1:14" hidden="1" x14ac:dyDescent="0.3">
      <c r="A131" s="14">
        <f>+'PLAN DE CUENTAS'!A131</f>
        <v>0</v>
      </c>
      <c r="B131" s="13">
        <f>+'PLAN DE CUENTAS'!B131</f>
        <v>0</v>
      </c>
      <c r="C131" s="13">
        <f>+'PLAN DE CUENTAS'!C131</f>
        <v>0</v>
      </c>
      <c r="D131" t="str">
        <f>IF(tbal[[#This Row],[DEBE]]+tbal[[#This Row],[HABER]]=0,"","X")</f>
        <v/>
      </c>
      <c r="E131" s="16">
        <f>SUMIF(tdiario[CUENTA],tbal[[#This Row],[CUENTA]],tdiario[DEBE])</f>
        <v>0</v>
      </c>
      <c r="F131" s="17">
        <f>SUMIF(tdiario[CUENTA],tbal[[#This Row],[CUENTA]],tdiario[HABER])</f>
        <v>0</v>
      </c>
      <c r="G131" s="16">
        <f>IF(tbal[[#This Row],[DEBE]]-tbal[[#This Row],[HABER]]&gt;0,tbal[[#This Row],[DEBE]]-tbal[[#This Row],[HABER]],0)</f>
        <v>0</v>
      </c>
      <c r="H131" s="18">
        <f>IF(tbal[[#This Row],[HABER]]-tbal[[#This Row],[DEBE]]&gt;0,tbal[[#This Row],[HABER]]-tbal[[#This Row],[DEBE]],0)</f>
        <v>0</v>
      </c>
      <c r="I131" s="16">
        <f>IF((OR(tbal[[#This Row],[X]]=1,tbal[[#This Row],[X]]=2)),tbal[[#This Row],[DEUDOR]],0)</f>
        <v>0</v>
      </c>
      <c r="J131" s="18">
        <f>IF((OR(tbal[[#This Row],[X]]=2,tbal[[#This Row],[X]]=3)),tbal[[#This Row],[ACREEDOR]],0)</f>
        <v>0</v>
      </c>
      <c r="K131" s="16">
        <f>IF((OR(tbal[[#This Row],[X]]=3,tbal[[#This Row],[X]]=5)),tbal[[#This Row],[DEUDOR]],0)</f>
        <v>0</v>
      </c>
      <c r="L131" s="18">
        <f>IF((OR(tbal[[#This Row],[X]]=3,tbal[[#This Row],[X]]=4)),tbal[[#This Row],[ACREEDOR]],0)</f>
        <v>0</v>
      </c>
      <c r="M131" s="16">
        <f>IF((OR(tbal[[#This Row],[X]]=0,tbal[[#This Row],[X]]=6)),tbal[[#This Row],[DEUDOR]],0)</f>
        <v>0</v>
      </c>
      <c r="N131" s="18">
        <f>IF((OR(tbal[[#This Row],[X]]=0,tbal[[#This Row],[X]]=5)),tbal[[#This Row],[ACREEDOR]],0)</f>
        <v>0</v>
      </c>
    </row>
    <row r="132" spans="1:14" hidden="1" x14ac:dyDescent="0.3">
      <c r="A132" s="14">
        <f>+'PLAN DE CUENTAS'!A132</f>
        <v>0</v>
      </c>
      <c r="B132" s="13">
        <f>+'PLAN DE CUENTAS'!B132</f>
        <v>0</v>
      </c>
      <c r="C132" s="13">
        <f>+'PLAN DE CUENTAS'!C132</f>
        <v>0</v>
      </c>
      <c r="D132" t="str">
        <f>IF(tbal[[#This Row],[DEBE]]+tbal[[#This Row],[HABER]]=0,"","X")</f>
        <v/>
      </c>
      <c r="E132" s="16">
        <f>SUMIF(tdiario[CUENTA],tbal[[#This Row],[CUENTA]],tdiario[DEBE])</f>
        <v>0</v>
      </c>
      <c r="F132" s="17">
        <f>SUMIF(tdiario[CUENTA],tbal[[#This Row],[CUENTA]],tdiario[HABER])</f>
        <v>0</v>
      </c>
      <c r="G132" s="16">
        <f>IF(tbal[[#This Row],[DEBE]]-tbal[[#This Row],[HABER]]&gt;0,tbal[[#This Row],[DEBE]]-tbal[[#This Row],[HABER]],0)</f>
        <v>0</v>
      </c>
      <c r="H132" s="18">
        <f>IF(tbal[[#This Row],[HABER]]-tbal[[#This Row],[DEBE]]&gt;0,tbal[[#This Row],[HABER]]-tbal[[#This Row],[DEBE]],0)</f>
        <v>0</v>
      </c>
      <c r="I132" s="16">
        <f>IF((OR(tbal[[#This Row],[X]]=1,tbal[[#This Row],[X]]=2)),tbal[[#This Row],[DEUDOR]],0)</f>
        <v>0</v>
      </c>
      <c r="J132" s="18">
        <f>IF((OR(tbal[[#This Row],[X]]=2,tbal[[#This Row],[X]]=3)),tbal[[#This Row],[ACREEDOR]],0)</f>
        <v>0</v>
      </c>
      <c r="K132" s="16">
        <f>IF((OR(tbal[[#This Row],[X]]=3,tbal[[#This Row],[X]]=5)),tbal[[#This Row],[DEUDOR]],0)</f>
        <v>0</v>
      </c>
      <c r="L132" s="18">
        <f>IF((OR(tbal[[#This Row],[X]]=3,tbal[[#This Row],[X]]=4)),tbal[[#This Row],[ACREEDOR]],0)</f>
        <v>0</v>
      </c>
      <c r="M132" s="16">
        <f>IF((OR(tbal[[#This Row],[X]]=0,tbal[[#This Row],[X]]=6)),tbal[[#This Row],[DEUDOR]],0)</f>
        <v>0</v>
      </c>
      <c r="N132" s="18">
        <f>IF((OR(tbal[[#This Row],[X]]=0,tbal[[#This Row],[X]]=5)),tbal[[#This Row],[ACREEDOR]],0)</f>
        <v>0</v>
      </c>
    </row>
    <row r="133" spans="1:14" hidden="1" x14ac:dyDescent="0.3">
      <c r="A133" s="14">
        <f>+'PLAN DE CUENTAS'!A133</f>
        <v>0</v>
      </c>
      <c r="B133" s="13">
        <f>+'PLAN DE CUENTAS'!B133</f>
        <v>0</v>
      </c>
      <c r="C133" s="13">
        <f>+'PLAN DE CUENTAS'!C133</f>
        <v>0</v>
      </c>
      <c r="D133" t="str">
        <f>IF(tbal[[#This Row],[DEBE]]+tbal[[#This Row],[HABER]]=0,"","X")</f>
        <v/>
      </c>
      <c r="E133" s="16">
        <f>SUMIF(tdiario[CUENTA],tbal[[#This Row],[CUENTA]],tdiario[DEBE])</f>
        <v>0</v>
      </c>
      <c r="F133" s="17">
        <f>SUMIF(tdiario[CUENTA],tbal[[#This Row],[CUENTA]],tdiario[HABER])</f>
        <v>0</v>
      </c>
      <c r="G133" s="16">
        <f>IF(tbal[[#This Row],[DEBE]]-tbal[[#This Row],[HABER]]&gt;0,tbal[[#This Row],[DEBE]]-tbal[[#This Row],[HABER]],0)</f>
        <v>0</v>
      </c>
      <c r="H133" s="18">
        <f>IF(tbal[[#This Row],[HABER]]-tbal[[#This Row],[DEBE]]&gt;0,tbal[[#This Row],[HABER]]-tbal[[#This Row],[DEBE]],0)</f>
        <v>0</v>
      </c>
      <c r="I133" s="16">
        <f>IF((OR(tbal[[#This Row],[X]]=1,tbal[[#This Row],[X]]=2)),tbal[[#This Row],[DEUDOR]],0)</f>
        <v>0</v>
      </c>
      <c r="J133" s="18">
        <f>IF((OR(tbal[[#This Row],[X]]=2,tbal[[#This Row],[X]]=3)),tbal[[#This Row],[ACREEDOR]],0)</f>
        <v>0</v>
      </c>
      <c r="K133" s="16">
        <f>IF((OR(tbal[[#This Row],[X]]=3,tbal[[#This Row],[X]]=5)),tbal[[#This Row],[DEUDOR]],0)</f>
        <v>0</v>
      </c>
      <c r="L133" s="18">
        <f>IF((OR(tbal[[#This Row],[X]]=3,tbal[[#This Row],[X]]=4)),tbal[[#This Row],[ACREEDOR]],0)</f>
        <v>0</v>
      </c>
      <c r="M133" s="16">
        <f>IF((OR(tbal[[#This Row],[X]]=0,tbal[[#This Row],[X]]=6)),tbal[[#This Row],[DEUDOR]],0)</f>
        <v>0</v>
      </c>
      <c r="N133" s="18">
        <f>IF((OR(tbal[[#This Row],[X]]=0,tbal[[#This Row],[X]]=5)),tbal[[#This Row],[ACREEDOR]],0)</f>
        <v>0</v>
      </c>
    </row>
    <row r="134" spans="1:14" hidden="1" x14ac:dyDescent="0.3">
      <c r="A134" s="14">
        <f>+'PLAN DE CUENTAS'!A134</f>
        <v>0</v>
      </c>
      <c r="B134" s="13">
        <f>+'PLAN DE CUENTAS'!B134</f>
        <v>0</v>
      </c>
      <c r="C134" s="13">
        <f>+'PLAN DE CUENTAS'!C134</f>
        <v>0</v>
      </c>
      <c r="D134" t="str">
        <f>IF(tbal[[#This Row],[DEBE]]+tbal[[#This Row],[HABER]]=0,"","X")</f>
        <v/>
      </c>
      <c r="E134" s="16">
        <f>SUMIF(tdiario[CUENTA],tbal[[#This Row],[CUENTA]],tdiario[DEBE])</f>
        <v>0</v>
      </c>
      <c r="F134" s="17">
        <f>SUMIF(tdiario[CUENTA],tbal[[#This Row],[CUENTA]],tdiario[HABER])</f>
        <v>0</v>
      </c>
      <c r="G134" s="16">
        <f>IF(tbal[[#This Row],[DEBE]]-tbal[[#This Row],[HABER]]&gt;0,tbal[[#This Row],[DEBE]]-tbal[[#This Row],[HABER]],0)</f>
        <v>0</v>
      </c>
      <c r="H134" s="18">
        <f>IF(tbal[[#This Row],[HABER]]-tbal[[#This Row],[DEBE]]&gt;0,tbal[[#This Row],[HABER]]-tbal[[#This Row],[DEBE]],0)</f>
        <v>0</v>
      </c>
      <c r="I134" s="16">
        <f>IF((OR(tbal[[#This Row],[X]]=1,tbal[[#This Row],[X]]=2)),tbal[[#This Row],[DEUDOR]],0)</f>
        <v>0</v>
      </c>
      <c r="J134" s="18">
        <f>IF((OR(tbal[[#This Row],[X]]=2,tbal[[#This Row],[X]]=3)),tbal[[#This Row],[ACREEDOR]],0)</f>
        <v>0</v>
      </c>
      <c r="K134" s="16">
        <f>IF((OR(tbal[[#This Row],[X]]=3,tbal[[#This Row],[X]]=5)),tbal[[#This Row],[DEUDOR]],0)</f>
        <v>0</v>
      </c>
      <c r="L134" s="18">
        <f>IF((OR(tbal[[#This Row],[X]]=3,tbal[[#This Row],[X]]=4)),tbal[[#This Row],[ACREEDOR]],0)</f>
        <v>0</v>
      </c>
      <c r="M134" s="16">
        <f>IF((OR(tbal[[#This Row],[X]]=0,tbal[[#This Row],[X]]=6)),tbal[[#This Row],[DEUDOR]],0)</f>
        <v>0</v>
      </c>
      <c r="N134" s="18">
        <f>IF((OR(tbal[[#This Row],[X]]=0,tbal[[#This Row],[X]]=5)),tbal[[#This Row],[ACREEDOR]],0)</f>
        <v>0</v>
      </c>
    </row>
    <row r="135" spans="1:14" hidden="1" x14ac:dyDescent="0.3">
      <c r="A135" s="14">
        <f>+'PLAN DE CUENTAS'!A135</f>
        <v>0</v>
      </c>
      <c r="B135" s="13">
        <f>+'PLAN DE CUENTAS'!B135</f>
        <v>0</v>
      </c>
      <c r="C135" s="13">
        <f>+'PLAN DE CUENTAS'!C135</f>
        <v>0</v>
      </c>
      <c r="D135" t="str">
        <f>IF(tbal[[#This Row],[DEBE]]+tbal[[#This Row],[HABER]]=0,"","X")</f>
        <v/>
      </c>
      <c r="E135" s="16">
        <f>SUMIF(tdiario[CUENTA],tbal[[#This Row],[CUENTA]],tdiario[DEBE])</f>
        <v>0</v>
      </c>
      <c r="F135" s="17">
        <f>SUMIF(tdiario[CUENTA],tbal[[#This Row],[CUENTA]],tdiario[HABER])</f>
        <v>0</v>
      </c>
      <c r="G135" s="16">
        <f>IF(tbal[[#This Row],[DEBE]]-tbal[[#This Row],[HABER]]&gt;0,tbal[[#This Row],[DEBE]]-tbal[[#This Row],[HABER]],0)</f>
        <v>0</v>
      </c>
      <c r="H135" s="18">
        <f>IF(tbal[[#This Row],[HABER]]-tbal[[#This Row],[DEBE]]&gt;0,tbal[[#This Row],[HABER]]-tbal[[#This Row],[DEBE]],0)</f>
        <v>0</v>
      </c>
      <c r="I135" s="16">
        <f>IF((OR(tbal[[#This Row],[X]]=1,tbal[[#This Row],[X]]=2)),tbal[[#This Row],[DEUDOR]],0)</f>
        <v>0</v>
      </c>
      <c r="J135" s="18">
        <f>IF((OR(tbal[[#This Row],[X]]=2,tbal[[#This Row],[X]]=3)),tbal[[#This Row],[ACREEDOR]],0)</f>
        <v>0</v>
      </c>
      <c r="K135" s="16">
        <f>IF((OR(tbal[[#This Row],[X]]=3,tbal[[#This Row],[X]]=5)),tbal[[#This Row],[DEUDOR]],0)</f>
        <v>0</v>
      </c>
      <c r="L135" s="18">
        <f>IF((OR(tbal[[#This Row],[X]]=3,tbal[[#This Row],[X]]=4)),tbal[[#This Row],[ACREEDOR]],0)</f>
        <v>0</v>
      </c>
      <c r="M135" s="16">
        <f>IF((OR(tbal[[#This Row],[X]]=0,tbal[[#This Row],[X]]=6)),tbal[[#This Row],[DEUDOR]],0)</f>
        <v>0</v>
      </c>
      <c r="N135" s="18">
        <f>IF((OR(tbal[[#This Row],[X]]=0,tbal[[#This Row],[X]]=5)),tbal[[#This Row],[ACREEDOR]],0)</f>
        <v>0</v>
      </c>
    </row>
    <row r="136" spans="1:14" hidden="1" x14ac:dyDescent="0.3">
      <c r="A136" s="14">
        <f>+'PLAN DE CUENTAS'!A136</f>
        <v>0</v>
      </c>
      <c r="B136" s="13">
        <f>+'PLAN DE CUENTAS'!B136</f>
        <v>0</v>
      </c>
      <c r="C136" s="13">
        <f>+'PLAN DE CUENTAS'!C136</f>
        <v>0</v>
      </c>
      <c r="D136" t="str">
        <f>IF(tbal[[#This Row],[DEBE]]+tbal[[#This Row],[HABER]]=0,"","X")</f>
        <v/>
      </c>
      <c r="E136" s="16">
        <f>SUMIF(tdiario[CUENTA],tbal[[#This Row],[CUENTA]],tdiario[DEBE])</f>
        <v>0</v>
      </c>
      <c r="F136" s="17">
        <f>SUMIF(tdiario[CUENTA],tbal[[#This Row],[CUENTA]],tdiario[HABER])</f>
        <v>0</v>
      </c>
      <c r="G136" s="16">
        <f>IF(tbal[[#This Row],[DEBE]]-tbal[[#This Row],[HABER]]&gt;0,tbal[[#This Row],[DEBE]]-tbal[[#This Row],[HABER]],0)</f>
        <v>0</v>
      </c>
      <c r="H136" s="18">
        <f>IF(tbal[[#This Row],[HABER]]-tbal[[#This Row],[DEBE]]&gt;0,tbal[[#This Row],[HABER]]-tbal[[#This Row],[DEBE]],0)</f>
        <v>0</v>
      </c>
      <c r="I136" s="16">
        <f>IF((OR(tbal[[#This Row],[X]]=1,tbal[[#This Row],[X]]=2)),tbal[[#This Row],[DEUDOR]],0)</f>
        <v>0</v>
      </c>
      <c r="J136" s="18">
        <f>IF((OR(tbal[[#This Row],[X]]=2,tbal[[#This Row],[X]]=3)),tbal[[#This Row],[ACREEDOR]],0)</f>
        <v>0</v>
      </c>
      <c r="K136" s="16">
        <f>IF((OR(tbal[[#This Row],[X]]=3,tbal[[#This Row],[X]]=5)),tbal[[#This Row],[DEUDOR]],0)</f>
        <v>0</v>
      </c>
      <c r="L136" s="18">
        <f>IF((OR(tbal[[#This Row],[X]]=3,tbal[[#This Row],[X]]=4)),tbal[[#This Row],[ACREEDOR]],0)</f>
        <v>0</v>
      </c>
      <c r="M136" s="16">
        <f>IF((OR(tbal[[#This Row],[X]]=0,tbal[[#This Row],[X]]=6)),tbal[[#This Row],[DEUDOR]],0)</f>
        <v>0</v>
      </c>
      <c r="N136" s="18">
        <f>IF((OR(tbal[[#This Row],[X]]=0,tbal[[#This Row],[X]]=5)),tbal[[#This Row],[ACREEDOR]],0)</f>
        <v>0</v>
      </c>
    </row>
    <row r="137" spans="1:14" hidden="1" x14ac:dyDescent="0.3">
      <c r="A137" s="14">
        <f>+'PLAN DE CUENTAS'!A137</f>
        <v>0</v>
      </c>
      <c r="B137" s="13">
        <f>+'PLAN DE CUENTAS'!B137</f>
        <v>0</v>
      </c>
      <c r="C137" s="13">
        <f>+'PLAN DE CUENTAS'!C137</f>
        <v>0</v>
      </c>
      <c r="D137" t="str">
        <f>IF(tbal[[#This Row],[DEBE]]+tbal[[#This Row],[HABER]]=0,"","X")</f>
        <v/>
      </c>
      <c r="E137" s="16">
        <f>SUMIF(tdiario[CUENTA],tbal[[#This Row],[CUENTA]],tdiario[DEBE])</f>
        <v>0</v>
      </c>
      <c r="F137" s="17">
        <f>SUMIF(tdiario[CUENTA],tbal[[#This Row],[CUENTA]],tdiario[HABER])</f>
        <v>0</v>
      </c>
      <c r="G137" s="16">
        <f>IF(tbal[[#This Row],[DEBE]]-tbal[[#This Row],[HABER]]&gt;0,tbal[[#This Row],[DEBE]]-tbal[[#This Row],[HABER]],0)</f>
        <v>0</v>
      </c>
      <c r="H137" s="18">
        <f>IF(tbal[[#This Row],[HABER]]-tbal[[#This Row],[DEBE]]&gt;0,tbal[[#This Row],[HABER]]-tbal[[#This Row],[DEBE]],0)</f>
        <v>0</v>
      </c>
      <c r="I137" s="16">
        <f>IF((OR(tbal[[#This Row],[X]]=1,tbal[[#This Row],[X]]=2)),tbal[[#This Row],[DEUDOR]],0)</f>
        <v>0</v>
      </c>
      <c r="J137" s="18">
        <f>IF((OR(tbal[[#This Row],[X]]=2,tbal[[#This Row],[X]]=3)),tbal[[#This Row],[ACREEDOR]],0)</f>
        <v>0</v>
      </c>
      <c r="K137" s="16">
        <f>IF((OR(tbal[[#This Row],[X]]=3,tbal[[#This Row],[X]]=5)),tbal[[#This Row],[DEUDOR]],0)</f>
        <v>0</v>
      </c>
      <c r="L137" s="18">
        <f>IF((OR(tbal[[#This Row],[X]]=3,tbal[[#This Row],[X]]=4)),tbal[[#This Row],[ACREEDOR]],0)</f>
        <v>0</v>
      </c>
      <c r="M137" s="16">
        <f>IF((OR(tbal[[#This Row],[X]]=0,tbal[[#This Row],[X]]=6)),tbal[[#This Row],[DEUDOR]],0)</f>
        <v>0</v>
      </c>
      <c r="N137" s="18">
        <f>IF((OR(tbal[[#This Row],[X]]=0,tbal[[#This Row],[X]]=5)),tbal[[#This Row],[ACREEDOR]],0)</f>
        <v>0</v>
      </c>
    </row>
    <row r="138" spans="1:14" hidden="1" x14ac:dyDescent="0.3">
      <c r="A138" s="14">
        <f>+'PLAN DE CUENTAS'!A138</f>
        <v>0</v>
      </c>
      <c r="B138" s="13">
        <f>+'PLAN DE CUENTAS'!B138</f>
        <v>0</v>
      </c>
      <c r="C138" s="13">
        <f>+'PLAN DE CUENTAS'!C138</f>
        <v>0</v>
      </c>
      <c r="D138" t="str">
        <f>IF(tbal[[#This Row],[DEBE]]+tbal[[#This Row],[HABER]]=0,"","X")</f>
        <v/>
      </c>
      <c r="E138" s="16">
        <f>SUMIF(tdiario[CUENTA],tbal[[#This Row],[CUENTA]],tdiario[DEBE])</f>
        <v>0</v>
      </c>
      <c r="F138" s="17">
        <f>SUMIF(tdiario[CUENTA],tbal[[#This Row],[CUENTA]],tdiario[HABER])</f>
        <v>0</v>
      </c>
      <c r="G138" s="16">
        <f>IF(tbal[[#This Row],[DEBE]]-tbal[[#This Row],[HABER]]&gt;0,tbal[[#This Row],[DEBE]]-tbal[[#This Row],[HABER]],0)</f>
        <v>0</v>
      </c>
      <c r="H138" s="18">
        <f>IF(tbal[[#This Row],[HABER]]-tbal[[#This Row],[DEBE]]&gt;0,tbal[[#This Row],[HABER]]-tbal[[#This Row],[DEBE]],0)</f>
        <v>0</v>
      </c>
      <c r="I138" s="16">
        <f>IF((OR(tbal[[#This Row],[X]]=1,tbal[[#This Row],[X]]=2)),tbal[[#This Row],[DEUDOR]],0)</f>
        <v>0</v>
      </c>
      <c r="J138" s="18">
        <f>IF((OR(tbal[[#This Row],[X]]=2,tbal[[#This Row],[X]]=3)),tbal[[#This Row],[ACREEDOR]],0)</f>
        <v>0</v>
      </c>
      <c r="K138" s="16">
        <f>IF((OR(tbal[[#This Row],[X]]=3,tbal[[#This Row],[X]]=5)),tbal[[#This Row],[DEUDOR]],0)</f>
        <v>0</v>
      </c>
      <c r="L138" s="18">
        <f>IF((OR(tbal[[#This Row],[X]]=3,tbal[[#This Row],[X]]=4)),tbal[[#This Row],[ACREEDOR]],0)</f>
        <v>0</v>
      </c>
      <c r="M138" s="16">
        <f>IF((OR(tbal[[#This Row],[X]]=0,tbal[[#This Row],[X]]=6)),tbal[[#This Row],[DEUDOR]],0)</f>
        <v>0</v>
      </c>
      <c r="N138" s="18">
        <f>IF((OR(tbal[[#This Row],[X]]=0,tbal[[#This Row],[X]]=5)),tbal[[#This Row],[ACREEDOR]],0)</f>
        <v>0</v>
      </c>
    </row>
    <row r="139" spans="1:14" hidden="1" x14ac:dyDescent="0.3">
      <c r="A139" s="14">
        <f>+'PLAN DE CUENTAS'!A139</f>
        <v>0</v>
      </c>
      <c r="B139" s="13">
        <f>+'PLAN DE CUENTAS'!B139</f>
        <v>0</v>
      </c>
      <c r="C139" s="13">
        <f>+'PLAN DE CUENTAS'!C139</f>
        <v>0</v>
      </c>
      <c r="D139" t="str">
        <f>IF(tbal[[#This Row],[DEBE]]+tbal[[#This Row],[HABER]]=0,"","X")</f>
        <v/>
      </c>
      <c r="E139" s="16">
        <f>SUMIF(tdiario[CUENTA],tbal[[#This Row],[CUENTA]],tdiario[DEBE])</f>
        <v>0</v>
      </c>
      <c r="F139" s="17">
        <f>SUMIF(tdiario[CUENTA],tbal[[#This Row],[CUENTA]],tdiario[HABER])</f>
        <v>0</v>
      </c>
      <c r="G139" s="16">
        <f>IF(tbal[[#This Row],[DEBE]]-tbal[[#This Row],[HABER]]&gt;0,tbal[[#This Row],[DEBE]]-tbal[[#This Row],[HABER]],0)</f>
        <v>0</v>
      </c>
      <c r="H139" s="18">
        <f>IF(tbal[[#This Row],[HABER]]-tbal[[#This Row],[DEBE]]&gt;0,tbal[[#This Row],[HABER]]-tbal[[#This Row],[DEBE]],0)</f>
        <v>0</v>
      </c>
      <c r="I139" s="16">
        <f>IF((OR(tbal[[#This Row],[X]]=1,tbal[[#This Row],[X]]=2)),tbal[[#This Row],[DEUDOR]],0)</f>
        <v>0</v>
      </c>
      <c r="J139" s="18">
        <f>IF((OR(tbal[[#This Row],[X]]=2,tbal[[#This Row],[X]]=3)),tbal[[#This Row],[ACREEDOR]],0)</f>
        <v>0</v>
      </c>
      <c r="K139" s="16">
        <f>IF((OR(tbal[[#This Row],[X]]=3,tbal[[#This Row],[X]]=5)),tbal[[#This Row],[DEUDOR]],0)</f>
        <v>0</v>
      </c>
      <c r="L139" s="18">
        <f>IF((OR(tbal[[#This Row],[X]]=3,tbal[[#This Row],[X]]=4)),tbal[[#This Row],[ACREEDOR]],0)</f>
        <v>0</v>
      </c>
      <c r="M139" s="16">
        <f>IF((OR(tbal[[#This Row],[X]]=0,tbal[[#This Row],[X]]=6)),tbal[[#This Row],[DEUDOR]],0)</f>
        <v>0</v>
      </c>
      <c r="N139" s="18">
        <f>IF((OR(tbal[[#This Row],[X]]=0,tbal[[#This Row],[X]]=5)),tbal[[#This Row],[ACREEDOR]],0)</f>
        <v>0</v>
      </c>
    </row>
    <row r="140" spans="1:14" hidden="1" x14ac:dyDescent="0.3">
      <c r="A140" s="14">
        <f>+'PLAN DE CUENTAS'!A140</f>
        <v>0</v>
      </c>
      <c r="B140" s="13">
        <f>+'PLAN DE CUENTAS'!B140</f>
        <v>0</v>
      </c>
      <c r="C140" s="13">
        <f>+'PLAN DE CUENTAS'!C140</f>
        <v>0</v>
      </c>
      <c r="D140" t="str">
        <f>IF(tbal[[#This Row],[DEBE]]+tbal[[#This Row],[HABER]]=0,"","X")</f>
        <v/>
      </c>
      <c r="E140" s="16">
        <f>SUMIF(tdiario[CUENTA],tbal[[#This Row],[CUENTA]],tdiario[DEBE])</f>
        <v>0</v>
      </c>
      <c r="F140" s="17">
        <f>SUMIF(tdiario[CUENTA],tbal[[#This Row],[CUENTA]],tdiario[HABER])</f>
        <v>0</v>
      </c>
      <c r="G140" s="16">
        <f>IF(tbal[[#This Row],[DEBE]]-tbal[[#This Row],[HABER]]&gt;0,tbal[[#This Row],[DEBE]]-tbal[[#This Row],[HABER]],0)</f>
        <v>0</v>
      </c>
      <c r="H140" s="18">
        <f>IF(tbal[[#This Row],[HABER]]-tbal[[#This Row],[DEBE]]&gt;0,tbal[[#This Row],[HABER]]-tbal[[#This Row],[DEBE]],0)</f>
        <v>0</v>
      </c>
      <c r="I140" s="16">
        <f>IF((OR(tbal[[#This Row],[X]]=1,tbal[[#This Row],[X]]=2)),tbal[[#This Row],[DEUDOR]],0)</f>
        <v>0</v>
      </c>
      <c r="J140" s="18">
        <f>IF((OR(tbal[[#This Row],[X]]=2,tbal[[#This Row],[X]]=3)),tbal[[#This Row],[ACREEDOR]],0)</f>
        <v>0</v>
      </c>
      <c r="K140" s="16">
        <f>IF((OR(tbal[[#This Row],[X]]=3,tbal[[#This Row],[X]]=5)),tbal[[#This Row],[DEUDOR]],0)</f>
        <v>0</v>
      </c>
      <c r="L140" s="18">
        <f>IF((OR(tbal[[#This Row],[X]]=3,tbal[[#This Row],[X]]=4)),tbal[[#This Row],[ACREEDOR]],0)</f>
        <v>0</v>
      </c>
      <c r="M140" s="16">
        <f>IF((OR(tbal[[#This Row],[X]]=0,tbal[[#This Row],[X]]=6)),tbal[[#This Row],[DEUDOR]],0)</f>
        <v>0</v>
      </c>
      <c r="N140" s="18">
        <f>IF((OR(tbal[[#This Row],[X]]=0,tbal[[#This Row],[X]]=5)),tbal[[#This Row],[ACREEDOR]],0)</f>
        <v>0</v>
      </c>
    </row>
    <row r="141" spans="1:14" hidden="1" x14ac:dyDescent="0.3">
      <c r="A141" s="14">
        <f>+'PLAN DE CUENTAS'!A141</f>
        <v>0</v>
      </c>
      <c r="B141" s="13">
        <f>+'PLAN DE CUENTAS'!B141</f>
        <v>0</v>
      </c>
      <c r="C141" s="13">
        <f>+'PLAN DE CUENTAS'!C141</f>
        <v>0</v>
      </c>
      <c r="D141" t="str">
        <f>IF(tbal[[#This Row],[DEBE]]+tbal[[#This Row],[HABER]]=0,"","X")</f>
        <v/>
      </c>
      <c r="E141" s="16">
        <f>SUMIF(tdiario[CUENTA],tbal[[#This Row],[CUENTA]],tdiario[DEBE])</f>
        <v>0</v>
      </c>
      <c r="F141" s="17">
        <f>SUMIF(tdiario[CUENTA],tbal[[#This Row],[CUENTA]],tdiario[HABER])</f>
        <v>0</v>
      </c>
      <c r="G141" s="16">
        <f>IF(tbal[[#This Row],[DEBE]]-tbal[[#This Row],[HABER]]&gt;0,tbal[[#This Row],[DEBE]]-tbal[[#This Row],[HABER]],0)</f>
        <v>0</v>
      </c>
      <c r="H141" s="18">
        <f>IF(tbal[[#This Row],[HABER]]-tbal[[#This Row],[DEBE]]&gt;0,tbal[[#This Row],[HABER]]-tbal[[#This Row],[DEBE]],0)</f>
        <v>0</v>
      </c>
      <c r="I141" s="16">
        <f>IF((OR(tbal[[#This Row],[X]]=1,tbal[[#This Row],[X]]=2)),tbal[[#This Row],[DEUDOR]],0)</f>
        <v>0</v>
      </c>
      <c r="J141" s="18">
        <f>IF((OR(tbal[[#This Row],[X]]=2,tbal[[#This Row],[X]]=3)),tbal[[#This Row],[ACREEDOR]],0)</f>
        <v>0</v>
      </c>
      <c r="K141" s="16">
        <f>IF((OR(tbal[[#This Row],[X]]=3,tbal[[#This Row],[X]]=5)),tbal[[#This Row],[DEUDOR]],0)</f>
        <v>0</v>
      </c>
      <c r="L141" s="18">
        <f>IF((OR(tbal[[#This Row],[X]]=3,tbal[[#This Row],[X]]=4)),tbal[[#This Row],[ACREEDOR]],0)</f>
        <v>0</v>
      </c>
      <c r="M141" s="16">
        <f>IF((OR(tbal[[#This Row],[X]]=0,tbal[[#This Row],[X]]=6)),tbal[[#This Row],[DEUDOR]],0)</f>
        <v>0</v>
      </c>
      <c r="N141" s="18">
        <f>IF((OR(tbal[[#This Row],[X]]=0,tbal[[#This Row],[X]]=5)),tbal[[#This Row],[ACREEDOR]],0)</f>
        <v>0</v>
      </c>
    </row>
    <row r="142" spans="1:14" hidden="1" x14ac:dyDescent="0.3">
      <c r="A142" s="14">
        <f>+'PLAN DE CUENTAS'!A142</f>
        <v>0</v>
      </c>
      <c r="B142" s="13">
        <f>+'PLAN DE CUENTAS'!B142</f>
        <v>0</v>
      </c>
      <c r="C142" s="13">
        <f>+'PLAN DE CUENTAS'!C142</f>
        <v>0</v>
      </c>
      <c r="D142" t="str">
        <f>IF(tbal[[#This Row],[DEBE]]+tbal[[#This Row],[HABER]]=0,"","X")</f>
        <v/>
      </c>
      <c r="E142" s="16">
        <f>SUMIF(tdiario[CUENTA],tbal[[#This Row],[CUENTA]],tdiario[DEBE])</f>
        <v>0</v>
      </c>
      <c r="F142" s="17">
        <f>SUMIF(tdiario[CUENTA],tbal[[#This Row],[CUENTA]],tdiario[HABER])</f>
        <v>0</v>
      </c>
      <c r="G142" s="16">
        <f>IF(tbal[[#This Row],[DEBE]]-tbal[[#This Row],[HABER]]&gt;0,tbal[[#This Row],[DEBE]]-tbal[[#This Row],[HABER]],0)</f>
        <v>0</v>
      </c>
      <c r="H142" s="18">
        <f>IF(tbal[[#This Row],[HABER]]-tbal[[#This Row],[DEBE]]&gt;0,tbal[[#This Row],[HABER]]-tbal[[#This Row],[DEBE]],0)</f>
        <v>0</v>
      </c>
      <c r="I142" s="16">
        <f>IF((OR(tbal[[#This Row],[X]]=1,tbal[[#This Row],[X]]=2)),tbal[[#This Row],[DEUDOR]],0)</f>
        <v>0</v>
      </c>
      <c r="J142" s="18">
        <f>IF((OR(tbal[[#This Row],[X]]=2,tbal[[#This Row],[X]]=3)),tbal[[#This Row],[ACREEDOR]],0)</f>
        <v>0</v>
      </c>
      <c r="K142" s="16">
        <f>IF((OR(tbal[[#This Row],[X]]=3,tbal[[#This Row],[X]]=5)),tbal[[#This Row],[DEUDOR]],0)</f>
        <v>0</v>
      </c>
      <c r="L142" s="18">
        <f>IF((OR(tbal[[#This Row],[X]]=3,tbal[[#This Row],[X]]=4)),tbal[[#This Row],[ACREEDOR]],0)</f>
        <v>0</v>
      </c>
      <c r="M142" s="16">
        <f>IF((OR(tbal[[#This Row],[X]]=0,tbal[[#This Row],[X]]=6)),tbal[[#This Row],[DEUDOR]],0)</f>
        <v>0</v>
      </c>
      <c r="N142" s="18">
        <f>IF((OR(tbal[[#This Row],[X]]=0,tbal[[#This Row],[X]]=5)),tbal[[#This Row],[ACREEDOR]],0)</f>
        <v>0</v>
      </c>
    </row>
    <row r="143" spans="1:14" hidden="1" x14ac:dyDescent="0.3">
      <c r="A143" s="14">
        <f>+'PLAN DE CUENTAS'!A143</f>
        <v>0</v>
      </c>
      <c r="B143" s="13">
        <f>+'PLAN DE CUENTAS'!B143</f>
        <v>0</v>
      </c>
      <c r="C143" s="13">
        <f>+'PLAN DE CUENTAS'!C143</f>
        <v>0</v>
      </c>
      <c r="D143" t="str">
        <f>IF(tbal[[#This Row],[DEBE]]+tbal[[#This Row],[HABER]]=0,"","X")</f>
        <v/>
      </c>
      <c r="E143" s="16">
        <f>SUMIF(tdiario[CUENTA],tbal[[#This Row],[CUENTA]],tdiario[DEBE])</f>
        <v>0</v>
      </c>
      <c r="F143" s="17">
        <f>SUMIF(tdiario[CUENTA],tbal[[#This Row],[CUENTA]],tdiario[HABER])</f>
        <v>0</v>
      </c>
      <c r="G143" s="16">
        <f>IF(tbal[[#This Row],[DEBE]]-tbal[[#This Row],[HABER]]&gt;0,tbal[[#This Row],[DEBE]]-tbal[[#This Row],[HABER]],0)</f>
        <v>0</v>
      </c>
      <c r="H143" s="18">
        <f>IF(tbal[[#This Row],[HABER]]-tbal[[#This Row],[DEBE]]&gt;0,tbal[[#This Row],[HABER]]-tbal[[#This Row],[DEBE]],0)</f>
        <v>0</v>
      </c>
      <c r="I143" s="16">
        <f>IF((OR(tbal[[#This Row],[X]]=1,tbal[[#This Row],[X]]=2)),tbal[[#This Row],[DEUDOR]],0)</f>
        <v>0</v>
      </c>
      <c r="J143" s="18">
        <f>IF((OR(tbal[[#This Row],[X]]=2,tbal[[#This Row],[X]]=3)),tbal[[#This Row],[ACREEDOR]],0)</f>
        <v>0</v>
      </c>
      <c r="K143" s="16">
        <f>IF((OR(tbal[[#This Row],[X]]=3,tbal[[#This Row],[X]]=5)),tbal[[#This Row],[DEUDOR]],0)</f>
        <v>0</v>
      </c>
      <c r="L143" s="18">
        <f>IF((OR(tbal[[#This Row],[X]]=3,tbal[[#This Row],[X]]=4)),tbal[[#This Row],[ACREEDOR]],0)</f>
        <v>0</v>
      </c>
      <c r="M143" s="16">
        <f>IF((OR(tbal[[#This Row],[X]]=0,tbal[[#This Row],[X]]=6)),tbal[[#This Row],[DEUDOR]],0)</f>
        <v>0</v>
      </c>
      <c r="N143" s="18">
        <f>IF((OR(tbal[[#This Row],[X]]=0,tbal[[#This Row],[X]]=5)),tbal[[#This Row],[ACREEDOR]],0)</f>
        <v>0</v>
      </c>
    </row>
    <row r="144" spans="1:14" hidden="1" x14ac:dyDescent="0.3">
      <c r="A144" s="14">
        <f>+'PLAN DE CUENTAS'!A144</f>
        <v>0</v>
      </c>
      <c r="B144" s="13">
        <f>+'PLAN DE CUENTAS'!B144</f>
        <v>0</v>
      </c>
      <c r="C144" s="13">
        <f>+'PLAN DE CUENTAS'!C144</f>
        <v>0</v>
      </c>
      <c r="D144" t="str">
        <f>IF(tbal[[#This Row],[DEBE]]+tbal[[#This Row],[HABER]]=0,"","X")</f>
        <v/>
      </c>
      <c r="E144" s="16">
        <f>SUMIF(tdiario[CUENTA],tbal[[#This Row],[CUENTA]],tdiario[DEBE])</f>
        <v>0</v>
      </c>
      <c r="F144" s="17">
        <f>SUMIF(tdiario[CUENTA],tbal[[#This Row],[CUENTA]],tdiario[HABER])</f>
        <v>0</v>
      </c>
      <c r="G144" s="16">
        <f>IF(tbal[[#This Row],[DEBE]]-tbal[[#This Row],[HABER]]&gt;0,tbal[[#This Row],[DEBE]]-tbal[[#This Row],[HABER]],0)</f>
        <v>0</v>
      </c>
      <c r="H144" s="18">
        <f>IF(tbal[[#This Row],[HABER]]-tbal[[#This Row],[DEBE]]&gt;0,tbal[[#This Row],[HABER]]-tbal[[#This Row],[DEBE]],0)</f>
        <v>0</v>
      </c>
      <c r="I144" s="16">
        <f>IF((OR(tbal[[#This Row],[X]]=1,tbal[[#This Row],[X]]=2)),tbal[[#This Row],[DEUDOR]],0)</f>
        <v>0</v>
      </c>
      <c r="J144" s="18">
        <f>IF((OR(tbal[[#This Row],[X]]=2,tbal[[#This Row],[X]]=3)),tbal[[#This Row],[ACREEDOR]],0)</f>
        <v>0</v>
      </c>
      <c r="K144" s="16">
        <f>IF((OR(tbal[[#This Row],[X]]=3,tbal[[#This Row],[X]]=5)),tbal[[#This Row],[DEUDOR]],0)</f>
        <v>0</v>
      </c>
      <c r="L144" s="18">
        <f>IF((OR(tbal[[#This Row],[X]]=3,tbal[[#This Row],[X]]=4)),tbal[[#This Row],[ACREEDOR]],0)</f>
        <v>0</v>
      </c>
      <c r="M144" s="16">
        <f>IF((OR(tbal[[#This Row],[X]]=0,tbal[[#This Row],[X]]=6)),tbal[[#This Row],[DEUDOR]],0)</f>
        <v>0</v>
      </c>
      <c r="N144" s="18">
        <f>IF((OR(tbal[[#This Row],[X]]=0,tbal[[#This Row],[X]]=5)),tbal[[#This Row],[ACREEDOR]],0)</f>
        <v>0</v>
      </c>
    </row>
    <row r="145" spans="1:14" hidden="1" x14ac:dyDescent="0.3">
      <c r="A145" s="14">
        <f>+'PLAN DE CUENTAS'!A145</f>
        <v>0</v>
      </c>
      <c r="B145" s="13">
        <f>+'PLAN DE CUENTAS'!B145</f>
        <v>0</v>
      </c>
      <c r="C145" s="13">
        <f>+'PLAN DE CUENTAS'!C145</f>
        <v>0</v>
      </c>
      <c r="D145" t="str">
        <f>IF(tbal[[#This Row],[DEBE]]+tbal[[#This Row],[HABER]]=0,"","X")</f>
        <v/>
      </c>
      <c r="E145" s="16">
        <f>SUMIF(tdiario[CUENTA],tbal[[#This Row],[CUENTA]],tdiario[DEBE])</f>
        <v>0</v>
      </c>
      <c r="F145" s="17">
        <f>SUMIF(tdiario[CUENTA],tbal[[#This Row],[CUENTA]],tdiario[HABER])</f>
        <v>0</v>
      </c>
      <c r="G145" s="16">
        <f>IF(tbal[[#This Row],[DEBE]]-tbal[[#This Row],[HABER]]&gt;0,tbal[[#This Row],[DEBE]]-tbal[[#This Row],[HABER]],0)</f>
        <v>0</v>
      </c>
      <c r="H145" s="18">
        <f>IF(tbal[[#This Row],[HABER]]-tbal[[#This Row],[DEBE]]&gt;0,tbal[[#This Row],[HABER]]-tbal[[#This Row],[DEBE]],0)</f>
        <v>0</v>
      </c>
      <c r="I145" s="16">
        <f>IF((OR(tbal[[#This Row],[X]]=1,tbal[[#This Row],[X]]=2)),tbal[[#This Row],[DEUDOR]],0)</f>
        <v>0</v>
      </c>
      <c r="J145" s="18">
        <f>IF((OR(tbal[[#This Row],[X]]=2,tbal[[#This Row],[X]]=3)),tbal[[#This Row],[ACREEDOR]],0)</f>
        <v>0</v>
      </c>
      <c r="K145" s="16">
        <f>IF((OR(tbal[[#This Row],[X]]=3,tbal[[#This Row],[X]]=5)),tbal[[#This Row],[DEUDOR]],0)</f>
        <v>0</v>
      </c>
      <c r="L145" s="18">
        <f>IF((OR(tbal[[#This Row],[X]]=3,tbal[[#This Row],[X]]=4)),tbal[[#This Row],[ACREEDOR]],0)</f>
        <v>0</v>
      </c>
      <c r="M145" s="16">
        <f>IF((OR(tbal[[#This Row],[X]]=0,tbal[[#This Row],[X]]=6)),tbal[[#This Row],[DEUDOR]],0)</f>
        <v>0</v>
      </c>
      <c r="N145" s="18">
        <f>IF((OR(tbal[[#This Row],[X]]=0,tbal[[#This Row],[X]]=5)),tbal[[#This Row],[ACREEDOR]],0)</f>
        <v>0</v>
      </c>
    </row>
    <row r="146" spans="1:14" hidden="1" x14ac:dyDescent="0.3">
      <c r="A146" s="14">
        <f>+'PLAN DE CUENTAS'!A146</f>
        <v>0</v>
      </c>
      <c r="B146" s="13">
        <f>+'PLAN DE CUENTAS'!B146</f>
        <v>0</v>
      </c>
      <c r="C146" s="13">
        <f>+'PLAN DE CUENTAS'!C146</f>
        <v>0</v>
      </c>
      <c r="D146" t="str">
        <f>IF(tbal[[#This Row],[DEBE]]+tbal[[#This Row],[HABER]]=0,"","X")</f>
        <v/>
      </c>
      <c r="E146" s="16">
        <f>SUMIF(tdiario[CUENTA],tbal[[#This Row],[CUENTA]],tdiario[DEBE])</f>
        <v>0</v>
      </c>
      <c r="F146" s="17">
        <f>SUMIF(tdiario[CUENTA],tbal[[#This Row],[CUENTA]],tdiario[HABER])</f>
        <v>0</v>
      </c>
      <c r="G146" s="16">
        <f>IF(tbal[[#This Row],[DEBE]]-tbal[[#This Row],[HABER]]&gt;0,tbal[[#This Row],[DEBE]]-tbal[[#This Row],[HABER]],0)</f>
        <v>0</v>
      </c>
      <c r="H146" s="18">
        <f>IF(tbal[[#This Row],[HABER]]-tbal[[#This Row],[DEBE]]&gt;0,tbal[[#This Row],[HABER]]-tbal[[#This Row],[DEBE]],0)</f>
        <v>0</v>
      </c>
      <c r="I146" s="16">
        <f>IF((OR(tbal[[#This Row],[X]]=1,tbal[[#This Row],[X]]=2)),tbal[[#This Row],[DEUDOR]],0)</f>
        <v>0</v>
      </c>
      <c r="J146" s="18">
        <f>IF((OR(tbal[[#This Row],[X]]=2,tbal[[#This Row],[X]]=3)),tbal[[#This Row],[ACREEDOR]],0)</f>
        <v>0</v>
      </c>
      <c r="K146" s="16">
        <f>IF((OR(tbal[[#This Row],[X]]=3,tbal[[#This Row],[X]]=5)),tbal[[#This Row],[DEUDOR]],0)</f>
        <v>0</v>
      </c>
      <c r="L146" s="18">
        <f>IF((OR(tbal[[#This Row],[X]]=3,tbal[[#This Row],[X]]=4)),tbal[[#This Row],[ACREEDOR]],0)</f>
        <v>0</v>
      </c>
      <c r="M146" s="16">
        <f>IF((OR(tbal[[#This Row],[X]]=0,tbal[[#This Row],[X]]=6)),tbal[[#This Row],[DEUDOR]],0)</f>
        <v>0</v>
      </c>
      <c r="N146" s="18">
        <f>IF((OR(tbal[[#This Row],[X]]=0,tbal[[#This Row],[X]]=5)),tbal[[#This Row],[ACREEDOR]],0)</f>
        <v>0</v>
      </c>
    </row>
    <row r="147" spans="1:14" hidden="1" x14ac:dyDescent="0.3">
      <c r="A147" s="14">
        <f>+'PLAN DE CUENTAS'!A147</f>
        <v>0</v>
      </c>
      <c r="B147" s="13">
        <f>+'PLAN DE CUENTAS'!B147</f>
        <v>0</v>
      </c>
      <c r="C147" s="13">
        <f>+'PLAN DE CUENTAS'!C147</f>
        <v>0</v>
      </c>
      <c r="D147" t="str">
        <f>IF(tbal[[#This Row],[DEBE]]+tbal[[#This Row],[HABER]]=0,"","X")</f>
        <v/>
      </c>
      <c r="E147" s="16">
        <f>SUMIF(tdiario[CUENTA],tbal[[#This Row],[CUENTA]],tdiario[DEBE])</f>
        <v>0</v>
      </c>
      <c r="F147" s="17">
        <f>SUMIF(tdiario[CUENTA],tbal[[#This Row],[CUENTA]],tdiario[HABER])</f>
        <v>0</v>
      </c>
      <c r="G147" s="16">
        <f>IF(tbal[[#This Row],[DEBE]]-tbal[[#This Row],[HABER]]&gt;0,tbal[[#This Row],[DEBE]]-tbal[[#This Row],[HABER]],0)</f>
        <v>0</v>
      </c>
      <c r="H147" s="18">
        <f>IF(tbal[[#This Row],[HABER]]-tbal[[#This Row],[DEBE]]&gt;0,tbal[[#This Row],[HABER]]-tbal[[#This Row],[DEBE]],0)</f>
        <v>0</v>
      </c>
      <c r="I147" s="16">
        <f>IF((OR(tbal[[#This Row],[X]]=1,tbal[[#This Row],[X]]=2)),tbal[[#This Row],[DEUDOR]],0)</f>
        <v>0</v>
      </c>
      <c r="J147" s="18">
        <f>IF((OR(tbal[[#This Row],[X]]=2,tbal[[#This Row],[X]]=3)),tbal[[#This Row],[ACREEDOR]],0)</f>
        <v>0</v>
      </c>
      <c r="K147" s="16">
        <f>IF((OR(tbal[[#This Row],[X]]=3,tbal[[#This Row],[X]]=5)),tbal[[#This Row],[DEUDOR]],0)</f>
        <v>0</v>
      </c>
      <c r="L147" s="18">
        <f>IF((OR(tbal[[#This Row],[X]]=3,tbal[[#This Row],[X]]=4)),tbal[[#This Row],[ACREEDOR]],0)</f>
        <v>0</v>
      </c>
      <c r="M147" s="16">
        <f>IF((OR(tbal[[#This Row],[X]]=0,tbal[[#This Row],[X]]=6)),tbal[[#This Row],[DEUDOR]],0)</f>
        <v>0</v>
      </c>
      <c r="N147" s="18">
        <f>IF((OR(tbal[[#This Row],[X]]=0,tbal[[#This Row],[X]]=5)),tbal[[#This Row],[ACREEDOR]],0)</f>
        <v>0</v>
      </c>
    </row>
    <row r="148" spans="1:14" hidden="1" x14ac:dyDescent="0.3">
      <c r="A148" s="14">
        <f>+'PLAN DE CUENTAS'!A148</f>
        <v>0</v>
      </c>
      <c r="B148" s="13">
        <f>+'PLAN DE CUENTAS'!B148</f>
        <v>0</v>
      </c>
      <c r="C148" s="13">
        <f>+'PLAN DE CUENTAS'!C148</f>
        <v>0</v>
      </c>
      <c r="D148" t="str">
        <f>IF(tbal[[#This Row],[DEBE]]+tbal[[#This Row],[HABER]]=0,"","X")</f>
        <v/>
      </c>
      <c r="E148" s="16">
        <f>SUMIF(tdiario[CUENTA],tbal[[#This Row],[CUENTA]],tdiario[DEBE])</f>
        <v>0</v>
      </c>
      <c r="F148" s="17">
        <f>SUMIF(tdiario[CUENTA],tbal[[#This Row],[CUENTA]],tdiario[HABER])</f>
        <v>0</v>
      </c>
      <c r="G148" s="16">
        <f>IF(tbal[[#This Row],[DEBE]]-tbal[[#This Row],[HABER]]&gt;0,tbal[[#This Row],[DEBE]]-tbal[[#This Row],[HABER]],0)</f>
        <v>0</v>
      </c>
      <c r="H148" s="18">
        <f>IF(tbal[[#This Row],[HABER]]-tbal[[#This Row],[DEBE]]&gt;0,tbal[[#This Row],[HABER]]-tbal[[#This Row],[DEBE]],0)</f>
        <v>0</v>
      </c>
      <c r="I148" s="16">
        <f>IF((OR(tbal[[#This Row],[X]]=1,tbal[[#This Row],[X]]=2)),tbal[[#This Row],[DEUDOR]],0)</f>
        <v>0</v>
      </c>
      <c r="J148" s="18">
        <f>IF((OR(tbal[[#This Row],[X]]=2,tbal[[#This Row],[X]]=3)),tbal[[#This Row],[ACREEDOR]],0)</f>
        <v>0</v>
      </c>
      <c r="K148" s="16">
        <f>IF((OR(tbal[[#This Row],[X]]=3,tbal[[#This Row],[X]]=5)),tbal[[#This Row],[DEUDOR]],0)</f>
        <v>0</v>
      </c>
      <c r="L148" s="18">
        <f>IF((OR(tbal[[#This Row],[X]]=3,tbal[[#This Row],[X]]=4)),tbal[[#This Row],[ACREEDOR]],0)</f>
        <v>0</v>
      </c>
      <c r="M148" s="16">
        <f>IF((OR(tbal[[#This Row],[X]]=0,tbal[[#This Row],[X]]=6)),tbal[[#This Row],[DEUDOR]],0)</f>
        <v>0</v>
      </c>
      <c r="N148" s="18">
        <f>IF((OR(tbal[[#This Row],[X]]=0,tbal[[#This Row],[X]]=5)),tbal[[#This Row],[ACREEDOR]],0)</f>
        <v>0</v>
      </c>
    </row>
    <row r="149" spans="1:14" hidden="1" x14ac:dyDescent="0.3">
      <c r="A149" s="14">
        <f>+'PLAN DE CUENTAS'!A149</f>
        <v>0</v>
      </c>
      <c r="B149" s="13">
        <f>+'PLAN DE CUENTAS'!B149</f>
        <v>0</v>
      </c>
      <c r="C149" s="13">
        <f>+'PLAN DE CUENTAS'!C149</f>
        <v>0</v>
      </c>
      <c r="D149" t="str">
        <f>IF(tbal[[#This Row],[DEBE]]+tbal[[#This Row],[HABER]]=0,"","X")</f>
        <v/>
      </c>
      <c r="E149" s="16">
        <f>SUMIF(tdiario[CUENTA],tbal[[#This Row],[CUENTA]],tdiario[DEBE])</f>
        <v>0</v>
      </c>
      <c r="F149" s="17">
        <f>SUMIF(tdiario[CUENTA],tbal[[#This Row],[CUENTA]],tdiario[HABER])</f>
        <v>0</v>
      </c>
      <c r="G149" s="16">
        <f>IF(tbal[[#This Row],[DEBE]]-tbal[[#This Row],[HABER]]&gt;0,tbal[[#This Row],[DEBE]]-tbal[[#This Row],[HABER]],0)</f>
        <v>0</v>
      </c>
      <c r="H149" s="18">
        <f>IF(tbal[[#This Row],[HABER]]-tbal[[#This Row],[DEBE]]&gt;0,tbal[[#This Row],[HABER]]-tbal[[#This Row],[DEBE]],0)</f>
        <v>0</v>
      </c>
      <c r="I149" s="16">
        <f>IF((OR(tbal[[#This Row],[X]]=1,tbal[[#This Row],[X]]=2)),tbal[[#This Row],[DEUDOR]],0)</f>
        <v>0</v>
      </c>
      <c r="J149" s="18">
        <f>IF((OR(tbal[[#This Row],[X]]=2,tbal[[#This Row],[X]]=3)),tbal[[#This Row],[ACREEDOR]],0)</f>
        <v>0</v>
      </c>
      <c r="K149" s="16">
        <f>IF((OR(tbal[[#This Row],[X]]=3,tbal[[#This Row],[X]]=5)),tbal[[#This Row],[DEUDOR]],0)</f>
        <v>0</v>
      </c>
      <c r="L149" s="18">
        <f>IF((OR(tbal[[#This Row],[X]]=3,tbal[[#This Row],[X]]=4)),tbal[[#This Row],[ACREEDOR]],0)</f>
        <v>0</v>
      </c>
      <c r="M149" s="16">
        <f>IF((OR(tbal[[#This Row],[X]]=0,tbal[[#This Row],[X]]=6)),tbal[[#This Row],[DEUDOR]],0)</f>
        <v>0</v>
      </c>
      <c r="N149" s="18">
        <f>IF((OR(tbal[[#This Row],[X]]=0,tbal[[#This Row],[X]]=5)),tbal[[#This Row],[ACREEDOR]],0)</f>
        <v>0</v>
      </c>
    </row>
    <row r="150" spans="1:14" hidden="1" x14ac:dyDescent="0.3">
      <c r="A150" s="14">
        <f>+'PLAN DE CUENTAS'!A150</f>
        <v>0</v>
      </c>
      <c r="B150" s="13">
        <f>+'PLAN DE CUENTAS'!B150</f>
        <v>0</v>
      </c>
      <c r="C150" s="13">
        <f>+'PLAN DE CUENTAS'!C150</f>
        <v>0</v>
      </c>
      <c r="D150" t="str">
        <f>IF(tbal[[#This Row],[DEBE]]+tbal[[#This Row],[HABER]]=0,"","X")</f>
        <v/>
      </c>
      <c r="E150" s="16">
        <f>SUMIF(tdiario[CUENTA],tbal[[#This Row],[CUENTA]],tdiario[DEBE])</f>
        <v>0</v>
      </c>
      <c r="F150" s="17">
        <f>SUMIF(tdiario[CUENTA],tbal[[#This Row],[CUENTA]],tdiario[HABER])</f>
        <v>0</v>
      </c>
      <c r="G150" s="16">
        <f>IF(tbal[[#This Row],[DEBE]]-tbal[[#This Row],[HABER]]&gt;0,tbal[[#This Row],[DEBE]]-tbal[[#This Row],[HABER]],0)</f>
        <v>0</v>
      </c>
      <c r="H150" s="18">
        <f>IF(tbal[[#This Row],[HABER]]-tbal[[#This Row],[DEBE]]&gt;0,tbal[[#This Row],[HABER]]-tbal[[#This Row],[DEBE]],0)</f>
        <v>0</v>
      </c>
      <c r="I150" s="16">
        <f>IF((OR(tbal[[#This Row],[X]]=1,tbal[[#This Row],[X]]=2)),tbal[[#This Row],[DEUDOR]],0)</f>
        <v>0</v>
      </c>
      <c r="J150" s="18">
        <f>IF((OR(tbal[[#This Row],[X]]=2,tbal[[#This Row],[X]]=3)),tbal[[#This Row],[ACREEDOR]],0)</f>
        <v>0</v>
      </c>
      <c r="K150" s="16">
        <f>IF((OR(tbal[[#This Row],[X]]=3,tbal[[#This Row],[X]]=5)),tbal[[#This Row],[DEUDOR]],0)</f>
        <v>0</v>
      </c>
      <c r="L150" s="18">
        <f>IF((OR(tbal[[#This Row],[X]]=3,tbal[[#This Row],[X]]=4)),tbal[[#This Row],[ACREEDOR]],0)</f>
        <v>0</v>
      </c>
      <c r="M150" s="16">
        <f>IF((OR(tbal[[#This Row],[X]]=0,tbal[[#This Row],[X]]=6)),tbal[[#This Row],[DEUDOR]],0)</f>
        <v>0</v>
      </c>
      <c r="N150" s="18">
        <f>IF((OR(tbal[[#This Row],[X]]=0,tbal[[#This Row],[X]]=5)),tbal[[#This Row],[ACREEDOR]],0)</f>
        <v>0</v>
      </c>
    </row>
    <row r="151" spans="1:14" hidden="1" x14ac:dyDescent="0.3">
      <c r="A151" s="14">
        <f>+'PLAN DE CUENTAS'!A151</f>
        <v>0</v>
      </c>
      <c r="B151" s="13">
        <f>+'PLAN DE CUENTAS'!B151</f>
        <v>0</v>
      </c>
      <c r="C151" s="13">
        <f>+'PLAN DE CUENTAS'!C151</f>
        <v>0</v>
      </c>
      <c r="D151" t="str">
        <f>IF(tbal[[#This Row],[DEBE]]+tbal[[#This Row],[HABER]]=0,"","X")</f>
        <v/>
      </c>
      <c r="E151" s="16">
        <f>SUMIF(tdiario[CUENTA],tbal[[#This Row],[CUENTA]],tdiario[DEBE])</f>
        <v>0</v>
      </c>
      <c r="F151" s="17">
        <f>SUMIF(tdiario[CUENTA],tbal[[#This Row],[CUENTA]],tdiario[HABER])</f>
        <v>0</v>
      </c>
      <c r="G151" s="16">
        <f>IF(tbal[[#This Row],[DEBE]]-tbal[[#This Row],[HABER]]&gt;0,tbal[[#This Row],[DEBE]]-tbal[[#This Row],[HABER]],0)</f>
        <v>0</v>
      </c>
      <c r="H151" s="18">
        <f>IF(tbal[[#This Row],[HABER]]-tbal[[#This Row],[DEBE]]&gt;0,tbal[[#This Row],[HABER]]-tbal[[#This Row],[DEBE]],0)</f>
        <v>0</v>
      </c>
      <c r="I151" s="16">
        <f>IF((OR(tbal[[#This Row],[X]]=1,tbal[[#This Row],[X]]=2)),tbal[[#This Row],[DEUDOR]],0)</f>
        <v>0</v>
      </c>
      <c r="J151" s="18">
        <f>IF((OR(tbal[[#This Row],[X]]=2,tbal[[#This Row],[X]]=3)),tbal[[#This Row],[ACREEDOR]],0)</f>
        <v>0</v>
      </c>
      <c r="K151" s="16">
        <f>IF((OR(tbal[[#This Row],[X]]=3,tbal[[#This Row],[X]]=5)),tbal[[#This Row],[DEUDOR]],0)</f>
        <v>0</v>
      </c>
      <c r="L151" s="18">
        <f>IF((OR(tbal[[#This Row],[X]]=3,tbal[[#This Row],[X]]=4)),tbal[[#This Row],[ACREEDOR]],0)</f>
        <v>0</v>
      </c>
      <c r="M151" s="16">
        <f>IF((OR(tbal[[#This Row],[X]]=0,tbal[[#This Row],[X]]=6)),tbal[[#This Row],[DEUDOR]],0)</f>
        <v>0</v>
      </c>
      <c r="N151" s="18">
        <f>IF((OR(tbal[[#This Row],[X]]=0,tbal[[#This Row],[X]]=5)),tbal[[#This Row],[ACREEDOR]],0)</f>
        <v>0</v>
      </c>
    </row>
    <row r="152" spans="1:14" hidden="1" x14ac:dyDescent="0.3">
      <c r="A152" s="14">
        <f>+'PLAN DE CUENTAS'!A152</f>
        <v>0</v>
      </c>
      <c r="B152" s="13">
        <f>+'PLAN DE CUENTAS'!B152</f>
        <v>0</v>
      </c>
      <c r="C152" s="13">
        <f>+'PLAN DE CUENTAS'!C152</f>
        <v>0</v>
      </c>
      <c r="D152" t="str">
        <f>IF(tbal[[#This Row],[DEBE]]+tbal[[#This Row],[HABER]]=0,"","X")</f>
        <v/>
      </c>
      <c r="E152" s="16">
        <f>SUMIF(tdiario[CUENTA],tbal[[#This Row],[CUENTA]],tdiario[DEBE])</f>
        <v>0</v>
      </c>
      <c r="F152" s="17">
        <f>SUMIF(tdiario[CUENTA],tbal[[#This Row],[CUENTA]],tdiario[HABER])</f>
        <v>0</v>
      </c>
      <c r="G152" s="16">
        <f>IF(tbal[[#This Row],[DEBE]]-tbal[[#This Row],[HABER]]&gt;0,tbal[[#This Row],[DEBE]]-tbal[[#This Row],[HABER]],0)</f>
        <v>0</v>
      </c>
      <c r="H152" s="18">
        <f>IF(tbal[[#This Row],[HABER]]-tbal[[#This Row],[DEBE]]&gt;0,tbal[[#This Row],[HABER]]-tbal[[#This Row],[DEBE]],0)</f>
        <v>0</v>
      </c>
      <c r="I152" s="16">
        <f>IF((OR(tbal[[#This Row],[X]]=1,tbal[[#This Row],[X]]=2)),tbal[[#This Row],[DEUDOR]],0)</f>
        <v>0</v>
      </c>
      <c r="J152" s="18">
        <f>IF((OR(tbal[[#This Row],[X]]=2,tbal[[#This Row],[X]]=3)),tbal[[#This Row],[ACREEDOR]],0)</f>
        <v>0</v>
      </c>
      <c r="K152" s="16">
        <f>IF((OR(tbal[[#This Row],[X]]=3,tbal[[#This Row],[X]]=5)),tbal[[#This Row],[DEUDOR]],0)</f>
        <v>0</v>
      </c>
      <c r="L152" s="18">
        <f>IF((OR(tbal[[#This Row],[X]]=3,tbal[[#This Row],[X]]=4)),tbal[[#This Row],[ACREEDOR]],0)</f>
        <v>0</v>
      </c>
      <c r="M152" s="16">
        <f>IF((OR(tbal[[#This Row],[X]]=0,tbal[[#This Row],[X]]=6)),tbal[[#This Row],[DEUDOR]],0)</f>
        <v>0</v>
      </c>
      <c r="N152" s="18">
        <f>IF((OR(tbal[[#This Row],[X]]=0,tbal[[#This Row],[X]]=5)),tbal[[#This Row],[ACREEDOR]],0)</f>
        <v>0</v>
      </c>
    </row>
    <row r="153" spans="1:14" hidden="1" x14ac:dyDescent="0.3">
      <c r="A153" s="14">
        <f>+'PLAN DE CUENTAS'!A153</f>
        <v>0</v>
      </c>
      <c r="B153" s="13">
        <f>+'PLAN DE CUENTAS'!B153</f>
        <v>0</v>
      </c>
      <c r="C153" s="13">
        <f>+'PLAN DE CUENTAS'!C153</f>
        <v>0</v>
      </c>
      <c r="D153" t="str">
        <f>IF(tbal[[#This Row],[DEBE]]+tbal[[#This Row],[HABER]]=0,"","X")</f>
        <v/>
      </c>
      <c r="E153" s="16">
        <f>SUMIF(tdiario[CUENTA],tbal[[#This Row],[CUENTA]],tdiario[DEBE])</f>
        <v>0</v>
      </c>
      <c r="F153" s="17">
        <f>SUMIF(tdiario[CUENTA],tbal[[#This Row],[CUENTA]],tdiario[HABER])</f>
        <v>0</v>
      </c>
      <c r="G153" s="16">
        <f>IF(tbal[[#This Row],[DEBE]]-tbal[[#This Row],[HABER]]&gt;0,tbal[[#This Row],[DEBE]]-tbal[[#This Row],[HABER]],0)</f>
        <v>0</v>
      </c>
      <c r="H153" s="18">
        <f>IF(tbal[[#This Row],[HABER]]-tbal[[#This Row],[DEBE]]&gt;0,tbal[[#This Row],[HABER]]-tbal[[#This Row],[DEBE]],0)</f>
        <v>0</v>
      </c>
      <c r="I153" s="16">
        <f>IF((OR(tbal[[#This Row],[X]]=1,tbal[[#This Row],[X]]=2)),tbal[[#This Row],[DEUDOR]],0)</f>
        <v>0</v>
      </c>
      <c r="J153" s="18">
        <f>IF((OR(tbal[[#This Row],[X]]=2,tbal[[#This Row],[X]]=3)),tbal[[#This Row],[ACREEDOR]],0)</f>
        <v>0</v>
      </c>
      <c r="K153" s="16">
        <f>IF((OR(tbal[[#This Row],[X]]=3,tbal[[#This Row],[X]]=5)),tbal[[#This Row],[DEUDOR]],0)</f>
        <v>0</v>
      </c>
      <c r="L153" s="18">
        <f>IF((OR(tbal[[#This Row],[X]]=3,tbal[[#This Row],[X]]=4)),tbal[[#This Row],[ACREEDOR]],0)</f>
        <v>0</v>
      </c>
      <c r="M153" s="16">
        <f>IF((OR(tbal[[#This Row],[X]]=0,tbal[[#This Row],[X]]=6)),tbal[[#This Row],[DEUDOR]],0)</f>
        <v>0</v>
      </c>
      <c r="N153" s="18">
        <f>IF((OR(tbal[[#This Row],[X]]=0,tbal[[#This Row],[X]]=5)),tbal[[#This Row],[ACREEDOR]],0)</f>
        <v>0</v>
      </c>
    </row>
    <row r="154" spans="1:14" hidden="1" x14ac:dyDescent="0.3">
      <c r="A154" s="14">
        <f>+'PLAN DE CUENTAS'!A154</f>
        <v>0</v>
      </c>
      <c r="B154" s="13">
        <f>+'PLAN DE CUENTAS'!B154</f>
        <v>0</v>
      </c>
      <c r="C154" s="13">
        <f>+'PLAN DE CUENTAS'!C154</f>
        <v>0</v>
      </c>
      <c r="D154" t="str">
        <f>IF(tbal[[#This Row],[DEBE]]+tbal[[#This Row],[HABER]]=0,"","X")</f>
        <v/>
      </c>
      <c r="E154" s="16">
        <f>SUMIF(tdiario[CUENTA],tbal[[#This Row],[CUENTA]],tdiario[DEBE])</f>
        <v>0</v>
      </c>
      <c r="F154" s="17">
        <f>SUMIF(tdiario[CUENTA],tbal[[#This Row],[CUENTA]],tdiario[HABER])</f>
        <v>0</v>
      </c>
      <c r="G154" s="16">
        <f>IF(tbal[[#This Row],[DEBE]]-tbal[[#This Row],[HABER]]&gt;0,tbal[[#This Row],[DEBE]]-tbal[[#This Row],[HABER]],0)</f>
        <v>0</v>
      </c>
      <c r="H154" s="18">
        <f>IF(tbal[[#This Row],[HABER]]-tbal[[#This Row],[DEBE]]&gt;0,tbal[[#This Row],[HABER]]-tbal[[#This Row],[DEBE]],0)</f>
        <v>0</v>
      </c>
      <c r="I154" s="16">
        <f>IF((OR(tbal[[#This Row],[X]]=1,tbal[[#This Row],[X]]=2)),tbal[[#This Row],[DEUDOR]],0)</f>
        <v>0</v>
      </c>
      <c r="J154" s="18">
        <f>IF((OR(tbal[[#This Row],[X]]=2,tbal[[#This Row],[X]]=3)),tbal[[#This Row],[ACREEDOR]],0)</f>
        <v>0</v>
      </c>
      <c r="K154" s="16">
        <f>IF((OR(tbal[[#This Row],[X]]=3,tbal[[#This Row],[X]]=5)),tbal[[#This Row],[DEUDOR]],0)</f>
        <v>0</v>
      </c>
      <c r="L154" s="18">
        <f>IF((OR(tbal[[#This Row],[X]]=3,tbal[[#This Row],[X]]=4)),tbal[[#This Row],[ACREEDOR]],0)</f>
        <v>0</v>
      </c>
      <c r="M154" s="16">
        <f>IF((OR(tbal[[#This Row],[X]]=0,tbal[[#This Row],[X]]=6)),tbal[[#This Row],[DEUDOR]],0)</f>
        <v>0</v>
      </c>
      <c r="N154" s="18">
        <f>IF((OR(tbal[[#This Row],[X]]=0,tbal[[#This Row],[X]]=5)),tbal[[#This Row],[ACREEDOR]],0)</f>
        <v>0</v>
      </c>
    </row>
    <row r="155" spans="1:14" hidden="1" x14ac:dyDescent="0.3">
      <c r="A155" s="14">
        <f>+'PLAN DE CUENTAS'!A155</f>
        <v>0</v>
      </c>
      <c r="B155" s="13">
        <f>+'PLAN DE CUENTAS'!B155</f>
        <v>0</v>
      </c>
      <c r="C155" s="13">
        <f>+'PLAN DE CUENTAS'!C155</f>
        <v>0</v>
      </c>
      <c r="D155" t="str">
        <f>IF(tbal[[#This Row],[DEBE]]+tbal[[#This Row],[HABER]]=0,"","X")</f>
        <v/>
      </c>
      <c r="E155" s="16">
        <f>SUMIF(tdiario[CUENTA],tbal[[#This Row],[CUENTA]],tdiario[DEBE])</f>
        <v>0</v>
      </c>
      <c r="F155" s="17">
        <f>SUMIF(tdiario[CUENTA],tbal[[#This Row],[CUENTA]],tdiario[HABER])</f>
        <v>0</v>
      </c>
      <c r="G155" s="16">
        <f>IF(tbal[[#This Row],[DEBE]]-tbal[[#This Row],[HABER]]&gt;0,tbal[[#This Row],[DEBE]]-tbal[[#This Row],[HABER]],0)</f>
        <v>0</v>
      </c>
      <c r="H155" s="18">
        <f>IF(tbal[[#This Row],[HABER]]-tbal[[#This Row],[DEBE]]&gt;0,tbal[[#This Row],[HABER]]-tbal[[#This Row],[DEBE]],0)</f>
        <v>0</v>
      </c>
      <c r="I155" s="16">
        <f>IF((OR(tbal[[#This Row],[X]]=1,tbal[[#This Row],[X]]=2)),tbal[[#This Row],[DEUDOR]],0)</f>
        <v>0</v>
      </c>
      <c r="J155" s="18">
        <f>IF((OR(tbal[[#This Row],[X]]=2,tbal[[#This Row],[X]]=3)),tbal[[#This Row],[ACREEDOR]],0)</f>
        <v>0</v>
      </c>
      <c r="K155" s="16">
        <f>IF((OR(tbal[[#This Row],[X]]=3,tbal[[#This Row],[X]]=5)),tbal[[#This Row],[DEUDOR]],0)</f>
        <v>0</v>
      </c>
      <c r="L155" s="18">
        <f>IF((OR(tbal[[#This Row],[X]]=3,tbal[[#This Row],[X]]=4)),tbal[[#This Row],[ACREEDOR]],0)</f>
        <v>0</v>
      </c>
      <c r="M155" s="16">
        <f>IF((OR(tbal[[#This Row],[X]]=0,tbal[[#This Row],[X]]=6)),tbal[[#This Row],[DEUDOR]],0)</f>
        <v>0</v>
      </c>
      <c r="N155" s="18">
        <f>IF((OR(tbal[[#This Row],[X]]=0,tbal[[#This Row],[X]]=5)),tbal[[#This Row],[ACREEDOR]],0)</f>
        <v>0</v>
      </c>
    </row>
    <row r="156" spans="1:14" hidden="1" x14ac:dyDescent="0.3">
      <c r="A156" s="14">
        <f>+'PLAN DE CUENTAS'!A156</f>
        <v>0</v>
      </c>
      <c r="B156" s="13">
        <f>+'PLAN DE CUENTAS'!B156</f>
        <v>0</v>
      </c>
      <c r="C156" s="13">
        <f>+'PLAN DE CUENTAS'!C156</f>
        <v>0</v>
      </c>
      <c r="D156" t="str">
        <f>IF(tbal[[#This Row],[DEBE]]+tbal[[#This Row],[HABER]]=0,"","X")</f>
        <v/>
      </c>
      <c r="E156" s="16">
        <f>SUMIF(tdiario[CUENTA],tbal[[#This Row],[CUENTA]],tdiario[DEBE])</f>
        <v>0</v>
      </c>
      <c r="F156" s="17">
        <f>SUMIF(tdiario[CUENTA],tbal[[#This Row],[CUENTA]],tdiario[HABER])</f>
        <v>0</v>
      </c>
      <c r="G156" s="16">
        <f>IF(tbal[[#This Row],[DEBE]]-tbal[[#This Row],[HABER]]&gt;0,tbal[[#This Row],[DEBE]]-tbal[[#This Row],[HABER]],0)</f>
        <v>0</v>
      </c>
      <c r="H156" s="18">
        <f>IF(tbal[[#This Row],[HABER]]-tbal[[#This Row],[DEBE]]&gt;0,tbal[[#This Row],[HABER]]-tbal[[#This Row],[DEBE]],0)</f>
        <v>0</v>
      </c>
      <c r="I156" s="16">
        <f>IF((OR(tbal[[#This Row],[X]]=1,tbal[[#This Row],[X]]=2)),tbal[[#This Row],[DEUDOR]],0)</f>
        <v>0</v>
      </c>
      <c r="J156" s="18">
        <f>IF((OR(tbal[[#This Row],[X]]=2,tbal[[#This Row],[X]]=3)),tbal[[#This Row],[ACREEDOR]],0)</f>
        <v>0</v>
      </c>
      <c r="K156" s="16">
        <f>IF((OR(tbal[[#This Row],[X]]=3,tbal[[#This Row],[X]]=5)),tbal[[#This Row],[DEUDOR]],0)</f>
        <v>0</v>
      </c>
      <c r="L156" s="18">
        <f>IF((OR(tbal[[#This Row],[X]]=3,tbal[[#This Row],[X]]=4)),tbal[[#This Row],[ACREEDOR]],0)</f>
        <v>0</v>
      </c>
      <c r="M156" s="16">
        <f>IF((OR(tbal[[#This Row],[X]]=0,tbal[[#This Row],[X]]=6)),tbal[[#This Row],[DEUDOR]],0)</f>
        <v>0</v>
      </c>
      <c r="N156" s="18">
        <f>IF((OR(tbal[[#This Row],[X]]=0,tbal[[#This Row],[X]]=5)),tbal[[#This Row],[ACREEDOR]],0)</f>
        <v>0</v>
      </c>
    </row>
    <row r="157" spans="1:14" hidden="1" x14ac:dyDescent="0.3">
      <c r="A157" s="14">
        <f>+'PLAN DE CUENTAS'!A157</f>
        <v>0</v>
      </c>
      <c r="B157" s="13">
        <f>+'PLAN DE CUENTAS'!B157</f>
        <v>0</v>
      </c>
      <c r="C157" s="13">
        <f>+'PLAN DE CUENTAS'!C157</f>
        <v>0</v>
      </c>
      <c r="D157" t="str">
        <f>IF(tbal[[#This Row],[DEBE]]+tbal[[#This Row],[HABER]]=0,"","X")</f>
        <v/>
      </c>
      <c r="E157" s="16">
        <f>SUMIF(tdiario[CUENTA],tbal[[#This Row],[CUENTA]],tdiario[DEBE])</f>
        <v>0</v>
      </c>
      <c r="F157" s="17">
        <f>SUMIF(tdiario[CUENTA],tbal[[#This Row],[CUENTA]],tdiario[HABER])</f>
        <v>0</v>
      </c>
      <c r="G157" s="16">
        <f>IF(tbal[[#This Row],[DEBE]]-tbal[[#This Row],[HABER]]&gt;0,tbal[[#This Row],[DEBE]]-tbal[[#This Row],[HABER]],0)</f>
        <v>0</v>
      </c>
      <c r="H157" s="18">
        <f>IF(tbal[[#This Row],[HABER]]-tbal[[#This Row],[DEBE]]&gt;0,tbal[[#This Row],[HABER]]-tbal[[#This Row],[DEBE]],0)</f>
        <v>0</v>
      </c>
      <c r="I157" s="16">
        <f>IF((OR(tbal[[#This Row],[X]]=1,tbal[[#This Row],[X]]=2)),tbal[[#This Row],[DEUDOR]],0)</f>
        <v>0</v>
      </c>
      <c r="J157" s="18">
        <f>IF((OR(tbal[[#This Row],[X]]=2,tbal[[#This Row],[X]]=3)),tbal[[#This Row],[ACREEDOR]],0)</f>
        <v>0</v>
      </c>
      <c r="K157" s="16">
        <f>IF((OR(tbal[[#This Row],[X]]=3,tbal[[#This Row],[X]]=5)),tbal[[#This Row],[DEUDOR]],0)</f>
        <v>0</v>
      </c>
      <c r="L157" s="18">
        <f>IF((OR(tbal[[#This Row],[X]]=3,tbal[[#This Row],[X]]=4)),tbal[[#This Row],[ACREEDOR]],0)</f>
        <v>0</v>
      </c>
      <c r="M157" s="16">
        <f>IF((OR(tbal[[#This Row],[X]]=0,tbal[[#This Row],[X]]=6)),tbal[[#This Row],[DEUDOR]],0)</f>
        <v>0</v>
      </c>
      <c r="N157" s="18">
        <f>IF((OR(tbal[[#This Row],[X]]=0,tbal[[#This Row],[X]]=5)),tbal[[#This Row],[ACREEDOR]],0)</f>
        <v>0</v>
      </c>
    </row>
    <row r="158" spans="1:14" hidden="1" x14ac:dyDescent="0.3">
      <c r="A158" s="14">
        <f>+'PLAN DE CUENTAS'!A158</f>
        <v>0</v>
      </c>
      <c r="B158" s="13">
        <f>+'PLAN DE CUENTAS'!B158</f>
        <v>0</v>
      </c>
      <c r="C158" s="13">
        <f>+'PLAN DE CUENTAS'!C158</f>
        <v>0</v>
      </c>
      <c r="D158" t="str">
        <f>IF(tbal[[#This Row],[DEBE]]+tbal[[#This Row],[HABER]]=0,"","X")</f>
        <v/>
      </c>
      <c r="E158" s="16">
        <f>SUMIF(tdiario[CUENTA],tbal[[#This Row],[CUENTA]],tdiario[DEBE])</f>
        <v>0</v>
      </c>
      <c r="F158" s="17">
        <f>SUMIF(tdiario[CUENTA],tbal[[#This Row],[CUENTA]],tdiario[HABER])</f>
        <v>0</v>
      </c>
      <c r="G158" s="16">
        <f>IF(tbal[[#This Row],[DEBE]]-tbal[[#This Row],[HABER]]&gt;0,tbal[[#This Row],[DEBE]]-tbal[[#This Row],[HABER]],0)</f>
        <v>0</v>
      </c>
      <c r="H158" s="18">
        <f>IF(tbal[[#This Row],[HABER]]-tbal[[#This Row],[DEBE]]&gt;0,tbal[[#This Row],[HABER]]-tbal[[#This Row],[DEBE]],0)</f>
        <v>0</v>
      </c>
      <c r="I158" s="16">
        <f>IF((OR(tbal[[#This Row],[X]]=1,tbal[[#This Row],[X]]=2)),tbal[[#This Row],[DEUDOR]],0)</f>
        <v>0</v>
      </c>
      <c r="J158" s="18">
        <f>IF((OR(tbal[[#This Row],[X]]=2,tbal[[#This Row],[X]]=3)),tbal[[#This Row],[ACREEDOR]],0)</f>
        <v>0</v>
      </c>
      <c r="K158" s="16">
        <f>IF((OR(tbal[[#This Row],[X]]=3,tbal[[#This Row],[X]]=5)),tbal[[#This Row],[DEUDOR]],0)</f>
        <v>0</v>
      </c>
      <c r="L158" s="18">
        <f>IF((OR(tbal[[#This Row],[X]]=3,tbal[[#This Row],[X]]=4)),tbal[[#This Row],[ACREEDOR]],0)</f>
        <v>0</v>
      </c>
      <c r="M158" s="16">
        <f>IF((OR(tbal[[#This Row],[X]]=0,tbal[[#This Row],[X]]=6)),tbal[[#This Row],[DEUDOR]],0)</f>
        <v>0</v>
      </c>
      <c r="N158" s="18">
        <f>IF((OR(tbal[[#This Row],[X]]=0,tbal[[#This Row],[X]]=5)),tbal[[#This Row],[ACREEDOR]],0)</f>
        <v>0</v>
      </c>
    </row>
    <row r="159" spans="1:14" hidden="1" x14ac:dyDescent="0.3">
      <c r="A159" s="14">
        <f>+'PLAN DE CUENTAS'!A159</f>
        <v>0</v>
      </c>
      <c r="B159" s="13">
        <f>+'PLAN DE CUENTAS'!B159</f>
        <v>0</v>
      </c>
      <c r="C159" s="13">
        <f>+'PLAN DE CUENTAS'!C159</f>
        <v>0</v>
      </c>
      <c r="D159" t="str">
        <f>IF(tbal[[#This Row],[DEBE]]+tbal[[#This Row],[HABER]]=0,"","X")</f>
        <v/>
      </c>
      <c r="E159" s="16">
        <f>SUMIF(tdiario[CUENTA],tbal[[#This Row],[CUENTA]],tdiario[DEBE])</f>
        <v>0</v>
      </c>
      <c r="F159" s="17">
        <f>SUMIF(tdiario[CUENTA],tbal[[#This Row],[CUENTA]],tdiario[HABER])</f>
        <v>0</v>
      </c>
      <c r="G159" s="16">
        <f>IF(tbal[[#This Row],[DEBE]]-tbal[[#This Row],[HABER]]&gt;0,tbal[[#This Row],[DEBE]]-tbal[[#This Row],[HABER]],0)</f>
        <v>0</v>
      </c>
      <c r="H159" s="18">
        <f>IF(tbal[[#This Row],[HABER]]-tbal[[#This Row],[DEBE]]&gt;0,tbal[[#This Row],[HABER]]-tbal[[#This Row],[DEBE]],0)</f>
        <v>0</v>
      </c>
      <c r="I159" s="16">
        <f>IF((OR(tbal[[#This Row],[X]]=1,tbal[[#This Row],[X]]=2)),tbal[[#This Row],[DEUDOR]],0)</f>
        <v>0</v>
      </c>
      <c r="J159" s="18">
        <f>IF((OR(tbal[[#This Row],[X]]=2,tbal[[#This Row],[X]]=3)),tbal[[#This Row],[ACREEDOR]],0)</f>
        <v>0</v>
      </c>
      <c r="K159" s="16">
        <f>IF((OR(tbal[[#This Row],[X]]=3,tbal[[#This Row],[X]]=5)),tbal[[#This Row],[DEUDOR]],0)</f>
        <v>0</v>
      </c>
      <c r="L159" s="18">
        <f>IF((OR(tbal[[#This Row],[X]]=3,tbal[[#This Row],[X]]=4)),tbal[[#This Row],[ACREEDOR]],0)</f>
        <v>0</v>
      </c>
      <c r="M159" s="16">
        <f>IF((OR(tbal[[#This Row],[X]]=0,tbal[[#This Row],[X]]=6)),tbal[[#This Row],[DEUDOR]],0)</f>
        <v>0</v>
      </c>
      <c r="N159" s="18">
        <f>IF((OR(tbal[[#This Row],[X]]=0,tbal[[#This Row],[X]]=5)),tbal[[#This Row],[ACREEDOR]],0)</f>
        <v>0</v>
      </c>
    </row>
    <row r="160" spans="1:14" hidden="1" x14ac:dyDescent="0.3">
      <c r="A160" s="14">
        <f>+'PLAN DE CUENTAS'!A160</f>
        <v>0</v>
      </c>
      <c r="B160" s="13">
        <f>+'PLAN DE CUENTAS'!B160</f>
        <v>0</v>
      </c>
      <c r="C160" s="13">
        <f>+'PLAN DE CUENTAS'!C160</f>
        <v>0</v>
      </c>
      <c r="D160" t="str">
        <f>IF(tbal[[#This Row],[DEBE]]+tbal[[#This Row],[HABER]]=0,"","X")</f>
        <v/>
      </c>
      <c r="E160" s="16">
        <f>SUMIF(tdiario[CUENTA],tbal[[#This Row],[CUENTA]],tdiario[DEBE])</f>
        <v>0</v>
      </c>
      <c r="F160" s="17">
        <f>SUMIF(tdiario[CUENTA],tbal[[#This Row],[CUENTA]],tdiario[HABER])</f>
        <v>0</v>
      </c>
      <c r="G160" s="16">
        <f>IF(tbal[[#This Row],[DEBE]]-tbal[[#This Row],[HABER]]&gt;0,tbal[[#This Row],[DEBE]]-tbal[[#This Row],[HABER]],0)</f>
        <v>0</v>
      </c>
      <c r="H160" s="18">
        <f>IF(tbal[[#This Row],[HABER]]-tbal[[#This Row],[DEBE]]&gt;0,tbal[[#This Row],[HABER]]-tbal[[#This Row],[DEBE]],0)</f>
        <v>0</v>
      </c>
      <c r="I160" s="16">
        <f>IF((OR(tbal[[#This Row],[X]]=1,tbal[[#This Row],[X]]=2)),tbal[[#This Row],[DEUDOR]],0)</f>
        <v>0</v>
      </c>
      <c r="J160" s="18">
        <f>IF((OR(tbal[[#This Row],[X]]=2,tbal[[#This Row],[X]]=3)),tbal[[#This Row],[ACREEDOR]],0)</f>
        <v>0</v>
      </c>
      <c r="K160" s="16">
        <f>IF((OR(tbal[[#This Row],[X]]=3,tbal[[#This Row],[X]]=5)),tbal[[#This Row],[DEUDOR]],0)</f>
        <v>0</v>
      </c>
      <c r="L160" s="18">
        <f>IF((OR(tbal[[#This Row],[X]]=3,tbal[[#This Row],[X]]=4)),tbal[[#This Row],[ACREEDOR]],0)</f>
        <v>0</v>
      </c>
      <c r="M160" s="16">
        <f>IF((OR(tbal[[#This Row],[X]]=0,tbal[[#This Row],[X]]=6)),tbal[[#This Row],[DEUDOR]],0)</f>
        <v>0</v>
      </c>
      <c r="N160" s="18">
        <f>IF((OR(tbal[[#This Row],[X]]=0,tbal[[#This Row],[X]]=5)),tbal[[#This Row],[ACREEDOR]],0)</f>
        <v>0</v>
      </c>
    </row>
    <row r="161" spans="1:14" hidden="1" x14ac:dyDescent="0.3">
      <c r="A161" s="14">
        <f>+'PLAN DE CUENTAS'!A161</f>
        <v>0</v>
      </c>
      <c r="B161" s="13">
        <f>+'PLAN DE CUENTAS'!B161</f>
        <v>0</v>
      </c>
      <c r="C161" s="13">
        <f>+'PLAN DE CUENTAS'!C161</f>
        <v>0</v>
      </c>
      <c r="D161" t="str">
        <f>IF(tbal[[#This Row],[DEBE]]+tbal[[#This Row],[HABER]]=0,"","X")</f>
        <v/>
      </c>
      <c r="E161" s="16">
        <f>SUMIF(tdiario[CUENTA],tbal[[#This Row],[CUENTA]],tdiario[DEBE])</f>
        <v>0</v>
      </c>
      <c r="F161" s="17">
        <f>SUMIF(tdiario[CUENTA],tbal[[#This Row],[CUENTA]],tdiario[HABER])</f>
        <v>0</v>
      </c>
      <c r="G161" s="16">
        <f>IF(tbal[[#This Row],[DEBE]]-tbal[[#This Row],[HABER]]&gt;0,tbal[[#This Row],[DEBE]]-tbal[[#This Row],[HABER]],0)</f>
        <v>0</v>
      </c>
      <c r="H161" s="18">
        <f>IF(tbal[[#This Row],[HABER]]-tbal[[#This Row],[DEBE]]&gt;0,tbal[[#This Row],[HABER]]-tbal[[#This Row],[DEBE]],0)</f>
        <v>0</v>
      </c>
      <c r="I161" s="16">
        <f>IF((OR(tbal[[#This Row],[X]]=1,tbal[[#This Row],[X]]=2)),tbal[[#This Row],[DEUDOR]],0)</f>
        <v>0</v>
      </c>
      <c r="J161" s="18">
        <f>IF((OR(tbal[[#This Row],[X]]=2,tbal[[#This Row],[X]]=3)),tbal[[#This Row],[ACREEDOR]],0)</f>
        <v>0</v>
      </c>
      <c r="K161" s="16">
        <f>IF((OR(tbal[[#This Row],[X]]=3,tbal[[#This Row],[X]]=5)),tbal[[#This Row],[DEUDOR]],0)</f>
        <v>0</v>
      </c>
      <c r="L161" s="18">
        <f>IF((OR(tbal[[#This Row],[X]]=3,tbal[[#This Row],[X]]=4)),tbal[[#This Row],[ACREEDOR]],0)</f>
        <v>0</v>
      </c>
      <c r="M161" s="16">
        <f>IF((OR(tbal[[#This Row],[X]]=0,tbal[[#This Row],[X]]=6)),tbal[[#This Row],[DEUDOR]],0)</f>
        <v>0</v>
      </c>
      <c r="N161" s="18">
        <f>IF((OR(tbal[[#This Row],[X]]=0,tbal[[#This Row],[X]]=5)),tbal[[#This Row],[ACREEDOR]],0)</f>
        <v>0</v>
      </c>
    </row>
    <row r="162" spans="1:14" hidden="1" x14ac:dyDescent="0.3">
      <c r="A162" s="14">
        <f>+'PLAN DE CUENTAS'!A162</f>
        <v>0</v>
      </c>
      <c r="B162" s="13">
        <f>+'PLAN DE CUENTAS'!B162</f>
        <v>0</v>
      </c>
      <c r="C162" s="13">
        <f>+'PLAN DE CUENTAS'!C162</f>
        <v>0</v>
      </c>
      <c r="D162" t="str">
        <f>IF(tbal[[#This Row],[DEBE]]+tbal[[#This Row],[HABER]]=0,"","X")</f>
        <v/>
      </c>
      <c r="E162" s="16">
        <f>SUMIF(tdiario[CUENTA],tbal[[#This Row],[CUENTA]],tdiario[DEBE])</f>
        <v>0</v>
      </c>
      <c r="F162" s="17">
        <f>SUMIF(tdiario[CUENTA],tbal[[#This Row],[CUENTA]],tdiario[HABER])</f>
        <v>0</v>
      </c>
      <c r="G162" s="16">
        <f>IF(tbal[[#This Row],[DEBE]]-tbal[[#This Row],[HABER]]&gt;0,tbal[[#This Row],[DEBE]]-tbal[[#This Row],[HABER]],0)</f>
        <v>0</v>
      </c>
      <c r="H162" s="18">
        <f>IF(tbal[[#This Row],[HABER]]-tbal[[#This Row],[DEBE]]&gt;0,tbal[[#This Row],[HABER]]-tbal[[#This Row],[DEBE]],0)</f>
        <v>0</v>
      </c>
      <c r="I162" s="16">
        <f>IF((OR(tbal[[#This Row],[X]]=1,tbal[[#This Row],[X]]=2)),tbal[[#This Row],[DEUDOR]],0)</f>
        <v>0</v>
      </c>
      <c r="J162" s="18">
        <f>IF((OR(tbal[[#This Row],[X]]=2,tbal[[#This Row],[X]]=3)),tbal[[#This Row],[ACREEDOR]],0)</f>
        <v>0</v>
      </c>
      <c r="K162" s="16">
        <f>IF((OR(tbal[[#This Row],[X]]=3,tbal[[#This Row],[X]]=5)),tbal[[#This Row],[DEUDOR]],0)</f>
        <v>0</v>
      </c>
      <c r="L162" s="18">
        <f>IF((OR(tbal[[#This Row],[X]]=3,tbal[[#This Row],[X]]=4)),tbal[[#This Row],[ACREEDOR]],0)</f>
        <v>0</v>
      </c>
      <c r="M162" s="16">
        <f>IF((OR(tbal[[#This Row],[X]]=0,tbal[[#This Row],[X]]=6)),tbal[[#This Row],[DEUDOR]],0)</f>
        <v>0</v>
      </c>
      <c r="N162" s="18">
        <f>IF((OR(tbal[[#This Row],[X]]=0,tbal[[#This Row],[X]]=5)),tbal[[#This Row],[ACREEDOR]],0)</f>
        <v>0</v>
      </c>
    </row>
    <row r="163" spans="1:14" hidden="1" x14ac:dyDescent="0.3">
      <c r="A163" s="14">
        <f>+'PLAN DE CUENTAS'!A163</f>
        <v>0</v>
      </c>
      <c r="B163" s="13">
        <f>+'PLAN DE CUENTAS'!B163</f>
        <v>0</v>
      </c>
      <c r="C163" s="13">
        <f>+'PLAN DE CUENTAS'!C163</f>
        <v>0</v>
      </c>
      <c r="D163" t="str">
        <f>IF(tbal[[#This Row],[DEBE]]+tbal[[#This Row],[HABER]]=0,"","X")</f>
        <v/>
      </c>
      <c r="E163" s="16">
        <f>SUMIF(tdiario[CUENTA],tbal[[#This Row],[CUENTA]],tdiario[DEBE])</f>
        <v>0</v>
      </c>
      <c r="F163" s="17">
        <f>SUMIF(tdiario[CUENTA],tbal[[#This Row],[CUENTA]],tdiario[HABER])</f>
        <v>0</v>
      </c>
      <c r="G163" s="16">
        <f>IF(tbal[[#This Row],[DEBE]]-tbal[[#This Row],[HABER]]&gt;0,tbal[[#This Row],[DEBE]]-tbal[[#This Row],[HABER]],0)</f>
        <v>0</v>
      </c>
      <c r="H163" s="18">
        <f>IF(tbal[[#This Row],[HABER]]-tbal[[#This Row],[DEBE]]&gt;0,tbal[[#This Row],[HABER]]-tbal[[#This Row],[DEBE]],0)</f>
        <v>0</v>
      </c>
      <c r="I163" s="16">
        <f>IF((OR(tbal[[#This Row],[X]]=1,tbal[[#This Row],[X]]=2)),tbal[[#This Row],[DEUDOR]],0)</f>
        <v>0</v>
      </c>
      <c r="J163" s="18">
        <f>IF((OR(tbal[[#This Row],[X]]=2,tbal[[#This Row],[X]]=3)),tbal[[#This Row],[ACREEDOR]],0)</f>
        <v>0</v>
      </c>
      <c r="K163" s="16">
        <f>IF((OR(tbal[[#This Row],[X]]=3,tbal[[#This Row],[X]]=5)),tbal[[#This Row],[DEUDOR]],0)</f>
        <v>0</v>
      </c>
      <c r="L163" s="18">
        <f>IF((OR(tbal[[#This Row],[X]]=3,tbal[[#This Row],[X]]=4)),tbal[[#This Row],[ACREEDOR]],0)</f>
        <v>0</v>
      </c>
      <c r="M163" s="16">
        <f>IF((OR(tbal[[#This Row],[X]]=0,tbal[[#This Row],[X]]=6)),tbal[[#This Row],[DEUDOR]],0)</f>
        <v>0</v>
      </c>
      <c r="N163" s="18">
        <f>IF((OR(tbal[[#This Row],[X]]=0,tbal[[#This Row],[X]]=5)),tbal[[#This Row],[ACREEDOR]],0)</f>
        <v>0</v>
      </c>
    </row>
    <row r="164" spans="1:14" hidden="1" x14ac:dyDescent="0.3">
      <c r="A164" s="14">
        <f>+'PLAN DE CUENTAS'!A164</f>
        <v>0</v>
      </c>
      <c r="B164" s="13">
        <f>+'PLAN DE CUENTAS'!B164</f>
        <v>0</v>
      </c>
      <c r="C164" s="13">
        <f>+'PLAN DE CUENTAS'!C164</f>
        <v>0</v>
      </c>
      <c r="D164" t="str">
        <f>IF(tbal[[#This Row],[DEBE]]+tbal[[#This Row],[HABER]]=0,"","X")</f>
        <v/>
      </c>
      <c r="E164" s="16">
        <f>SUMIF(tdiario[CUENTA],tbal[[#This Row],[CUENTA]],tdiario[DEBE])</f>
        <v>0</v>
      </c>
      <c r="F164" s="17">
        <f>SUMIF(tdiario[CUENTA],tbal[[#This Row],[CUENTA]],tdiario[HABER])</f>
        <v>0</v>
      </c>
      <c r="G164" s="16">
        <f>IF(tbal[[#This Row],[DEBE]]-tbal[[#This Row],[HABER]]&gt;0,tbal[[#This Row],[DEBE]]-tbal[[#This Row],[HABER]],0)</f>
        <v>0</v>
      </c>
      <c r="H164" s="18">
        <f>IF(tbal[[#This Row],[HABER]]-tbal[[#This Row],[DEBE]]&gt;0,tbal[[#This Row],[HABER]]-tbal[[#This Row],[DEBE]],0)</f>
        <v>0</v>
      </c>
      <c r="I164" s="16">
        <f>IF((OR(tbal[[#This Row],[X]]=1,tbal[[#This Row],[X]]=2)),tbal[[#This Row],[DEUDOR]],0)</f>
        <v>0</v>
      </c>
      <c r="J164" s="18">
        <f>IF((OR(tbal[[#This Row],[X]]=2,tbal[[#This Row],[X]]=3)),tbal[[#This Row],[ACREEDOR]],0)</f>
        <v>0</v>
      </c>
      <c r="K164" s="16">
        <f>IF((OR(tbal[[#This Row],[X]]=3,tbal[[#This Row],[X]]=5)),tbal[[#This Row],[DEUDOR]],0)</f>
        <v>0</v>
      </c>
      <c r="L164" s="18">
        <f>IF((OR(tbal[[#This Row],[X]]=3,tbal[[#This Row],[X]]=4)),tbal[[#This Row],[ACREEDOR]],0)</f>
        <v>0</v>
      </c>
      <c r="M164" s="16">
        <f>IF((OR(tbal[[#This Row],[X]]=0,tbal[[#This Row],[X]]=6)),tbal[[#This Row],[DEUDOR]],0)</f>
        <v>0</v>
      </c>
      <c r="N164" s="18">
        <f>IF((OR(tbal[[#This Row],[X]]=0,tbal[[#This Row],[X]]=5)),tbal[[#This Row],[ACREEDOR]],0)</f>
        <v>0</v>
      </c>
    </row>
    <row r="165" spans="1:14" hidden="1" x14ac:dyDescent="0.3">
      <c r="A165" s="14">
        <f>+'PLAN DE CUENTAS'!A165</f>
        <v>0</v>
      </c>
      <c r="B165" s="13">
        <f>+'PLAN DE CUENTAS'!B165</f>
        <v>0</v>
      </c>
      <c r="C165" s="13">
        <f>+'PLAN DE CUENTAS'!C165</f>
        <v>0</v>
      </c>
      <c r="D165" t="str">
        <f>IF(tbal[[#This Row],[DEBE]]+tbal[[#This Row],[HABER]]=0,"","X")</f>
        <v/>
      </c>
      <c r="E165" s="16">
        <f>SUMIF(tdiario[CUENTA],tbal[[#This Row],[CUENTA]],tdiario[DEBE])</f>
        <v>0</v>
      </c>
      <c r="F165" s="17">
        <f>SUMIF(tdiario[CUENTA],tbal[[#This Row],[CUENTA]],tdiario[HABER])</f>
        <v>0</v>
      </c>
      <c r="G165" s="16">
        <f>IF(tbal[[#This Row],[DEBE]]-tbal[[#This Row],[HABER]]&gt;0,tbal[[#This Row],[DEBE]]-tbal[[#This Row],[HABER]],0)</f>
        <v>0</v>
      </c>
      <c r="H165" s="18">
        <f>IF(tbal[[#This Row],[HABER]]-tbal[[#This Row],[DEBE]]&gt;0,tbal[[#This Row],[HABER]]-tbal[[#This Row],[DEBE]],0)</f>
        <v>0</v>
      </c>
      <c r="I165" s="16">
        <f>IF((OR(tbal[[#This Row],[X]]=1,tbal[[#This Row],[X]]=2)),tbal[[#This Row],[DEUDOR]],0)</f>
        <v>0</v>
      </c>
      <c r="J165" s="18">
        <f>IF((OR(tbal[[#This Row],[X]]=2,tbal[[#This Row],[X]]=3)),tbal[[#This Row],[ACREEDOR]],0)</f>
        <v>0</v>
      </c>
      <c r="K165" s="16">
        <f>IF((OR(tbal[[#This Row],[X]]=3,tbal[[#This Row],[X]]=5)),tbal[[#This Row],[DEUDOR]],0)</f>
        <v>0</v>
      </c>
      <c r="L165" s="18">
        <f>IF((OR(tbal[[#This Row],[X]]=3,tbal[[#This Row],[X]]=4)),tbal[[#This Row],[ACREEDOR]],0)</f>
        <v>0</v>
      </c>
      <c r="M165" s="16">
        <f>IF((OR(tbal[[#This Row],[X]]=0,tbal[[#This Row],[X]]=6)),tbal[[#This Row],[DEUDOR]],0)</f>
        <v>0</v>
      </c>
      <c r="N165" s="18">
        <f>IF((OR(tbal[[#This Row],[X]]=0,tbal[[#This Row],[X]]=5)),tbal[[#This Row],[ACREEDOR]],0)</f>
        <v>0</v>
      </c>
    </row>
    <row r="166" spans="1:14" hidden="1" x14ac:dyDescent="0.3">
      <c r="A166" s="14">
        <f>+'PLAN DE CUENTAS'!A166</f>
        <v>0</v>
      </c>
      <c r="B166" s="13">
        <f>+'PLAN DE CUENTAS'!B166</f>
        <v>0</v>
      </c>
      <c r="C166" s="13">
        <f>+'PLAN DE CUENTAS'!C166</f>
        <v>0</v>
      </c>
      <c r="D166" t="str">
        <f>IF(tbal[[#This Row],[DEBE]]+tbal[[#This Row],[HABER]]=0,"","X")</f>
        <v/>
      </c>
      <c r="E166" s="16">
        <f>SUMIF(tdiario[CUENTA],tbal[[#This Row],[CUENTA]],tdiario[DEBE])</f>
        <v>0</v>
      </c>
      <c r="F166" s="17">
        <f>SUMIF(tdiario[CUENTA],tbal[[#This Row],[CUENTA]],tdiario[HABER])</f>
        <v>0</v>
      </c>
      <c r="G166" s="16">
        <f>IF(tbal[[#This Row],[DEBE]]-tbal[[#This Row],[HABER]]&gt;0,tbal[[#This Row],[DEBE]]-tbal[[#This Row],[HABER]],0)</f>
        <v>0</v>
      </c>
      <c r="H166" s="18">
        <f>IF(tbal[[#This Row],[HABER]]-tbal[[#This Row],[DEBE]]&gt;0,tbal[[#This Row],[HABER]]-tbal[[#This Row],[DEBE]],0)</f>
        <v>0</v>
      </c>
      <c r="I166" s="16">
        <f>IF((OR(tbal[[#This Row],[X]]=1,tbal[[#This Row],[X]]=2)),tbal[[#This Row],[DEUDOR]],0)</f>
        <v>0</v>
      </c>
      <c r="J166" s="18">
        <f>IF((OR(tbal[[#This Row],[X]]=2,tbal[[#This Row],[X]]=3)),tbal[[#This Row],[ACREEDOR]],0)</f>
        <v>0</v>
      </c>
      <c r="K166" s="16">
        <f>IF((OR(tbal[[#This Row],[X]]=3,tbal[[#This Row],[X]]=5)),tbal[[#This Row],[DEUDOR]],0)</f>
        <v>0</v>
      </c>
      <c r="L166" s="18">
        <f>IF((OR(tbal[[#This Row],[X]]=3,tbal[[#This Row],[X]]=4)),tbal[[#This Row],[ACREEDOR]],0)</f>
        <v>0</v>
      </c>
      <c r="M166" s="16">
        <f>IF((OR(tbal[[#This Row],[X]]=0,tbal[[#This Row],[X]]=6)),tbal[[#This Row],[DEUDOR]],0)</f>
        <v>0</v>
      </c>
      <c r="N166" s="18">
        <f>IF((OR(tbal[[#This Row],[X]]=0,tbal[[#This Row],[X]]=5)),tbal[[#This Row],[ACREEDOR]],0)</f>
        <v>0</v>
      </c>
    </row>
    <row r="167" spans="1:14" hidden="1" x14ac:dyDescent="0.3">
      <c r="A167" s="14">
        <f>+'PLAN DE CUENTAS'!A167</f>
        <v>0</v>
      </c>
      <c r="B167" s="13">
        <f>+'PLAN DE CUENTAS'!B167</f>
        <v>0</v>
      </c>
      <c r="C167" s="13">
        <f>+'PLAN DE CUENTAS'!C167</f>
        <v>0</v>
      </c>
      <c r="D167" t="str">
        <f>IF(tbal[[#This Row],[DEBE]]+tbal[[#This Row],[HABER]]=0,"","X")</f>
        <v/>
      </c>
      <c r="E167" s="16">
        <f>SUMIF(tdiario[CUENTA],tbal[[#This Row],[CUENTA]],tdiario[DEBE])</f>
        <v>0</v>
      </c>
      <c r="F167" s="17">
        <f>SUMIF(tdiario[CUENTA],tbal[[#This Row],[CUENTA]],tdiario[HABER])</f>
        <v>0</v>
      </c>
      <c r="G167" s="16">
        <f>IF(tbal[[#This Row],[DEBE]]-tbal[[#This Row],[HABER]]&gt;0,tbal[[#This Row],[DEBE]]-tbal[[#This Row],[HABER]],0)</f>
        <v>0</v>
      </c>
      <c r="H167" s="18">
        <f>IF(tbal[[#This Row],[HABER]]-tbal[[#This Row],[DEBE]]&gt;0,tbal[[#This Row],[HABER]]-tbal[[#This Row],[DEBE]],0)</f>
        <v>0</v>
      </c>
      <c r="I167" s="16">
        <f>IF((OR(tbal[[#This Row],[X]]=1,tbal[[#This Row],[X]]=2)),tbal[[#This Row],[DEUDOR]],0)</f>
        <v>0</v>
      </c>
      <c r="J167" s="18">
        <f>IF((OR(tbal[[#This Row],[X]]=2,tbal[[#This Row],[X]]=3)),tbal[[#This Row],[ACREEDOR]],0)</f>
        <v>0</v>
      </c>
      <c r="K167" s="16">
        <f>IF((OR(tbal[[#This Row],[X]]=3,tbal[[#This Row],[X]]=5)),tbal[[#This Row],[DEUDOR]],0)</f>
        <v>0</v>
      </c>
      <c r="L167" s="18">
        <f>IF((OR(tbal[[#This Row],[X]]=3,tbal[[#This Row],[X]]=4)),tbal[[#This Row],[ACREEDOR]],0)</f>
        <v>0</v>
      </c>
      <c r="M167" s="16">
        <f>IF((OR(tbal[[#This Row],[X]]=0,tbal[[#This Row],[X]]=6)),tbal[[#This Row],[DEUDOR]],0)</f>
        <v>0</v>
      </c>
      <c r="N167" s="18">
        <f>IF((OR(tbal[[#This Row],[X]]=0,tbal[[#This Row],[X]]=5)),tbal[[#This Row],[ACREEDOR]],0)</f>
        <v>0</v>
      </c>
    </row>
    <row r="168" spans="1:14" hidden="1" x14ac:dyDescent="0.3">
      <c r="A168" s="14">
        <f>+'PLAN DE CUENTAS'!A168</f>
        <v>0</v>
      </c>
      <c r="B168" s="13">
        <f>+'PLAN DE CUENTAS'!B168</f>
        <v>0</v>
      </c>
      <c r="C168" s="13">
        <f>+'PLAN DE CUENTAS'!C168</f>
        <v>0</v>
      </c>
      <c r="D168" t="str">
        <f>IF(tbal[[#This Row],[DEBE]]+tbal[[#This Row],[HABER]]=0,"","X")</f>
        <v/>
      </c>
      <c r="E168" s="16">
        <f>SUMIF(tdiario[CUENTA],tbal[[#This Row],[CUENTA]],tdiario[DEBE])</f>
        <v>0</v>
      </c>
      <c r="F168" s="17">
        <f>SUMIF(tdiario[CUENTA],tbal[[#This Row],[CUENTA]],tdiario[HABER])</f>
        <v>0</v>
      </c>
      <c r="G168" s="16">
        <f>IF(tbal[[#This Row],[DEBE]]-tbal[[#This Row],[HABER]]&gt;0,tbal[[#This Row],[DEBE]]-tbal[[#This Row],[HABER]],0)</f>
        <v>0</v>
      </c>
      <c r="H168" s="18">
        <f>IF(tbal[[#This Row],[HABER]]-tbal[[#This Row],[DEBE]]&gt;0,tbal[[#This Row],[HABER]]-tbal[[#This Row],[DEBE]],0)</f>
        <v>0</v>
      </c>
      <c r="I168" s="16">
        <f>IF((OR(tbal[[#This Row],[X]]=1,tbal[[#This Row],[X]]=2)),tbal[[#This Row],[DEUDOR]],0)</f>
        <v>0</v>
      </c>
      <c r="J168" s="18">
        <f>IF((OR(tbal[[#This Row],[X]]=2,tbal[[#This Row],[X]]=3)),tbal[[#This Row],[ACREEDOR]],0)</f>
        <v>0</v>
      </c>
      <c r="K168" s="16">
        <f>IF((OR(tbal[[#This Row],[X]]=3,tbal[[#This Row],[X]]=5)),tbal[[#This Row],[DEUDOR]],0)</f>
        <v>0</v>
      </c>
      <c r="L168" s="18">
        <f>IF((OR(tbal[[#This Row],[X]]=3,tbal[[#This Row],[X]]=4)),tbal[[#This Row],[ACREEDOR]],0)</f>
        <v>0</v>
      </c>
      <c r="M168" s="16">
        <f>IF((OR(tbal[[#This Row],[X]]=0,tbal[[#This Row],[X]]=6)),tbal[[#This Row],[DEUDOR]],0)</f>
        <v>0</v>
      </c>
      <c r="N168" s="18">
        <f>IF((OR(tbal[[#This Row],[X]]=0,tbal[[#This Row],[X]]=5)),tbal[[#This Row],[ACREEDOR]],0)</f>
        <v>0</v>
      </c>
    </row>
    <row r="169" spans="1:14" hidden="1" x14ac:dyDescent="0.3">
      <c r="A169" s="14">
        <f>+'PLAN DE CUENTAS'!A169</f>
        <v>0</v>
      </c>
      <c r="B169" s="13">
        <f>+'PLAN DE CUENTAS'!B169</f>
        <v>0</v>
      </c>
      <c r="C169" s="13">
        <f>+'PLAN DE CUENTAS'!C169</f>
        <v>0</v>
      </c>
      <c r="D169" t="str">
        <f>IF(tbal[[#This Row],[DEBE]]+tbal[[#This Row],[HABER]]=0,"","X")</f>
        <v/>
      </c>
      <c r="E169" s="16">
        <f>SUMIF(tdiario[CUENTA],tbal[[#This Row],[CUENTA]],tdiario[DEBE])</f>
        <v>0</v>
      </c>
      <c r="F169" s="17">
        <f>SUMIF(tdiario[CUENTA],tbal[[#This Row],[CUENTA]],tdiario[HABER])</f>
        <v>0</v>
      </c>
      <c r="G169" s="16">
        <f>IF(tbal[[#This Row],[DEBE]]-tbal[[#This Row],[HABER]]&gt;0,tbal[[#This Row],[DEBE]]-tbal[[#This Row],[HABER]],0)</f>
        <v>0</v>
      </c>
      <c r="H169" s="18">
        <f>IF(tbal[[#This Row],[HABER]]-tbal[[#This Row],[DEBE]]&gt;0,tbal[[#This Row],[HABER]]-tbal[[#This Row],[DEBE]],0)</f>
        <v>0</v>
      </c>
      <c r="I169" s="16">
        <f>IF((OR(tbal[[#This Row],[X]]=1,tbal[[#This Row],[X]]=2)),tbal[[#This Row],[DEUDOR]],0)</f>
        <v>0</v>
      </c>
      <c r="J169" s="18">
        <f>IF((OR(tbal[[#This Row],[X]]=2,tbal[[#This Row],[X]]=3)),tbal[[#This Row],[ACREEDOR]],0)</f>
        <v>0</v>
      </c>
      <c r="K169" s="16">
        <f>IF((OR(tbal[[#This Row],[X]]=3,tbal[[#This Row],[X]]=5)),tbal[[#This Row],[DEUDOR]],0)</f>
        <v>0</v>
      </c>
      <c r="L169" s="18">
        <f>IF((OR(tbal[[#This Row],[X]]=3,tbal[[#This Row],[X]]=4)),tbal[[#This Row],[ACREEDOR]],0)</f>
        <v>0</v>
      </c>
      <c r="M169" s="16">
        <f>IF((OR(tbal[[#This Row],[X]]=0,tbal[[#This Row],[X]]=6)),tbal[[#This Row],[DEUDOR]],0)</f>
        <v>0</v>
      </c>
      <c r="N169" s="18">
        <f>IF((OR(tbal[[#This Row],[X]]=0,tbal[[#This Row],[X]]=5)),tbal[[#This Row],[ACREEDOR]],0)</f>
        <v>0</v>
      </c>
    </row>
    <row r="170" spans="1:14" hidden="1" x14ac:dyDescent="0.3">
      <c r="A170" s="14">
        <f>+'PLAN DE CUENTAS'!A170</f>
        <v>0</v>
      </c>
      <c r="B170" s="13">
        <f>+'PLAN DE CUENTAS'!B170</f>
        <v>0</v>
      </c>
      <c r="C170" s="13">
        <f>+'PLAN DE CUENTAS'!C170</f>
        <v>0</v>
      </c>
      <c r="D170" t="str">
        <f>IF(tbal[[#This Row],[DEBE]]+tbal[[#This Row],[HABER]]=0,"","X")</f>
        <v/>
      </c>
      <c r="E170" s="16">
        <f>SUMIF(tdiario[CUENTA],tbal[[#This Row],[CUENTA]],tdiario[DEBE])</f>
        <v>0</v>
      </c>
      <c r="F170" s="17">
        <f>SUMIF(tdiario[CUENTA],tbal[[#This Row],[CUENTA]],tdiario[HABER])</f>
        <v>0</v>
      </c>
      <c r="G170" s="16">
        <f>IF(tbal[[#This Row],[DEBE]]-tbal[[#This Row],[HABER]]&gt;0,tbal[[#This Row],[DEBE]]-tbal[[#This Row],[HABER]],0)</f>
        <v>0</v>
      </c>
      <c r="H170" s="18">
        <f>IF(tbal[[#This Row],[HABER]]-tbal[[#This Row],[DEBE]]&gt;0,tbal[[#This Row],[HABER]]-tbal[[#This Row],[DEBE]],0)</f>
        <v>0</v>
      </c>
      <c r="I170" s="16">
        <f>IF((OR(tbal[[#This Row],[X]]=1,tbal[[#This Row],[X]]=2)),tbal[[#This Row],[DEUDOR]],0)</f>
        <v>0</v>
      </c>
      <c r="J170" s="18">
        <f>IF((OR(tbal[[#This Row],[X]]=2,tbal[[#This Row],[X]]=3)),tbal[[#This Row],[ACREEDOR]],0)</f>
        <v>0</v>
      </c>
      <c r="K170" s="16">
        <f>IF((OR(tbal[[#This Row],[X]]=3,tbal[[#This Row],[X]]=5)),tbal[[#This Row],[DEUDOR]],0)</f>
        <v>0</v>
      </c>
      <c r="L170" s="18">
        <f>IF((OR(tbal[[#This Row],[X]]=3,tbal[[#This Row],[X]]=4)),tbal[[#This Row],[ACREEDOR]],0)</f>
        <v>0</v>
      </c>
      <c r="M170" s="16">
        <f>IF((OR(tbal[[#This Row],[X]]=0,tbal[[#This Row],[X]]=6)),tbal[[#This Row],[DEUDOR]],0)</f>
        <v>0</v>
      </c>
      <c r="N170" s="18">
        <f>IF((OR(tbal[[#This Row],[X]]=0,tbal[[#This Row],[X]]=5)),tbal[[#This Row],[ACREEDOR]],0)</f>
        <v>0</v>
      </c>
    </row>
    <row r="171" spans="1:14" hidden="1" x14ac:dyDescent="0.3">
      <c r="A171" s="14">
        <f>+'PLAN DE CUENTAS'!A171</f>
        <v>0</v>
      </c>
      <c r="B171" s="13">
        <f>+'PLAN DE CUENTAS'!B171</f>
        <v>0</v>
      </c>
      <c r="C171" s="13">
        <f>+'PLAN DE CUENTAS'!C171</f>
        <v>0</v>
      </c>
      <c r="D171" t="str">
        <f>IF(tbal[[#This Row],[DEBE]]+tbal[[#This Row],[HABER]]=0,"","X")</f>
        <v/>
      </c>
      <c r="E171" s="16">
        <f>SUMIF(tdiario[CUENTA],tbal[[#This Row],[CUENTA]],tdiario[DEBE])</f>
        <v>0</v>
      </c>
      <c r="F171" s="17">
        <f>SUMIF(tdiario[CUENTA],tbal[[#This Row],[CUENTA]],tdiario[HABER])</f>
        <v>0</v>
      </c>
      <c r="G171" s="16">
        <f>IF(tbal[[#This Row],[DEBE]]-tbal[[#This Row],[HABER]]&gt;0,tbal[[#This Row],[DEBE]]-tbal[[#This Row],[HABER]],0)</f>
        <v>0</v>
      </c>
      <c r="H171" s="18">
        <f>IF(tbal[[#This Row],[HABER]]-tbal[[#This Row],[DEBE]]&gt;0,tbal[[#This Row],[HABER]]-tbal[[#This Row],[DEBE]],0)</f>
        <v>0</v>
      </c>
      <c r="I171" s="16">
        <f>IF((OR(tbal[[#This Row],[X]]=1,tbal[[#This Row],[X]]=2)),tbal[[#This Row],[DEUDOR]],0)</f>
        <v>0</v>
      </c>
      <c r="J171" s="18">
        <f>IF((OR(tbal[[#This Row],[X]]=2,tbal[[#This Row],[X]]=3)),tbal[[#This Row],[ACREEDOR]],0)</f>
        <v>0</v>
      </c>
      <c r="K171" s="16">
        <f>IF((OR(tbal[[#This Row],[X]]=3,tbal[[#This Row],[X]]=5)),tbal[[#This Row],[DEUDOR]],0)</f>
        <v>0</v>
      </c>
      <c r="L171" s="18">
        <f>IF((OR(tbal[[#This Row],[X]]=3,tbal[[#This Row],[X]]=4)),tbal[[#This Row],[ACREEDOR]],0)</f>
        <v>0</v>
      </c>
      <c r="M171" s="16">
        <f>IF((OR(tbal[[#This Row],[X]]=0,tbal[[#This Row],[X]]=6)),tbal[[#This Row],[DEUDOR]],0)</f>
        <v>0</v>
      </c>
      <c r="N171" s="18">
        <f>IF((OR(tbal[[#This Row],[X]]=0,tbal[[#This Row],[X]]=5)),tbal[[#This Row],[ACREEDOR]],0)</f>
        <v>0</v>
      </c>
    </row>
    <row r="172" spans="1:14" hidden="1" x14ac:dyDescent="0.3">
      <c r="A172" s="14">
        <f>+'PLAN DE CUENTAS'!A172</f>
        <v>0</v>
      </c>
      <c r="B172" s="13">
        <f>+'PLAN DE CUENTAS'!B172</f>
        <v>0</v>
      </c>
      <c r="C172" s="13">
        <f>+'PLAN DE CUENTAS'!C172</f>
        <v>0</v>
      </c>
      <c r="D172" t="str">
        <f>IF(tbal[[#This Row],[DEBE]]+tbal[[#This Row],[HABER]]=0,"","X")</f>
        <v/>
      </c>
      <c r="E172" s="16">
        <f>SUMIF(tdiario[CUENTA],tbal[[#This Row],[CUENTA]],tdiario[DEBE])</f>
        <v>0</v>
      </c>
      <c r="F172" s="17">
        <f>SUMIF(tdiario[CUENTA],tbal[[#This Row],[CUENTA]],tdiario[HABER])</f>
        <v>0</v>
      </c>
      <c r="G172" s="16">
        <f>IF(tbal[[#This Row],[DEBE]]-tbal[[#This Row],[HABER]]&gt;0,tbal[[#This Row],[DEBE]]-tbal[[#This Row],[HABER]],0)</f>
        <v>0</v>
      </c>
      <c r="H172" s="18">
        <f>IF(tbal[[#This Row],[HABER]]-tbal[[#This Row],[DEBE]]&gt;0,tbal[[#This Row],[HABER]]-tbal[[#This Row],[DEBE]],0)</f>
        <v>0</v>
      </c>
      <c r="I172" s="16">
        <f>IF((OR(tbal[[#This Row],[X]]=1,tbal[[#This Row],[X]]=2)),tbal[[#This Row],[DEUDOR]],0)</f>
        <v>0</v>
      </c>
      <c r="J172" s="18">
        <f>IF((OR(tbal[[#This Row],[X]]=2,tbal[[#This Row],[X]]=3)),tbal[[#This Row],[ACREEDOR]],0)</f>
        <v>0</v>
      </c>
      <c r="K172" s="16">
        <f>IF((OR(tbal[[#This Row],[X]]=3,tbal[[#This Row],[X]]=5)),tbal[[#This Row],[DEUDOR]],0)</f>
        <v>0</v>
      </c>
      <c r="L172" s="18">
        <f>IF((OR(tbal[[#This Row],[X]]=3,tbal[[#This Row],[X]]=4)),tbal[[#This Row],[ACREEDOR]],0)</f>
        <v>0</v>
      </c>
      <c r="M172" s="16">
        <f>IF((OR(tbal[[#This Row],[X]]=0,tbal[[#This Row],[X]]=6)),tbal[[#This Row],[DEUDOR]],0)</f>
        <v>0</v>
      </c>
      <c r="N172" s="18">
        <f>IF((OR(tbal[[#This Row],[X]]=0,tbal[[#This Row],[X]]=5)),tbal[[#This Row],[ACREEDOR]],0)</f>
        <v>0</v>
      </c>
    </row>
    <row r="173" spans="1:14" hidden="1" x14ac:dyDescent="0.3">
      <c r="A173" s="14">
        <f>+'PLAN DE CUENTAS'!A173</f>
        <v>0</v>
      </c>
      <c r="B173" s="13">
        <f>+'PLAN DE CUENTAS'!B173</f>
        <v>0</v>
      </c>
      <c r="C173" s="13">
        <f>+'PLAN DE CUENTAS'!C173</f>
        <v>0</v>
      </c>
      <c r="D173" t="str">
        <f>IF(tbal[[#This Row],[DEBE]]+tbal[[#This Row],[HABER]]=0,"","X")</f>
        <v/>
      </c>
      <c r="E173" s="16">
        <f>SUMIF(tdiario[CUENTA],tbal[[#This Row],[CUENTA]],tdiario[DEBE])</f>
        <v>0</v>
      </c>
      <c r="F173" s="17">
        <f>SUMIF(tdiario[CUENTA],tbal[[#This Row],[CUENTA]],tdiario[HABER])</f>
        <v>0</v>
      </c>
      <c r="G173" s="16">
        <f>IF(tbal[[#This Row],[DEBE]]-tbal[[#This Row],[HABER]]&gt;0,tbal[[#This Row],[DEBE]]-tbal[[#This Row],[HABER]],0)</f>
        <v>0</v>
      </c>
      <c r="H173" s="18">
        <f>IF(tbal[[#This Row],[HABER]]-tbal[[#This Row],[DEBE]]&gt;0,tbal[[#This Row],[HABER]]-tbal[[#This Row],[DEBE]],0)</f>
        <v>0</v>
      </c>
      <c r="I173" s="16">
        <f>IF((OR(tbal[[#This Row],[X]]=1,tbal[[#This Row],[X]]=2)),tbal[[#This Row],[DEUDOR]],0)</f>
        <v>0</v>
      </c>
      <c r="J173" s="18">
        <f>IF((OR(tbal[[#This Row],[X]]=2,tbal[[#This Row],[X]]=3)),tbal[[#This Row],[ACREEDOR]],0)</f>
        <v>0</v>
      </c>
      <c r="K173" s="16">
        <f>IF((OR(tbal[[#This Row],[X]]=3,tbal[[#This Row],[X]]=5)),tbal[[#This Row],[DEUDOR]],0)</f>
        <v>0</v>
      </c>
      <c r="L173" s="18">
        <f>IF((OR(tbal[[#This Row],[X]]=3,tbal[[#This Row],[X]]=4)),tbal[[#This Row],[ACREEDOR]],0)</f>
        <v>0</v>
      </c>
      <c r="M173" s="16">
        <f>IF((OR(tbal[[#This Row],[X]]=0,tbal[[#This Row],[X]]=6)),tbal[[#This Row],[DEUDOR]],0)</f>
        <v>0</v>
      </c>
      <c r="N173" s="18">
        <f>IF((OR(tbal[[#This Row],[X]]=0,tbal[[#This Row],[X]]=5)),tbal[[#This Row],[ACREEDOR]],0)</f>
        <v>0</v>
      </c>
    </row>
    <row r="174" spans="1:14" hidden="1" x14ac:dyDescent="0.3">
      <c r="A174" s="14">
        <f>+'PLAN DE CUENTAS'!A174</f>
        <v>0</v>
      </c>
      <c r="B174" s="13">
        <f>+'PLAN DE CUENTAS'!B174</f>
        <v>0</v>
      </c>
      <c r="C174" s="13">
        <f>+'PLAN DE CUENTAS'!C174</f>
        <v>0</v>
      </c>
      <c r="D174" t="str">
        <f>IF(tbal[[#This Row],[DEBE]]+tbal[[#This Row],[HABER]]=0,"","X")</f>
        <v/>
      </c>
      <c r="E174" s="16">
        <f>SUMIF(tdiario[CUENTA],tbal[[#This Row],[CUENTA]],tdiario[DEBE])</f>
        <v>0</v>
      </c>
      <c r="F174" s="17">
        <f>SUMIF(tdiario[CUENTA],tbal[[#This Row],[CUENTA]],tdiario[HABER])</f>
        <v>0</v>
      </c>
      <c r="G174" s="16">
        <f>IF(tbal[[#This Row],[DEBE]]-tbal[[#This Row],[HABER]]&gt;0,tbal[[#This Row],[DEBE]]-tbal[[#This Row],[HABER]],0)</f>
        <v>0</v>
      </c>
      <c r="H174" s="18">
        <f>IF(tbal[[#This Row],[HABER]]-tbal[[#This Row],[DEBE]]&gt;0,tbal[[#This Row],[HABER]]-tbal[[#This Row],[DEBE]],0)</f>
        <v>0</v>
      </c>
      <c r="I174" s="16">
        <f>IF((OR(tbal[[#This Row],[X]]=1,tbal[[#This Row],[X]]=2)),tbal[[#This Row],[DEUDOR]],0)</f>
        <v>0</v>
      </c>
      <c r="J174" s="18">
        <f>IF((OR(tbal[[#This Row],[X]]=2,tbal[[#This Row],[X]]=3)),tbal[[#This Row],[ACREEDOR]],0)</f>
        <v>0</v>
      </c>
      <c r="K174" s="16">
        <f>IF((OR(tbal[[#This Row],[X]]=3,tbal[[#This Row],[X]]=5)),tbal[[#This Row],[DEUDOR]],0)</f>
        <v>0</v>
      </c>
      <c r="L174" s="18">
        <f>IF((OR(tbal[[#This Row],[X]]=3,tbal[[#This Row],[X]]=4)),tbal[[#This Row],[ACREEDOR]],0)</f>
        <v>0</v>
      </c>
      <c r="M174" s="16">
        <f>IF((OR(tbal[[#This Row],[X]]=0,tbal[[#This Row],[X]]=6)),tbal[[#This Row],[DEUDOR]],0)</f>
        <v>0</v>
      </c>
      <c r="N174" s="18">
        <f>IF((OR(tbal[[#This Row],[X]]=0,tbal[[#This Row],[X]]=5)),tbal[[#This Row],[ACREEDOR]],0)</f>
        <v>0</v>
      </c>
    </row>
    <row r="175" spans="1:14" hidden="1" x14ac:dyDescent="0.3">
      <c r="A175" s="14">
        <f>+'PLAN DE CUENTAS'!A175</f>
        <v>0</v>
      </c>
      <c r="B175" s="13">
        <f>+'PLAN DE CUENTAS'!B175</f>
        <v>0</v>
      </c>
      <c r="C175" s="13">
        <f>+'PLAN DE CUENTAS'!C175</f>
        <v>0</v>
      </c>
      <c r="D175" t="str">
        <f>IF(tbal[[#This Row],[DEBE]]+tbal[[#This Row],[HABER]]=0,"","X")</f>
        <v/>
      </c>
      <c r="E175" s="16">
        <f>SUMIF(tdiario[CUENTA],tbal[[#This Row],[CUENTA]],tdiario[DEBE])</f>
        <v>0</v>
      </c>
      <c r="F175" s="17">
        <f>SUMIF(tdiario[CUENTA],tbal[[#This Row],[CUENTA]],tdiario[HABER])</f>
        <v>0</v>
      </c>
      <c r="G175" s="16">
        <f>IF(tbal[[#This Row],[DEBE]]-tbal[[#This Row],[HABER]]&gt;0,tbal[[#This Row],[DEBE]]-tbal[[#This Row],[HABER]],0)</f>
        <v>0</v>
      </c>
      <c r="H175" s="18">
        <f>IF(tbal[[#This Row],[HABER]]-tbal[[#This Row],[DEBE]]&gt;0,tbal[[#This Row],[HABER]]-tbal[[#This Row],[DEBE]],0)</f>
        <v>0</v>
      </c>
      <c r="I175" s="16">
        <f>IF((OR(tbal[[#This Row],[X]]=1,tbal[[#This Row],[X]]=2)),tbal[[#This Row],[DEUDOR]],0)</f>
        <v>0</v>
      </c>
      <c r="J175" s="18">
        <f>IF((OR(tbal[[#This Row],[X]]=2,tbal[[#This Row],[X]]=3)),tbal[[#This Row],[ACREEDOR]],0)</f>
        <v>0</v>
      </c>
      <c r="K175" s="16">
        <f>IF((OR(tbal[[#This Row],[X]]=3,tbal[[#This Row],[X]]=5)),tbal[[#This Row],[DEUDOR]],0)</f>
        <v>0</v>
      </c>
      <c r="L175" s="18">
        <f>IF((OR(tbal[[#This Row],[X]]=3,tbal[[#This Row],[X]]=4)),tbal[[#This Row],[ACREEDOR]],0)</f>
        <v>0</v>
      </c>
      <c r="M175" s="16">
        <f>IF((OR(tbal[[#This Row],[X]]=0,tbal[[#This Row],[X]]=6)),tbal[[#This Row],[DEUDOR]],0)</f>
        <v>0</v>
      </c>
      <c r="N175" s="18">
        <f>IF((OR(tbal[[#This Row],[X]]=0,tbal[[#This Row],[X]]=5)),tbal[[#This Row],[ACREEDOR]],0)</f>
        <v>0</v>
      </c>
    </row>
    <row r="176" spans="1:14" hidden="1" x14ac:dyDescent="0.3">
      <c r="A176" s="14">
        <f>+'PLAN DE CUENTAS'!A176</f>
        <v>0</v>
      </c>
      <c r="B176" s="13">
        <f>+'PLAN DE CUENTAS'!B176</f>
        <v>0</v>
      </c>
      <c r="C176" s="13">
        <f>+'PLAN DE CUENTAS'!C176</f>
        <v>0</v>
      </c>
      <c r="D176" t="str">
        <f>IF(tbal[[#This Row],[DEBE]]+tbal[[#This Row],[HABER]]=0,"","X")</f>
        <v/>
      </c>
      <c r="E176" s="16">
        <f>SUMIF(tdiario[CUENTA],tbal[[#This Row],[CUENTA]],tdiario[DEBE])</f>
        <v>0</v>
      </c>
      <c r="F176" s="17">
        <f>SUMIF(tdiario[CUENTA],tbal[[#This Row],[CUENTA]],tdiario[HABER])</f>
        <v>0</v>
      </c>
      <c r="G176" s="16">
        <f>IF(tbal[[#This Row],[DEBE]]-tbal[[#This Row],[HABER]]&gt;0,tbal[[#This Row],[DEBE]]-tbal[[#This Row],[HABER]],0)</f>
        <v>0</v>
      </c>
      <c r="H176" s="18">
        <f>IF(tbal[[#This Row],[HABER]]-tbal[[#This Row],[DEBE]]&gt;0,tbal[[#This Row],[HABER]]-tbal[[#This Row],[DEBE]],0)</f>
        <v>0</v>
      </c>
      <c r="I176" s="16">
        <f>IF((OR(tbal[[#This Row],[X]]=1,tbal[[#This Row],[X]]=2)),tbal[[#This Row],[DEUDOR]],0)</f>
        <v>0</v>
      </c>
      <c r="J176" s="18">
        <f>IF((OR(tbal[[#This Row],[X]]=2,tbal[[#This Row],[X]]=3)),tbal[[#This Row],[ACREEDOR]],0)</f>
        <v>0</v>
      </c>
      <c r="K176" s="16">
        <f>IF((OR(tbal[[#This Row],[X]]=3,tbal[[#This Row],[X]]=5)),tbal[[#This Row],[DEUDOR]],0)</f>
        <v>0</v>
      </c>
      <c r="L176" s="18">
        <f>IF((OR(tbal[[#This Row],[X]]=3,tbal[[#This Row],[X]]=4)),tbal[[#This Row],[ACREEDOR]],0)</f>
        <v>0</v>
      </c>
      <c r="M176" s="16">
        <f>IF((OR(tbal[[#This Row],[X]]=0,tbal[[#This Row],[X]]=6)),tbal[[#This Row],[DEUDOR]],0)</f>
        <v>0</v>
      </c>
      <c r="N176" s="18">
        <f>IF((OR(tbal[[#This Row],[X]]=0,tbal[[#This Row],[X]]=5)),tbal[[#This Row],[ACREEDOR]],0)</f>
        <v>0</v>
      </c>
    </row>
    <row r="177" spans="1:14" hidden="1" x14ac:dyDescent="0.3">
      <c r="A177" s="14">
        <f>+'PLAN DE CUENTAS'!A177</f>
        <v>0</v>
      </c>
      <c r="B177" s="13">
        <f>+'PLAN DE CUENTAS'!B177</f>
        <v>0</v>
      </c>
      <c r="C177" s="13">
        <f>+'PLAN DE CUENTAS'!C177</f>
        <v>0</v>
      </c>
      <c r="D177" t="str">
        <f>IF(tbal[[#This Row],[DEBE]]+tbal[[#This Row],[HABER]]=0,"","X")</f>
        <v/>
      </c>
      <c r="E177" s="16">
        <f>SUMIF(tdiario[CUENTA],tbal[[#This Row],[CUENTA]],tdiario[DEBE])</f>
        <v>0</v>
      </c>
      <c r="F177" s="17">
        <f>SUMIF(tdiario[CUENTA],tbal[[#This Row],[CUENTA]],tdiario[HABER])</f>
        <v>0</v>
      </c>
      <c r="G177" s="16">
        <f>IF(tbal[[#This Row],[DEBE]]-tbal[[#This Row],[HABER]]&gt;0,tbal[[#This Row],[DEBE]]-tbal[[#This Row],[HABER]],0)</f>
        <v>0</v>
      </c>
      <c r="H177" s="18">
        <f>IF(tbal[[#This Row],[HABER]]-tbal[[#This Row],[DEBE]]&gt;0,tbal[[#This Row],[HABER]]-tbal[[#This Row],[DEBE]],0)</f>
        <v>0</v>
      </c>
      <c r="I177" s="16">
        <f>IF((OR(tbal[[#This Row],[X]]=1,tbal[[#This Row],[X]]=2)),tbal[[#This Row],[DEUDOR]],0)</f>
        <v>0</v>
      </c>
      <c r="J177" s="18">
        <f>IF((OR(tbal[[#This Row],[X]]=2,tbal[[#This Row],[X]]=3)),tbal[[#This Row],[ACREEDOR]],0)</f>
        <v>0</v>
      </c>
      <c r="K177" s="16">
        <f>IF((OR(tbal[[#This Row],[X]]=3,tbal[[#This Row],[X]]=5)),tbal[[#This Row],[DEUDOR]],0)</f>
        <v>0</v>
      </c>
      <c r="L177" s="18">
        <f>IF((OR(tbal[[#This Row],[X]]=3,tbal[[#This Row],[X]]=4)),tbal[[#This Row],[ACREEDOR]],0)</f>
        <v>0</v>
      </c>
      <c r="M177" s="16">
        <f>IF((OR(tbal[[#This Row],[X]]=0,tbal[[#This Row],[X]]=6)),tbal[[#This Row],[DEUDOR]],0)</f>
        <v>0</v>
      </c>
      <c r="N177" s="18">
        <f>IF((OR(tbal[[#This Row],[X]]=0,tbal[[#This Row],[X]]=5)),tbal[[#This Row],[ACREEDOR]],0)</f>
        <v>0</v>
      </c>
    </row>
    <row r="178" spans="1:14" hidden="1" x14ac:dyDescent="0.3">
      <c r="A178" s="14">
        <f>+'PLAN DE CUENTAS'!A178</f>
        <v>0</v>
      </c>
      <c r="B178" s="13">
        <f>+'PLAN DE CUENTAS'!B178</f>
        <v>0</v>
      </c>
      <c r="C178" s="13">
        <f>+'PLAN DE CUENTAS'!C178</f>
        <v>0</v>
      </c>
      <c r="D178" t="str">
        <f>IF(tbal[[#This Row],[DEBE]]+tbal[[#This Row],[HABER]]=0,"","X")</f>
        <v/>
      </c>
      <c r="E178" s="16">
        <f>SUMIF(tdiario[CUENTA],tbal[[#This Row],[CUENTA]],tdiario[DEBE])</f>
        <v>0</v>
      </c>
      <c r="F178" s="17">
        <f>SUMIF(tdiario[CUENTA],tbal[[#This Row],[CUENTA]],tdiario[HABER])</f>
        <v>0</v>
      </c>
      <c r="G178" s="16">
        <f>IF(tbal[[#This Row],[DEBE]]-tbal[[#This Row],[HABER]]&gt;0,tbal[[#This Row],[DEBE]]-tbal[[#This Row],[HABER]],0)</f>
        <v>0</v>
      </c>
      <c r="H178" s="18">
        <f>IF(tbal[[#This Row],[HABER]]-tbal[[#This Row],[DEBE]]&gt;0,tbal[[#This Row],[HABER]]-tbal[[#This Row],[DEBE]],0)</f>
        <v>0</v>
      </c>
      <c r="I178" s="16">
        <f>IF((OR(tbal[[#This Row],[X]]=1,tbal[[#This Row],[X]]=2)),tbal[[#This Row],[DEUDOR]],0)</f>
        <v>0</v>
      </c>
      <c r="J178" s="18">
        <f>IF((OR(tbal[[#This Row],[X]]=2,tbal[[#This Row],[X]]=3)),tbal[[#This Row],[ACREEDOR]],0)</f>
        <v>0</v>
      </c>
      <c r="K178" s="16">
        <f>IF((OR(tbal[[#This Row],[X]]=3,tbal[[#This Row],[X]]=5)),tbal[[#This Row],[DEUDOR]],0)</f>
        <v>0</v>
      </c>
      <c r="L178" s="18">
        <f>IF((OR(tbal[[#This Row],[X]]=3,tbal[[#This Row],[X]]=4)),tbal[[#This Row],[ACREEDOR]],0)</f>
        <v>0</v>
      </c>
      <c r="M178" s="16">
        <f>IF((OR(tbal[[#This Row],[X]]=0,tbal[[#This Row],[X]]=6)),tbal[[#This Row],[DEUDOR]],0)</f>
        <v>0</v>
      </c>
      <c r="N178" s="18">
        <f>IF((OR(tbal[[#This Row],[X]]=0,tbal[[#This Row],[X]]=5)),tbal[[#This Row],[ACREEDOR]],0)</f>
        <v>0</v>
      </c>
    </row>
    <row r="179" spans="1:14" hidden="1" x14ac:dyDescent="0.3">
      <c r="A179" s="14">
        <f>+'PLAN DE CUENTAS'!A179</f>
        <v>0</v>
      </c>
      <c r="B179" s="13">
        <f>+'PLAN DE CUENTAS'!B179</f>
        <v>0</v>
      </c>
      <c r="C179" s="13">
        <f>+'PLAN DE CUENTAS'!C179</f>
        <v>0</v>
      </c>
      <c r="D179" t="str">
        <f>IF(tbal[[#This Row],[DEBE]]+tbal[[#This Row],[HABER]]=0,"","X")</f>
        <v/>
      </c>
      <c r="E179" s="16">
        <f>SUMIF(tdiario[CUENTA],tbal[[#This Row],[CUENTA]],tdiario[DEBE])</f>
        <v>0</v>
      </c>
      <c r="F179" s="17">
        <f>SUMIF(tdiario[CUENTA],tbal[[#This Row],[CUENTA]],tdiario[HABER])</f>
        <v>0</v>
      </c>
      <c r="G179" s="16">
        <f>IF(tbal[[#This Row],[DEBE]]-tbal[[#This Row],[HABER]]&gt;0,tbal[[#This Row],[DEBE]]-tbal[[#This Row],[HABER]],0)</f>
        <v>0</v>
      </c>
      <c r="H179" s="18">
        <f>IF(tbal[[#This Row],[HABER]]-tbal[[#This Row],[DEBE]]&gt;0,tbal[[#This Row],[HABER]]-tbal[[#This Row],[DEBE]],0)</f>
        <v>0</v>
      </c>
      <c r="I179" s="16">
        <f>IF((OR(tbal[[#This Row],[X]]=1,tbal[[#This Row],[X]]=2)),tbal[[#This Row],[DEUDOR]],0)</f>
        <v>0</v>
      </c>
      <c r="J179" s="18">
        <f>IF((OR(tbal[[#This Row],[X]]=2,tbal[[#This Row],[X]]=3)),tbal[[#This Row],[ACREEDOR]],0)</f>
        <v>0</v>
      </c>
      <c r="K179" s="16">
        <f>IF((OR(tbal[[#This Row],[X]]=3,tbal[[#This Row],[X]]=5)),tbal[[#This Row],[DEUDOR]],0)</f>
        <v>0</v>
      </c>
      <c r="L179" s="18">
        <f>IF((OR(tbal[[#This Row],[X]]=3,tbal[[#This Row],[X]]=4)),tbal[[#This Row],[ACREEDOR]],0)</f>
        <v>0</v>
      </c>
      <c r="M179" s="16">
        <f>IF((OR(tbal[[#This Row],[X]]=0,tbal[[#This Row],[X]]=6)),tbal[[#This Row],[DEUDOR]],0)</f>
        <v>0</v>
      </c>
      <c r="N179" s="18">
        <f>IF((OR(tbal[[#This Row],[X]]=0,tbal[[#This Row],[X]]=5)),tbal[[#This Row],[ACREEDOR]],0)</f>
        <v>0</v>
      </c>
    </row>
    <row r="180" spans="1:14" hidden="1" x14ac:dyDescent="0.3">
      <c r="A180" s="14">
        <f>+'PLAN DE CUENTAS'!A180</f>
        <v>0</v>
      </c>
      <c r="B180" s="13">
        <f>+'PLAN DE CUENTAS'!B180</f>
        <v>0</v>
      </c>
      <c r="C180" s="13">
        <f>+'PLAN DE CUENTAS'!C180</f>
        <v>0</v>
      </c>
      <c r="D180" t="str">
        <f>IF(tbal[[#This Row],[DEBE]]+tbal[[#This Row],[HABER]]=0,"","X")</f>
        <v/>
      </c>
      <c r="E180" s="16">
        <f>SUMIF(tdiario[CUENTA],tbal[[#This Row],[CUENTA]],tdiario[DEBE])</f>
        <v>0</v>
      </c>
      <c r="F180" s="17">
        <f>SUMIF(tdiario[CUENTA],tbal[[#This Row],[CUENTA]],tdiario[HABER])</f>
        <v>0</v>
      </c>
      <c r="G180" s="16">
        <f>IF(tbal[[#This Row],[DEBE]]-tbal[[#This Row],[HABER]]&gt;0,tbal[[#This Row],[DEBE]]-tbal[[#This Row],[HABER]],0)</f>
        <v>0</v>
      </c>
      <c r="H180" s="18">
        <f>IF(tbal[[#This Row],[HABER]]-tbal[[#This Row],[DEBE]]&gt;0,tbal[[#This Row],[HABER]]-tbal[[#This Row],[DEBE]],0)</f>
        <v>0</v>
      </c>
      <c r="I180" s="16">
        <f>IF((OR(tbal[[#This Row],[X]]=1,tbal[[#This Row],[X]]=2)),tbal[[#This Row],[DEUDOR]],0)</f>
        <v>0</v>
      </c>
      <c r="J180" s="18">
        <f>IF((OR(tbal[[#This Row],[X]]=2,tbal[[#This Row],[X]]=3)),tbal[[#This Row],[ACREEDOR]],0)</f>
        <v>0</v>
      </c>
      <c r="K180" s="16">
        <f>IF((OR(tbal[[#This Row],[X]]=3,tbal[[#This Row],[X]]=5)),tbal[[#This Row],[DEUDOR]],0)</f>
        <v>0</v>
      </c>
      <c r="L180" s="18">
        <f>IF((OR(tbal[[#This Row],[X]]=3,tbal[[#This Row],[X]]=4)),tbal[[#This Row],[ACREEDOR]],0)</f>
        <v>0</v>
      </c>
      <c r="M180" s="16">
        <f>IF((OR(tbal[[#This Row],[X]]=0,tbal[[#This Row],[X]]=6)),tbal[[#This Row],[DEUDOR]],0)</f>
        <v>0</v>
      </c>
      <c r="N180" s="18">
        <f>IF((OR(tbal[[#This Row],[X]]=0,tbal[[#This Row],[X]]=5)),tbal[[#This Row],[ACREEDOR]],0)</f>
        <v>0</v>
      </c>
    </row>
    <row r="181" spans="1:14" hidden="1" x14ac:dyDescent="0.3">
      <c r="A181" s="14">
        <f>+'PLAN DE CUENTAS'!A181</f>
        <v>0</v>
      </c>
      <c r="B181" s="13">
        <f>+'PLAN DE CUENTAS'!B181</f>
        <v>0</v>
      </c>
      <c r="C181" s="13">
        <f>+'PLAN DE CUENTAS'!C181</f>
        <v>0</v>
      </c>
      <c r="D181" t="str">
        <f>IF(tbal[[#This Row],[DEBE]]+tbal[[#This Row],[HABER]]=0,"","X")</f>
        <v/>
      </c>
      <c r="E181" s="16">
        <f>SUMIF(tdiario[CUENTA],tbal[[#This Row],[CUENTA]],tdiario[DEBE])</f>
        <v>0</v>
      </c>
      <c r="F181" s="17">
        <f>SUMIF(tdiario[CUENTA],tbal[[#This Row],[CUENTA]],tdiario[HABER])</f>
        <v>0</v>
      </c>
      <c r="G181" s="16">
        <f>IF(tbal[[#This Row],[DEBE]]-tbal[[#This Row],[HABER]]&gt;0,tbal[[#This Row],[DEBE]]-tbal[[#This Row],[HABER]],0)</f>
        <v>0</v>
      </c>
      <c r="H181" s="18">
        <f>IF(tbal[[#This Row],[HABER]]-tbal[[#This Row],[DEBE]]&gt;0,tbal[[#This Row],[HABER]]-tbal[[#This Row],[DEBE]],0)</f>
        <v>0</v>
      </c>
      <c r="I181" s="16">
        <f>IF((OR(tbal[[#This Row],[X]]=1,tbal[[#This Row],[X]]=2)),tbal[[#This Row],[DEUDOR]],0)</f>
        <v>0</v>
      </c>
      <c r="J181" s="18">
        <f>IF((OR(tbal[[#This Row],[X]]=2,tbal[[#This Row],[X]]=3)),tbal[[#This Row],[ACREEDOR]],0)</f>
        <v>0</v>
      </c>
      <c r="K181" s="16">
        <f>IF((OR(tbal[[#This Row],[X]]=3,tbal[[#This Row],[X]]=5)),tbal[[#This Row],[DEUDOR]],0)</f>
        <v>0</v>
      </c>
      <c r="L181" s="18">
        <f>IF((OR(tbal[[#This Row],[X]]=3,tbal[[#This Row],[X]]=4)),tbal[[#This Row],[ACREEDOR]],0)</f>
        <v>0</v>
      </c>
      <c r="M181" s="16">
        <f>IF((OR(tbal[[#This Row],[X]]=0,tbal[[#This Row],[X]]=6)),tbal[[#This Row],[DEUDOR]],0)</f>
        <v>0</v>
      </c>
      <c r="N181" s="18">
        <f>IF((OR(tbal[[#This Row],[X]]=0,tbal[[#This Row],[X]]=5)),tbal[[#This Row],[ACREEDOR]],0)</f>
        <v>0</v>
      </c>
    </row>
    <row r="182" spans="1:14" hidden="1" x14ac:dyDescent="0.3">
      <c r="A182" s="14">
        <f>+'PLAN DE CUENTAS'!A182</f>
        <v>0</v>
      </c>
      <c r="B182" s="13">
        <f>+'PLAN DE CUENTAS'!B182</f>
        <v>0</v>
      </c>
      <c r="C182" s="13">
        <f>+'PLAN DE CUENTAS'!C182</f>
        <v>0</v>
      </c>
      <c r="D182" t="str">
        <f>IF(tbal[[#This Row],[DEBE]]+tbal[[#This Row],[HABER]]=0,"","X")</f>
        <v/>
      </c>
      <c r="E182" s="16">
        <f>SUMIF(tdiario[CUENTA],tbal[[#This Row],[CUENTA]],tdiario[DEBE])</f>
        <v>0</v>
      </c>
      <c r="F182" s="17">
        <f>SUMIF(tdiario[CUENTA],tbal[[#This Row],[CUENTA]],tdiario[HABER])</f>
        <v>0</v>
      </c>
      <c r="G182" s="16">
        <f>IF(tbal[[#This Row],[DEBE]]-tbal[[#This Row],[HABER]]&gt;0,tbal[[#This Row],[DEBE]]-tbal[[#This Row],[HABER]],0)</f>
        <v>0</v>
      </c>
      <c r="H182" s="18">
        <f>IF(tbal[[#This Row],[HABER]]-tbal[[#This Row],[DEBE]]&gt;0,tbal[[#This Row],[HABER]]-tbal[[#This Row],[DEBE]],0)</f>
        <v>0</v>
      </c>
      <c r="I182" s="16">
        <f>IF((OR(tbal[[#This Row],[X]]=1,tbal[[#This Row],[X]]=2)),tbal[[#This Row],[DEUDOR]],0)</f>
        <v>0</v>
      </c>
      <c r="J182" s="18">
        <f>IF((OR(tbal[[#This Row],[X]]=2,tbal[[#This Row],[X]]=3)),tbal[[#This Row],[ACREEDOR]],0)</f>
        <v>0</v>
      </c>
      <c r="K182" s="16">
        <f>IF((OR(tbal[[#This Row],[X]]=3,tbal[[#This Row],[X]]=5)),tbal[[#This Row],[DEUDOR]],0)</f>
        <v>0</v>
      </c>
      <c r="L182" s="18">
        <f>IF((OR(tbal[[#This Row],[X]]=3,tbal[[#This Row],[X]]=4)),tbal[[#This Row],[ACREEDOR]],0)</f>
        <v>0</v>
      </c>
      <c r="M182" s="16">
        <f>IF((OR(tbal[[#This Row],[X]]=0,tbal[[#This Row],[X]]=6)),tbal[[#This Row],[DEUDOR]],0)</f>
        <v>0</v>
      </c>
      <c r="N182" s="18">
        <f>IF((OR(tbal[[#This Row],[X]]=0,tbal[[#This Row],[X]]=5)),tbal[[#This Row],[ACREEDOR]],0)</f>
        <v>0</v>
      </c>
    </row>
    <row r="183" spans="1:14" hidden="1" x14ac:dyDescent="0.3">
      <c r="A183" s="14">
        <f>+'PLAN DE CUENTAS'!A183</f>
        <v>0</v>
      </c>
      <c r="B183" s="13">
        <f>+'PLAN DE CUENTAS'!B183</f>
        <v>0</v>
      </c>
      <c r="C183" s="13">
        <f>+'PLAN DE CUENTAS'!C183</f>
        <v>0</v>
      </c>
      <c r="D183" t="str">
        <f>IF(tbal[[#This Row],[DEBE]]+tbal[[#This Row],[HABER]]=0,"","X")</f>
        <v/>
      </c>
      <c r="E183" s="16">
        <f>SUMIF(tdiario[CUENTA],tbal[[#This Row],[CUENTA]],tdiario[DEBE])</f>
        <v>0</v>
      </c>
      <c r="F183" s="17">
        <f>SUMIF(tdiario[CUENTA],tbal[[#This Row],[CUENTA]],tdiario[HABER])</f>
        <v>0</v>
      </c>
      <c r="G183" s="16">
        <f>IF(tbal[[#This Row],[DEBE]]-tbal[[#This Row],[HABER]]&gt;0,tbal[[#This Row],[DEBE]]-tbal[[#This Row],[HABER]],0)</f>
        <v>0</v>
      </c>
      <c r="H183" s="18">
        <f>IF(tbal[[#This Row],[HABER]]-tbal[[#This Row],[DEBE]]&gt;0,tbal[[#This Row],[HABER]]-tbal[[#This Row],[DEBE]],0)</f>
        <v>0</v>
      </c>
      <c r="I183" s="16">
        <f>IF((OR(tbal[[#This Row],[X]]=1,tbal[[#This Row],[X]]=2)),tbal[[#This Row],[DEUDOR]],0)</f>
        <v>0</v>
      </c>
      <c r="J183" s="18">
        <f>IF((OR(tbal[[#This Row],[X]]=2,tbal[[#This Row],[X]]=3)),tbal[[#This Row],[ACREEDOR]],0)</f>
        <v>0</v>
      </c>
      <c r="K183" s="16">
        <f>IF((OR(tbal[[#This Row],[X]]=3,tbal[[#This Row],[X]]=5)),tbal[[#This Row],[DEUDOR]],0)</f>
        <v>0</v>
      </c>
      <c r="L183" s="18">
        <f>IF((OR(tbal[[#This Row],[X]]=3,tbal[[#This Row],[X]]=4)),tbal[[#This Row],[ACREEDOR]],0)</f>
        <v>0</v>
      </c>
      <c r="M183" s="16">
        <f>IF((OR(tbal[[#This Row],[X]]=0,tbal[[#This Row],[X]]=6)),tbal[[#This Row],[DEUDOR]],0)</f>
        <v>0</v>
      </c>
      <c r="N183" s="18">
        <f>IF((OR(tbal[[#This Row],[X]]=0,tbal[[#This Row],[X]]=5)),tbal[[#This Row],[ACREEDOR]],0)</f>
        <v>0</v>
      </c>
    </row>
    <row r="184" spans="1:14" hidden="1" x14ac:dyDescent="0.3">
      <c r="A184" s="14">
        <f>+'PLAN DE CUENTAS'!A184</f>
        <v>0</v>
      </c>
      <c r="B184" s="13">
        <f>+'PLAN DE CUENTAS'!B184</f>
        <v>0</v>
      </c>
      <c r="C184" s="13">
        <f>+'PLAN DE CUENTAS'!C184</f>
        <v>0</v>
      </c>
      <c r="D184" t="str">
        <f>IF(tbal[[#This Row],[DEBE]]+tbal[[#This Row],[HABER]]=0,"","X")</f>
        <v/>
      </c>
      <c r="E184" s="16">
        <f>SUMIF(tdiario[CUENTA],tbal[[#This Row],[CUENTA]],tdiario[DEBE])</f>
        <v>0</v>
      </c>
      <c r="F184" s="17">
        <f>SUMIF(tdiario[CUENTA],tbal[[#This Row],[CUENTA]],tdiario[HABER])</f>
        <v>0</v>
      </c>
      <c r="G184" s="16">
        <f>IF(tbal[[#This Row],[DEBE]]-tbal[[#This Row],[HABER]]&gt;0,tbal[[#This Row],[DEBE]]-tbal[[#This Row],[HABER]],0)</f>
        <v>0</v>
      </c>
      <c r="H184" s="18">
        <f>IF(tbal[[#This Row],[HABER]]-tbal[[#This Row],[DEBE]]&gt;0,tbal[[#This Row],[HABER]]-tbal[[#This Row],[DEBE]],0)</f>
        <v>0</v>
      </c>
      <c r="I184" s="16">
        <f>IF((OR(tbal[[#This Row],[X]]=1,tbal[[#This Row],[X]]=2)),tbal[[#This Row],[DEUDOR]],0)</f>
        <v>0</v>
      </c>
      <c r="J184" s="18">
        <f>IF((OR(tbal[[#This Row],[X]]=2,tbal[[#This Row],[X]]=3)),tbal[[#This Row],[ACREEDOR]],0)</f>
        <v>0</v>
      </c>
      <c r="K184" s="16">
        <f>IF((OR(tbal[[#This Row],[X]]=3,tbal[[#This Row],[X]]=5)),tbal[[#This Row],[DEUDOR]],0)</f>
        <v>0</v>
      </c>
      <c r="L184" s="18">
        <f>IF((OR(tbal[[#This Row],[X]]=3,tbal[[#This Row],[X]]=4)),tbal[[#This Row],[ACREEDOR]],0)</f>
        <v>0</v>
      </c>
      <c r="M184" s="16">
        <f>IF((OR(tbal[[#This Row],[X]]=0,tbal[[#This Row],[X]]=6)),tbal[[#This Row],[DEUDOR]],0)</f>
        <v>0</v>
      </c>
      <c r="N184" s="18">
        <f>IF((OR(tbal[[#This Row],[X]]=0,tbal[[#This Row],[X]]=5)),tbal[[#This Row],[ACREEDOR]],0)</f>
        <v>0</v>
      </c>
    </row>
    <row r="185" spans="1:14" hidden="1" x14ac:dyDescent="0.3">
      <c r="A185" s="14">
        <f>+'PLAN DE CUENTAS'!A185</f>
        <v>0</v>
      </c>
      <c r="B185" s="13">
        <f>+'PLAN DE CUENTAS'!B185</f>
        <v>0</v>
      </c>
      <c r="C185" s="13">
        <f>+'PLAN DE CUENTAS'!C185</f>
        <v>0</v>
      </c>
      <c r="D185" t="str">
        <f>IF(tbal[[#This Row],[DEBE]]+tbal[[#This Row],[HABER]]=0,"","X")</f>
        <v/>
      </c>
      <c r="E185" s="16">
        <f>SUMIF(tdiario[CUENTA],tbal[[#This Row],[CUENTA]],tdiario[DEBE])</f>
        <v>0</v>
      </c>
      <c r="F185" s="17">
        <f>SUMIF(tdiario[CUENTA],tbal[[#This Row],[CUENTA]],tdiario[HABER])</f>
        <v>0</v>
      </c>
      <c r="G185" s="16">
        <f>IF(tbal[[#This Row],[DEBE]]-tbal[[#This Row],[HABER]]&gt;0,tbal[[#This Row],[DEBE]]-tbal[[#This Row],[HABER]],0)</f>
        <v>0</v>
      </c>
      <c r="H185" s="18">
        <f>IF(tbal[[#This Row],[HABER]]-tbal[[#This Row],[DEBE]]&gt;0,tbal[[#This Row],[HABER]]-tbal[[#This Row],[DEBE]],0)</f>
        <v>0</v>
      </c>
      <c r="I185" s="16">
        <f>IF((OR(tbal[[#This Row],[X]]=1,tbal[[#This Row],[X]]=2)),tbal[[#This Row],[DEUDOR]],0)</f>
        <v>0</v>
      </c>
      <c r="J185" s="18">
        <f>IF((OR(tbal[[#This Row],[X]]=2,tbal[[#This Row],[X]]=3)),tbal[[#This Row],[ACREEDOR]],0)</f>
        <v>0</v>
      </c>
      <c r="K185" s="16">
        <f>IF((OR(tbal[[#This Row],[X]]=3,tbal[[#This Row],[X]]=5)),tbal[[#This Row],[DEUDOR]],0)</f>
        <v>0</v>
      </c>
      <c r="L185" s="18">
        <f>IF((OR(tbal[[#This Row],[X]]=3,tbal[[#This Row],[X]]=4)),tbal[[#This Row],[ACREEDOR]],0)</f>
        <v>0</v>
      </c>
      <c r="M185" s="16">
        <f>IF((OR(tbal[[#This Row],[X]]=0,tbal[[#This Row],[X]]=6)),tbal[[#This Row],[DEUDOR]],0)</f>
        <v>0</v>
      </c>
      <c r="N185" s="18">
        <f>IF((OR(tbal[[#This Row],[X]]=0,tbal[[#This Row],[X]]=5)),tbal[[#This Row],[ACREEDOR]],0)</f>
        <v>0</v>
      </c>
    </row>
    <row r="186" spans="1:14" hidden="1" x14ac:dyDescent="0.3">
      <c r="A186" s="14">
        <f>+'PLAN DE CUENTAS'!A186</f>
        <v>0</v>
      </c>
      <c r="B186" s="13">
        <f>+'PLAN DE CUENTAS'!B186</f>
        <v>0</v>
      </c>
      <c r="C186" s="13">
        <f>+'PLAN DE CUENTAS'!C186</f>
        <v>0</v>
      </c>
      <c r="D186" t="str">
        <f>IF(tbal[[#This Row],[DEBE]]+tbal[[#This Row],[HABER]]=0,"","X")</f>
        <v/>
      </c>
      <c r="E186" s="16">
        <f>SUMIF(tdiario[CUENTA],tbal[[#This Row],[CUENTA]],tdiario[DEBE])</f>
        <v>0</v>
      </c>
      <c r="F186" s="17">
        <f>SUMIF(tdiario[CUENTA],tbal[[#This Row],[CUENTA]],tdiario[HABER])</f>
        <v>0</v>
      </c>
      <c r="G186" s="16">
        <f>IF(tbal[[#This Row],[DEBE]]-tbal[[#This Row],[HABER]]&gt;0,tbal[[#This Row],[DEBE]]-tbal[[#This Row],[HABER]],0)</f>
        <v>0</v>
      </c>
      <c r="H186" s="18">
        <f>IF(tbal[[#This Row],[HABER]]-tbal[[#This Row],[DEBE]]&gt;0,tbal[[#This Row],[HABER]]-tbal[[#This Row],[DEBE]],0)</f>
        <v>0</v>
      </c>
      <c r="I186" s="16">
        <f>IF((OR(tbal[[#This Row],[X]]=1,tbal[[#This Row],[X]]=2)),tbal[[#This Row],[DEUDOR]],0)</f>
        <v>0</v>
      </c>
      <c r="J186" s="18">
        <f>IF((OR(tbal[[#This Row],[X]]=2,tbal[[#This Row],[X]]=3)),tbal[[#This Row],[ACREEDOR]],0)</f>
        <v>0</v>
      </c>
      <c r="K186" s="16">
        <f>IF((OR(tbal[[#This Row],[X]]=3,tbal[[#This Row],[X]]=5)),tbal[[#This Row],[DEUDOR]],0)</f>
        <v>0</v>
      </c>
      <c r="L186" s="18">
        <f>IF((OR(tbal[[#This Row],[X]]=3,tbal[[#This Row],[X]]=4)),tbal[[#This Row],[ACREEDOR]],0)</f>
        <v>0</v>
      </c>
      <c r="M186" s="16">
        <f>IF((OR(tbal[[#This Row],[X]]=0,tbal[[#This Row],[X]]=6)),tbal[[#This Row],[DEUDOR]],0)</f>
        <v>0</v>
      </c>
      <c r="N186" s="18">
        <f>IF((OR(tbal[[#This Row],[X]]=0,tbal[[#This Row],[X]]=5)),tbal[[#This Row],[ACREEDOR]],0)</f>
        <v>0</v>
      </c>
    </row>
    <row r="187" spans="1:14" hidden="1" x14ac:dyDescent="0.3">
      <c r="A187" s="14">
        <f>+'PLAN DE CUENTAS'!A187</f>
        <v>0</v>
      </c>
      <c r="B187" s="13">
        <f>+'PLAN DE CUENTAS'!B187</f>
        <v>0</v>
      </c>
      <c r="C187" s="13">
        <f>+'PLAN DE CUENTAS'!C187</f>
        <v>0</v>
      </c>
      <c r="D187" t="str">
        <f>IF(tbal[[#This Row],[DEBE]]+tbal[[#This Row],[HABER]]=0,"","X")</f>
        <v/>
      </c>
      <c r="E187" s="16">
        <f>SUMIF(tdiario[CUENTA],tbal[[#This Row],[CUENTA]],tdiario[DEBE])</f>
        <v>0</v>
      </c>
      <c r="F187" s="17">
        <f>SUMIF(tdiario[CUENTA],tbal[[#This Row],[CUENTA]],tdiario[HABER])</f>
        <v>0</v>
      </c>
      <c r="G187" s="16">
        <f>IF(tbal[[#This Row],[DEBE]]-tbal[[#This Row],[HABER]]&gt;0,tbal[[#This Row],[DEBE]]-tbal[[#This Row],[HABER]],0)</f>
        <v>0</v>
      </c>
      <c r="H187" s="18">
        <f>IF(tbal[[#This Row],[HABER]]-tbal[[#This Row],[DEBE]]&gt;0,tbal[[#This Row],[HABER]]-tbal[[#This Row],[DEBE]],0)</f>
        <v>0</v>
      </c>
      <c r="I187" s="16">
        <f>IF((OR(tbal[[#This Row],[X]]=1,tbal[[#This Row],[X]]=2)),tbal[[#This Row],[DEUDOR]],0)</f>
        <v>0</v>
      </c>
      <c r="J187" s="18">
        <f>IF((OR(tbal[[#This Row],[X]]=2,tbal[[#This Row],[X]]=3)),tbal[[#This Row],[ACREEDOR]],0)</f>
        <v>0</v>
      </c>
      <c r="K187" s="16">
        <f>IF((OR(tbal[[#This Row],[X]]=3,tbal[[#This Row],[X]]=5)),tbal[[#This Row],[DEUDOR]],0)</f>
        <v>0</v>
      </c>
      <c r="L187" s="18">
        <f>IF((OR(tbal[[#This Row],[X]]=3,tbal[[#This Row],[X]]=4)),tbal[[#This Row],[ACREEDOR]],0)</f>
        <v>0</v>
      </c>
      <c r="M187" s="16">
        <f>IF((OR(tbal[[#This Row],[X]]=0,tbal[[#This Row],[X]]=6)),tbal[[#This Row],[DEUDOR]],0)</f>
        <v>0</v>
      </c>
      <c r="N187" s="18">
        <f>IF((OR(tbal[[#This Row],[X]]=0,tbal[[#This Row],[X]]=5)),tbal[[#This Row],[ACREEDOR]],0)</f>
        <v>0</v>
      </c>
    </row>
    <row r="188" spans="1:14" hidden="1" x14ac:dyDescent="0.3">
      <c r="A188" s="14">
        <f>+'PLAN DE CUENTAS'!A188</f>
        <v>0</v>
      </c>
      <c r="B188" s="13">
        <f>+'PLAN DE CUENTAS'!B188</f>
        <v>0</v>
      </c>
      <c r="C188" s="13">
        <f>+'PLAN DE CUENTAS'!C188</f>
        <v>0</v>
      </c>
      <c r="D188" t="str">
        <f>IF(tbal[[#This Row],[DEBE]]+tbal[[#This Row],[HABER]]=0,"","X")</f>
        <v/>
      </c>
      <c r="E188" s="16">
        <f>SUMIF(tdiario[CUENTA],tbal[[#This Row],[CUENTA]],tdiario[DEBE])</f>
        <v>0</v>
      </c>
      <c r="F188" s="17">
        <f>SUMIF(tdiario[CUENTA],tbal[[#This Row],[CUENTA]],tdiario[HABER])</f>
        <v>0</v>
      </c>
      <c r="G188" s="16">
        <f>IF(tbal[[#This Row],[DEBE]]-tbal[[#This Row],[HABER]]&gt;0,tbal[[#This Row],[DEBE]]-tbal[[#This Row],[HABER]],0)</f>
        <v>0</v>
      </c>
      <c r="H188" s="18">
        <f>IF(tbal[[#This Row],[HABER]]-tbal[[#This Row],[DEBE]]&gt;0,tbal[[#This Row],[HABER]]-tbal[[#This Row],[DEBE]],0)</f>
        <v>0</v>
      </c>
      <c r="I188" s="16">
        <f>IF((OR(tbal[[#This Row],[X]]=1,tbal[[#This Row],[X]]=2)),tbal[[#This Row],[DEUDOR]],0)</f>
        <v>0</v>
      </c>
      <c r="J188" s="18">
        <f>IF((OR(tbal[[#This Row],[X]]=2,tbal[[#This Row],[X]]=3)),tbal[[#This Row],[ACREEDOR]],0)</f>
        <v>0</v>
      </c>
      <c r="K188" s="16">
        <f>IF((OR(tbal[[#This Row],[X]]=3,tbal[[#This Row],[X]]=5)),tbal[[#This Row],[DEUDOR]],0)</f>
        <v>0</v>
      </c>
      <c r="L188" s="18">
        <f>IF((OR(tbal[[#This Row],[X]]=3,tbal[[#This Row],[X]]=4)),tbal[[#This Row],[ACREEDOR]],0)</f>
        <v>0</v>
      </c>
      <c r="M188" s="16">
        <f>IF((OR(tbal[[#This Row],[X]]=0,tbal[[#This Row],[X]]=6)),tbal[[#This Row],[DEUDOR]],0)</f>
        <v>0</v>
      </c>
      <c r="N188" s="18">
        <f>IF((OR(tbal[[#This Row],[X]]=0,tbal[[#This Row],[X]]=5)),tbal[[#This Row],[ACREEDOR]],0)</f>
        <v>0</v>
      </c>
    </row>
    <row r="189" spans="1:14" hidden="1" x14ac:dyDescent="0.3">
      <c r="A189" s="14">
        <f>+'PLAN DE CUENTAS'!A189</f>
        <v>0</v>
      </c>
      <c r="B189" s="13">
        <f>+'PLAN DE CUENTAS'!B189</f>
        <v>0</v>
      </c>
      <c r="C189" s="13">
        <f>+'PLAN DE CUENTAS'!C189</f>
        <v>0</v>
      </c>
      <c r="D189" t="str">
        <f>IF(tbal[[#This Row],[DEBE]]+tbal[[#This Row],[HABER]]=0,"","X")</f>
        <v/>
      </c>
      <c r="E189" s="16">
        <f>SUMIF(tdiario[CUENTA],tbal[[#This Row],[CUENTA]],tdiario[DEBE])</f>
        <v>0</v>
      </c>
      <c r="F189" s="17">
        <f>SUMIF(tdiario[CUENTA],tbal[[#This Row],[CUENTA]],tdiario[HABER])</f>
        <v>0</v>
      </c>
      <c r="G189" s="16">
        <f>IF(tbal[[#This Row],[DEBE]]-tbal[[#This Row],[HABER]]&gt;0,tbal[[#This Row],[DEBE]]-tbal[[#This Row],[HABER]],0)</f>
        <v>0</v>
      </c>
      <c r="H189" s="18">
        <f>IF(tbal[[#This Row],[HABER]]-tbal[[#This Row],[DEBE]]&gt;0,tbal[[#This Row],[HABER]]-tbal[[#This Row],[DEBE]],0)</f>
        <v>0</v>
      </c>
      <c r="I189" s="16">
        <f>IF((OR(tbal[[#This Row],[X]]=1,tbal[[#This Row],[X]]=2)),tbal[[#This Row],[DEUDOR]],0)</f>
        <v>0</v>
      </c>
      <c r="J189" s="18">
        <f>IF((OR(tbal[[#This Row],[X]]=2,tbal[[#This Row],[X]]=3)),tbal[[#This Row],[ACREEDOR]],0)</f>
        <v>0</v>
      </c>
      <c r="K189" s="16">
        <f>IF((OR(tbal[[#This Row],[X]]=3,tbal[[#This Row],[X]]=5)),tbal[[#This Row],[DEUDOR]],0)</f>
        <v>0</v>
      </c>
      <c r="L189" s="18">
        <f>IF((OR(tbal[[#This Row],[X]]=3,tbal[[#This Row],[X]]=4)),tbal[[#This Row],[ACREEDOR]],0)</f>
        <v>0</v>
      </c>
      <c r="M189" s="16">
        <f>IF((OR(tbal[[#This Row],[X]]=0,tbal[[#This Row],[X]]=6)),tbal[[#This Row],[DEUDOR]],0)</f>
        <v>0</v>
      </c>
      <c r="N189" s="18">
        <f>IF((OR(tbal[[#This Row],[X]]=0,tbal[[#This Row],[X]]=5)),tbal[[#This Row],[ACREEDOR]],0)</f>
        <v>0</v>
      </c>
    </row>
    <row r="190" spans="1:14" hidden="1" x14ac:dyDescent="0.3">
      <c r="A190" s="14">
        <f>+'PLAN DE CUENTAS'!A190</f>
        <v>0</v>
      </c>
      <c r="B190" s="13">
        <f>+'PLAN DE CUENTAS'!B190</f>
        <v>0</v>
      </c>
      <c r="C190" s="13">
        <f>+'PLAN DE CUENTAS'!C190</f>
        <v>0</v>
      </c>
      <c r="D190" t="str">
        <f>IF(tbal[[#This Row],[DEBE]]+tbal[[#This Row],[HABER]]=0,"","X")</f>
        <v/>
      </c>
      <c r="E190" s="16">
        <f>SUMIF(tdiario[CUENTA],tbal[[#This Row],[CUENTA]],tdiario[DEBE])</f>
        <v>0</v>
      </c>
      <c r="F190" s="17">
        <f>SUMIF(tdiario[CUENTA],tbal[[#This Row],[CUENTA]],tdiario[HABER])</f>
        <v>0</v>
      </c>
      <c r="G190" s="16">
        <f>IF(tbal[[#This Row],[DEBE]]-tbal[[#This Row],[HABER]]&gt;0,tbal[[#This Row],[DEBE]]-tbal[[#This Row],[HABER]],0)</f>
        <v>0</v>
      </c>
      <c r="H190" s="18">
        <f>IF(tbal[[#This Row],[HABER]]-tbal[[#This Row],[DEBE]]&gt;0,tbal[[#This Row],[HABER]]-tbal[[#This Row],[DEBE]],0)</f>
        <v>0</v>
      </c>
      <c r="I190" s="16">
        <f>IF((OR(tbal[[#This Row],[X]]=1,tbal[[#This Row],[X]]=2)),tbal[[#This Row],[DEUDOR]],0)</f>
        <v>0</v>
      </c>
      <c r="J190" s="18">
        <f>IF((OR(tbal[[#This Row],[X]]=2,tbal[[#This Row],[X]]=3)),tbal[[#This Row],[ACREEDOR]],0)</f>
        <v>0</v>
      </c>
      <c r="K190" s="16">
        <f>IF((OR(tbal[[#This Row],[X]]=3,tbal[[#This Row],[X]]=5)),tbal[[#This Row],[DEUDOR]],0)</f>
        <v>0</v>
      </c>
      <c r="L190" s="18">
        <f>IF((OR(tbal[[#This Row],[X]]=3,tbal[[#This Row],[X]]=4)),tbal[[#This Row],[ACREEDOR]],0)</f>
        <v>0</v>
      </c>
      <c r="M190" s="16">
        <f>IF((OR(tbal[[#This Row],[X]]=0,tbal[[#This Row],[X]]=6)),tbal[[#This Row],[DEUDOR]],0)</f>
        <v>0</v>
      </c>
      <c r="N190" s="18">
        <f>IF((OR(tbal[[#This Row],[X]]=0,tbal[[#This Row],[X]]=5)),tbal[[#This Row],[ACREEDOR]],0)</f>
        <v>0</v>
      </c>
    </row>
    <row r="191" spans="1:14" hidden="1" x14ac:dyDescent="0.3">
      <c r="A191" s="14">
        <f>+'PLAN DE CUENTAS'!A191</f>
        <v>0</v>
      </c>
      <c r="B191" s="13">
        <f>+'PLAN DE CUENTAS'!B191</f>
        <v>0</v>
      </c>
      <c r="C191" s="13">
        <f>+'PLAN DE CUENTAS'!C191</f>
        <v>0</v>
      </c>
      <c r="D191" t="str">
        <f>IF(tbal[[#This Row],[DEBE]]+tbal[[#This Row],[HABER]]=0,"","X")</f>
        <v/>
      </c>
      <c r="E191" s="16">
        <f>SUMIF(tdiario[CUENTA],tbal[[#This Row],[CUENTA]],tdiario[DEBE])</f>
        <v>0</v>
      </c>
      <c r="F191" s="17">
        <f>SUMIF(tdiario[CUENTA],tbal[[#This Row],[CUENTA]],tdiario[HABER])</f>
        <v>0</v>
      </c>
      <c r="G191" s="16">
        <f>IF(tbal[[#This Row],[DEBE]]-tbal[[#This Row],[HABER]]&gt;0,tbal[[#This Row],[DEBE]]-tbal[[#This Row],[HABER]],0)</f>
        <v>0</v>
      </c>
      <c r="H191" s="18">
        <f>IF(tbal[[#This Row],[HABER]]-tbal[[#This Row],[DEBE]]&gt;0,tbal[[#This Row],[HABER]]-tbal[[#This Row],[DEBE]],0)</f>
        <v>0</v>
      </c>
      <c r="I191" s="16">
        <f>IF((OR(tbal[[#This Row],[X]]=1,tbal[[#This Row],[X]]=2)),tbal[[#This Row],[DEUDOR]],0)</f>
        <v>0</v>
      </c>
      <c r="J191" s="18">
        <f>IF((OR(tbal[[#This Row],[X]]=2,tbal[[#This Row],[X]]=3)),tbal[[#This Row],[ACREEDOR]],0)</f>
        <v>0</v>
      </c>
      <c r="K191" s="16">
        <f>IF((OR(tbal[[#This Row],[X]]=3,tbal[[#This Row],[X]]=5)),tbal[[#This Row],[DEUDOR]],0)</f>
        <v>0</v>
      </c>
      <c r="L191" s="18">
        <f>IF((OR(tbal[[#This Row],[X]]=3,tbal[[#This Row],[X]]=4)),tbal[[#This Row],[ACREEDOR]],0)</f>
        <v>0</v>
      </c>
      <c r="M191" s="16">
        <f>IF((OR(tbal[[#This Row],[X]]=0,tbal[[#This Row],[X]]=6)),tbal[[#This Row],[DEUDOR]],0)</f>
        <v>0</v>
      </c>
      <c r="N191" s="18">
        <f>IF((OR(tbal[[#This Row],[X]]=0,tbal[[#This Row],[X]]=5)),tbal[[#This Row],[ACREEDOR]],0)</f>
        <v>0</v>
      </c>
    </row>
    <row r="192" spans="1:14" hidden="1" x14ac:dyDescent="0.3">
      <c r="A192" s="14">
        <f>+'PLAN DE CUENTAS'!A192</f>
        <v>0</v>
      </c>
      <c r="B192" s="13">
        <f>+'PLAN DE CUENTAS'!B192</f>
        <v>0</v>
      </c>
      <c r="C192" s="13">
        <f>+'PLAN DE CUENTAS'!C192</f>
        <v>0</v>
      </c>
      <c r="D192" t="str">
        <f>IF(tbal[[#This Row],[DEBE]]+tbal[[#This Row],[HABER]]=0,"","X")</f>
        <v/>
      </c>
      <c r="E192" s="16">
        <f>SUMIF(tdiario[CUENTA],tbal[[#This Row],[CUENTA]],tdiario[DEBE])</f>
        <v>0</v>
      </c>
      <c r="F192" s="17">
        <f>SUMIF(tdiario[CUENTA],tbal[[#This Row],[CUENTA]],tdiario[HABER])</f>
        <v>0</v>
      </c>
      <c r="G192" s="16">
        <f>IF(tbal[[#This Row],[DEBE]]-tbal[[#This Row],[HABER]]&gt;0,tbal[[#This Row],[DEBE]]-tbal[[#This Row],[HABER]],0)</f>
        <v>0</v>
      </c>
      <c r="H192" s="18">
        <f>IF(tbal[[#This Row],[HABER]]-tbal[[#This Row],[DEBE]]&gt;0,tbal[[#This Row],[HABER]]-tbal[[#This Row],[DEBE]],0)</f>
        <v>0</v>
      </c>
      <c r="I192" s="16">
        <f>IF((OR(tbal[[#This Row],[X]]=1,tbal[[#This Row],[X]]=2)),tbal[[#This Row],[DEUDOR]],0)</f>
        <v>0</v>
      </c>
      <c r="J192" s="18">
        <f>IF((OR(tbal[[#This Row],[X]]=2,tbal[[#This Row],[X]]=3)),tbal[[#This Row],[ACREEDOR]],0)</f>
        <v>0</v>
      </c>
      <c r="K192" s="16">
        <f>IF((OR(tbal[[#This Row],[X]]=3,tbal[[#This Row],[X]]=5)),tbal[[#This Row],[DEUDOR]],0)</f>
        <v>0</v>
      </c>
      <c r="L192" s="18">
        <f>IF((OR(tbal[[#This Row],[X]]=3,tbal[[#This Row],[X]]=4)),tbal[[#This Row],[ACREEDOR]],0)</f>
        <v>0</v>
      </c>
      <c r="M192" s="16">
        <f>IF((OR(tbal[[#This Row],[X]]=0,tbal[[#This Row],[X]]=6)),tbal[[#This Row],[DEUDOR]],0)</f>
        <v>0</v>
      </c>
      <c r="N192" s="18">
        <f>IF((OR(tbal[[#This Row],[X]]=0,tbal[[#This Row],[X]]=5)),tbal[[#This Row],[ACREEDOR]],0)</f>
        <v>0</v>
      </c>
    </row>
    <row r="193" spans="1:14" hidden="1" x14ac:dyDescent="0.3">
      <c r="A193" s="14">
        <f>+'PLAN DE CUENTAS'!A193</f>
        <v>0</v>
      </c>
      <c r="B193" s="13">
        <f>+'PLAN DE CUENTAS'!B193</f>
        <v>0</v>
      </c>
      <c r="C193" s="13">
        <f>+'PLAN DE CUENTAS'!C193</f>
        <v>0</v>
      </c>
      <c r="D193" t="str">
        <f>IF(tbal[[#This Row],[DEBE]]+tbal[[#This Row],[HABER]]=0,"","X")</f>
        <v/>
      </c>
      <c r="E193" s="16">
        <f>SUMIF(tdiario[CUENTA],tbal[[#This Row],[CUENTA]],tdiario[DEBE])</f>
        <v>0</v>
      </c>
      <c r="F193" s="17">
        <f>SUMIF(tdiario[CUENTA],tbal[[#This Row],[CUENTA]],tdiario[HABER])</f>
        <v>0</v>
      </c>
      <c r="G193" s="16">
        <f>IF(tbal[[#This Row],[DEBE]]-tbal[[#This Row],[HABER]]&gt;0,tbal[[#This Row],[DEBE]]-tbal[[#This Row],[HABER]],0)</f>
        <v>0</v>
      </c>
      <c r="H193" s="18">
        <f>IF(tbal[[#This Row],[HABER]]-tbal[[#This Row],[DEBE]]&gt;0,tbal[[#This Row],[HABER]]-tbal[[#This Row],[DEBE]],0)</f>
        <v>0</v>
      </c>
      <c r="I193" s="16">
        <f>IF((OR(tbal[[#This Row],[X]]=1,tbal[[#This Row],[X]]=2)),tbal[[#This Row],[DEUDOR]],0)</f>
        <v>0</v>
      </c>
      <c r="J193" s="18">
        <f>IF((OR(tbal[[#This Row],[X]]=2,tbal[[#This Row],[X]]=3)),tbal[[#This Row],[ACREEDOR]],0)</f>
        <v>0</v>
      </c>
      <c r="K193" s="16">
        <f>IF((OR(tbal[[#This Row],[X]]=3,tbal[[#This Row],[X]]=5)),tbal[[#This Row],[DEUDOR]],0)</f>
        <v>0</v>
      </c>
      <c r="L193" s="18">
        <f>IF((OR(tbal[[#This Row],[X]]=3,tbal[[#This Row],[X]]=4)),tbal[[#This Row],[ACREEDOR]],0)</f>
        <v>0</v>
      </c>
      <c r="M193" s="16">
        <f>IF((OR(tbal[[#This Row],[X]]=0,tbal[[#This Row],[X]]=6)),tbal[[#This Row],[DEUDOR]],0)</f>
        <v>0</v>
      </c>
      <c r="N193" s="18">
        <f>IF((OR(tbal[[#This Row],[X]]=0,tbal[[#This Row],[X]]=5)),tbal[[#This Row],[ACREEDOR]],0)</f>
        <v>0</v>
      </c>
    </row>
    <row r="194" spans="1:14" hidden="1" x14ac:dyDescent="0.3">
      <c r="A194" s="14">
        <f>+'PLAN DE CUENTAS'!A194</f>
        <v>0</v>
      </c>
      <c r="B194" s="13">
        <f>+'PLAN DE CUENTAS'!B194</f>
        <v>0</v>
      </c>
      <c r="C194" s="13">
        <f>+'PLAN DE CUENTAS'!C194</f>
        <v>0</v>
      </c>
      <c r="D194" t="str">
        <f>IF(tbal[[#This Row],[DEBE]]+tbal[[#This Row],[HABER]]=0,"","X")</f>
        <v/>
      </c>
      <c r="E194" s="16">
        <f>SUMIF(tdiario[CUENTA],tbal[[#This Row],[CUENTA]],tdiario[DEBE])</f>
        <v>0</v>
      </c>
      <c r="F194" s="17">
        <f>SUMIF(tdiario[CUENTA],tbal[[#This Row],[CUENTA]],tdiario[HABER])</f>
        <v>0</v>
      </c>
      <c r="G194" s="16">
        <f>IF(tbal[[#This Row],[DEBE]]-tbal[[#This Row],[HABER]]&gt;0,tbal[[#This Row],[DEBE]]-tbal[[#This Row],[HABER]],0)</f>
        <v>0</v>
      </c>
      <c r="H194" s="18">
        <f>IF(tbal[[#This Row],[HABER]]-tbal[[#This Row],[DEBE]]&gt;0,tbal[[#This Row],[HABER]]-tbal[[#This Row],[DEBE]],0)</f>
        <v>0</v>
      </c>
      <c r="I194" s="16">
        <f>IF((OR(tbal[[#This Row],[X]]=1,tbal[[#This Row],[X]]=2)),tbal[[#This Row],[DEUDOR]],0)</f>
        <v>0</v>
      </c>
      <c r="J194" s="18">
        <f>IF((OR(tbal[[#This Row],[X]]=2,tbal[[#This Row],[X]]=3)),tbal[[#This Row],[ACREEDOR]],0)</f>
        <v>0</v>
      </c>
      <c r="K194" s="16">
        <f>IF((OR(tbal[[#This Row],[X]]=3,tbal[[#This Row],[X]]=5)),tbal[[#This Row],[DEUDOR]],0)</f>
        <v>0</v>
      </c>
      <c r="L194" s="18">
        <f>IF((OR(tbal[[#This Row],[X]]=3,tbal[[#This Row],[X]]=4)),tbal[[#This Row],[ACREEDOR]],0)</f>
        <v>0</v>
      </c>
      <c r="M194" s="16">
        <f>IF((OR(tbal[[#This Row],[X]]=0,tbal[[#This Row],[X]]=6)),tbal[[#This Row],[DEUDOR]],0)</f>
        <v>0</v>
      </c>
      <c r="N194" s="18">
        <f>IF((OR(tbal[[#This Row],[X]]=0,tbal[[#This Row],[X]]=5)),tbal[[#This Row],[ACREEDOR]],0)</f>
        <v>0</v>
      </c>
    </row>
    <row r="195" spans="1:14" hidden="1" x14ac:dyDescent="0.3">
      <c r="A195" s="14">
        <f>+'PLAN DE CUENTAS'!A195</f>
        <v>0</v>
      </c>
      <c r="B195" s="13">
        <f>+'PLAN DE CUENTAS'!B195</f>
        <v>0</v>
      </c>
      <c r="C195" s="13">
        <f>+'PLAN DE CUENTAS'!C195</f>
        <v>0</v>
      </c>
      <c r="D195" t="str">
        <f>IF(tbal[[#This Row],[DEBE]]+tbal[[#This Row],[HABER]]=0,"","X")</f>
        <v/>
      </c>
      <c r="E195" s="16">
        <f>SUMIF(tdiario[CUENTA],tbal[[#This Row],[CUENTA]],tdiario[DEBE])</f>
        <v>0</v>
      </c>
      <c r="F195" s="17">
        <f>SUMIF(tdiario[CUENTA],tbal[[#This Row],[CUENTA]],tdiario[HABER])</f>
        <v>0</v>
      </c>
      <c r="G195" s="16">
        <f>IF(tbal[[#This Row],[DEBE]]-tbal[[#This Row],[HABER]]&gt;0,tbal[[#This Row],[DEBE]]-tbal[[#This Row],[HABER]],0)</f>
        <v>0</v>
      </c>
      <c r="H195" s="18">
        <f>IF(tbal[[#This Row],[HABER]]-tbal[[#This Row],[DEBE]]&gt;0,tbal[[#This Row],[HABER]]-tbal[[#This Row],[DEBE]],0)</f>
        <v>0</v>
      </c>
      <c r="I195" s="16">
        <f>IF((OR(tbal[[#This Row],[X]]=1,tbal[[#This Row],[X]]=2)),tbal[[#This Row],[DEUDOR]],0)</f>
        <v>0</v>
      </c>
      <c r="J195" s="18">
        <f>IF((OR(tbal[[#This Row],[X]]=2,tbal[[#This Row],[X]]=3)),tbal[[#This Row],[ACREEDOR]],0)</f>
        <v>0</v>
      </c>
      <c r="K195" s="16">
        <f>IF((OR(tbal[[#This Row],[X]]=3,tbal[[#This Row],[X]]=5)),tbal[[#This Row],[DEUDOR]],0)</f>
        <v>0</v>
      </c>
      <c r="L195" s="18">
        <f>IF((OR(tbal[[#This Row],[X]]=3,tbal[[#This Row],[X]]=4)),tbal[[#This Row],[ACREEDOR]],0)</f>
        <v>0</v>
      </c>
      <c r="M195" s="16">
        <f>IF((OR(tbal[[#This Row],[X]]=0,tbal[[#This Row],[X]]=6)),tbal[[#This Row],[DEUDOR]],0)</f>
        <v>0</v>
      </c>
      <c r="N195" s="18">
        <f>IF((OR(tbal[[#This Row],[X]]=0,tbal[[#This Row],[X]]=5)),tbal[[#This Row],[ACREEDOR]],0)</f>
        <v>0</v>
      </c>
    </row>
    <row r="196" spans="1:14" hidden="1" x14ac:dyDescent="0.3">
      <c r="A196" s="14">
        <f>+'PLAN DE CUENTAS'!A196</f>
        <v>0</v>
      </c>
      <c r="B196" s="13">
        <f>+'PLAN DE CUENTAS'!B196</f>
        <v>0</v>
      </c>
      <c r="C196" s="13">
        <f>+'PLAN DE CUENTAS'!C196</f>
        <v>0</v>
      </c>
      <c r="D196" t="str">
        <f>IF(tbal[[#This Row],[DEBE]]+tbal[[#This Row],[HABER]]=0,"","X")</f>
        <v/>
      </c>
      <c r="E196" s="16">
        <f>SUMIF(tdiario[CUENTA],tbal[[#This Row],[CUENTA]],tdiario[DEBE])</f>
        <v>0</v>
      </c>
      <c r="F196" s="17">
        <f>SUMIF(tdiario[CUENTA],tbal[[#This Row],[CUENTA]],tdiario[HABER])</f>
        <v>0</v>
      </c>
      <c r="G196" s="16">
        <f>IF(tbal[[#This Row],[DEBE]]-tbal[[#This Row],[HABER]]&gt;0,tbal[[#This Row],[DEBE]]-tbal[[#This Row],[HABER]],0)</f>
        <v>0</v>
      </c>
      <c r="H196" s="18">
        <f>IF(tbal[[#This Row],[HABER]]-tbal[[#This Row],[DEBE]]&gt;0,tbal[[#This Row],[HABER]]-tbal[[#This Row],[DEBE]],0)</f>
        <v>0</v>
      </c>
      <c r="I196" s="16">
        <f>IF((OR(tbal[[#This Row],[X]]=1,tbal[[#This Row],[X]]=2)),tbal[[#This Row],[DEUDOR]],0)</f>
        <v>0</v>
      </c>
      <c r="J196" s="18">
        <f>IF((OR(tbal[[#This Row],[X]]=2,tbal[[#This Row],[X]]=3)),tbal[[#This Row],[ACREEDOR]],0)</f>
        <v>0</v>
      </c>
      <c r="K196" s="16">
        <f>IF((OR(tbal[[#This Row],[X]]=3,tbal[[#This Row],[X]]=5)),tbal[[#This Row],[DEUDOR]],0)</f>
        <v>0</v>
      </c>
      <c r="L196" s="18">
        <f>IF((OR(tbal[[#This Row],[X]]=3,tbal[[#This Row],[X]]=4)),tbal[[#This Row],[ACREEDOR]],0)</f>
        <v>0</v>
      </c>
      <c r="M196" s="16">
        <f>IF((OR(tbal[[#This Row],[X]]=0,tbal[[#This Row],[X]]=6)),tbal[[#This Row],[DEUDOR]],0)</f>
        <v>0</v>
      </c>
      <c r="N196" s="18">
        <f>IF((OR(tbal[[#This Row],[X]]=0,tbal[[#This Row],[X]]=5)),tbal[[#This Row],[ACREEDOR]],0)</f>
        <v>0</v>
      </c>
    </row>
    <row r="197" spans="1:14" hidden="1" x14ac:dyDescent="0.3">
      <c r="A197" s="14">
        <f>+'PLAN DE CUENTAS'!A197</f>
        <v>0</v>
      </c>
      <c r="B197" s="13">
        <f>+'PLAN DE CUENTAS'!B197</f>
        <v>0</v>
      </c>
      <c r="C197" s="13">
        <f>+'PLAN DE CUENTAS'!C197</f>
        <v>0</v>
      </c>
      <c r="D197" t="str">
        <f>IF(tbal[[#This Row],[DEBE]]+tbal[[#This Row],[HABER]]=0,"","X")</f>
        <v/>
      </c>
      <c r="E197" s="16">
        <f>SUMIF(tdiario[CUENTA],tbal[[#This Row],[CUENTA]],tdiario[DEBE])</f>
        <v>0</v>
      </c>
      <c r="F197" s="17">
        <f>SUMIF(tdiario[CUENTA],tbal[[#This Row],[CUENTA]],tdiario[HABER])</f>
        <v>0</v>
      </c>
      <c r="G197" s="16">
        <f>IF(tbal[[#This Row],[DEBE]]-tbal[[#This Row],[HABER]]&gt;0,tbal[[#This Row],[DEBE]]-tbal[[#This Row],[HABER]],0)</f>
        <v>0</v>
      </c>
      <c r="H197" s="18">
        <f>IF(tbal[[#This Row],[HABER]]-tbal[[#This Row],[DEBE]]&gt;0,tbal[[#This Row],[HABER]]-tbal[[#This Row],[DEBE]],0)</f>
        <v>0</v>
      </c>
      <c r="I197" s="16">
        <f>IF((OR(tbal[[#This Row],[X]]=1,tbal[[#This Row],[X]]=2)),tbal[[#This Row],[DEUDOR]],0)</f>
        <v>0</v>
      </c>
      <c r="J197" s="18">
        <f>IF((OR(tbal[[#This Row],[X]]=2,tbal[[#This Row],[X]]=3)),tbal[[#This Row],[ACREEDOR]],0)</f>
        <v>0</v>
      </c>
      <c r="K197" s="16">
        <f>IF((OR(tbal[[#This Row],[X]]=3,tbal[[#This Row],[X]]=5)),tbal[[#This Row],[DEUDOR]],0)</f>
        <v>0</v>
      </c>
      <c r="L197" s="18">
        <f>IF((OR(tbal[[#This Row],[X]]=3,tbal[[#This Row],[X]]=4)),tbal[[#This Row],[ACREEDOR]],0)</f>
        <v>0</v>
      </c>
      <c r="M197" s="16">
        <f>IF((OR(tbal[[#This Row],[X]]=0,tbal[[#This Row],[X]]=6)),tbal[[#This Row],[DEUDOR]],0)</f>
        <v>0</v>
      </c>
      <c r="N197" s="18">
        <f>IF((OR(tbal[[#This Row],[X]]=0,tbal[[#This Row],[X]]=5)),tbal[[#This Row],[ACREEDOR]],0)</f>
        <v>0</v>
      </c>
    </row>
    <row r="198" spans="1:14" hidden="1" x14ac:dyDescent="0.3">
      <c r="A198" s="14">
        <f>+'PLAN DE CUENTAS'!A198</f>
        <v>0</v>
      </c>
      <c r="B198" s="13">
        <f>+'PLAN DE CUENTAS'!B198</f>
        <v>0</v>
      </c>
      <c r="C198" s="13">
        <f>+'PLAN DE CUENTAS'!C198</f>
        <v>0</v>
      </c>
      <c r="D198" t="str">
        <f>IF(tbal[[#This Row],[DEBE]]+tbal[[#This Row],[HABER]]=0,"","X")</f>
        <v/>
      </c>
      <c r="E198" s="16">
        <f>SUMIF(tdiario[CUENTA],tbal[[#This Row],[CUENTA]],tdiario[DEBE])</f>
        <v>0</v>
      </c>
      <c r="F198" s="17">
        <f>SUMIF(tdiario[CUENTA],tbal[[#This Row],[CUENTA]],tdiario[HABER])</f>
        <v>0</v>
      </c>
      <c r="G198" s="16">
        <f>IF(tbal[[#This Row],[DEBE]]-tbal[[#This Row],[HABER]]&gt;0,tbal[[#This Row],[DEBE]]-tbal[[#This Row],[HABER]],0)</f>
        <v>0</v>
      </c>
      <c r="H198" s="18">
        <f>IF(tbal[[#This Row],[HABER]]-tbal[[#This Row],[DEBE]]&gt;0,tbal[[#This Row],[HABER]]-tbal[[#This Row],[DEBE]],0)</f>
        <v>0</v>
      </c>
      <c r="I198" s="16">
        <f>IF((OR(tbal[[#This Row],[X]]=1,tbal[[#This Row],[X]]=2)),tbal[[#This Row],[DEUDOR]],0)</f>
        <v>0</v>
      </c>
      <c r="J198" s="18">
        <f>IF((OR(tbal[[#This Row],[X]]=2,tbal[[#This Row],[X]]=3)),tbal[[#This Row],[ACREEDOR]],0)</f>
        <v>0</v>
      </c>
      <c r="K198" s="16">
        <f>IF((OR(tbal[[#This Row],[X]]=3,tbal[[#This Row],[X]]=5)),tbal[[#This Row],[DEUDOR]],0)</f>
        <v>0</v>
      </c>
      <c r="L198" s="18">
        <f>IF((OR(tbal[[#This Row],[X]]=3,tbal[[#This Row],[X]]=4)),tbal[[#This Row],[ACREEDOR]],0)</f>
        <v>0</v>
      </c>
      <c r="M198" s="16">
        <f>IF((OR(tbal[[#This Row],[X]]=0,tbal[[#This Row],[X]]=6)),tbal[[#This Row],[DEUDOR]],0)</f>
        <v>0</v>
      </c>
      <c r="N198" s="18">
        <f>IF((OR(tbal[[#This Row],[X]]=0,tbal[[#This Row],[X]]=5)),tbal[[#This Row],[ACREEDOR]],0)</f>
        <v>0</v>
      </c>
    </row>
    <row r="199" spans="1:14" hidden="1" x14ac:dyDescent="0.3">
      <c r="A199" s="14">
        <f>+'PLAN DE CUENTAS'!A199</f>
        <v>0</v>
      </c>
      <c r="B199" s="13">
        <f>+'PLAN DE CUENTAS'!B199</f>
        <v>0</v>
      </c>
      <c r="C199" s="13">
        <f>+'PLAN DE CUENTAS'!C199</f>
        <v>0</v>
      </c>
      <c r="D199" t="str">
        <f>IF(tbal[[#This Row],[DEBE]]+tbal[[#This Row],[HABER]]=0,"","X")</f>
        <v/>
      </c>
      <c r="E199" s="16">
        <f>SUMIF(tdiario[CUENTA],tbal[[#This Row],[CUENTA]],tdiario[DEBE])</f>
        <v>0</v>
      </c>
      <c r="F199" s="17">
        <f>SUMIF(tdiario[CUENTA],tbal[[#This Row],[CUENTA]],tdiario[HABER])</f>
        <v>0</v>
      </c>
      <c r="G199" s="16">
        <f>IF(tbal[[#This Row],[DEBE]]-tbal[[#This Row],[HABER]]&gt;0,tbal[[#This Row],[DEBE]]-tbal[[#This Row],[HABER]],0)</f>
        <v>0</v>
      </c>
      <c r="H199" s="18">
        <f>IF(tbal[[#This Row],[HABER]]-tbal[[#This Row],[DEBE]]&gt;0,tbal[[#This Row],[HABER]]-tbal[[#This Row],[DEBE]],0)</f>
        <v>0</v>
      </c>
      <c r="I199" s="16">
        <f>IF((OR(tbal[[#This Row],[X]]=1,tbal[[#This Row],[X]]=2)),tbal[[#This Row],[DEUDOR]],0)</f>
        <v>0</v>
      </c>
      <c r="J199" s="18">
        <f>IF((OR(tbal[[#This Row],[X]]=2,tbal[[#This Row],[X]]=3)),tbal[[#This Row],[ACREEDOR]],0)</f>
        <v>0</v>
      </c>
      <c r="K199" s="16">
        <f>IF((OR(tbal[[#This Row],[X]]=3,tbal[[#This Row],[X]]=5)),tbal[[#This Row],[DEUDOR]],0)</f>
        <v>0</v>
      </c>
      <c r="L199" s="18">
        <f>IF((OR(tbal[[#This Row],[X]]=3,tbal[[#This Row],[X]]=4)),tbal[[#This Row],[ACREEDOR]],0)</f>
        <v>0</v>
      </c>
      <c r="M199" s="16">
        <f>IF((OR(tbal[[#This Row],[X]]=0,tbal[[#This Row],[X]]=6)),tbal[[#This Row],[DEUDOR]],0)</f>
        <v>0</v>
      </c>
      <c r="N199" s="18">
        <f>IF((OR(tbal[[#This Row],[X]]=0,tbal[[#This Row],[X]]=5)),tbal[[#This Row],[ACREEDOR]],0)</f>
        <v>0</v>
      </c>
    </row>
    <row r="200" spans="1:14" hidden="1" x14ac:dyDescent="0.3">
      <c r="A200" s="14">
        <f>+'PLAN DE CUENTAS'!A200</f>
        <v>0</v>
      </c>
      <c r="B200" s="13">
        <f>+'PLAN DE CUENTAS'!B200</f>
        <v>0</v>
      </c>
      <c r="C200" s="13">
        <f>+'PLAN DE CUENTAS'!C200</f>
        <v>0</v>
      </c>
      <c r="D200" t="str">
        <f>IF(tbal[[#This Row],[DEBE]]+tbal[[#This Row],[HABER]]=0,"","X")</f>
        <v/>
      </c>
      <c r="E200" s="16">
        <f>SUMIF(tdiario[CUENTA],tbal[[#This Row],[CUENTA]],tdiario[DEBE])</f>
        <v>0</v>
      </c>
      <c r="F200" s="17">
        <f>SUMIF(tdiario[CUENTA],tbal[[#This Row],[CUENTA]],tdiario[HABER])</f>
        <v>0</v>
      </c>
      <c r="G200" s="16">
        <f>IF(tbal[[#This Row],[DEBE]]-tbal[[#This Row],[HABER]]&gt;0,tbal[[#This Row],[DEBE]]-tbal[[#This Row],[HABER]],0)</f>
        <v>0</v>
      </c>
      <c r="H200" s="18">
        <f>IF(tbal[[#This Row],[HABER]]-tbal[[#This Row],[DEBE]]&gt;0,tbal[[#This Row],[HABER]]-tbal[[#This Row],[DEBE]],0)</f>
        <v>0</v>
      </c>
      <c r="I200" s="16">
        <f>IF((OR(tbal[[#This Row],[X]]=1,tbal[[#This Row],[X]]=2)),tbal[[#This Row],[DEUDOR]],0)</f>
        <v>0</v>
      </c>
      <c r="J200" s="18">
        <f>IF((OR(tbal[[#This Row],[X]]=2,tbal[[#This Row],[X]]=3)),tbal[[#This Row],[ACREEDOR]],0)</f>
        <v>0</v>
      </c>
      <c r="K200" s="16">
        <f>IF((OR(tbal[[#This Row],[X]]=3,tbal[[#This Row],[X]]=5)),tbal[[#This Row],[DEUDOR]],0)</f>
        <v>0</v>
      </c>
      <c r="L200" s="18">
        <f>IF((OR(tbal[[#This Row],[X]]=3,tbal[[#This Row],[X]]=4)),tbal[[#This Row],[ACREEDOR]],0)</f>
        <v>0</v>
      </c>
      <c r="M200" s="16">
        <f>IF((OR(tbal[[#This Row],[X]]=0,tbal[[#This Row],[X]]=6)),tbal[[#This Row],[DEUDOR]],0)</f>
        <v>0</v>
      </c>
      <c r="N200" s="18">
        <f>IF((OR(tbal[[#This Row],[X]]=0,tbal[[#This Row],[X]]=5)),tbal[[#This Row],[ACREEDOR]],0)</f>
        <v>0</v>
      </c>
    </row>
    <row r="201" spans="1:14" hidden="1" x14ac:dyDescent="0.3">
      <c r="A201" s="14">
        <f>+'PLAN DE CUENTAS'!A201</f>
        <v>0</v>
      </c>
      <c r="B201" s="13">
        <f>+'PLAN DE CUENTAS'!B201</f>
        <v>0</v>
      </c>
      <c r="C201" s="13">
        <f>+'PLAN DE CUENTAS'!C201</f>
        <v>0</v>
      </c>
      <c r="D201" t="str">
        <f>IF(tbal[[#This Row],[DEBE]]+tbal[[#This Row],[HABER]]=0,"","X")</f>
        <v/>
      </c>
      <c r="E201" s="16">
        <f>SUMIF(tdiario[CUENTA],tbal[[#This Row],[CUENTA]],tdiario[DEBE])</f>
        <v>0</v>
      </c>
      <c r="F201" s="17">
        <f>SUMIF(tdiario[CUENTA],tbal[[#This Row],[CUENTA]],tdiario[HABER])</f>
        <v>0</v>
      </c>
      <c r="G201" s="16">
        <f>IF(tbal[[#This Row],[DEBE]]-tbal[[#This Row],[HABER]]&gt;0,tbal[[#This Row],[DEBE]]-tbal[[#This Row],[HABER]],0)</f>
        <v>0</v>
      </c>
      <c r="H201" s="18">
        <f>IF(tbal[[#This Row],[HABER]]-tbal[[#This Row],[DEBE]]&gt;0,tbal[[#This Row],[HABER]]-tbal[[#This Row],[DEBE]],0)</f>
        <v>0</v>
      </c>
      <c r="I201" s="16">
        <f>IF((OR(tbal[[#This Row],[X]]=1,tbal[[#This Row],[X]]=2)),tbal[[#This Row],[DEUDOR]],0)</f>
        <v>0</v>
      </c>
      <c r="J201" s="18">
        <f>IF((OR(tbal[[#This Row],[X]]=2,tbal[[#This Row],[X]]=3)),tbal[[#This Row],[ACREEDOR]],0)</f>
        <v>0</v>
      </c>
      <c r="K201" s="16">
        <f>IF((OR(tbal[[#This Row],[X]]=3,tbal[[#This Row],[X]]=5)),tbal[[#This Row],[DEUDOR]],0)</f>
        <v>0</v>
      </c>
      <c r="L201" s="18">
        <f>IF((OR(tbal[[#This Row],[X]]=3,tbal[[#This Row],[X]]=4)),tbal[[#This Row],[ACREEDOR]],0)</f>
        <v>0</v>
      </c>
      <c r="M201" s="16">
        <f>IF((OR(tbal[[#This Row],[X]]=0,tbal[[#This Row],[X]]=6)),tbal[[#This Row],[DEUDOR]],0)</f>
        <v>0</v>
      </c>
      <c r="N201" s="18">
        <f>IF((OR(tbal[[#This Row],[X]]=0,tbal[[#This Row],[X]]=5)),tbal[[#This Row],[ACREEDOR]],0)</f>
        <v>0</v>
      </c>
    </row>
    <row r="202" spans="1:14" hidden="1" x14ac:dyDescent="0.3">
      <c r="A202" s="14">
        <f>+'PLAN DE CUENTAS'!A202</f>
        <v>0</v>
      </c>
      <c r="B202" s="13">
        <f>+'PLAN DE CUENTAS'!B202</f>
        <v>0</v>
      </c>
      <c r="C202" s="13">
        <f>+'PLAN DE CUENTAS'!C202</f>
        <v>0</v>
      </c>
      <c r="D202" t="str">
        <f>IF(tbal[[#This Row],[DEBE]]+tbal[[#This Row],[HABER]]=0,"","X")</f>
        <v/>
      </c>
      <c r="E202" s="16">
        <f>SUMIF(tdiario[CUENTA],tbal[[#This Row],[CUENTA]],tdiario[DEBE])</f>
        <v>0</v>
      </c>
      <c r="F202" s="17">
        <f>SUMIF(tdiario[CUENTA],tbal[[#This Row],[CUENTA]],tdiario[HABER])</f>
        <v>0</v>
      </c>
      <c r="G202" s="16">
        <f>IF(tbal[[#This Row],[DEBE]]-tbal[[#This Row],[HABER]]&gt;0,tbal[[#This Row],[DEBE]]-tbal[[#This Row],[HABER]],0)</f>
        <v>0</v>
      </c>
      <c r="H202" s="18">
        <f>IF(tbal[[#This Row],[HABER]]-tbal[[#This Row],[DEBE]]&gt;0,tbal[[#This Row],[HABER]]-tbal[[#This Row],[DEBE]],0)</f>
        <v>0</v>
      </c>
      <c r="I202" s="16">
        <f>IF((OR(tbal[[#This Row],[X]]=1,tbal[[#This Row],[X]]=2)),tbal[[#This Row],[DEUDOR]],0)</f>
        <v>0</v>
      </c>
      <c r="J202" s="18">
        <f>IF((OR(tbal[[#This Row],[X]]=2,tbal[[#This Row],[X]]=3)),tbal[[#This Row],[ACREEDOR]],0)</f>
        <v>0</v>
      </c>
      <c r="K202" s="16">
        <f>IF((OR(tbal[[#This Row],[X]]=3,tbal[[#This Row],[X]]=5)),tbal[[#This Row],[DEUDOR]],0)</f>
        <v>0</v>
      </c>
      <c r="L202" s="18">
        <f>IF((OR(tbal[[#This Row],[X]]=3,tbal[[#This Row],[X]]=4)),tbal[[#This Row],[ACREEDOR]],0)</f>
        <v>0</v>
      </c>
      <c r="M202" s="16">
        <f>IF((OR(tbal[[#This Row],[X]]=0,tbal[[#This Row],[X]]=6)),tbal[[#This Row],[DEUDOR]],0)</f>
        <v>0</v>
      </c>
      <c r="N202" s="18">
        <f>IF((OR(tbal[[#This Row],[X]]=0,tbal[[#This Row],[X]]=5)),tbal[[#This Row],[ACREEDOR]],0)</f>
        <v>0</v>
      </c>
    </row>
    <row r="203" spans="1:14" hidden="1" x14ac:dyDescent="0.3">
      <c r="A203" s="14">
        <f>+'PLAN DE CUENTAS'!A203</f>
        <v>0</v>
      </c>
      <c r="B203" s="13">
        <f>+'PLAN DE CUENTAS'!B203</f>
        <v>0</v>
      </c>
      <c r="C203" s="13">
        <f>+'PLAN DE CUENTAS'!C203</f>
        <v>0</v>
      </c>
      <c r="D203" t="str">
        <f>IF(tbal[[#This Row],[DEBE]]+tbal[[#This Row],[HABER]]=0,"","X")</f>
        <v/>
      </c>
      <c r="E203" s="16">
        <f>SUMIF(tdiario[CUENTA],tbal[[#This Row],[CUENTA]],tdiario[DEBE])</f>
        <v>0</v>
      </c>
      <c r="F203" s="17">
        <f>SUMIF(tdiario[CUENTA],tbal[[#This Row],[CUENTA]],tdiario[HABER])</f>
        <v>0</v>
      </c>
      <c r="G203" s="16">
        <f>IF(tbal[[#This Row],[DEBE]]-tbal[[#This Row],[HABER]]&gt;0,tbal[[#This Row],[DEBE]]-tbal[[#This Row],[HABER]],0)</f>
        <v>0</v>
      </c>
      <c r="H203" s="18">
        <f>IF(tbal[[#This Row],[HABER]]-tbal[[#This Row],[DEBE]]&gt;0,tbal[[#This Row],[HABER]]-tbal[[#This Row],[DEBE]],0)</f>
        <v>0</v>
      </c>
      <c r="I203" s="16">
        <f>IF((OR(tbal[[#This Row],[X]]=1,tbal[[#This Row],[X]]=2)),tbal[[#This Row],[DEUDOR]],0)</f>
        <v>0</v>
      </c>
      <c r="J203" s="18">
        <f>IF((OR(tbal[[#This Row],[X]]=2,tbal[[#This Row],[X]]=3)),tbal[[#This Row],[ACREEDOR]],0)</f>
        <v>0</v>
      </c>
      <c r="K203" s="16">
        <f>IF((OR(tbal[[#This Row],[X]]=3,tbal[[#This Row],[X]]=5)),tbal[[#This Row],[DEUDOR]],0)</f>
        <v>0</v>
      </c>
      <c r="L203" s="18">
        <f>IF((OR(tbal[[#This Row],[X]]=3,tbal[[#This Row],[X]]=4)),tbal[[#This Row],[ACREEDOR]],0)</f>
        <v>0</v>
      </c>
      <c r="M203" s="16">
        <f>IF((OR(tbal[[#This Row],[X]]=0,tbal[[#This Row],[X]]=6)),tbal[[#This Row],[DEUDOR]],0)</f>
        <v>0</v>
      </c>
      <c r="N203" s="18">
        <f>IF((OR(tbal[[#This Row],[X]]=0,tbal[[#This Row],[X]]=5)),tbal[[#This Row],[ACREEDOR]],0)</f>
        <v>0</v>
      </c>
    </row>
    <row r="204" spans="1:14" hidden="1" x14ac:dyDescent="0.3">
      <c r="A204" s="14">
        <f>+'PLAN DE CUENTAS'!A204</f>
        <v>0</v>
      </c>
      <c r="B204" s="13">
        <f>+'PLAN DE CUENTAS'!B204</f>
        <v>0</v>
      </c>
      <c r="C204" s="13">
        <f>+'PLAN DE CUENTAS'!C204</f>
        <v>0</v>
      </c>
      <c r="D204" t="str">
        <f>IF(tbal[[#This Row],[DEBE]]+tbal[[#This Row],[HABER]]=0,"","X")</f>
        <v/>
      </c>
      <c r="E204" s="16">
        <f>SUMIF(tdiario[CUENTA],tbal[[#This Row],[CUENTA]],tdiario[DEBE])</f>
        <v>0</v>
      </c>
      <c r="F204" s="17">
        <f>SUMIF(tdiario[CUENTA],tbal[[#This Row],[CUENTA]],tdiario[HABER])</f>
        <v>0</v>
      </c>
      <c r="G204" s="16">
        <f>IF(tbal[[#This Row],[DEBE]]-tbal[[#This Row],[HABER]]&gt;0,tbal[[#This Row],[DEBE]]-tbal[[#This Row],[HABER]],0)</f>
        <v>0</v>
      </c>
      <c r="H204" s="18">
        <f>IF(tbal[[#This Row],[HABER]]-tbal[[#This Row],[DEBE]]&gt;0,tbal[[#This Row],[HABER]]-tbal[[#This Row],[DEBE]],0)</f>
        <v>0</v>
      </c>
      <c r="I204" s="16">
        <f>IF((OR(tbal[[#This Row],[X]]=1,tbal[[#This Row],[X]]=2)),tbal[[#This Row],[DEUDOR]],0)</f>
        <v>0</v>
      </c>
      <c r="J204" s="18">
        <f>IF((OR(tbal[[#This Row],[X]]=2,tbal[[#This Row],[X]]=3)),tbal[[#This Row],[ACREEDOR]],0)</f>
        <v>0</v>
      </c>
      <c r="K204" s="16">
        <f>IF((OR(tbal[[#This Row],[X]]=3,tbal[[#This Row],[X]]=5)),tbal[[#This Row],[DEUDOR]],0)</f>
        <v>0</v>
      </c>
      <c r="L204" s="18">
        <f>IF((OR(tbal[[#This Row],[X]]=3,tbal[[#This Row],[X]]=4)),tbal[[#This Row],[ACREEDOR]],0)</f>
        <v>0</v>
      </c>
      <c r="M204" s="16">
        <f>IF((OR(tbal[[#This Row],[X]]=0,tbal[[#This Row],[X]]=6)),tbal[[#This Row],[DEUDOR]],0)</f>
        <v>0</v>
      </c>
      <c r="N204" s="18">
        <f>IF((OR(tbal[[#This Row],[X]]=0,tbal[[#This Row],[X]]=5)),tbal[[#This Row],[ACREEDOR]],0)</f>
        <v>0</v>
      </c>
    </row>
    <row r="205" spans="1:14" hidden="1" x14ac:dyDescent="0.3">
      <c r="A205" s="14">
        <f>+'PLAN DE CUENTAS'!A205</f>
        <v>0</v>
      </c>
      <c r="B205" s="13">
        <f>+'PLAN DE CUENTAS'!B205</f>
        <v>0</v>
      </c>
      <c r="C205" s="13">
        <f>+'PLAN DE CUENTAS'!C205</f>
        <v>0</v>
      </c>
      <c r="D205" t="str">
        <f>IF(tbal[[#This Row],[DEBE]]+tbal[[#This Row],[HABER]]=0,"","X")</f>
        <v/>
      </c>
      <c r="E205" s="16">
        <f>SUMIF(tdiario[CUENTA],tbal[[#This Row],[CUENTA]],tdiario[DEBE])</f>
        <v>0</v>
      </c>
      <c r="F205" s="17">
        <f>SUMIF(tdiario[CUENTA],tbal[[#This Row],[CUENTA]],tdiario[HABER])</f>
        <v>0</v>
      </c>
      <c r="G205" s="16">
        <f>IF(tbal[[#This Row],[DEBE]]-tbal[[#This Row],[HABER]]&gt;0,tbal[[#This Row],[DEBE]]-tbal[[#This Row],[HABER]],0)</f>
        <v>0</v>
      </c>
      <c r="H205" s="18">
        <f>IF(tbal[[#This Row],[HABER]]-tbal[[#This Row],[DEBE]]&gt;0,tbal[[#This Row],[HABER]]-tbal[[#This Row],[DEBE]],0)</f>
        <v>0</v>
      </c>
      <c r="I205" s="16">
        <f>IF((OR(tbal[[#This Row],[X]]=1,tbal[[#This Row],[X]]=2)),tbal[[#This Row],[DEUDOR]],0)</f>
        <v>0</v>
      </c>
      <c r="J205" s="18">
        <f>IF((OR(tbal[[#This Row],[X]]=2,tbal[[#This Row],[X]]=3)),tbal[[#This Row],[ACREEDOR]],0)</f>
        <v>0</v>
      </c>
      <c r="K205" s="16">
        <f>IF((OR(tbal[[#This Row],[X]]=3,tbal[[#This Row],[X]]=5)),tbal[[#This Row],[DEUDOR]],0)</f>
        <v>0</v>
      </c>
      <c r="L205" s="18">
        <f>IF((OR(tbal[[#This Row],[X]]=3,tbal[[#This Row],[X]]=4)),tbal[[#This Row],[ACREEDOR]],0)</f>
        <v>0</v>
      </c>
      <c r="M205" s="16">
        <f>IF((OR(tbal[[#This Row],[X]]=0,tbal[[#This Row],[X]]=6)),tbal[[#This Row],[DEUDOR]],0)</f>
        <v>0</v>
      </c>
      <c r="N205" s="18">
        <f>IF((OR(tbal[[#This Row],[X]]=0,tbal[[#This Row],[X]]=5)),tbal[[#This Row],[ACREEDOR]],0)</f>
        <v>0</v>
      </c>
    </row>
    <row r="206" spans="1:14" hidden="1" x14ac:dyDescent="0.3">
      <c r="A206" s="14">
        <f>+'PLAN DE CUENTAS'!A206</f>
        <v>0</v>
      </c>
      <c r="B206" s="13">
        <f>+'PLAN DE CUENTAS'!B206</f>
        <v>0</v>
      </c>
      <c r="C206" s="13">
        <f>+'PLAN DE CUENTAS'!C206</f>
        <v>0</v>
      </c>
      <c r="D206" t="str">
        <f>IF(tbal[[#This Row],[DEBE]]+tbal[[#This Row],[HABER]]=0,"","X")</f>
        <v/>
      </c>
      <c r="E206" s="16">
        <f>SUMIF(tdiario[CUENTA],tbal[[#This Row],[CUENTA]],tdiario[DEBE])</f>
        <v>0</v>
      </c>
      <c r="F206" s="17">
        <f>SUMIF(tdiario[CUENTA],tbal[[#This Row],[CUENTA]],tdiario[HABER])</f>
        <v>0</v>
      </c>
      <c r="G206" s="16">
        <f>IF(tbal[[#This Row],[DEBE]]-tbal[[#This Row],[HABER]]&gt;0,tbal[[#This Row],[DEBE]]-tbal[[#This Row],[HABER]],0)</f>
        <v>0</v>
      </c>
      <c r="H206" s="18">
        <f>IF(tbal[[#This Row],[HABER]]-tbal[[#This Row],[DEBE]]&gt;0,tbal[[#This Row],[HABER]]-tbal[[#This Row],[DEBE]],0)</f>
        <v>0</v>
      </c>
      <c r="I206" s="16">
        <f>IF((OR(tbal[[#This Row],[X]]=1,tbal[[#This Row],[X]]=2)),tbal[[#This Row],[DEUDOR]],0)</f>
        <v>0</v>
      </c>
      <c r="J206" s="18">
        <f>IF((OR(tbal[[#This Row],[X]]=2,tbal[[#This Row],[X]]=3)),tbal[[#This Row],[ACREEDOR]],0)</f>
        <v>0</v>
      </c>
      <c r="K206" s="16">
        <f>IF((OR(tbal[[#This Row],[X]]=3,tbal[[#This Row],[X]]=5)),tbal[[#This Row],[DEUDOR]],0)</f>
        <v>0</v>
      </c>
      <c r="L206" s="18">
        <f>IF((OR(tbal[[#This Row],[X]]=3,tbal[[#This Row],[X]]=4)),tbal[[#This Row],[ACREEDOR]],0)</f>
        <v>0</v>
      </c>
      <c r="M206" s="16">
        <f>IF((OR(tbal[[#This Row],[X]]=0,tbal[[#This Row],[X]]=6)),tbal[[#This Row],[DEUDOR]],0)</f>
        <v>0</v>
      </c>
      <c r="N206" s="18">
        <f>IF((OR(tbal[[#This Row],[X]]=0,tbal[[#This Row],[X]]=5)),tbal[[#This Row],[ACREEDOR]],0)</f>
        <v>0</v>
      </c>
    </row>
    <row r="207" spans="1:14" hidden="1" x14ac:dyDescent="0.3">
      <c r="A207" s="14">
        <f>+'PLAN DE CUENTAS'!A207</f>
        <v>0</v>
      </c>
      <c r="B207" s="13">
        <f>+'PLAN DE CUENTAS'!B207</f>
        <v>0</v>
      </c>
      <c r="C207" s="13">
        <f>+'PLAN DE CUENTAS'!C207</f>
        <v>0</v>
      </c>
      <c r="D207" t="str">
        <f>IF(tbal[[#This Row],[DEBE]]+tbal[[#This Row],[HABER]]=0,"","X")</f>
        <v/>
      </c>
      <c r="E207" s="16">
        <f>SUMIF(tdiario[CUENTA],tbal[[#This Row],[CUENTA]],tdiario[DEBE])</f>
        <v>0</v>
      </c>
      <c r="F207" s="17">
        <f>SUMIF(tdiario[CUENTA],tbal[[#This Row],[CUENTA]],tdiario[HABER])</f>
        <v>0</v>
      </c>
      <c r="G207" s="16">
        <f>IF(tbal[[#This Row],[DEBE]]-tbal[[#This Row],[HABER]]&gt;0,tbal[[#This Row],[DEBE]]-tbal[[#This Row],[HABER]],0)</f>
        <v>0</v>
      </c>
      <c r="H207" s="18">
        <f>IF(tbal[[#This Row],[HABER]]-tbal[[#This Row],[DEBE]]&gt;0,tbal[[#This Row],[HABER]]-tbal[[#This Row],[DEBE]],0)</f>
        <v>0</v>
      </c>
      <c r="I207" s="16">
        <f>IF((OR(tbal[[#This Row],[X]]=1,tbal[[#This Row],[X]]=2)),tbal[[#This Row],[DEUDOR]],0)</f>
        <v>0</v>
      </c>
      <c r="J207" s="18">
        <f>IF((OR(tbal[[#This Row],[X]]=2,tbal[[#This Row],[X]]=3)),tbal[[#This Row],[ACREEDOR]],0)</f>
        <v>0</v>
      </c>
      <c r="K207" s="16">
        <f>IF((OR(tbal[[#This Row],[X]]=3,tbal[[#This Row],[X]]=5)),tbal[[#This Row],[DEUDOR]],0)</f>
        <v>0</v>
      </c>
      <c r="L207" s="18">
        <f>IF((OR(tbal[[#This Row],[X]]=3,tbal[[#This Row],[X]]=4)),tbal[[#This Row],[ACREEDOR]],0)</f>
        <v>0</v>
      </c>
      <c r="M207" s="16">
        <f>IF((OR(tbal[[#This Row],[X]]=0,tbal[[#This Row],[X]]=6)),tbal[[#This Row],[DEUDOR]],0)</f>
        <v>0</v>
      </c>
      <c r="N207" s="18">
        <f>IF((OR(tbal[[#This Row],[X]]=0,tbal[[#This Row],[X]]=5)),tbal[[#This Row],[ACREEDOR]],0)</f>
        <v>0</v>
      </c>
    </row>
    <row r="208" spans="1:14" hidden="1" x14ac:dyDescent="0.3">
      <c r="A208" s="14">
        <f>+'PLAN DE CUENTAS'!A208</f>
        <v>0</v>
      </c>
      <c r="B208" s="13">
        <f>+'PLAN DE CUENTAS'!B208</f>
        <v>0</v>
      </c>
      <c r="C208" s="13">
        <f>+'PLAN DE CUENTAS'!C208</f>
        <v>0</v>
      </c>
      <c r="D208" t="str">
        <f>IF(tbal[[#This Row],[DEBE]]+tbal[[#This Row],[HABER]]=0,"","X")</f>
        <v/>
      </c>
      <c r="E208" s="16">
        <f>SUMIF(tdiario[CUENTA],tbal[[#This Row],[CUENTA]],tdiario[DEBE])</f>
        <v>0</v>
      </c>
      <c r="F208" s="17">
        <f>SUMIF(tdiario[CUENTA],tbal[[#This Row],[CUENTA]],tdiario[HABER])</f>
        <v>0</v>
      </c>
      <c r="G208" s="16">
        <f>IF(tbal[[#This Row],[DEBE]]-tbal[[#This Row],[HABER]]&gt;0,tbal[[#This Row],[DEBE]]-tbal[[#This Row],[HABER]],0)</f>
        <v>0</v>
      </c>
      <c r="H208" s="18">
        <f>IF(tbal[[#This Row],[HABER]]-tbal[[#This Row],[DEBE]]&gt;0,tbal[[#This Row],[HABER]]-tbal[[#This Row],[DEBE]],0)</f>
        <v>0</v>
      </c>
      <c r="I208" s="16">
        <f>IF((OR(tbal[[#This Row],[X]]=1,tbal[[#This Row],[X]]=2)),tbal[[#This Row],[DEUDOR]],0)</f>
        <v>0</v>
      </c>
      <c r="J208" s="18">
        <f>IF((OR(tbal[[#This Row],[X]]=2,tbal[[#This Row],[X]]=3)),tbal[[#This Row],[ACREEDOR]],0)</f>
        <v>0</v>
      </c>
      <c r="K208" s="16">
        <f>IF((OR(tbal[[#This Row],[X]]=3,tbal[[#This Row],[X]]=5)),tbal[[#This Row],[DEUDOR]],0)</f>
        <v>0</v>
      </c>
      <c r="L208" s="18">
        <f>IF((OR(tbal[[#This Row],[X]]=3,tbal[[#This Row],[X]]=4)),tbal[[#This Row],[ACREEDOR]],0)</f>
        <v>0</v>
      </c>
      <c r="M208" s="16">
        <f>IF((OR(tbal[[#This Row],[X]]=0,tbal[[#This Row],[X]]=6)),tbal[[#This Row],[DEUDOR]],0)</f>
        <v>0</v>
      </c>
      <c r="N208" s="18">
        <f>IF((OR(tbal[[#This Row],[X]]=0,tbal[[#This Row],[X]]=5)),tbal[[#This Row],[ACREEDOR]],0)</f>
        <v>0</v>
      </c>
    </row>
    <row r="209" spans="1:14" hidden="1" x14ac:dyDescent="0.3">
      <c r="A209" s="14">
        <f>+'PLAN DE CUENTAS'!A209</f>
        <v>0</v>
      </c>
      <c r="B209" s="13">
        <f>+'PLAN DE CUENTAS'!B209</f>
        <v>0</v>
      </c>
      <c r="C209" s="13">
        <f>+'PLAN DE CUENTAS'!C209</f>
        <v>0</v>
      </c>
      <c r="D209" t="str">
        <f>IF(tbal[[#This Row],[DEBE]]+tbal[[#This Row],[HABER]]=0,"","X")</f>
        <v/>
      </c>
      <c r="E209" s="16">
        <f>SUMIF(tdiario[CUENTA],tbal[[#This Row],[CUENTA]],tdiario[DEBE])</f>
        <v>0</v>
      </c>
      <c r="F209" s="17">
        <f>SUMIF(tdiario[CUENTA],tbal[[#This Row],[CUENTA]],tdiario[HABER])</f>
        <v>0</v>
      </c>
      <c r="G209" s="16">
        <f>IF(tbal[[#This Row],[DEBE]]-tbal[[#This Row],[HABER]]&gt;0,tbal[[#This Row],[DEBE]]-tbal[[#This Row],[HABER]],0)</f>
        <v>0</v>
      </c>
      <c r="H209" s="18">
        <f>IF(tbal[[#This Row],[HABER]]-tbal[[#This Row],[DEBE]]&gt;0,tbal[[#This Row],[HABER]]-tbal[[#This Row],[DEBE]],0)</f>
        <v>0</v>
      </c>
      <c r="I209" s="16">
        <f>IF((OR(tbal[[#This Row],[X]]=1,tbal[[#This Row],[X]]=2)),tbal[[#This Row],[DEUDOR]],0)</f>
        <v>0</v>
      </c>
      <c r="J209" s="18">
        <f>IF((OR(tbal[[#This Row],[X]]=2,tbal[[#This Row],[X]]=3)),tbal[[#This Row],[ACREEDOR]],0)</f>
        <v>0</v>
      </c>
      <c r="K209" s="16">
        <f>IF((OR(tbal[[#This Row],[X]]=3,tbal[[#This Row],[X]]=5)),tbal[[#This Row],[DEUDOR]],0)</f>
        <v>0</v>
      </c>
      <c r="L209" s="18">
        <f>IF((OR(tbal[[#This Row],[X]]=3,tbal[[#This Row],[X]]=4)),tbal[[#This Row],[ACREEDOR]],0)</f>
        <v>0</v>
      </c>
      <c r="M209" s="16">
        <f>IF((OR(tbal[[#This Row],[X]]=0,tbal[[#This Row],[X]]=6)),tbal[[#This Row],[DEUDOR]],0)</f>
        <v>0</v>
      </c>
      <c r="N209" s="18">
        <f>IF((OR(tbal[[#This Row],[X]]=0,tbal[[#This Row],[X]]=5)),tbal[[#This Row],[ACREEDOR]],0)</f>
        <v>0</v>
      </c>
    </row>
    <row r="210" spans="1:14" hidden="1" x14ac:dyDescent="0.3">
      <c r="A210" s="14">
        <f>+'PLAN DE CUENTAS'!A210</f>
        <v>0</v>
      </c>
      <c r="B210" s="13">
        <f>+'PLAN DE CUENTAS'!B210</f>
        <v>0</v>
      </c>
      <c r="C210" s="13">
        <f>+'PLAN DE CUENTAS'!C210</f>
        <v>0</v>
      </c>
      <c r="D210" t="str">
        <f>IF(tbal[[#This Row],[DEBE]]+tbal[[#This Row],[HABER]]=0,"","X")</f>
        <v/>
      </c>
      <c r="E210" s="16">
        <f>SUMIF(tdiario[CUENTA],tbal[[#This Row],[CUENTA]],tdiario[DEBE])</f>
        <v>0</v>
      </c>
      <c r="F210" s="17">
        <f>SUMIF(tdiario[CUENTA],tbal[[#This Row],[CUENTA]],tdiario[HABER])</f>
        <v>0</v>
      </c>
      <c r="G210" s="16">
        <f>IF(tbal[[#This Row],[DEBE]]-tbal[[#This Row],[HABER]]&gt;0,tbal[[#This Row],[DEBE]]-tbal[[#This Row],[HABER]],0)</f>
        <v>0</v>
      </c>
      <c r="H210" s="18">
        <f>IF(tbal[[#This Row],[HABER]]-tbal[[#This Row],[DEBE]]&gt;0,tbal[[#This Row],[HABER]]-tbal[[#This Row],[DEBE]],0)</f>
        <v>0</v>
      </c>
      <c r="I210" s="16">
        <f>IF((OR(tbal[[#This Row],[X]]=1,tbal[[#This Row],[X]]=2)),tbal[[#This Row],[DEUDOR]],0)</f>
        <v>0</v>
      </c>
      <c r="J210" s="18">
        <f>IF((OR(tbal[[#This Row],[X]]=2,tbal[[#This Row],[X]]=3)),tbal[[#This Row],[ACREEDOR]],0)</f>
        <v>0</v>
      </c>
      <c r="K210" s="16">
        <f>IF((OR(tbal[[#This Row],[X]]=3,tbal[[#This Row],[X]]=5)),tbal[[#This Row],[DEUDOR]],0)</f>
        <v>0</v>
      </c>
      <c r="L210" s="18">
        <f>IF((OR(tbal[[#This Row],[X]]=3,tbal[[#This Row],[X]]=4)),tbal[[#This Row],[ACREEDOR]],0)</f>
        <v>0</v>
      </c>
      <c r="M210" s="16">
        <f>IF((OR(tbal[[#This Row],[X]]=0,tbal[[#This Row],[X]]=6)),tbal[[#This Row],[DEUDOR]],0)</f>
        <v>0</v>
      </c>
      <c r="N210" s="18">
        <f>IF((OR(tbal[[#This Row],[X]]=0,tbal[[#This Row],[X]]=5)),tbal[[#This Row],[ACREEDOR]],0)</f>
        <v>0</v>
      </c>
    </row>
    <row r="211" spans="1:14" hidden="1" x14ac:dyDescent="0.3">
      <c r="A211" s="14">
        <f>+'PLAN DE CUENTAS'!A211</f>
        <v>0</v>
      </c>
      <c r="B211" s="13">
        <f>+'PLAN DE CUENTAS'!B211</f>
        <v>0</v>
      </c>
      <c r="C211" s="13">
        <f>+'PLAN DE CUENTAS'!C211</f>
        <v>0</v>
      </c>
      <c r="D211" t="str">
        <f>IF(tbal[[#This Row],[DEBE]]+tbal[[#This Row],[HABER]]=0,"","X")</f>
        <v/>
      </c>
      <c r="E211" s="16">
        <f>SUMIF(tdiario[CUENTA],tbal[[#This Row],[CUENTA]],tdiario[DEBE])</f>
        <v>0</v>
      </c>
      <c r="F211" s="17">
        <f>SUMIF(tdiario[CUENTA],tbal[[#This Row],[CUENTA]],tdiario[HABER])</f>
        <v>0</v>
      </c>
      <c r="G211" s="16">
        <f>IF(tbal[[#This Row],[DEBE]]-tbal[[#This Row],[HABER]]&gt;0,tbal[[#This Row],[DEBE]]-tbal[[#This Row],[HABER]],0)</f>
        <v>0</v>
      </c>
      <c r="H211" s="18">
        <f>IF(tbal[[#This Row],[HABER]]-tbal[[#This Row],[DEBE]]&gt;0,tbal[[#This Row],[HABER]]-tbal[[#This Row],[DEBE]],0)</f>
        <v>0</v>
      </c>
      <c r="I211" s="16">
        <f>IF((OR(tbal[[#This Row],[X]]=1,tbal[[#This Row],[X]]=2)),tbal[[#This Row],[DEUDOR]],0)</f>
        <v>0</v>
      </c>
      <c r="J211" s="18">
        <f>IF((OR(tbal[[#This Row],[X]]=2,tbal[[#This Row],[X]]=3)),tbal[[#This Row],[ACREEDOR]],0)</f>
        <v>0</v>
      </c>
      <c r="K211" s="16">
        <f>IF((OR(tbal[[#This Row],[X]]=3,tbal[[#This Row],[X]]=5)),tbal[[#This Row],[DEUDOR]],0)</f>
        <v>0</v>
      </c>
      <c r="L211" s="18">
        <f>IF((OR(tbal[[#This Row],[X]]=3,tbal[[#This Row],[X]]=4)),tbal[[#This Row],[ACREEDOR]],0)</f>
        <v>0</v>
      </c>
      <c r="M211" s="16">
        <f>IF((OR(tbal[[#This Row],[X]]=0,tbal[[#This Row],[X]]=6)),tbal[[#This Row],[DEUDOR]],0)</f>
        <v>0</v>
      </c>
      <c r="N211" s="18">
        <f>IF((OR(tbal[[#This Row],[X]]=0,tbal[[#This Row],[X]]=5)),tbal[[#This Row],[ACREEDOR]],0)</f>
        <v>0</v>
      </c>
    </row>
    <row r="212" spans="1:14" hidden="1" x14ac:dyDescent="0.3">
      <c r="A212" s="14">
        <f>+'PLAN DE CUENTAS'!A212</f>
        <v>0</v>
      </c>
      <c r="B212" s="13">
        <f>+'PLAN DE CUENTAS'!B212</f>
        <v>0</v>
      </c>
      <c r="C212" s="13">
        <f>+'PLAN DE CUENTAS'!C212</f>
        <v>0</v>
      </c>
      <c r="D212" t="str">
        <f>IF(tbal[[#This Row],[DEBE]]+tbal[[#This Row],[HABER]]=0,"","X")</f>
        <v/>
      </c>
      <c r="E212" s="16">
        <f>SUMIF(tdiario[CUENTA],tbal[[#This Row],[CUENTA]],tdiario[DEBE])</f>
        <v>0</v>
      </c>
      <c r="F212" s="17">
        <f>SUMIF(tdiario[CUENTA],tbal[[#This Row],[CUENTA]],tdiario[HABER])</f>
        <v>0</v>
      </c>
      <c r="G212" s="16">
        <f>IF(tbal[[#This Row],[DEBE]]-tbal[[#This Row],[HABER]]&gt;0,tbal[[#This Row],[DEBE]]-tbal[[#This Row],[HABER]],0)</f>
        <v>0</v>
      </c>
      <c r="H212" s="18">
        <f>IF(tbal[[#This Row],[HABER]]-tbal[[#This Row],[DEBE]]&gt;0,tbal[[#This Row],[HABER]]-tbal[[#This Row],[DEBE]],0)</f>
        <v>0</v>
      </c>
      <c r="I212" s="16">
        <f>IF((OR(tbal[[#This Row],[X]]=1,tbal[[#This Row],[X]]=2)),tbal[[#This Row],[DEUDOR]],0)</f>
        <v>0</v>
      </c>
      <c r="J212" s="18">
        <f>IF((OR(tbal[[#This Row],[X]]=2,tbal[[#This Row],[X]]=3)),tbal[[#This Row],[ACREEDOR]],0)</f>
        <v>0</v>
      </c>
      <c r="K212" s="16">
        <f>IF((OR(tbal[[#This Row],[X]]=3,tbal[[#This Row],[X]]=5)),tbal[[#This Row],[DEUDOR]],0)</f>
        <v>0</v>
      </c>
      <c r="L212" s="18">
        <f>IF((OR(tbal[[#This Row],[X]]=3,tbal[[#This Row],[X]]=4)),tbal[[#This Row],[ACREEDOR]],0)</f>
        <v>0</v>
      </c>
      <c r="M212" s="16">
        <f>IF((OR(tbal[[#This Row],[X]]=0,tbal[[#This Row],[X]]=6)),tbal[[#This Row],[DEUDOR]],0)</f>
        <v>0</v>
      </c>
      <c r="N212" s="18">
        <f>IF((OR(tbal[[#This Row],[X]]=0,tbal[[#This Row],[X]]=5)),tbal[[#This Row],[ACREEDOR]],0)</f>
        <v>0</v>
      </c>
    </row>
    <row r="213" spans="1:14" hidden="1" x14ac:dyDescent="0.3">
      <c r="A213" s="14">
        <f>+'PLAN DE CUENTAS'!A213</f>
        <v>0</v>
      </c>
      <c r="B213" s="13">
        <f>+'PLAN DE CUENTAS'!B213</f>
        <v>0</v>
      </c>
      <c r="C213" s="13">
        <f>+'PLAN DE CUENTAS'!C213</f>
        <v>0</v>
      </c>
      <c r="D213" t="str">
        <f>IF(tbal[[#This Row],[DEBE]]+tbal[[#This Row],[HABER]]=0,"","X")</f>
        <v/>
      </c>
      <c r="E213" s="16">
        <f>SUMIF(tdiario[CUENTA],tbal[[#This Row],[CUENTA]],tdiario[DEBE])</f>
        <v>0</v>
      </c>
      <c r="F213" s="17">
        <f>SUMIF(tdiario[CUENTA],tbal[[#This Row],[CUENTA]],tdiario[HABER])</f>
        <v>0</v>
      </c>
      <c r="G213" s="16">
        <f>IF(tbal[[#This Row],[DEBE]]-tbal[[#This Row],[HABER]]&gt;0,tbal[[#This Row],[DEBE]]-tbal[[#This Row],[HABER]],0)</f>
        <v>0</v>
      </c>
      <c r="H213" s="18">
        <f>IF(tbal[[#This Row],[HABER]]-tbal[[#This Row],[DEBE]]&gt;0,tbal[[#This Row],[HABER]]-tbal[[#This Row],[DEBE]],0)</f>
        <v>0</v>
      </c>
      <c r="I213" s="16">
        <f>IF((OR(tbal[[#This Row],[X]]=1,tbal[[#This Row],[X]]=2)),tbal[[#This Row],[DEUDOR]],0)</f>
        <v>0</v>
      </c>
      <c r="J213" s="18">
        <f>IF((OR(tbal[[#This Row],[X]]=2,tbal[[#This Row],[X]]=3)),tbal[[#This Row],[ACREEDOR]],0)</f>
        <v>0</v>
      </c>
      <c r="K213" s="16">
        <f>IF((OR(tbal[[#This Row],[X]]=3,tbal[[#This Row],[X]]=5)),tbal[[#This Row],[DEUDOR]],0)</f>
        <v>0</v>
      </c>
      <c r="L213" s="18">
        <f>IF((OR(tbal[[#This Row],[X]]=3,tbal[[#This Row],[X]]=4)),tbal[[#This Row],[ACREEDOR]],0)</f>
        <v>0</v>
      </c>
      <c r="M213" s="16">
        <f>IF((OR(tbal[[#This Row],[X]]=0,tbal[[#This Row],[X]]=6)),tbal[[#This Row],[DEUDOR]],0)</f>
        <v>0</v>
      </c>
      <c r="N213" s="18">
        <f>IF((OR(tbal[[#This Row],[X]]=0,tbal[[#This Row],[X]]=5)),tbal[[#This Row],[ACREEDOR]],0)</f>
        <v>0</v>
      </c>
    </row>
    <row r="214" spans="1:14" hidden="1" x14ac:dyDescent="0.3">
      <c r="A214" s="14">
        <f>+'PLAN DE CUENTAS'!A214</f>
        <v>0</v>
      </c>
      <c r="B214" s="13">
        <f>+'PLAN DE CUENTAS'!B214</f>
        <v>0</v>
      </c>
      <c r="C214" s="13">
        <f>+'PLAN DE CUENTAS'!C214</f>
        <v>0</v>
      </c>
      <c r="D214" t="str">
        <f>IF(tbal[[#This Row],[DEBE]]+tbal[[#This Row],[HABER]]=0,"","X")</f>
        <v/>
      </c>
      <c r="E214" s="16">
        <f>SUMIF(tdiario[CUENTA],tbal[[#This Row],[CUENTA]],tdiario[DEBE])</f>
        <v>0</v>
      </c>
      <c r="F214" s="17">
        <f>SUMIF(tdiario[CUENTA],tbal[[#This Row],[CUENTA]],tdiario[HABER])</f>
        <v>0</v>
      </c>
      <c r="G214" s="16">
        <f>IF(tbal[[#This Row],[DEBE]]-tbal[[#This Row],[HABER]]&gt;0,tbal[[#This Row],[DEBE]]-tbal[[#This Row],[HABER]],0)</f>
        <v>0</v>
      </c>
      <c r="H214" s="18">
        <f>IF(tbal[[#This Row],[HABER]]-tbal[[#This Row],[DEBE]]&gt;0,tbal[[#This Row],[HABER]]-tbal[[#This Row],[DEBE]],0)</f>
        <v>0</v>
      </c>
      <c r="I214" s="16">
        <f>IF((OR(tbal[[#This Row],[X]]=1,tbal[[#This Row],[X]]=2)),tbal[[#This Row],[DEUDOR]],0)</f>
        <v>0</v>
      </c>
      <c r="J214" s="18">
        <f>IF((OR(tbal[[#This Row],[X]]=2,tbal[[#This Row],[X]]=3)),tbal[[#This Row],[ACREEDOR]],0)</f>
        <v>0</v>
      </c>
      <c r="K214" s="16">
        <f>IF((OR(tbal[[#This Row],[X]]=3,tbal[[#This Row],[X]]=5)),tbal[[#This Row],[DEUDOR]],0)</f>
        <v>0</v>
      </c>
      <c r="L214" s="18">
        <f>IF((OR(tbal[[#This Row],[X]]=3,tbal[[#This Row],[X]]=4)),tbal[[#This Row],[ACREEDOR]],0)</f>
        <v>0</v>
      </c>
      <c r="M214" s="16">
        <f>IF((OR(tbal[[#This Row],[X]]=0,tbal[[#This Row],[X]]=6)),tbal[[#This Row],[DEUDOR]],0)</f>
        <v>0</v>
      </c>
      <c r="N214" s="18">
        <f>IF((OR(tbal[[#This Row],[X]]=0,tbal[[#This Row],[X]]=5)),tbal[[#This Row],[ACREEDOR]],0)</f>
        <v>0</v>
      </c>
    </row>
    <row r="215" spans="1:14" hidden="1" x14ac:dyDescent="0.3">
      <c r="A215" s="14">
        <f>+'PLAN DE CUENTAS'!A215</f>
        <v>0</v>
      </c>
      <c r="B215" s="13">
        <f>+'PLAN DE CUENTAS'!B215</f>
        <v>0</v>
      </c>
      <c r="C215" s="13">
        <f>+'PLAN DE CUENTAS'!C215</f>
        <v>0</v>
      </c>
      <c r="D215" t="str">
        <f>IF(tbal[[#This Row],[DEBE]]+tbal[[#This Row],[HABER]]=0,"","X")</f>
        <v/>
      </c>
      <c r="E215" s="16">
        <f>SUMIF(tdiario[CUENTA],tbal[[#This Row],[CUENTA]],tdiario[DEBE])</f>
        <v>0</v>
      </c>
      <c r="F215" s="17">
        <f>SUMIF(tdiario[CUENTA],tbal[[#This Row],[CUENTA]],tdiario[HABER])</f>
        <v>0</v>
      </c>
      <c r="G215" s="16">
        <f>IF(tbal[[#This Row],[DEBE]]-tbal[[#This Row],[HABER]]&gt;0,tbal[[#This Row],[DEBE]]-tbal[[#This Row],[HABER]],0)</f>
        <v>0</v>
      </c>
      <c r="H215" s="18">
        <f>IF(tbal[[#This Row],[HABER]]-tbal[[#This Row],[DEBE]]&gt;0,tbal[[#This Row],[HABER]]-tbal[[#This Row],[DEBE]],0)</f>
        <v>0</v>
      </c>
      <c r="I215" s="16">
        <f>IF((OR(tbal[[#This Row],[X]]=1,tbal[[#This Row],[X]]=2)),tbal[[#This Row],[DEUDOR]],0)</f>
        <v>0</v>
      </c>
      <c r="J215" s="18">
        <f>IF((OR(tbal[[#This Row],[X]]=2,tbal[[#This Row],[X]]=3)),tbal[[#This Row],[ACREEDOR]],0)</f>
        <v>0</v>
      </c>
      <c r="K215" s="16">
        <f>IF((OR(tbal[[#This Row],[X]]=3,tbal[[#This Row],[X]]=5)),tbal[[#This Row],[DEUDOR]],0)</f>
        <v>0</v>
      </c>
      <c r="L215" s="18">
        <f>IF((OR(tbal[[#This Row],[X]]=3,tbal[[#This Row],[X]]=4)),tbal[[#This Row],[ACREEDOR]],0)</f>
        <v>0</v>
      </c>
      <c r="M215" s="16">
        <f>IF((OR(tbal[[#This Row],[X]]=0,tbal[[#This Row],[X]]=6)),tbal[[#This Row],[DEUDOR]],0)</f>
        <v>0</v>
      </c>
      <c r="N215" s="18">
        <f>IF((OR(tbal[[#This Row],[X]]=0,tbal[[#This Row],[X]]=5)),tbal[[#This Row],[ACREEDOR]],0)</f>
        <v>0</v>
      </c>
    </row>
    <row r="216" spans="1:14" hidden="1" x14ac:dyDescent="0.3">
      <c r="A216" s="14">
        <f>+'PLAN DE CUENTAS'!A216</f>
        <v>0</v>
      </c>
      <c r="B216" s="13">
        <f>+'PLAN DE CUENTAS'!B216</f>
        <v>0</v>
      </c>
      <c r="C216" s="13">
        <f>+'PLAN DE CUENTAS'!C216</f>
        <v>0</v>
      </c>
      <c r="D216" t="str">
        <f>IF(tbal[[#This Row],[DEBE]]+tbal[[#This Row],[HABER]]=0,"","X")</f>
        <v/>
      </c>
      <c r="E216" s="16">
        <f>SUMIF(tdiario[CUENTA],tbal[[#This Row],[CUENTA]],tdiario[DEBE])</f>
        <v>0</v>
      </c>
      <c r="F216" s="17">
        <f>SUMIF(tdiario[CUENTA],tbal[[#This Row],[CUENTA]],tdiario[HABER])</f>
        <v>0</v>
      </c>
      <c r="G216" s="16">
        <f>IF(tbal[[#This Row],[DEBE]]-tbal[[#This Row],[HABER]]&gt;0,tbal[[#This Row],[DEBE]]-tbal[[#This Row],[HABER]],0)</f>
        <v>0</v>
      </c>
      <c r="H216" s="18">
        <f>IF(tbal[[#This Row],[HABER]]-tbal[[#This Row],[DEBE]]&gt;0,tbal[[#This Row],[HABER]]-tbal[[#This Row],[DEBE]],0)</f>
        <v>0</v>
      </c>
      <c r="I216" s="16">
        <f>IF((OR(tbal[[#This Row],[X]]=1,tbal[[#This Row],[X]]=2)),tbal[[#This Row],[DEUDOR]],0)</f>
        <v>0</v>
      </c>
      <c r="J216" s="18">
        <f>IF((OR(tbal[[#This Row],[X]]=2,tbal[[#This Row],[X]]=3)),tbal[[#This Row],[ACREEDOR]],0)</f>
        <v>0</v>
      </c>
      <c r="K216" s="16">
        <f>IF((OR(tbal[[#This Row],[X]]=3,tbal[[#This Row],[X]]=5)),tbal[[#This Row],[DEUDOR]],0)</f>
        <v>0</v>
      </c>
      <c r="L216" s="18">
        <f>IF((OR(tbal[[#This Row],[X]]=3,tbal[[#This Row],[X]]=4)),tbal[[#This Row],[ACREEDOR]],0)</f>
        <v>0</v>
      </c>
      <c r="M216" s="16">
        <f>IF((OR(tbal[[#This Row],[X]]=0,tbal[[#This Row],[X]]=6)),tbal[[#This Row],[DEUDOR]],0)</f>
        <v>0</v>
      </c>
      <c r="N216" s="18">
        <f>IF((OR(tbal[[#This Row],[X]]=0,tbal[[#This Row],[X]]=5)),tbal[[#This Row],[ACREEDOR]],0)</f>
        <v>0</v>
      </c>
    </row>
    <row r="217" spans="1:14" hidden="1" x14ac:dyDescent="0.3">
      <c r="A217" s="14">
        <f>+'PLAN DE CUENTAS'!A217</f>
        <v>0</v>
      </c>
      <c r="B217" s="13">
        <f>+'PLAN DE CUENTAS'!B217</f>
        <v>0</v>
      </c>
      <c r="C217" s="13">
        <f>+'PLAN DE CUENTAS'!C217</f>
        <v>0</v>
      </c>
      <c r="D217" t="str">
        <f>IF(tbal[[#This Row],[DEBE]]+tbal[[#This Row],[HABER]]=0,"","X")</f>
        <v/>
      </c>
      <c r="E217" s="16">
        <f>SUMIF(tdiario[CUENTA],tbal[[#This Row],[CUENTA]],tdiario[DEBE])</f>
        <v>0</v>
      </c>
      <c r="F217" s="17">
        <f>SUMIF(tdiario[CUENTA],tbal[[#This Row],[CUENTA]],tdiario[HABER])</f>
        <v>0</v>
      </c>
      <c r="G217" s="16">
        <f>IF(tbal[[#This Row],[DEBE]]-tbal[[#This Row],[HABER]]&gt;0,tbal[[#This Row],[DEBE]]-tbal[[#This Row],[HABER]],0)</f>
        <v>0</v>
      </c>
      <c r="H217" s="18">
        <f>IF(tbal[[#This Row],[HABER]]-tbal[[#This Row],[DEBE]]&gt;0,tbal[[#This Row],[HABER]]-tbal[[#This Row],[DEBE]],0)</f>
        <v>0</v>
      </c>
      <c r="I217" s="16">
        <f>IF((OR(tbal[[#This Row],[X]]=1,tbal[[#This Row],[X]]=2)),tbal[[#This Row],[DEUDOR]],0)</f>
        <v>0</v>
      </c>
      <c r="J217" s="18">
        <f>IF((OR(tbal[[#This Row],[X]]=2,tbal[[#This Row],[X]]=3)),tbal[[#This Row],[ACREEDOR]],0)</f>
        <v>0</v>
      </c>
      <c r="K217" s="16">
        <f>IF((OR(tbal[[#This Row],[X]]=3,tbal[[#This Row],[X]]=5)),tbal[[#This Row],[DEUDOR]],0)</f>
        <v>0</v>
      </c>
      <c r="L217" s="18">
        <f>IF((OR(tbal[[#This Row],[X]]=3,tbal[[#This Row],[X]]=4)),tbal[[#This Row],[ACREEDOR]],0)</f>
        <v>0</v>
      </c>
      <c r="M217" s="16">
        <f>IF((OR(tbal[[#This Row],[X]]=0,tbal[[#This Row],[X]]=6)),tbal[[#This Row],[DEUDOR]],0)</f>
        <v>0</v>
      </c>
      <c r="N217" s="18">
        <f>IF((OR(tbal[[#This Row],[X]]=0,tbal[[#This Row],[X]]=5)),tbal[[#This Row],[ACREEDOR]],0)</f>
        <v>0</v>
      </c>
    </row>
    <row r="218" spans="1:14" hidden="1" x14ac:dyDescent="0.3">
      <c r="A218" s="14">
        <f>+'PLAN DE CUENTAS'!A218</f>
        <v>0</v>
      </c>
      <c r="B218" s="13">
        <f>+'PLAN DE CUENTAS'!B218</f>
        <v>0</v>
      </c>
      <c r="C218" s="13">
        <f>+'PLAN DE CUENTAS'!C218</f>
        <v>0</v>
      </c>
      <c r="D218" t="str">
        <f>IF(tbal[[#This Row],[DEBE]]+tbal[[#This Row],[HABER]]=0,"","X")</f>
        <v/>
      </c>
      <c r="E218" s="16">
        <f>SUMIF(tdiario[CUENTA],tbal[[#This Row],[CUENTA]],tdiario[DEBE])</f>
        <v>0</v>
      </c>
      <c r="F218" s="17">
        <f>SUMIF(tdiario[CUENTA],tbal[[#This Row],[CUENTA]],tdiario[HABER])</f>
        <v>0</v>
      </c>
      <c r="G218" s="16">
        <f>IF(tbal[[#This Row],[DEBE]]-tbal[[#This Row],[HABER]]&gt;0,tbal[[#This Row],[DEBE]]-tbal[[#This Row],[HABER]],0)</f>
        <v>0</v>
      </c>
      <c r="H218" s="18">
        <f>IF(tbal[[#This Row],[HABER]]-tbal[[#This Row],[DEBE]]&gt;0,tbal[[#This Row],[HABER]]-tbal[[#This Row],[DEBE]],0)</f>
        <v>0</v>
      </c>
      <c r="I218" s="16">
        <f>IF((OR(tbal[[#This Row],[X]]=1,tbal[[#This Row],[X]]=2)),tbal[[#This Row],[DEUDOR]],0)</f>
        <v>0</v>
      </c>
      <c r="J218" s="18">
        <f>IF((OR(tbal[[#This Row],[X]]=2,tbal[[#This Row],[X]]=3)),tbal[[#This Row],[ACREEDOR]],0)</f>
        <v>0</v>
      </c>
      <c r="K218" s="16">
        <f>IF((OR(tbal[[#This Row],[X]]=3,tbal[[#This Row],[X]]=5)),tbal[[#This Row],[DEUDOR]],0)</f>
        <v>0</v>
      </c>
      <c r="L218" s="18">
        <f>IF((OR(tbal[[#This Row],[X]]=3,tbal[[#This Row],[X]]=4)),tbal[[#This Row],[ACREEDOR]],0)</f>
        <v>0</v>
      </c>
      <c r="M218" s="16">
        <f>IF((OR(tbal[[#This Row],[X]]=0,tbal[[#This Row],[X]]=6)),tbal[[#This Row],[DEUDOR]],0)</f>
        <v>0</v>
      </c>
      <c r="N218" s="18">
        <f>IF((OR(tbal[[#This Row],[X]]=0,tbal[[#This Row],[X]]=5)),tbal[[#This Row],[ACREEDOR]],0)</f>
        <v>0</v>
      </c>
    </row>
    <row r="219" spans="1:14" hidden="1" x14ac:dyDescent="0.3">
      <c r="A219" s="14">
        <f>+'PLAN DE CUENTAS'!A219</f>
        <v>0</v>
      </c>
      <c r="B219" s="13">
        <f>+'PLAN DE CUENTAS'!B219</f>
        <v>0</v>
      </c>
      <c r="C219" s="13">
        <f>+'PLAN DE CUENTAS'!C219</f>
        <v>0</v>
      </c>
      <c r="D219" t="str">
        <f>IF(tbal[[#This Row],[DEBE]]+tbal[[#This Row],[HABER]]=0,"","X")</f>
        <v/>
      </c>
      <c r="E219" s="16">
        <f>SUMIF(tdiario[CUENTA],tbal[[#This Row],[CUENTA]],tdiario[DEBE])</f>
        <v>0</v>
      </c>
      <c r="F219" s="17">
        <f>SUMIF(tdiario[CUENTA],tbal[[#This Row],[CUENTA]],tdiario[HABER])</f>
        <v>0</v>
      </c>
      <c r="G219" s="16">
        <f>IF(tbal[[#This Row],[DEBE]]-tbal[[#This Row],[HABER]]&gt;0,tbal[[#This Row],[DEBE]]-tbal[[#This Row],[HABER]],0)</f>
        <v>0</v>
      </c>
      <c r="H219" s="18">
        <f>IF(tbal[[#This Row],[HABER]]-tbal[[#This Row],[DEBE]]&gt;0,tbal[[#This Row],[HABER]]-tbal[[#This Row],[DEBE]],0)</f>
        <v>0</v>
      </c>
      <c r="I219" s="16">
        <f>IF((OR(tbal[[#This Row],[X]]=1,tbal[[#This Row],[X]]=2)),tbal[[#This Row],[DEUDOR]],0)</f>
        <v>0</v>
      </c>
      <c r="J219" s="18">
        <f>IF((OR(tbal[[#This Row],[X]]=2,tbal[[#This Row],[X]]=3)),tbal[[#This Row],[ACREEDOR]],0)</f>
        <v>0</v>
      </c>
      <c r="K219" s="16">
        <f>IF((OR(tbal[[#This Row],[X]]=3,tbal[[#This Row],[X]]=5)),tbal[[#This Row],[DEUDOR]],0)</f>
        <v>0</v>
      </c>
      <c r="L219" s="18">
        <f>IF((OR(tbal[[#This Row],[X]]=3,tbal[[#This Row],[X]]=4)),tbal[[#This Row],[ACREEDOR]],0)</f>
        <v>0</v>
      </c>
      <c r="M219" s="16">
        <f>IF((OR(tbal[[#This Row],[X]]=0,tbal[[#This Row],[X]]=6)),tbal[[#This Row],[DEUDOR]],0)</f>
        <v>0</v>
      </c>
      <c r="N219" s="18">
        <f>IF((OR(tbal[[#This Row],[X]]=0,tbal[[#This Row],[X]]=5)),tbal[[#This Row],[ACREEDOR]],0)</f>
        <v>0</v>
      </c>
    </row>
    <row r="220" spans="1:14" hidden="1" x14ac:dyDescent="0.3">
      <c r="A220" s="14">
        <f>+'PLAN DE CUENTAS'!A220</f>
        <v>0</v>
      </c>
      <c r="B220" s="13">
        <f>+'PLAN DE CUENTAS'!B220</f>
        <v>0</v>
      </c>
      <c r="C220" s="13">
        <f>+'PLAN DE CUENTAS'!C220</f>
        <v>0</v>
      </c>
      <c r="D220" t="str">
        <f>IF(tbal[[#This Row],[DEBE]]+tbal[[#This Row],[HABER]]=0,"","X")</f>
        <v/>
      </c>
      <c r="E220" s="16">
        <f>SUMIF(tdiario[CUENTA],tbal[[#This Row],[CUENTA]],tdiario[DEBE])</f>
        <v>0</v>
      </c>
      <c r="F220" s="17">
        <f>SUMIF(tdiario[CUENTA],tbal[[#This Row],[CUENTA]],tdiario[HABER])</f>
        <v>0</v>
      </c>
      <c r="G220" s="16">
        <f>IF(tbal[[#This Row],[DEBE]]-tbal[[#This Row],[HABER]]&gt;0,tbal[[#This Row],[DEBE]]-tbal[[#This Row],[HABER]],0)</f>
        <v>0</v>
      </c>
      <c r="H220" s="18">
        <f>IF(tbal[[#This Row],[HABER]]-tbal[[#This Row],[DEBE]]&gt;0,tbal[[#This Row],[HABER]]-tbal[[#This Row],[DEBE]],0)</f>
        <v>0</v>
      </c>
      <c r="I220" s="16">
        <f>IF((OR(tbal[[#This Row],[X]]=1,tbal[[#This Row],[X]]=2)),tbal[[#This Row],[DEUDOR]],0)</f>
        <v>0</v>
      </c>
      <c r="J220" s="18">
        <f>IF((OR(tbal[[#This Row],[X]]=2,tbal[[#This Row],[X]]=3)),tbal[[#This Row],[ACREEDOR]],0)</f>
        <v>0</v>
      </c>
      <c r="K220" s="16">
        <f>IF((OR(tbal[[#This Row],[X]]=3,tbal[[#This Row],[X]]=5)),tbal[[#This Row],[DEUDOR]],0)</f>
        <v>0</v>
      </c>
      <c r="L220" s="18">
        <f>IF((OR(tbal[[#This Row],[X]]=3,tbal[[#This Row],[X]]=4)),tbal[[#This Row],[ACREEDOR]],0)</f>
        <v>0</v>
      </c>
      <c r="M220" s="16">
        <f>IF((OR(tbal[[#This Row],[X]]=0,tbal[[#This Row],[X]]=6)),tbal[[#This Row],[DEUDOR]],0)</f>
        <v>0</v>
      </c>
      <c r="N220" s="18">
        <f>IF((OR(tbal[[#This Row],[X]]=0,tbal[[#This Row],[X]]=5)),tbal[[#This Row],[ACREEDOR]],0)</f>
        <v>0</v>
      </c>
    </row>
    <row r="221" spans="1:14" hidden="1" x14ac:dyDescent="0.3">
      <c r="A221" s="14">
        <f>+'PLAN DE CUENTAS'!A221</f>
        <v>0</v>
      </c>
      <c r="B221" s="13">
        <f>+'PLAN DE CUENTAS'!B221</f>
        <v>0</v>
      </c>
      <c r="C221" s="13">
        <f>+'PLAN DE CUENTAS'!C221</f>
        <v>0</v>
      </c>
      <c r="D221" t="str">
        <f>IF(tbal[[#This Row],[DEBE]]+tbal[[#This Row],[HABER]]=0,"","X")</f>
        <v/>
      </c>
      <c r="E221" s="16">
        <f>SUMIF(tdiario[CUENTA],tbal[[#This Row],[CUENTA]],tdiario[DEBE])</f>
        <v>0</v>
      </c>
      <c r="F221" s="17">
        <f>SUMIF(tdiario[CUENTA],tbal[[#This Row],[CUENTA]],tdiario[HABER])</f>
        <v>0</v>
      </c>
      <c r="G221" s="16">
        <f>IF(tbal[[#This Row],[DEBE]]-tbal[[#This Row],[HABER]]&gt;0,tbal[[#This Row],[DEBE]]-tbal[[#This Row],[HABER]],0)</f>
        <v>0</v>
      </c>
      <c r="H221" s="18">
        <f>IF(tbal[[#This Row],[HABER]]-tbal[[#This Row],[DEBE]]&gt;0,tbal[[#This Row],[HABER]]-tbal[[#This Row],[DEBE]],0)</f>
        <v>0</v>
      </c>
      <c r="I221" s="16">
        <f>IF((OR(tbal[[#This Row],[X]]=1,tbal[[#This Row],[X]]=2)),tbal[[#This Row],[DEUDOR]],0)</f>
        <v>0</v>
      </c>
      <c r="J221" s="18">
        <f>IF((OR(tbal[[#This Row],[X]]=2,tbal[[#This Row],[X]]=3)),tbal[[#This Row],[ACREEDOR]],0)</f>
        <v>0</v>
      </c>
      <c r="K221" s="16">
        <f>IF((OR(tbal[[#This Row],[X]]=3,tbal[[#This Row],[X]]=5)),tbal[[#This Row],[DEUDOR]],0)</f>
        <v>0</v>
      </c>
      <c r="L221" s="18">
        <f>IF((OR(tbal[[#This Row],[X]]=3,tbal[[#This Row],[X]]=4)),tbal[[#This Row],[ACREEDOR]],0)</f>
        <v>0</v>
      </c>
      <c r="M221" s="16">
        <f>IF((OR(tbal[[#This Row],[X]]=0,tbal[[#This Row],[X]]=6)),tbal[[#This Row],[DEUDOR]],0)</f>
        <v>0</v>
      </c>
      <c r="N221" s="18">
        <f>IF((OR(tbal[[#This Row],[X]]=0,tbal[[#This Row],[X]]=5)),tbal[[#This Row],[ACREEDOR]],0)</f>
        <v>0</v>
      </c>
    </row>
    <row r="222" spans="1:14" hidden="1" x14ac:dyDescent="0.3">
      <c r="A222" s="14">
        <f>+'PLAN DE CUENTAS'!A222</f>
        <v>0</v>
      </c>
      <c r="B222" s="13">
        <f>+'PLAN DE CUENTAS'!B222</f>
        <v>0</v>
      </c>
      <c r="C222" s="13">
        <f>+'PLAN DE CUENTAS'!C222</f>
        <v>0</v>
      </c>
      <c r="D222" t="str">
        <f>IF(tbal[[#This Row],[DEBE]]+tbal[[#This Row],[HABER]]=0,"","X")</f>
        <v/>
      </c>
      <c r="E222" s="16">
        <f>SUMIF(tdiario[CUENTA],tbal[[#This Row],[CUENTA]],tdiario[DEBE])</f>
        <v>0</v>
      </c>
      <c r="F222" s="17">
        <f>SUMIF(tdiario[CUENTA],tbal[[#This Row],[CUENTA]],tdiario[HABER])</f>
        <v>0</v>
      </c>
      <c r="G222" s="16">
        <f>IF(tbal[[#This Row],[DEBE]]-tbal[[#This Row],[HABER]]&gt;0,tbal[[#This Row],[DEBE]]-tbal[[#This Row],[HABER]],0)</f>
        <v>0</v>
      </c>
      <c r="H222" s="18">
        <f>IF(tbal[[#This Row],[HABER]]-tbal[[#This Row],[DEBE]]&gt;0,tbal[[#This Row],[HABER]]-tbal[[#This Row],[DEBE]],0)</f>
        <v>0</v>
      </c>
      <c r="I222" s="16">
        <f>IF((OR(tbal[[#This Row],[X]]=1,tbal[[#This Row],[X]]=2)),tbal[[#This Row],[DEUDOR]],0)</f>
        <v>0</v>
      </c>
      <c r="J222" s="18">
        <f>IF((OR(tbal[[#This Row],[X]]=2,tbal[[#This Row],[X]]=3)),tbal[[#This Row],[ACREEDOR]],0)</f>
        <v>0</v>
      </c>
      <c r="K222" s="16">
        <f>IF((OR(tbal[[#This Row],[X]]=3,tbal[[#This Row],[X]]=5)),tbal[[#This Row],[DEUDOR]],0)</f>
        <v>0</v>
      </c>
      <c r="L222" s="18">
        <f>IF((OR(tbal[[#This Row],[X]]=3,tbal[[#This Row],[X]]=4)),tbal[[#This Row],[ACREEDOR]],0)</f>
        <v>0</v>
      </c>
      <c r="M222" s="16">
        <f>IF((OR(tbal[[#This Row],[X]]=0,tbal[[#This Row],[X]]=6)),tbal[[#This Row],[DEUDOR]],0)</f>
        <v>0</v>
      </c>
      <c r="N222" s="18">
        <f>IF((OR(tbal[[#This Row],[X]]=0,tbal[[#This Row],[X]]=5)),tbal[[#This Row],[ACREEDOR]],0)</f>
        <v>0</v>
      </c>
    </row>
    <row r="223" spans="1:14" hidden="1" x14ac:dyDescent="0.3">
      <c r="A223" s="14">
        <f>+'PLAN DE CUENTAS'!A223</f>
        <v>0</v>
      </c>
      <c r="B223" s="13">
        <f>+'PLAN DE CUENTAS'!B223</f>
        <v>0</v>
      </c>
      <c r="C223" s="13">
        <f>+'PLAN DE CUENTAS'!C223</f>
        <v>0</v>
      </c>
      <c r="D223" t="str">
        <f>IF(tbal[[#This Row],[DEBE]]+tbal[[#This Row],[HABER]]=0,"","X")</f>
        <v/>
      </c>
      <c r="E223" s="16">
        <f>SUMIF(tdiario[CUENTA],tbal[[#This Row],[CUENTA]],tdiario[DEBE])</f>
        <v>0</v>
      </c>
      <c r="F223" s="17">
        <f>SUMIF(tdiario[CUENTA],tbal[[#This Row],[CUENTA]],tdiario[HABER])</f>
        <v>0</v>
      </c>
      <c r="G223" s="16">
        <f>IF(tbal[[#This Row],[DEBE]]-tbal[[#This Row],[HABER]]&gt;0,tbal[[#This Row],[DEBE]]-tbal[[#This Row],[HABER]],0)</f>
        <v>0</v>
      </c>
      <c r="H223" s="18">
        <f>IF(tbal[[#This Row],[HABER]]-tbal[[#This Row],[DEBE]]&gt;0,tbal[[#This Row],[HABER]]-tbal[[#This Row],[DEBE]],0)</f>
        <v>0</v>
      </c>
      <c r="I223" s="16">
        <f>IF((OR(tbal[[#This Row],[X]]=1,tbal[[#This Row],[X]]=2)),tbal[[#This Row],[DEUDOR]],0)</f>
        <v>0</v>
      </c>
      <c r="J223" s="18">
        <f>IF((OR(tbal[[#This Row],[X]]=2,tbal[[#This Row],[X]]=3)),tbal[[#This Row],[ACREEDOR]],0)</f>
        <v>0</v>
      </c>
      <c r="K223" s="16">
        <f>IF((OR(tbal[[#This Row],[X]]=3,tbal[[#This Row],[X]]=5)),tbal[[#This Row],[DEUDOR]],0)</f>
        <v>0</v>
      </c>
      <c r="L223" s="18">
        <f>IF((OR(tbal[[#This Row],[X]]=3,tbal[[#This Row],[X]]=4)),tbal[[#This Row],[ACREEDOR]],0)</f>
        <v>0</v>
      </c>
      <c r="M223" s="16">
        <f>IF((OR(tbal[[#This Row],[X]]=0,tbal[[#This Row],[X]]=6)),tbal[[#This Row],[DEUDOR]],0)</f>
        <v>0</v>
      </c>
      <c r="N223" s="18">
        <f>IF((OR(tbal[[#This Row],[X]]=0,tbal[[#This Row],[X]]=5)),tbal[[#This Row],[ACREEDOR]],0)</f>
        <v>0</v>
      </c>
    </row>
    <row r="224" spans="1:14" hidden="1" x14ac:dyDescent="0.3">
      <c r="A224" s="14">
        <f>+'PLAN DE CUENTAS'!A224</f>
        <v>0</v>
      </c>
      <c r="B224" s="13">
        <f>+'PLAN DE CUENTAS'!B224</f>
        <v>0</v>
      </c>
      <c r="C224" s="13">
        <f>+'PLAN DE CUENTAS'!C224</f>
        <v>0</v>
      </c>
      <c r="D224" t="str">
        <f>IF(tbal[[#This Row],[DEBE]]+tbal[[#This Row],[HABER]]=0,"","X")</f>
        <v/>
      </c>
      <c r="E224" s="16">
        <f>SUMIF(tdiario[CUENTA],tbal[[#This Row],[CUENTA]],tdiario[DEBE])</f>
        <v>0</v>
      </c>
      <c r="F224" s="17">
        <f>SUMIF(tdiario[CUENTA],tbal[[#This Row],[CUENTA]],tdiario[HABER])</f>
        <v>0</v>
      </c>
      <c r="G224" s="16">
        <f>IF(tbal[[#This Row],[DEBE]]-tbal[[#This Row],[HABER]]&gt;0,tbal[[#This Row],[DEBE]]-tbal[[#This Row],[HABER]],0)</f>
        <v>0</v>
      </c>
      <c r="H224" s="18">
        <f>IF(tbal[[#This Row],[HABER]]-tbal[[#This Row],[DEBE]]&gt;0,tbal[[#This Row],[HABER]]-tbal[[#This Row],[DEBE]],0)</f>
        <v>0</v>
      </c>
      <c r="I224" s="16">
        <f>IF((OR(tbal[[#This Row],[X]]=1,tbal[[#This Row],[X]]=2)),tbal[[#This Row],[DEUDOR]],0)</f>
        <v>0</v>
      </c>
      <c r="J224" s="18">
        <f>IF((OR(tbal[[#This Row],[X]]=2,tbal[[#This Row],[X]]=3)),tbal[[#This Row],[ACREEDOR]],0)</f>
        <v>0</v>
      </c>
      <c r="K224" s="16">
        <f>IF((OR(tbal[[#This Row],[X]]=3,tbal[[#This Row],[X]]=5)),tbal[[#This Row],[DEUDOR]],0)</f>
        <v>0</v>
      </c>
      <c r="L224" s="18">
        <f>IF((OR(tbal[[#This Row],[X]]=3,tbal[[#This Row],[X]]=4)),tbal[[#This Row],[ACREEDOR]],0)</f>
        <v>0</v>
      </c>
      <c r="M224" s="16">
        <f>IF((OR(tbal[[#This Row],[X]]=0,tbal[[#This Row],[X]]=6)),tbal[[#This Row],[DEUDOR]],0)</f>
        <v>0</v>
      </c>
      <c r="N224" s="18">
        <f>IF((OR(tbal[[#This Row],[X]]=0,tbal[[#This Row],[X]]=5)),tbal[[#This Row],[ACREEDOR]],0)</f>
        <v>0</v>
      </c>
    </row>
    <row r="225" spans="1:14" hidden="1" x14ac:dyDescent="0.3">
      <c r="A225" s="14">
        <f>+'PLAN DE CUENTAS'!A225</f>
        <v>0</v>
      </c>
      <c r="B225" s="13">
        <f>+'PLAN DE CUENTAS'!B225</f>
        <v>0</v>
      </c>
      <c r="C225" s="13">
        <f>+'PLAN DE CUENTAS'!C225</f>
        <v>0</v>
      </c>
      <c r="D225" t="str">
        <f>IF(tbal[[#This Row],[DEBE]]+tbal[[#This Row],[HABER]]=0,"","X")</f>
        <v/>
      </c>
      <c r="E225" s="16">
        <f>SUMIF(tdiario[CUENTA],tbal[[#This Row],[CUENTA]],tdiario[DEBE])</f>
        <v>0</v>
      </c>
      <c r="F225" s="17">
        <f>SUMIF(tdiario[CUENTA],tbal[[#This Row],[CUENTA]],tdiario[HABER])</f>
        <v>0</v>
      </c>
      <c r="G225" s="16">
        <f>IF(tbal[[#This Row],[DEBE]]-tbal[[#This Row],[HABER]]&gt;0,tbal[[#This Row],[DEBE]]-tbal[[#This Row],[HABER]],0)</f>
        <v>0</v>
      </c>
      <c r="H225" s="18">
        <f>IF(tbal[[#This Row],[HABER]]-tbal[[#This Row],[DEBE]]&gt;0,tbal[[#This Row],[HABER]]-tbal[[#This Row],[DEBE]],0)</f>
        <v>0</v>
      </c>
      <c r="I225" s="16">
        <f>IF((OR(tbal[[#This Row],[X]]=1,tbal[[#This Row],[X]]=2)),tbal[[#This Row],[DEUDOR]],0)</f>
        <v>0</v>
      </c>
      <c r="J225" s="18">
        <f>IF((OR(tbal[[#This Row],[X]]=2,tbal[[#This Row],[X]]=3)),tbal[[#This Row],[ACREEDOR]],0)</f>
        <v>0</v>
      </c>
      <c r="K225" s="16">
        <f>IF((OR(tbal[[#This Row],[X]]=3,tbal[[#This Row],[X]]=5)),tbal[[#This Row],[DEUDOR]],0)</f>
        <v>0</v>
      </c>
      <c r="L225" s="18">
        <f>IF((OR(tbal[[#This Row],[X]]=3,tbal[[#This Row],[X]]=4)),tbal[[#This Row],[ACREEDOR]],0)</f>
        <v>0</v>
      </c>
      <c r="M225" s="16">
        <f>IF((OR(tbal[[#This Row],[X]]=0,tbal[[#This Row],[X]]=6)),tbal[[#This Row],[DEUDOR]],0)</f>
        <v>0</v>
      </c>
      <c r="N225" s="18">
        <f>IF((OR(tbal[[#This Row],[X]]=0,tbal[[#This Row],[X]]=5)),tbal[[#This Row],[ACREEDOR]],0)</f>
        <v>0</v>
      </c>
    </row>
    <row r="226" spans="1:14" hidden="1" x14ac:dyDescent="0.3">
      <c r="A226" s="14">
        <f>+'PLAN DE CUENTAS'!A226</f>
        <v>0</v>
      </c>
      <c r="B226" s="13">
        <f>+'PLAN DE CUENTAS'!B226</f>
        <v>0</v>
      </c>
      <c r="C226" s="13">
        <f>+'PLAN DE CUENTAS'!C226</f>
        <v>0</v>
      </c>
      <c r="D226" t="str">
        <f>IF(tbal[[#This Row],[DEBE]]+tbal[[#This Row],[HABER]]=0,"","X")</f>
        <v/>
      </c>
      <c r="E226" s="16">
        <f>SUMIF(tdiario[CUENTA],tbal[[#This Row],[CUENTA]],tdiario[DEBE])</f>
        <v>0</v>
      </c>
      <c r="F226" s="17">
        <f>SUMIF(tdiario[CUENTA],tbal[[#This Row],[CUENTA]],tdiario[HABER])</f>
        <v>0</v>
      </c>
      <c r="G226" s="16">
        <f>IF(tbal[[#This Row],[DEBE]]-tbal[[#This Row],[HABER]]&gt;0,tbal[[#This Row],[DEBE]]-tbal[[#This Row],[HABER]],0)</f>
        <v>0</v>
      </c>
      <c r="H226" s="18">
        <f>IF(tbal[[#This Row],[HABER]]-tbal[[#This Row],[DEBE]]&gt;0,tbal[[#This Row],[HABER]]-tbal[[#This Row],[DEBE]],0)</f>
        <v>0</v>
      </c>
      <c r="I226" s="16">
        <f>IF((OR(tbal[[#This Row],[X]]=1,tbal[[#This Row],[X]]=2)),tbal[[#This Row],[DEUDOR]],0)</f>
        <v>0</v>
      </c>
      <c r="J226" s="18">
        <f>IF((OR(tbal[[#This Row],[X]]=2,tbal[[#This Row],[X]]=3)),tbal[[#This Row],[ACREEDOR]],0)</f>
        <v>0</v>
      </c>
      <c r="K226" s="16">
        <f>IF((OR(tbal[[#This Row],[X]]=3,tbal[[#This Row],[X]]=5)),tbal[[#This Row],[DEUDOR]],0)</f>
        <v>0</v>
      </c>
      <c r="L226" s="18">
        <f>IF((OR(tbal[[#This Row],[X]]=3,tbal[[#This Row],[X]]=4)),tbal[[#This Row],[ACREEDOR]],0)</f>
        <v>0</v>
      </c>
      <c r="M226" s="16">
        <f>IF((OR(tbal[[#This Row],[X]]=0,tbal[[#This Row],[X]]=6)),tbal[[#This Row],[DEUDOR]],0)</f>
        <v>0</v>
      </c>
      <c r="N226" s="18">
        <f>IF((OR(tbal[[#This Row],[X]]=0,tbal[[#This Row],[X]]=5)),tbal[[#This Row],[ACREEDOR]],0)</f>
        <v>0</v>
      </c>
    </row>
    <row r="227" spans="1:14" hidden="1" x14ac:dyDescent="0.3">
      <c r="A227" s="14">
        <f>+'PLAN DE CUENTAS'!A227</f>
        <v>0</v>
      </c>
      <c r="B227" s="13">
        <f>+'PLAN DE CUENTAS'!B227</f>
        <v>0</v>
      </c>
      <c r="C227" s="13">
        <f>+'PLAN DE CUENTAS'!C227</f>
        <v>0</v>
      </c>
      <c r="D227" t="str">
        <f>IF(tbal[[#This Row],[DEBE]]+tbal[[#This Row],[HABER]]=0,"","X")</f>
        <v/>
      </c>
      <c r="E227" s="16">
        <f>SUMIF(tdiario[CUENTA],tbal[[#This Row],[CUENTA]],tdiario[DEBE])</f>
        <v>0</v>
      </c>
      <c r="F227" s="17">
        <f>SUMIF(tdiario[CUENTA],tbal[[#This Row],[CUENTA]],tdiario[HABER])</f>
        <v>0</v>
      </c>
      <c r="G227" s="16">
        <f>IF(tbal[[#This Row],[DEBE]]-tbal[[#This Row],[HABER]]&gt;0,tbal[[#This Row],[DEBE]]-tbal[[#This Row],[HABER]],0)</f>
        <v>0</v>
      </c>
      <c r="H227" s="18">
        <f>IF(tbal[[#This Row],[HABER]]-tbal[[#This Row],[DEBE]]&gt;0,tbal[[#This Row],[HABER]]-tbal[[#This Row],[DEBE]],0)</f>
        <v>0</v>
      </c>
      <c r="I227" s="16">
        <f>IF((OR(tbal[[#This Row],[X]]=1,tbal[[#This Row],[X]]=2)),tbal[[#This Row],[DEUDOR]],0)</f>
        <v>0</v>
      </c>
      <c r="J227" s="18">
        <f>IF((OR(tbal[[#This Row],[X]]=2,tbal[[#This Row],[X]]=3)),tbal[[#This Row],[ACREEDOR]],0)</f>
        <v>0</v>
      </c>
      <c r="K227" s="16">
        <f>IF((OR(tbal[[#This Row],[X]]=3,tbal[[#This Row],[X]]=5)),tbal[[#This Row],[DEUDOR]],0)</f>
        <v>0</v>
      </c>
      <c r="L227" s="18">
        <f>IF((OR(tbal[[#This Row],[X]]=3,tbal[[#This Row],[X]]=4)),tbal[[#This Row],[ACREEDOR]],0)</f>
        <v>0</v>
      </c>
      <c r="M227" s="16">
        <f>IF((OR(tbal[[#This Row],[X]]=0,tbal[[#This Row],[X]]=6)),tbal[[#This Row],[DEUDOR]],0)</f>
        <v>0</v>
      </c>
      <c r="N227" s="18">
        <f>IF((OR(tbal[[#This Row],[X]]=0,tbal[[#This Row],[X]]=5)),tbal[[#This Row],[ACREEDOR]],0)</f>
        <v>0</v>
      </c>
    </row>
    <row r="228" spans="1:14" hidden="1" x14ac:dyDescent="0.3">
      <c r="A228" s="14">
        <f>+'PLAN DE CUENTAS'!A228</f>
        <v>0</v>
      </c>
      <c r="B228" s="13">
        <f>+'PLAN DE CUENTAS'!B228</f>
        <v>0</v>
      </c>
      <c r="C228" s="13">
        <f>+'PLAN DE CUENTAS'!C228</f>
        <v>0</v>
      </c>
      <c r="D228" t="str">
        <f>IF(tbal[[#This Row],[DEBE]]+tbal[[#This Row],[HABER]]=0,"","X")</f>
        <v/>
      </c>
      <c r="E228" s="16">
        <f>SUMIF(tdiario[CUENTA],tbal[[#This Row],[CUENTA]],tdiario[DEBE])</f>
        <v>0</v>
      </c>
      <c r="F228" s="17">
        <f>SUMIF(tdiario[CUENTA],tbal[[#This Row],[CUENTA]],tdiario[HABER])</f>
        <v>0</v>
      </c>
      <c r="G228" s="16">
        <f>IF(tbal[[#This Row],[DEBE]]-tbal[[#This Row],[HABER]]&gt;0,tbal[[#This Row],[DEBE]]-tbal[[#This Row],[HABER]],0)</f>
        <v>0</v>
      </c>
      <c r="H228" s="18">
        <f>IF(tbal[[#This Row],[HABER]]-tbal[[#This Row],[DEBE]]&gt;0,tbal[[#This Row],[HABER]]-tbal[[#This Row],[DEBE]],0)</f>
        <v>0</v>
      </c>
      <c r="I228" s="16">
        <f>IF((OR(tbal[[#This Row],[X]]=1,tbal[[#This Row],[X]]=2)),tbal[[#This Row],[DEUDOR]],0)</f>
        <v>0</v>
      </c>
      <c r="J228" s="18">
        <f>IF((OR(tbal[[#This Row],[X]]=2,tbal[[#This Row],[X]]=3)),tbal[[#This Row],[ACREEDOR]],0)</f>
        <v>0</v>
      </c>
      <c r="K228" s="16">
        <f>IF((OR(tbal[[#This Row],[X]]=3,tbal[[#This Row],[X]]=5)),tbal[[#This Row],[DEUDOR]],0)</f>
        <v>0</v>
      </c>
      <c r="L228" s="18">
        <f>IF((OR(tbal[[#This Row],[X]]=3,tbal[[#This Row],[X]]=4)),tbal[[#This Row],[ACREEDOR]],0)</f>
        <v>0</v>
      </c>
      <c r="M228" s="16">
        <f>IF((OR(tbal[[#This Row],[X]]=0,tbal[[#This Row],[X]]=6)),tbal[[#This Row],[DEUDOR]],0)</f>
        <v>0</v>
      </c>
      <c r="N228" s="18">
        <f>IF((OR(tbal[[#This Row],[X]]=0,tbal[[#This Row],[X]]=5)),tbal[[#This Row],[ACREEDOR]],0)</f>
        <v>0</v>
      </c>
    </row>
    <row r="229" spans="1:14" hidden="1" x14ac:dyDescent="0.3">
      <c r="A229" s="14">
        <f>+'PLAN DE CUENTAS'!A229</f>
        <v>0</v>
      </c>
      <c r="B229" s="13">
        <f>+'PLAN DE CUENTAS'!B229</f>
        <v>0</v>
      </c>
      <c r="C229" s="13">
        <f>+'PLAN DE CUENTAS'!C229</f>
        <v>0</v>
      </c>
      <c r="D229" t="str">
        <f>IF(tbal[[#This Row],[DEBE]]+tbal[[#This Row],[HABER]]=0,"","X")</f>
        <v/>
      </c>
      <c r="E229" s="16">
        <f>SUMIF(tdiario[CUENTA],tbal[[#This Row],[CUENTA]],tdiario[DEBE])</f>
        <v>0</v>
      </c>
      <c r="F229" s="17">
        <f>SUMIF(tdiario[CUENTA],tbal[[#This Row],[CUENTA]],tdiario[HABER])</f>
        <v>0</v>
      </c>
      <c r="G229" s="16">
        <f>IF(tbal[[#This Row],[DEBE]]-tbal[[#This Row],[HABER]]&gt;0,tbal[[#This Row],[DEBE]]-tbal[[#This Row],[HABER]],0)</f>
        <v>0</v>
      </c>
      <c r="H229" s="18">
        <f>IF(tbal[[#This Row],[HABER]]-tbal[[#This Row],[DEBE]]&gt;0,tbal[[#This Row],[HABER]]-tbal[[#This Row],[DEBE]],0)</f>
        <v>0</v>
      </c>
      <c r="I229" s="16">
        <f>IF((OR(tbal[[#This Row],[X]]=1,tbal[[#This Row],[X]]=2)),tbal[[#This Row],[DEUDOR]],0)</f>
        <v>0</v>
      </c>
      <c r="J229" s="18">
        <f>IF((OR(tbal[[#This Row],[X]]=2,tbal[[#This Row],[X]]=3)),tbal[[#This Row],[ACREEDOR]],0)</f>
        <v>0</v>
      </c>
      <c r="K229" s="16">
        <f>IF((OR(tbal[[#This Row],[X]]=3,tbal[[#This Row],[X]]=5)),tbal[[#This Row],[DEUDOR]],0)</f>
        <v>0</v>
      </c>
      <c r="L229" s="18">
        <f>IF((OR(tbal[[#This Row],[X]]=3,tbal[[#This Row],[X]]=4)),tbal[[#This Row],[ACREEDOR]],0)</f>
        <v>0</v>
      </c>
      <c r="M229" s="16">
        <f>IF((OR(tbal[[#This Row],[X]]=0,tbal[[#This Row],[X]]=6)),tbal[[#This Row],[DEUDOR]],0)</f>
        <v>0</v>
      </c>
      <c r="N229" s="18">
        <f>IF((OR(tbal[[#This Row],[X]]=0,tbal[[#This Row],[X]]=5)),tbal[[#This Row],[ACREEDOR]],0)</f>
        <v>0</v>
      </c>
    </row>
    <row r="230" spans="1:14" hidden="1" x14ac:dyDescent="0.3">
      <c r="A230" s="14">
        <f>+'PLAN DE CUENTAS'!A230</f>
        <v>0</v>
      </c>
      <c r="B230" s="13">
        <f>+'PLAN DE CUENTAS'!B230</f>
        <v>0</v>
      </c>
      <c r="C230" s="13">
        <f>+'PLAN DE CUENTAS'!C230</f>
        <v>0</v>
      </c>
      <c r="D230" t="str">
        <f>IF(tbal[[#This Row],[DEBE]]+tbal[[#This Row],[HABER]]=0,"","X")</f>
        <v/>
      </c>
      <c r="E230" s="16">
        <f>SUMIF(tdiario[CUENTA],tbal[[#This Row],[CUENTA]],tdiario[DEBE])</f>
        <v>0</v>
      </c>
      <c r="F230" s="17">
        <f>SUMIF(tdiario[CUENTA],tbal[[#This Row],[CUENTA]],tdiario[HABER])</f>
        <v>0</v>
      </c>
      <c r="G230" s="16">
        <f>IF(tbal[[#This Row],[DEBE]]-tbal[[#This Row],[HABER]]&gt;0,tbal[[#This Row],[DEBE]]-tbal[[#This Row],[HABER]],0)</f>
        <v>0</v>
      </c>
      <c r="H230" s="18">
        <f>IF(tbal[[#This Row],[HABER]]-tbal[[#This Row],[DEBE]]&gt;0,tbal[[#This Row],[HABER]]-tbal[[#This Row],[DEBE]],0)</f>
        <v>0</v>
      </c>
      <c r="I230" s="16">
        <f>IF((OR(tbal[[#This Row],[X]]=1,tbal[[#This Row],[X]]=2)),tbal[[#This Row],[DEUDOR]],0)</f>
        <v>0</v>
      </c>
      <c r="J230" s="18">
        <f>IF((OR(tbal[[#This Row],[X]]=2,tbal[[#This Row],[X]]=3)),tbal[[#This Row],[ACREEDOR]],0)</f>
        <v>0</v>
      </c>
      <c r="K230" s="16">
        <f>IF((OR(tbal[[#This Row],[X]]=3,tbal[[#This Row],[X]]=5)),tbal[[#This Row],[DEUDOR]],0)</f>
        <v>0</v>
      </c>
      <c r="L230" s="18">
        <f>IF((OR(tbal[[#This Row],[X]]=3,tbal[[#This Row],[X]]=4)),tbal[[#This Row],[ACREEDOR]],0)</f>
        <v>0</v>
      </c>
      <c r="M230" s="16">
        <f>IF((OR(tbal[[#This Row],[X]]=0,tbal[[#This Row],[X]]=6)),tbal[[#This Row],[DEUDOR]],0)</f>
        <v>0</v>
      </c>
      <c r="N230" s="18">
        <f>IF((OR(tbal[[#This Row],[X]]=0,tbal[[#This Row],[X]]=5)),tbal[[#This Row],[ACREEDOR]],0)</f>
        <v>0</v>
      </c>
    </row>
    <row r="231" spans="1:14" hidden="1" x14ac:dyDescent="0.3">
      <c r="A231" s="14">
        <f>+'PLAN DE CUENTAS'!A231</f>
        <v>0</v>
      </c>
      <c r="B231" s="13">
        <f>+'PLAN DE CUENTAS'!B231</f>
        <v>0</v>
      </c>
      <c r="C231" s="13">
        <f>+'PLAN DE CUENTAS'!C231</f>
        <v>0</v>
      </c>
      <c r="D231" t="str">
        <f>IF(tbal[[#This Row],[DEBE]]+tbal[[#This Row],[HABER]]=0,"","X")</f>
        <v/>
      </c>
      <c r="E231" s="16">
        <f>SUMIF(tdiario[CUENTA],tbal[[#This Row],[CUENTA]],tdiario[DEBE])</f>
        <v>0</v>
      </c>
      <c r="F231" s="17">
        <f>SUMIF(tdiario[CUENTA],tbal[[#This Row],[CUENTA]],tdiario[HABER])</f>
        <v>0</v>
      </c>
      <c r="G231" s="16">
        <f>IF(tbal[[#This Row],[DEBE]]-tbal[[#This Row],[HABER]]&gt;0,tbal[[#This Row],[DEBE]]-tbal[[#This Row],[HABER]],0)</f>
        <v>0</v>
      </c>
      <c r="H231" s="18">
        <f>IF(tbal[[#This Row],[HABER]]-tbal[[#This Row],[DEBE]]&gt;0,tbal[[#This Row],[HABER]]-tbal[[#This Row],[DEBE]],0)</f>
        <v>0</v>
      </c>
      <c r="I231" s="16">
        <f>IF((OR(tbal[[#This Row],[X]]=1,tbal[[#This Row],[X]]=2)),tbal[[#This Row],[DEUDOR]],0)</f>
        <v>0</v>
      </c>
      <c r="J231" s="18">
        <f>IF((OR(tbal[[#This Row],[X]]=2,tbal[[#This Row],[X]]=3)),tbal[[#This Row],[ACREEDOR]],0)</f>
        <v>0</v>
      </c>
      <c r="K231" s="16">
        <f>IF((OR(tbal[[#This Row],[X]]=3,tbal[[#This Row],[X]]=5)),tbal[[#This Row],[DEUDOR]],0)</f>
        <v>0</v>
      </c>
      <c r="L231" s="18">
        <f>IF((OR(tbal[[#This Row],[X]]=3,tbal[[#This Row],[X]]=4)),tbal[[#This Row],[ACREEDOR]],0)</f>
        <v>0</v>
      </c>
      <c r="M231" s="16">
        <f>IF((OR(tbal[[#This Row],[X]]=0,tbal[[#This Row],[X]]=6)),tbal[[#This Row],[DEUDOR]],0)</f>
        <v>0</v>
      </c>
      <c r="N231" s="18">
        <f>IF((OR(tbal[[#This Row],[X]]=0,tbal[[#This Row],[X]]=5)),tbal[[#This Row],[ACREEDOR]],0)</f>
        <v>0</v>
      </c>
    </row>
    <row r="232" spans="1:14" hidden="1" x14ac:dyDescent="0.3">
      <c r="A232" s="14">
        <f>+'PLAN DE CUENTAS'!A232</f>
        <v>0</v>
      </c>
      <c r="B232" s="13">
        <f>+'PLAN DE CUENTAS'!B232</f>
        <v>0</v>
      </c>
      <c r="C232" s="13">
        <f>+'PLAN DE CUENTAS'!C232</f>
        <v>0</v>
      </c>
      <c r="D232" t="str">
        <f>IF(tbal[[#This Row],[DEBE]]+tbal[[#This Row],[HABER]]=0,"","X")</f>
        <v/>
      </c>
      <c r="E232" s="16">
        <f>SUMIF(tdiario[CUENTA],tbal[[#This Row],[CUENTA]],tdiario[DEBE])</f>
        <v>0</v>
      </c>
      <c r="F232" s="17">
        <f>SUMIF(tdiario[CUENTA],tbal[[#This Row],[CUENTA]],tdiario[HABER])</f>
        <v>0</v>
      </c>
      <c r="G232" s="16">
        <f>IF(tbal[[#This Row],[DEBE]]-tbal[[#This Row],[HABER]]&gt;0,tbal[[#This Row],[DEBE]]-tbal[[#This Row],[HABER]],0)</f>
        <v>0</v>
      </c>
      <c r="H232" s="18">
        <f>IF(tbal[[#This Row],[HABER]]-tbal[[#This Row],[DEBE]]&gt;0,tbal[[#This Row],[HABER]]-tbal[[#This Row],[DEBE]],0)</f>
        <v>0</v>
      </c>
      <c r="I232" s="16">
        <f>IF((OR(tbal[[#This Row],[X]]=1,tbal[[#This Row],[X]]=2)),tbal[[#This Row],[DEUDOR]],0)</f>
        <v>0</v>
      </c>
      <c r="J232" s="18">
        <f>IF((OR(tbal[[#This Row],[X]]=2,tbal[[#This Row],[X]]=3)),tbal[[#This Row],[ACREEDOR]],0)</f>
        <v>0</v>
      </c>
      <c r="K232" s="16">
        <f>IF((OR(tbal[[#This Row],[X]]=3,tbal[[#This Row],[X]]=5)),tbal[[#This Row],[DEUDOR]],0)</f>
        <v>0</v>
      </c>
      <c r="L232" s="18">
        <f>IF((OR(tbal[[#This Row],[X]]=3,tbal[[#This Row],[X]]=4)),tbal[[#This Row],[ACREEDOR]],0)</f>
        <v>0</v>
      </c>
      <c r="M232" s="16">
        <f>IF((OR(tbal[[#This Row],[X]]=0,tbal[[#This Row],[X]]=6)),tbal[[#This Row],[DEUDOR]],0)</f>
        <v>0</v>
      </c>
      <c r="N232" s="18">
        <f>IF((OR(tbal[[#This Row],[X]]=0,tbal[[#This Row],[X]]=5)),tbal[[#This Row],[ACREEDOR]],0)</f>
        <v>0</v>
      </c>
    </row>
    <row r="233" spans="1:14" hidden="1" x14ac:dyDescent="0.3">
      <c r="A233" s="14">
        <f>+'PLAN DE CUENTAS'!A233</f>
        <v>0</v>
      </c>
      <c r="B233" s="13">
        <f>+'PLAN DE CUENTAS'!B233</f>
        <v>0</v>
      </c>
      <c r="C233" s="13">
        <f>+'PLAN DE CUENTAS'!C233</f>
        <v>0</v>
      </c>
      <c r="D233" t="str">
        <f>IF(tbal[[#This Row],[DEBE]]+tbal[[#This Row],[HABER]]=0,"","X")</f>
        <v/>
      </c>
      <c r="E233" s="16">
        <f>SUMIF(tdiario[CUENTA],tbal[[#This Row],[CUENTA]],tdiario[DEBE])</f>
        <v>0</v>
      </c>
      <c r="F233" s="17">
        <f>SUMIF(tdiario[CUENTA],tbal[[#This Row],[CUENTA]],tdiario[HABER])</f>
        <v>0</v>
      </c>
      <c r="G233" s="16">
        <f>IF(tbal[[#This Row],[DEBE]]-tbal[[#This Row],[HABER]]&gt;0,tbal[[#This Row],[DEBE]]-tbal[[#This Row],[HABER]],0)</f>
        <v>0</v>
      </c>
      <c r="H233" s="18">
        <f>IF(tbal[[#This Row],[HABER]]-tbal[[#This Row],[DEBE]]&gt;0,tbal[[#This Row],[HABER]]-tbal[[#This Row],[DEBE]],0)</f>
        <v>0</v>
      </c>
      <c r="I233" s="16">
        <f>IF((OR(tbal[[#This Row],[X]]=1,tbal[[#This Row],[X]]=2)),tbal[[#This Row],[DEUDOR]],0)</f>
        <v>0</v>
      </c>
      <c r="J233" s="18">
        <f>IF((OR(tbal[[#This Row],[X]]=2,tbal[[#This Row],[X]]=3)),tbal[[#This Row],[ACREEDOR]],0)</f>
        <v>0</v>
      </c>
      <c r="K233" s="16">
        <f>IF((OR(tbal[[#This Row],[X]]=3,tbal[[#This Row],[X]]=5)),tbal[[#This Row],[DEUDOR]],0)</f>
        <v>0</v>
      </c>
      <c r="L233" s="18">
        <f>IF((OR(tbal[[#This Row],[X]]=3,tbal[[#This Row],[X]]=4)),tbal[[#This Row],[ACREEDOR]],0)</f>
        <v>0</v>
      </c>
      <c r="M233" s="16">
        <f>IF((OR(tbal[[#This Row],[X]]=0,tbal[[#This Row],[X]]=6)),tbal[[#This Row],[DEUDOR]],0)</f>
        <v>0</v>
      </c>
      <c r="N233" s="18">
        <f>IF((OR(tbal[[#This Row],[X]]=0,tbal[[#This Row],[X]]=5)),tbal[[#This Row],[ACREEDOR]],0)</f>
        <v>0</v>
      </c>
    </row>
    <row r="234" spans="1:14" hidden="1" x14ac:dyDescent="0.3">
      <c r="A234" s="14">
        <f>+'PLAN DE CUENTAS'!A234</f>
        <v>0</v>
      </c>
      <c r="B234" s="13">
        <f>+'PLAN DE CUENTAS'!B234</f>
        <v>0</v>
      </c>
      <c r="C234" s="13">
        <f>+'PLAN DE CUENTAS'!C234</f>
        <v>0</v>
      </c>
      <c r="D234" t="str">
        <f>IF(tbal[[#This Row],[DEBE]]+tbal[[#This Row],[HABER]]=0,"","X")</f>
        <v/>
      </c>
      <c r="E234" s="16">
        <f>SUMIF(tdiario[CUENTA],tbal[[#This Row],[CUENTA]],tdiario[DEBE])</f>
        <v>0</v>
      </c>
      <c r="F234" s="17">
        <f>SUMIF(tdiario[CUENTA],tbal[[#This Row],[CUENTA]],tdiario[HABER])</f>
        <v>0</v>
      </c>
      <c r="G234" s="16">
        <f>IF(tbal[[#This Row],[DEBE]]-tbal[[#This Row],[HABER]]&gt;0,tbal[[#This Row],[DEBE]]-tbal[[#This Row],[HABER]],0)</f>
        <v>0</v>
      </c>
      <c r="H234" s="18">
        <f>IF(tbal[[#This Row],[HABER]]-tbal[[#This Row],[DEBE]]&gt;0,tbal[[#This Row],[HABER]]-tbal[[#This Row],[DEBE]],0)</f>
        <v>0</v>
      </c>
      <c r="I234" s="16">
        <f>IF((OR(tbal[[#This Row],[X]]=1,tbal[[#This Row],[X]]=2)),tbal[[#This Row],[DEUDOR]],0)</f>
        <v>0</v>
      </c>
      <c r="J234" s="18">
        <f>IF((OR(tbal[[#This Row],[X]]=2,tbal[[#This Row],[X]]=3)),tbal[[#This Row],[ACREEDOR]],0)</f>
        <v>0</v>
      </c>
      <c r="K234" s="16">
        <f>IF((OR(tbal[[#This Row],[X]]=3,tbal[[#This Row],[X]]=5)),tbal[[#This Row],[DEUDOR]],0)</f>
        <v>0</v>
      </c>
      <c r="L234" s="18">
        <f>IF((OR(tbal[[#This Row],[X]]=3,tbal[[#This Row],[X]]=4)),tbal[[#This Row],[ACREEDOR]],0)</f>
        <v>0</v>
      </c>
      <c r="M234" s="16">
        <f>IF((OR(tbal[[#This Row],[X]]=0,tbal[[#This Row],[X]]=6)),tbal[[#This Row],[DEUDOR]],0)</f>
        <v>0</v>
      </c>
      <c r="N234" s="18">
        <f>IF((OR(tbal[[#This Row],[X]]=0,tbal[[#This Row],[X]]=5)),tbal[[#This Row],[ACREEDOR]],0)</f>
        <v>0</v>
      </c>
    </row>
    <row r="235" spans="1:14" hidden="1" x14ac:dyDescent="0.3">
      <c r="A235" s="14">
        <f>+'PLAN DE CUENTAS'!A235</f>
        <v>0</v>
      </c>
      <c r="B235" s="13">
        <f>+'PLAN DE CUENTAS'!B235</f>
        <v>0</v>
      </c>
      <c r="C235" s="13">
        <f>+'PLAN DE CUENTAS'!C235</f>
        <v>0</v>
      </c>
      <c r="D235" t="str">
        <f>IF(tbal[[#This Row],[DEBE]]+tbal[[#This Row],[HABER]]=0,"","X")</f>
        <v/>
      </c>
      <c r="E235" s="16">
        <f>SUMIF(tdiario[CUENTA],tbal[[#This Row],[CUENTA]],tdiario[DEBE])</f>
        <v>0</v>
      </c>
      <c r="F235" s="17">
        <f>SUMIF(tdiario[CUENTA],tbal[[#This Row],[CUENTA]],tdiario[HABER])</f>
        <v>0</v>
      </c>
      <c r="G235" s="16">
        <f>IF(tbal[[#This Row],[DEBE]]-tbal[[#This Row],[HABER]]&gt;0,tbal[[#This Row],[DEBE]]-tbal[[#This Row],[HABER]],0)</f>
        <v>0</v>
      </c>
      <c r="H235" s="18">
        <f>IF(tbal[[#This Row],[HABER]]-tbal[[#This Row],[DEBE]]&gt;0,tbal[[#This Row],[HABER]]-tbal[[#This Row],[DEBE]],0)</f>
        <v>0</v>
      </c>
      <c r="I235" s="16">
        <f>IF((OR(tbal[[#This Row],[X]]=1,tbal[[#This Row],[X]]=2)),tbal[[#This Row],[DEUDOR]],0)</f>
        <v>0</v>
      </c>
      <c r="J235" s="18">
        <f>IF((OR(tbal[[#This Row],[X]]=2,tbal[[#This Row],[X]]=3)),tbal[[#This Row],[ACREEDOR]],0)</f>
        <v>0</v>
      </c>
      <c r="K235" s="16">
        <f>IF((OR(tbal[[#This Row],[X]]=3,tbal[[#This Row],[X]]=5)),tbal[[#This Row],[DEUDOR]],0)</f>
        <v>0</v>
      </c>
      <c r="L235" s="18">
        <f>IF((OR(tbal[[#This Row],[X]]=3,tbal[[#This Row],[X]]=4)),tbal[[#This Row],[ACREEDOR]],0)</f>
        <v>0</v>
      </c>
      <c r="M235" s="16">
        <f>IF((OR(tbal[[#This Row],[X]]=0,tbal[[#This Row],[X]]=6)),tbal[[#This Row],[DEUDOR]],0)</f>
        <v>0</v>
      </c>
      <c r="N235" s="18">
        <f>IF((OR(tbal[[#This Row],[X]]=0,tbal[[#This Row],[X]]=5)),tbal[[#This Row],[ACREEDOR]],0)</f>
        <v>0</v>
      </c>
    </row>
    <row r="236" spans="1:14" hidden="1" x14ac:dyDescent="0.3">
      <c r="A236" s="14">
        <f>+'PLAN DE CUENTAS'!A236</f>
        <v>0</v>
      </c>
      <c r="B236" s="13">
        <f>+'PLAN DE CUENTAS'!B236</f>
        <v>0</v>
      </c>
      <c r="C236" s="13">
        <f>+'PLAN DE CUENTAS'!C236</f>
        <v>0</v>
      </c>
      <c r="D236" t="str">
        <f>IF(tbal[[#This Row],[DEBE]]+tbal[[#This Row],[HABER]]=0,"","X")</f>
        <v/>
      </c>
      <c r="E236" s="16">
        <f>SUMIF(tdiario[CUENTA],tbal[[#This Row],[CUENTA]],tdiario[DEBE])</f>
        <v>0</v>
      </c>
      <c r="F236" s="17">
        <f>SUMIF(tdiario[CUENTA],tbal[[#This Row],[CUENTA]],tdiario[HABER])</f>
        <v>0</v>
      </c>
      <c r="G236" s="16">
        <f>IF(tbal[[#This Row],[DEBE]]-tbal[[#This Row],[HABER]]&gt;0,tbal[[#This Row],[DEBE]]-tbal[[#This Row],[HABER]],0)</f>
        <v>0</v>
      </c>
      <c r="H236" s="18">
        <f>IF(tbal[[#This Row],[HABER]]-tbal[[#This Row],[DEBE]]&gt;0,tbal[[#This Row],[HABER]]-tbal[[#This Row],[DEBE]],0)</f>
        <v>0</v>
      </c>
      <c r="I236" s="16">
        <f>IF((OR(tbal[[#This Row],[X]]=1,tbal[[#This Row],[X]]=2)),tbal[[#This Row],[DEUDOR]],0)</f>
        <v>0</v>
      </c>
      <c r="J236" s="18">
        <f>IF((OR(tbal[[#This Row],[X]]=2,tbal[[#This Row],[X]]=3)),tbal[[#This Row],[ACREEDOR]],0)</f>
        <v>0</v>
      </c>
      <c r="K236" s="16">
        <f>IF((OR(tbal[[#This Row],[X]]=3,tbal[[#This Row],[X]]=5)),tbal[[#This Row],[DEUDOR]],0)</f>
        <v>0</v>
      </c>
      <c r="L236" s="18">
        <f>IF((OR(tbal[[#This Row],[X]]=3,tbal[[#This Row],[X]]=4)),tbal[[#This Row],[ACREEDOR]],0)</f>
        <v>0</v>
      </c>
      <c r="M236" s="16">
        <f>IF((OR(tbal[[#This Row],[X]]=0,tbal[[#This Row],[X]]=6)),tbal[[#This Row],[DEUDOR]],0)</f>
        <v>0</v>
      </c>
      <c r="N236" s="18">
        <f>IF((OR(tbal[[#This Row],[X]]=0,tbal[[#This Row],[X]]=5)),tbal[[#This Row],[ACREEDOR]],0)</f>
        <v>0</v>
      </c>
    </row>
    <row r="237" spans="1:14" hidden="1" x14ac:dyDescent="0.3">
      <c r="A237" s="14">
        <f>+'PLAN DE CUENTAS'!A237</f>
        <v>0</v>
      </c>
      <c r="B237" s="13">
        <f>+'PLAN DE CUENTAS'!B237</f>
        <v>0</v>
      </c>
      <c r="C237" s="13">
        <f>+'PLAN DE CUENTAS'!C237</f>
        <v>0</v>
      </c>
      <c r="D237" t="str">
        <f>IF(tbal[[#This Row],[DEBE]]+tbal[[#This Row],[HABER]]=0,"","X")</f>
        <v/>
      </c>
      <c r="E237" s="16">
        <f>SUMIF(tdiario[CUENTA],tbal[[#This Row],[CUENTA]],tdiario[DEBE])</f>
        <v>0</v>
      </c>
      <c r="F237" s="17">
        <f>SUMIF(tdiario[CUENTA],tbal[[#This Row],[CUENTA]],tdiario[HABER])</f>
        <v>0</v>
      </c>
      <c r="G237" s="16">
        <f>IF(tbal[[#This Row],[DEBE]]-tbal[[#This Row],[HABER]]&gt;0,tbal[[#This Row],[DEBE]]-tbal[[#This Row],[HABER]],0)</f>
        <v>0</v>
      </c>
      <c r="H237" s="18">
        <f>IF(tbal[[#This Row],[HABER]]-tbal[[#This Row],[DEBE]]&gt;0,tbal[[#This Row],[HABER]]-tbal[[#This Row],[DEBE]],0)</f>
        <v>0</v>
      </c>
      <c r="I237" s="16">
        <f>IF((OR(tbal[[#This Row],[X]]=1,tbal[[#This Row],[X]]=2)),tbal[[#This Row],[DEUDOR]],0)</f>
        <v>0</v>
      </c>
      <c r="J237" s="18">
        <f>IF((OR(tbal[[#This Row],[X]]=2,tbal[[#This Row],[X]]=3)),tbal[[#This Row],[ACREEDOR]],0)</f>
        <v>0</v>
      </c>
      <c r="K237" s="16">
        <f>IF((OR(tbal[[#This Row],[X]]=3,tbal[[#This Row],[X]]=5)),tbal[[#This Row],[DEUDOR]],0)</f>
        <v>0</v>
      </c>
      <c r="L237" s="18">
        <f>IF((OR(tbal[[#This Row],[X]]=3,tbal[[#This Row],[X]]=4)),tbal[[#This Row],[ACREEDOR]],0)</f>
        <v>0</v>
      </c>
      <c r="M237" s="16">
        <f>IF((OR(tbal[[#This Row],[X]]=0,tbal[[#This Row],[X]]=6)),tbal[[#This Row],[DEUDOR]],0)</f>
        <v>0</v>
      </c>
      <c r="N237" s="18">
        <f>IF((OR(tbal[[#This Row],[X]]=0,tbal[[#This Row],[X]]=5)),tbal[[#This Row],[ACREEDOR]],0)</f>
        <v>0</v>
      </c>
    </row>
    <row r="238" spans="1:14" hidden="1" x14ac:dyDescent="0.3">
      <c r="A238" s="14">
        <f>+'PLAN DE CUENTAS'!A238</f>
        <v>0</v>
      </c>
      <c r="B238" s="13">
        <f>+'PLAN DE CUENTAS'!B238</f>
        <v>0</v>
      </c>
      <c r="C238" s="13">
        <f>+'PLAN DE CUENTAS'!C238</f>
        <v>0</v>
      </c>
      <c r="D238" t="str">
        <f>IF(tbal[[#This Row],[DEBE]]+tbal[[#This Row],[HABER]]=0,"","X")</f>
        <v/>
      </c>
      <c r="E238" s="16">
        <f>SUMIF(tdiario[CUENTA],tbal[[#This Row],[CUENTA]],tdiario[DEBE])</f>
        <v>0</v>
      </c>
      <c r="F238" s="17">
        <f>SUMIF(tdiario[CUENTA],tbal[[#This Row],[CUENTA]],tdiario[HABER])</f>
        <v>0</v>
      </c>
      <c r="G238" s="16">
        <f>IF(tbal[[#This Row],[DEBE]]-tbal[[#This Row],[HABER]]&gt;0,tbal[[#This Row],[DEBE]]-tbal[[#This Row],[HABER]],0)</f>
        <v>0</v>
      </c>
      <c r="H238" s="18">
        <f>IF(tbal[[#This Row],[HABER]]-tbal[[#This Row],[DEBE]]&gt;0,tbal[[#This Row],[HABER]]-tbal[[#This Row],[DEBE]],0)</f>
        <v>0</v>
      </c>
      <c r="I238" s="16">
        <f>IF((OR(tbal[[#This Row],[X]]=1,tbal[[#This Row],[X]]=2)),tbal[[#This Row],[DEUDOR]],0)</f>
        <v>0</v>
      </c>
      <c r="J238" s="18">
        <f>IF((OR(tbal[[#This Row],[X]]=2,tbal[[#This Row],[X]]=3)),tbal[[#This Row],[ACREEDOR]],0)</f>
        <v>0</v>
      </c>
      <c r="K238" s="16">
        <f>IF((OR(tbal[[#This Row],[X]]=3,tbal[[#This Row],[X]]=5)),tbal[[#This Row],[DEUDOR]],0)</f>
        <v>0</v>
      </c>
      <c r="L238" s="18">
        <f>IF((OR(tbal[[#This Row],[X]]=3,tbal[[#This Row],[X]]=4)),tbal[[#This Row],[ACREEDOR]],0)</f>
        <v>0</v>
      </c>
      <c r="M238" s="16">
        <f>IF((OR(tbal[[#This Row],[X]]=0,tbal[[#This Row],[X]]=6)),tbal[[#This Row],[DEUDOR]],0)</f>
        <v>0</v>
      </c>
      <c r="N238" s="18">
        <f>IF((OR(tbal[[#This Row],[X]]=0,tbal[[#This Row],[X]]=5)),tbal[[#This Row],[ACREEDOR]],0)</f>
        <v>0</v>
      </c>
    </row>
    <row r="239" spans="1:14" hidden="1" x14ac:dyDescent="0.3">
      <c r="A239" s="14">
        <f>+'PLAN DE CUENTAS'!A239</f>
        <v>0</v>
      </c>
      <c r="B239" s="13">
        <f>+'PLAN DE CUENTAS'!B239</f>
        <v>0</v>
      </c>
      <c r="C239" s="13">
        <f>+'PLAN DE CUENTAS'!C239</f>
        <v>0</v>
      </c>
      <c r="D239" t="str">
        <f>IF(tbal[[#This Row],[DEBE]]+tbal[[#This Row],[HABER]]=0,"","X")</f>
        <v/>
      </c>
      <c r="E239" s="16">
        <f>SUMIF(tdiario[CUENTA],tbal[[#This Row],[CUENTA]],tdiario[DEBE])</f>
        <v>0</v>
      </c>
      <c r="F239" s="17">
        <f>SUMIF(tdiario[CUENTA],tbal[[#This Row],[CUENTA]],tdiario[HABER])</f>
        <v>0</v>
      </c>
      <c r="G239" s="16">
        <f>IF(tbal[[#This Row],[DEBE]]-tbal[[#This Row],[HABER]]&gt;0,tbal[[#This Row],[DEBE]]-tbal[[#This Row],[HABER]],0)</f>
        <v>0</v>
      </c>
      <c r="H239" s="18">
        <f>IF(tbal[[#This Row],[HABER]]-tbal[[#This Row],[DEBE]]&gt;0,tbal[[#This Row],[HABER]]-tbal[[#This Row],[DEBE]],0)</f>
        <v>0</v>
      </c>
      <c r="I239" s="16">
        <f>IF((OR(tbal[[#This Row],[X]]=1,tbal[[#This Row],[X]]=2)),tbal[[#This Row],[DEUDOR]],0)</f>
        <v>0</v>
      </c>
      <c r="J239" s="18">
        <f>IF((OR(tbal[[#This Row],[X]]=2,tbal[[#This Row],[X]]=3)),tbal[[#This Row],[ACREEDOR]],0)</f>
        <v>0</v>
      </c>
      <c r="K239" s="16">
        <f>IF((OR(tbal[[#This Row],[X]]=3,tbal[[#This Row],[X]]=5)),tbal[[#This Row],[DEUDOR]],0)</f>
        <v>0</v>
      </c>
      <c r="L239" s="18">
        <f>IF((OR(tbal[[#This Row],[X]]=3,tbal[[#This Row],[X]]=4)),tbal[[#This Row],[ACREEDOR]],0)</f>
        <v>0</v>
      </c>
      <c r="M239" s="16">
        <f>IF((OR(tbal[[#This Row],[X]]=0,tbal[[#This Row],[X]]=6)),tbal[[#This Row],[DEUDOR]],0)</f>
        <v>0</v>
      </c>
      <c r="N239" s="18">
        <f>IF((OR(tbal[[#This Row],[X]]=0,tbal[[#This Row],[X]]=5)),tbal[[#This Row],[ACREEDOR]],0)</f>
        <v>0</v>
      </c>
    </row>
    <row r="240" spans="1:14" hidden="1" x14ac:dyDescent="0.3">
      <c r="A240" s="14">
        <f>+'PLAN DE CUENTAS'!A240</f>
        <v>0</v>
      </c>
      <c r="B240" s="13">
        <f>+'PLAN DE CUENTAS'!B240</f>
        <v>0</v>
      </c>
      <c r="C240" s="13">
        <f>+'PLAN DE CUENTAS'!C240</f>
        <v>0</v>
      </c>
      <c r="D240" t="str">
        <f>IF(tbal[[#This Row],[DEBE]]+tbal[[#This Row],[HABER]]=0,"","X")</f>
        <v/>
      </c>
      <c r="E240" s="16">
        <f>SUMIF(tdiario[CUENTA],tbal[[#This Row],[CUENTA]],tdiario[DEBE])</f>
        <v>0</v>
      </c>
      <c r="F240" s="17">
        <f>SUMIF(tdiario[CUENTA],tbal[[#This Row],[CUENTA]],tdiario[HABER])</f>
        <v>0</v>
      </c>
      <c r="G240" s="16">
        <f>IF(tbal[[#This Row],[DEBE]]-tbal[[#This Row],[HABER]]&gt;0,tbal[[#This Row],[DEBE]]-tbal[[#This Row],[HABER]],0)</f>
        <v>0</v>
      </c>
      <c r="H240" s="18">
        <f>IF(tbal[[#This Row],[HABER]]-tbal[[#This Row],[DEBE]]&gt;0,tbal[[#This Row],[HABER]]-tbal[[#This Row],[DEBE]],0)</f>
        <v>0</v>
      </c>
      <c r="I240" s="16">
        <f>IF((OR(tbal[[#This Row],[X]]=1,tbal[[#This Row],[X]]=2)),tbal[[#This Row],[DEUDOR]],0)</f>
        <v>0</v>
      </c>
      <c r="J240" s="18">
        <f>IF((OR(tbal[[#This Row],[X]]=2,tbal[[#This Row],[X]]=3)),tbal[[#This Row],[ACREEDOR]],0)</f>
        <v>0</v>
      </c>
      <c r="K240" s="16">
        <f>IF((OR(tbal[[#This Row],[X]]=3,tbal[[#This Row],[X]]=5)),tbal[[#This Row],[DEUDOR]],0)</f>
        <v>0</v>
      </c>
      <c r="L240" s="18">
        <f>IF((OR(tbal[[#This Row],[X]]=3,tbal[[#This Row],[X]]=4)),tbal[[#This Row],[ACREEDOR]],0)</f>
        <v>0</v>
      </c>
      <c r="M240" s="16">
        <f>IF((OR(tbal[[#This Row],[X]]=0,tbal[[#This Row],[X]]=6)),tbal[[#This Row],[DEUDOR]],0)</f>
        <v>0</v>
      </c>
      <c r="N240" s="18">
        <f>IF((OR(tbal[[#This Row],[X]]=0,tbal[[#This Row],[X]]=5)),tbal[[#This Row],[ACREEDOR]],0)</f>
        <v>0</v>
      </c>
    </row>
    <row r="241" spans="1:14" hidden="1" x14ac:dyDescent="0.3">
      <c r="A241" s="14">
        <f>+'PLAN DE CUENTAS'!A241</f>
        <v>0</v>
      </c>
      <c r="B241" s="13">
        <f>+'PLAN DE CUENTAS'!B241</f>
        <v>0</v>
      </c>
      <c r="C241" s="13">
        <f>+'PLAN DE CUENTAS'!C241</f>
        <v>0</v>
      </c>
      <c r="D241" t="str">
        <f>IF(tbal[[#This Row],[DEBE]]+tbal[[#This Row],[HABER]]=0,"","X")</f>
        <v/>
      </c>
      <c r="E241" s="16">
        <f>SUMIF(tdiario[CUENTA],tbal[[#This Row],[CUENTA]],tdiario[DEBE])</f>
        <v>0</v>
      </c>
      <c r="F241" s="17">
        <f>SUMIF(tdiario[CUENTA],tbal[[#This Row],[CUENTA]],tdiario[HABER])</f>
        <v>0</v>
      </c>
      <c r="G241" s="16">
        <f>IF(tbal[[#This Row],[DEBE]]-tbal[[#This Row],[HABER]]&gt;0,tbal[[#This Row],[DEBE]]-tbal[[#This Row],[HABER]],0)</f>
        <v>0</v>
      </c>
      <c r="H241" s="18">
        <f>IF(tbal[[#This Row],[HABER]]-tbal[[#This Row],[DEBE]]&gt;0,tbal[[#This Row],[HABER]]-tbal[[#This Row],[DEBE]],0)</f>
        <v>0</v>
      </c>
      <c r="I241" s="16">
        <f>IF((OR(tbal[[#This Row],[X]]=1,tbal[[#This Row],[X]]=2)),tbal[[#This Row],[DEUDOR]],0)</f>
        <v>0</v>
      </c>
      <c r="J241" s="18">
        <f>IF((OR(tbal[[#This Row],[X]]=2,tbal[[#This Row],[X]]=3)),tbal[[#This Row],[ACREEDOR]],0)</f>
        <v>0</v>
      </c>
      <c r="K241" s="16">
        <f>IF((OR(tbal[[#This Row],[X]]=3,tbal[[#This Row],[X]]=5)),tbal[[#This Row],[DEUDOR]],0)</f>
        <v>0</v>
      </c>
      <c r="L241" s="18">
        <f>IF((OR(tbal[[#This Row],[X]]=3,tbal[[#This Row],[X]]=4)),tbal[[#This Row],[ACREEDOR]],0)</f>
        <v>0</v>
      </c>
      <c r="M241" s="16">
        <f>IF((OR(tbal[[#This Row],[X]]=0,tbal[[#This Row],[X]]=6)),tbal[[#This Row],[DEUDOR]],0)</f>
        <v>0</v>
      </c>
      <c r="N241" s="18">
        <f>IF((OR(tbal[[#This Row],[X]]=0,tbal[[#This Row],[X]]=5)),tbal[[#This Row],[ACREEDOR]],0)</f>
        <v>0</v>
      </c>
    </row>
    <row r="242" spans="1:14" hidden="1" x14ac:dyDescent="0.3">
      <c r="A242" s="14">
        <f>+'PLAN DE CUENTAS'!A242</f>
        <v>0</v>
      </c>
      <c r="B242" s="13">
        <f>+'PLAN DE CUENTAS'!B242</f>
        <v>0</v>
      </c>
      <c r="C242" s="13">
        <f>+'PLAN DE CUENTAS'!C242</f>
        <v>0</v>
      </c>
      <c r="D242" t="str">
        <f>IF(tbal[[#This Row],[DEBE]]+tbal[[#This Row],[HABER]]=0,"","X")</f>
        <v/>
      </c>
      <c r="E242" s="16">
        <f>SUMIF(tdiario[CUENTA],tbal[[#This Row],[CUENTA]],tdiario[DEBE])</f>
        <v>0</v>
      </c>
      <c r="F242" s="17">
        <f>SUMIF(tdiario[CUENTA],tbal[[#This Row],[CUENTA]],tdiario[HABER])</f>
        <v>0</v>
      </c>
      <c r="G242" s="16">
        <f>IF(tbal[[#This Row],[DEBE]]-tbal[[#This Row],[HABER]]&gt;0,tbal[[#This Row],[DEBE]]-tbal[[#This Row],[HABER]],0)</f>
        <v>0</v>
      </c>
      <c r="H242" s="18">
        <f>IF(tbal[[#This Row],[HABER]]-tbal[[#This Row],[DEBE]]&gt;0,tbal[[#This Row],[HABER]]-tbal[[#This Row],[DEBE]],0)</f>
        <v>0</v>
      </c>
      <c r="I242" s="16">
        <f>IF((OR(tbal[[#This Row],[X]]=1,tbal[[#This Row],[X]]=2)),tbal[[#This Row],[DEUDOR]],0)</f>
        <v>0</v>
      </c>
      <c r="J242" s="18">
        <f>IF((OR(tbal[[#This Row],[X]]=2,tbal[[#This Row],[X]]=3)),tbal[[#This Row],[ACREEDOR]],0)</f>
        <v>0</v>
      </c>
      <c r="K242" s="16">
        <f>IF((OR(tbal[[#This Row],[X]]=3,tbal[[#This Row],[X]]=5)),tbal[[#This Row],[DEUDOR]],0)</f>
        <v>0</v>
      </c>
      <c r="L242" s="18">
        <f>IF((OR(tbal[[#This Row],[X]]=3,tbal[[#This Row],[X]]=4)),tbal[[#This Row],[ACREEDOR]],0)</f>
        <v>0</v>
      </c>
      <c r="M242" s="16">
        <f>IF((OR(tbal[[#This Row],[X]]=0,tbal[[#This Row],[X]]=6)),tbal[[#This Row],[DEUDOR]],0)</f>
        <v>0</v>
      </c>
      <c r="N242" s="18">
        <f>IF((OR(tbal[[#This Row],[X]]=0,tbal[[#This Row],[X]]=5)),tbal[[#This Row],[ACREEDOR]],0)</f>
        <v>0</v>
      </c>
    </row>
    <row r="243" spans="1:14" hidden="1" x14ac:dyDescent="0.3">
      <c r="A243" s="14">
        <f>+'PLAN DE CUENTAS'!A243</f>
        <v>0</v>
      </c>
      <c r="B243" s="13">
        <f>+'PLAN DE CUENTAS'!B243</f>
        <v>0</v>
      </c>
      <c r="C243" s="13">
        <f>+'PLAN DE CUENTAS'!C243</f>
        <v>0</v>
      </c>
      <c r="D243" t="str">
        <f>IF(tbal[[#This Row],[DEBE]]+tbal[[#This Row],[HABER]]=0,"","X")</f>
        <v/>
      </c>
      <c r="E243" s="16">
        <f>SUMIF(tdiario[CUENTA],tbal[[#This Row],[CUENTA]],tdiario[DEBE])</f>
        <v>0</v>
      </c>
      <c r="F243" s="17">
        <f>SUMIF(tdiario[CUENTA],tbal[[#This Row],[CUENTA]],tdiario[HABER])</f>
        <v>0</v>
      </c>
      <c r="G243" s="16">
        <f>IF(tbal[[#This Row],[DEBE]]-tbal[[#This Row],[HABER]]&gt;0,tbal[[#This Row],[DEBE]]-tbal[[#This Row],[HABER]],0)</f>
        <v>0</v>
      </c>
      <c r="H243" s="18">
        <f>IF(tbal[[#This Row],[HABER]]-tbal[[#This Row],[DEBE]]&gt;0,tbal[[#This Row],[HABER]]-tbal[[#This Row],[DEBE]],0)</f>
        <v>0</v>
      </c>
      <c r="I243" s="16">
        <f>IF((OR(tbal[[#This Row],[X]]=1,tbal[[#This Row],[X]]=2)),tbal[[#This Row],[DEUDOR]],0)</f>
        <v>0</v>
      </c>
      <c r="J243" s="18">
        <f>IF((OR(tbal[[#This Row],[X]]=2,tbal[[#This Row],[X]]=3)),tbal[[#This Row],[ACREEDOR]],0)</f>
        <v>0</v>
      </c>
      <c r="K243" s="16">
        <f>IF((OR(tbal[[#This Row],[X]]=3,tbal[[#This Row],[X]]=5)),tbal[[#This Row],[DEUDOR]],0)</f>
        <v>0</v>
      </c>
      <c r="L243" s="18">
        <f>IF((OR(tbal[[#This Row],[X]]=3,tbal[[#This Row],[X]]=4)),tbal[[#This Row],[ACREEDOR]],0)</f>
        <v>0</v>
      </c>
      <c r="M243" s="16">
        <f>IF((OR(tbal[[#This Row],[X]]=0,tbal[[#This Row],[X]]=6)),tbal[[#This Row],[DEUDOR]],0)</f>
        <v>0</v>
      </c>
      <c r="N243" s="18">
        <f>IF((OR(tbal[[#This Row],[X]]=0,tbal[[#This Row],[X]]=5)),tbal[[#This Row],[ACREEDOR]],0)</f>
        <v>0</v>
      </c>
    </row>
    <row r="244" spans="1:14" hidden="1" x14ac:dyDescent="0.3">
      <c r="A244" s="14">
        <f>+'PLAN DE CUENTAS'!A244</f>
        <v>0</v>
      </c>
      <c r="B244" s="13">
        <f>+'PLAN DE CUENTAS'!B244</f>
        <v>0</v>
      </c>
      <c r="C244" s="13">
        <f>+'PLAN DE CUENTAS'!C244</f>
        <v>0</v>
      </c>
      <c r="D244" t="str">
        <f>IF(tbal[[#This Row],[DEBE]]+tbal[[#This Row],[HABER]]=0,"","X")</f>
        <v/>
      </c>
      <c r="E244" s="16">
        <f>SUMIF(tdiario[CUENTA],tbal[[#This Row],[CUENTA]],tdiario[DEBE])</f>
        <v>0</v>
      </c>
      <c r="F244" s="17">
        <f>SUMIF(tdiario[CUENTA],tbal[[#This Row],[CUENTA]],tdiario[HABER])</f>
        <v>0</v>
      </c>
      <c r="G244" s="16">
        <f>IF(tbal[[#This Row],[DEBE]]-tbal[[#This Row],[HABER]]&gt;0,tbal[[#This Row],[DEBE]]-tbal[[#This Row],[HABER]],0)</f>
        <v>0</v>
      </c>
      <c r="H244" s="18">
        <f>IF(tbal[[#This Row],[HABER]]-tbal[[#This Row],[DEBE]]&gt;0,tbal[[#This Row],[HABER]]-tbal[[#This Row],[DEBE]],0)</f>
        <v>0</v>
      </c>
      <c r="I244" s="16">
        <f>IF((OR(tbal[[#This Row],[X]]=1,tbal[[#This Row],[X]]=2)),tbal[[#This Row],[DEUDOR]],0)</f>
        <v>0</v>
      </c>
      <c r="J244" s="18">
        <f>IF((OR(tbal[[#This Row],[X]]=2,tbal[[#This Row],[X]]=3)),tbal[[#This Row],[ACREEDOR]],0)</f>
        <v>0</v>
      </c>
      <c r="K244" s="16">
        <f>IF((OR(tbal[[#This Row],[X]]=3,tbal[[#This Row],[X]]=5)),tbal[[#This Row],[DEUDOR]],0)</f>
        <v>0</v>
      </c>
      <c r="L244" s="18">
        <f>IF((OR(tbal[[#This Row],[X]]=3,tbal[[#This Row],[X]]=4)),tbal[[#This Row],[ACREEDOR]],0)</f>
        <v>0</v>
      </c>
      <c r="M244" s="16">
        <f>IF((OR(tbal[[#This Row],[X]]=0,tbal[[#This Row],[X]]=6)),tbal[[#This Row],[DEUDOR]],0)</f>
        <v>0</v>
      </c>
      <c r="N244" s="18">
        <f>IF((OR(tbal[[#This Row],[X]]=0,tbal[[#This Row],[X]]=5)),tbal[[#This Row],[ACREEDOR]],0)</f>
        <v>0</v>
      </c>
    </row>
    <row r="245" spans="1:14" hidden="1" x14ac:dyDescent="0.3">
      <c r="A245" s="14">
        <f>+'PLAN DE CUENTAS'!A245</f>
        <v>0</v>
      </c>
      <c r="B245" s="13">
        <f>+'PLAN DE CUENTAS'!B245</f>
        <v>0</v>
      </c>
      <c r="C245" s="13">
        <f>+'PLAN DE CUENTAS'!C245</f>
        <v>0</v>
      </c>
      <c r="D245" t="str">
        <f>IF(tbal[[#This Row],[DEBE]]+tbal[[#This Row],[HABER]]=0,"","X")</f>
        <v/>
      </c>
      <c r="E245" s="16">
        <f>SUMIF(tdiario[CUENTA],tbal[[#This Row],[CUENTA]],tdiario[DEBE])</f>
        <v>0</v>
      </c>
      <c r="F245" s="17">
        <f>SUMIF(tdiario[CUENTA],tbal[[#This Row],[CUENTA]],tdiario[HABER])</f>
        <v>0</v>
      </c>
      <c r="G245" s="16">
        <f>IF(tbal[[#This Row],[DEBE]]-tbal[[#This Row],[HABER]]&gt;0,tbal[[#This Row],[DEBE]]-tbal[[#This Row],[HABER]],0)</f>
        <v>0</v>
      </c>
      <c r="H245" s="18">
        <f>IF(tbal[[#This Row],[HABER]]-tbal[[#This Row],[DEBE]]&gt;0,tbal[[#This Row],[HABER]]-tbal[[#This Row],[DEBE]],0)</f>
        <v>0</v>
      </c>
      <c r="I245" s="16">
        <f>IF((OR(tbal[[#This Row],[X]]=1,tbal[[#This Row],[X]]=2)),tbal[[#This Row],[DEUDOR]],0)</f>
        <v>0</v>
      </c>
      <c r="J245" s="18">
        <f>IF((OR(tbal[[#This Row],[X]]=2,tbal[[#This Row],[X]]=3)),tbal[[#This Row],[ACREEDOR]],0)</f>
        <v>0</v>
      </c>
      <c r="K245" s="16">
        <f>IF((OR(tbal[[#This Row],[X]]=3,tbal[[#This Row],[X]]=5)),tbal[[#This Row],[DEUDOR]],0)</f>
        <v>0</v>
      </c>
      <c r="L245" s="18">
        <f>IF((OR(tbal[[#This Row],[X]]=3,tbal[[#This Row],[X]]=4)),tbal[[#This Row],[ACREEDOR]],0)</f>
        <v>0</v>
      </c>
      <c r="M245" s="16">
        <f>IF((OR(tbal[[#This Row],[X]]=0,tbal[[#This Row],[X]]=6)),tbal[[#This Row],[DEUDOR]],0)</f>
        <v>0</v>
      </c>
      <c r="N245" s="18">
        <f>IF((OR(tbal[[#This Row],[X]]=0,tbal[[#This Row],[X]]=5)),tbal[[#This Row],[ACREEDOR]],0)</f>
        <v>0</v>
      </c>
    </row>
    <row r="246" spans="1:14" hidden="1" x14ac:dyDescent="0.3">
      <c r="A246" s="14">
        <f>+'PLAN DE CUENTAS'!A246</f>
        <v>0</v>
      </c>
      <c r="B246" s="13">
        <f>+'PLAN DE CUENTAS'!B246</f>
        <v>0</v>
      </c>
      <c r="C246" s="13">
        <f>+'PLAN DE CUENTAS'!C246</f>
        <v>0</v>
      </c>
      <c r="D246" t="str">
        <f>IF(tbal[[#This Row],[DEBE]]+tbal[[#This Row],[HABER]]=0,"","X")</f>
        <v/>
      </c>
      <c r="E246" s="16">
        <f>SUMIF(tdiario[CUENTA],tbal[[#This Row],[CUENTA]],tdiario[DEBE])</f>
        <v>0</v>
      </c>
      <c r="F246" s="17">
        <f>SUMIF(tdiario[CUENTA],tbal[[#This Row],[CUENTA]],tdiario[HABER])</f>
        <v>0</v>
      </c>
      <c r="G246" s="16">
        <f>IF(tbal[[#This Row],[DEBE]]-tbal[[#This Row],[HABER]]&gt;0,tbal[[#This Row],[DEBE]]-tbal[[#This Row],[HABER]],0)</f>
        <v>0</v>
      </c>
      <c r="H246" s="18">
        <f>IF(tbal[[#This Row],[HABER]]-tbal[[#This Row],[DEBE]]&gt;0,tbal[[#This Row],[HABER]]-tbal[[#This Row],[DEBE]],0)</f>
        <v>0</v>
      </c>
      <c r="I246" s="16">
        <f>IF((OR(tbal[[#This Row],[X]]=1,tbal[[#This Row],[X]]=2)),tbal[[#This Row],[DEUDOR]],0)</f>
        <v>0</v>
      </c>
      <c r="J246" s="18">
        <f>IF((OR(tbal[[#This Row],[X]]=2,tbal[[#This Row],[X]]=3)),tbal[[#This Row],[ACREEDOR]],0)</f>
        <v>0</v>
      </c>
      <c r="K246" s="16">
        <f>IF((OR(tbal[[#This Row],[X]]=3,tbal[[#This Row],[X]]=5)),tbal[[#This Row],[DEUDOR]],0)</f>
        <v>0</v>
      </c>
      <c r="L246" s="18">
        <f>IF((OR(tbal[[#This Row],[X]]=3,tbal[[#This Row],[X]]=4)),tbal[[#This Row],[ACREEDOR]],0)</f>
        <v>0</v>
      </c>
      <c r="M246" s="16">
        <f>IF((OR(tbal[[#This Row],[X]]=0,tbal[[#This Row],[X]]=6)),tbal[[#This Row],[DEUDOR]],0)</f>
        <v>0</v>
      </c>
      <c r="N246" s="18">
        <f>IF((OR(tbal[[#This Row],[X]]=0,tbal[[#This Row],[X]]=5)),tbal[[#This Row],[ACREEDOR]],0)</f>
        <v>0</v>
      </c>
    </row>
    <row r="247" spans="1:14" hidden="1" x14ac:dyDescent="0.3">
      <c r="A247" s="14">
        <f>+'PLAN DE CUENTAS'!A247</f>
        <v>0</v>
      </c>
      <c r="B247" s="13">
        <f>+'PLAN DE CUENTAS'!B247</f>
        <v>0</v>
      </c>
      <c r="C247" s="13">
        <f>+'PLAN DE CUENTAS'!C247</f>
        <v>0</v>
      </c>
      <c r="D247" t="str">
        <f>IF(tbal[[#This Row],[DEBE]]+tbal[[#This Row],[HABER]]=0,"","X")</f>
        <v/>
      </c>
      <c r="E247" s="16">
        <f>SUMIF(tdiario[CUENTA],tbal[[#This Row],[CUENTA]],tdiario[DEBE])</f>
        <v>0</v>
      </c>
      <c r="F247" s="17">
        <f>SUMIF(tdiario[CUENTA],tbal[[#This Row],[CUENTA]],tdiario[HABER])</f>
        <v>0</v>
      </c>
      <c r="G247" s="16">
        <f>IF(tbal[[#This Row],[DEBE]]-tbal[[#This Row],[HABER]]&gt;0,tbal[[#This Row],[DEBE]]-tbal[[#This Row],[HABER]],0)</f>
        <v>0</v>
      </c>
      <c r="H247" s="18">
        <f>IF(tbal[[#This Row],[HABER]]-tbal[[#This Row],[DEBE]]&gt;0,tbal[[#This Row],[HABER]]-tbal[[#This Row],[DEBE]],0)</f>
        <v>0</v>
      </c>
      <c r="I247" s="16">
        <f>IF((OR(tbal[[#This Row],[X]]=1,tbal[[#This Row],[X]]=2)),tbal[[#This Row],[DEUDOR]],0)</f>
        <v>0</v>
      </c>
      <c r="J247" s="18">
        <f>IF((OR(tbal[[#This Row],[X]]=2,tbal[[#This Row],[X]]=3)),tbal[[#This Row],[ACREEDOR]],0)</f>
        <v>0</v>
      </c>
      <c r="K247" s="16">
        <f>IF((OR(tbal[[#This Row],[X]]=3,tbal[[#This Row],[X]]=5)),tbal[[#This Row],[DEUDOR]],0)</f>
        <v>0</v>
      </c>
      <c r="L247" s="18">
        <f>IF((OR(tbal[[#This Row],[X]]=3,tbal[[#This Row],[X]]=4)),tbal[[#This Row],[ACREEDOR]],0)</f>
        <v>0</v>
      </c>
      <c r="M247" s="16">
        <f>IF((OR(tbal[[#This Row],[X]]=0,tbal[[#This Row],[X]]=6)),tbal[[#This Row],[DEUDOR]],0)</f>
        <v>0</v>
      </c>
      <c r="N247" s="18">
        <f>IF((OR(tbal[[#This Row],[X]]=0,tbal[[#This Row],[X]]=5)),tbal[[#This Row],[ACREEDOR]],0)</f>
        <v>0</v>
      </c>
    </row>
    <row r="248" spans="1:14" hidden="1" x14ac:dyDescent="0.3">
      <c r="A248" s="14">
        <f>+'PLAN DE CUENTAS'!A248</f>
        <v>0</v>
      </c>
      <c r="B248" s="13">
        <f>+'PLAN DE CUENTAS'!B248</f>
        <v>0</v>
      </c>
      <c r="C248" s="13">
        <f>+'PLAN DE CUENTAS'!C248</f>
        <v>0</v>
      </c>
      <c r="D248" t="str">
        <f>IF(tbal[[#This Row],[DEBE]]+tbal[[#This Row],[HABER]]=0,"","X")</f>
        <v/>
      </c>
      <c r="E248" s="16">
        <f>SUMIF(tdiario[CUENTA],tbal[[#This Row],[CUENTA]],tdiario[DEBE])</f>
        <v>0</v>
      </c>
      <c r="F248" s="17">
        <f>SUMIF(tdiario[CUENTA],tbal[[#This Row],[CUENTA]],tdiario[HABER])</f>
        <v>0</v>
      </c>
      <c r="G248" s="16">
        <f>IF(tbal[[#This Row],[DEBE]]-tbal[[#This Row],[HABER]]&gt;0,tbal[[#This Row],[DEBE]]-tbal[[#This Row],[HABER]],0)</f>
        <v>0</v>
      </c>
      <c r="H248" s="18">
        <f>IF(tbal[[#This Row],[HABER]]-tbal[[#This Row],[DEBE]]&gt;0,tbal[[#This Row],[HABER]]-tbal[[#This Row],[DEBE]],0)</f>
        <v>0</v>
      </c>
      <c r="I248" s="16">
        <f>IF((OR(tbal[[#This Row],[X]]=1,tbal[[#This Row],[X]]=2)),tbal[[#This Row],[DEUDOR]],0)</f>
        <v>0</v>
      </c>
      <c r="J248" s="18">
        <f>IF((OR(tbal[[#This Row],[X]]=2,tbal[[#This Row],[X]]=3)),tbal[[#This Row],[ACREEDOR]],0)</f>
        <v>0</v>
      </c>
      <c r="K248" s="16">
        <f>IF((OR(tbal[[#This Row],[X]]=3,tbal[[#This Row],[X]]=5)),tbal[[#This Row],[DEUDOR]],0)</f>
        <v>0</v>
      </c>
      <c r="L248" s="18">
        <f>IF((OR(tbal[[#This Row],[X]]=3,tbal[[#This Row],[X]]=4)),tbal[[#This Row],[ACREEDOR]],0)</f>
        <v>0</v>
      </c>
      <c r="M248" s="16">
        <f>IF((OR(tbal[[#This Row],[X]]=0,tbal[[#This Row],[X]]=6)),tbal[[#This Row],[DEUDOR]],0)</f>
        <v>0</v>
      </c>
      <c r="N248" s="18">
        <f>IF((OR(tbal[[#This Row],[X]]=0,tbal[[#This Row],[X]]=5)),tbal[[#This Row],[ACREEDOR]],0)</f>
        <v>0</v>
      </c>
    </row>
    <row r="249" spans="1:14" hidden="1" x14ac:dyDescent="0.3">
      <c r="A249" s="14">
        <f>+'PLAN DE CUENTAS'!A249</f>
        <v>0</v>
      </c>
      <c r="B249" s="13">
        <f>+'PLAN DE CUENTAS'!B249</f>
        <v>0</v>
      </c>
      <c r="C249" s="13">
        <f>+'PLAN DE CUENTAS'!C249</f>
        <v>0</v>
      </c>
      <c r="D249" t="str">
        <f>IF(tbal[[#This Row],[DEBE]]+tbal[[#This Row],[HABER]]=0,"","X")</f>
        <v/>
      </c>
      <c r="E249" s="16">
        <f>SUMIF(tdiario[CUENTA],tbal[[#This Row],[CUENTA]],tdiario[DEBE])</f>
        <v>0</v>
      </c>
      <c r="F249" s="17">
        <f>SUMIF(tdiario[CUENTA],tbal[[#This Row],[CUENTA]],tdiario[HABER])</f>
        <v>0</v>
      </c>
      <c r="G249" s="16">
        <f>IF(tbal[[#This Row],[DEBE]]-tbal[[#This Row],[HABER]]&gt;0,tbal[[#This Row],[DEBE]]-tbal[[#This Row],[HABER]],0)</f>
        <v>0</v>
      </c>
      <c r="H249" s="18">
        <f>IF(tbal[[#This Row],[HABER]]-tbal[[#This Row],[DEBE]]&gt;0,tbal[[#This Row],[HABER]]-tbal[[#This Row],[DEBE]],0)</f>
        <v>0</v>
      </c>
      <c r="I249" s="16">
        <f>IF((OR(tbal[[#This Row],[X]]=1,tbal[[#This Row],[X]]=2)),tbal[[#This Row],[DEUDOR]],0)</f>
        <v>0</v>
      </c>
      <c r="J249" s="18">
        <f>IF((OR(tbal[[#This Row],[X]]=2,tbal[[#This Row],[X]]=3)),tbal[[#This Row],[ACREEDOR]],0)</f>
        <v>0</v>
      </c>
      <c r="K249" s="16">
        <f>IF((OR(tbal[[#This Row],[X]]=3,tbal[[#This Row],[X]]=5)),tbal[[#This Row],[DEUDOR]],0)</f>
        <v>0</v>
      </c>
      <c r="L249" s="18">
        <f>IF((OR(tbal[[#This Row],[X]]=3,tbal[[#This Row],[X]]=4)),tbal[[#This Row],[ACREEDOR]],0)</f>
        <v>0</v>
      </c>
      <c r="M249" s="16">
        <f>IF((OR(tbal[[#This Row],[X]]=0,tbal[[#This Row],[X]]=6)),tbal[[#This Row],[DEUDOR]],0)</f>
        <v>0</v>
      </c>
      <c r="N249" s="18">
        <f>IF((OR(tbal[[#This Row],[X]]=0,tbal[[#This Row],[X]]=5)),tbal[[#This Row],[ACREEDOR]],0)</f>
        <v>0</v>
      </c>
    </row>
    <row r="250" spans="1:14" hidden="1" x14ac:dyDescent="0.3">
      <c r="A250" s="14">
        <f>+'PLAN DE CUENTAS'!A250</f>
        <v>0</v>
      </c>
      <c r="B250" s="13">
        <f>+'PLAN DE CUENTAS'!B250</f>
        <v>0</v>
      </c>
      <c r="C250" s="13">
        <f>+'PLAN DE CUENTAS'!C250</f>
        <v>0</v>
      </c>
      <c r="D250" t="str">
        <f>IF(tbal[[#This Row],[DEBE]]+tbal[[#This Row],[HABER]]=0,"","X")</f>
        <v/>
      </c>
      <c r="E250" s="16">
        <f>SUMIF(tdiario[CUENTA],tbal[[#This Row],[CUENTA]],tdiario[DEBE])</f>
        <v>0</v>
      </c>
      <c r="F250" s="17">
        <f>SUMIF(tdiario[CUENTA],tbal[[#This Row],[CUENTA]],tdiario[HABER])</f>
        <v>0</v>
      </c>
      <c r="G250" s="16">
        <f>IF(tbal[[#This Row],[DEBE]]-tbal[[#This Row],[HABER]]&gt;0,tbal[[#This Row],[DEBE]]-tbal[[#This Row],[HABER]],0)</f>
        <v>0</v>
      </c>
      <c r="H250" s="18">
        <f>IF(tbal[[#This Row],[HABER]]-tbal[[#This Row],[DEBE]]&gt;0,tbal[[#This Row],[HABER]]-tbal[[#This Row],[DEBE]],0)</f>
        <v>0</v>
      </c>
      <c r="I250" s="16">
        <f>IF((OR(tbal[[#This Row],[X]]=1,tbal[[#This Row],[X]]=2)),tbal[[#This Row],[DEUDOR]],0)</f>
        <v>0</v>
      </c>
      <c r="J250" s="18">
        <f>IF((OR(tbal[[#This Row],[X]]=2,tbal[[#This Row],[X]]=3)),tbal[[#This Row],[ACREEDOR]],0)</f>
        <v>0</v>
      </c>
      <c r="K250" s="16">
        <f>IF((OR(tbal[[#This Row],[X]]=3,tbal[[#This Row],[X]]=5)),tbal[[#This Row],[DEUDOR]],0)</f>
        <v>0</v>
      </c>
      <c r="L250" s="18">
        <f>IF((OR(tbal[[#This Row],[X]]=3,tbal[[#This Row],[X]]=4)),tbal[[#This Row],[ACREEDOR]],0)</f>
        <v>0</v>
      </c>
      <c r="M250" s="16">
        <f>IF((OR(tbal[[#This Row],[X]]=0,tbal[[#This Row],[X]]=6)),tbal[[#This Row],[DEUDOR]],0)</f>
        <v>0</v>
      </c>
      <c r="N250" s="18">
        <f>IF((OR(tbal[[#This Row],[X]]=0,tbal[[#This Row],[X]]=5)),tbal[[#This Row],[ACREEDOR]],0)</f>
        <v>0</v>
      </c>
    </row>
    <row r="251" spans="1:14" hidden="1" x14ac:dyDescent="0.3">
      <c r="A251" s="14">
        <f>+'PLAN DE CUENTAS'!A251</f>
        <v>0</v>
      </c>
      <c r="B251" s="13">
        <f>+'PLAN DE CUENTAS'!B251</f>
        <v>0</v>
      </c>
      <c r="C251" s="13">
        <f>+'PLAN DE CUENTAS'!C251</f>
        <v>0</v>
      </c>
      <c r="D251" t="str">
        <f>IF(tbal[[#This Row],[DEBE]]+tbal[[#This Row],[HABER]]=0,"","X")</f>
        <v/>
      </c>
      <c r="E251" s="16">
        <f>SUMIF(tdiario[CUENTA],tbal[[#This Row],[CUENTA]],tdiario[DEBE])</f>
        <v>0</v>
      </c>
      <c r="F251" s="17">
        <f>SUMIF(tdiario[CUENTA],tbal[[#This Row],[CUENTA]],tdiario[HABER])</f>
        <v>0</v>
      </c>
      <c r="G251" s="16">
        <f>IF(tbal[[#This Row],[DEBE]]-tbal[[#This Row],[HABER]]&gt;0,tbal[[#This Row],[DEBE]]-tbal[[#This Row],[HABER]],0)</f>
        <v>0</v>
      </c>
      <c r="H251" s="18">
        <f>IF(tbal[[#This Row],[HABER]]-tbal[[#This Row],[DEBE]]&gt;0,tbal[[#This Row],[HABER]]-tbal[[#This Row],[DEBE]],0)</f>
        <v>0</v>
      </c>
      <c r="I251" s="16">
        <f>IF((OR(tbal[[#This Row],[X]]=1,tbal[[#This Row],[X]]=2)),tbal[[#This Row],[DEUDOR]],0)</f>
        <v>0</v>
      </c>
      <c r="J251" s="18">
        <f>IF((OR(tbal[[#This Row],[X]]=2,tbal[[#This Row],[X]]=3)),tbal[[#This Row],[ACREEDOR]],0)</f>
        <v>0</v>
      </c>
      <c r="K251" s="16">
        <f>IF((OR(tbal[[#This Row],[X]]=3,tbal[[#This Row],[X]]=5)),tbal[[#This Row],[DEUDOR]],0)</f>
        <v>0</v>
      </c>
      <c r="L251" s="18">
        <f>IF((OR(tbal[[#This Row],[X]]=3,tbal[[#This Row],[X]]=4)),tbal[[#This Row],[ACREEDOR]],0)</f>
        <v>0</v>
      </c>
      <c r="M251" s="16">
        <f>IF((OR(tbal[[#This Row],[X]]=0,tbal[[#This Row],[X]]=6)),tbal[[#This Row],[DEUDOR]],0)</f>
        <v>0</v>
      </c>
      <c r="N251" s="18">
        <f>IF((OR(tbal[[#This Row],[X]]=0,tbal[[#This Row],[X]]=5)),tbal[[#This Row],[ACREEDOR]],0)</f>
        <v>0</v>
      </c>
    </row>
    <row r="252" spans="1:14" hidden="1" x14ac:dyDescent="0.3">
      <c r="A252" s="14">
        <f>+'PLAN DE CUENTAS'!A252</f>
        <v>0</v>
      </c>
      <c r="B252" s="13">
        <f>+'PLAN DE CUENTAS'!B252</f>
        <v>0</v>
      </c>
      <c r="C252" s="13">
        <f>+'PLAN DE CUENTAS'!C252</f>
        <v>0</v>
      </c>
      <c r="D252" t="str">
        <f>IF(tbal[[#This Row],[DEBE]]+tbal[[#This Row],[HABER]]=0,"","X")</f>
        <v/>
      </c>
      <c r="E252" s="16">
        <f>SUMIF(tdiario[CUENTA],tbal[[#This Row],[CUENTA]],tdiario[DEBE])</f>
        <v>0</v>
      </c>
      <c r="F252" s="17">
        <f>SUMIF(tdiario[CUENTA],tbal[[#This Row],[CUENTA]],tdiario[HABER])</f>
        <v>0</v>
      </c>
      <c r="G252" s="16">
        <f>IF(tbal[[#This Row],[DEBE]]-tbal[[#This Row],[HABER]]&gt;0,tbal[[#This Row],[DEBE]]-tbal[[#This Row],[HABER]],0)</f>
        <v>0</v>
      </c>
      <c r="H252" s="18">
        <f>IF(tbal[[#This Row],[HABER]]-tbal[[#This Row],[DEBE]]&gt;0,tbal[[#This Row],[HABER]]-tbal[[#This Row],[DEBE]],0)</f>
        <v>0</v>
      </c>
      <c r="I252" s="16">
        <f>IF((OR(tbal[[#This Row],[X]]=1,tbal[[#This Row],[X]]=2)),tbal[[#This Row],[DEUDOR]],0)</f>
        <v>0</v>
      </c>
      <c r="J252" s="18">
        <f>IF((OR(tbal[[#This Row],[X]]=2,tbal[[#This Row],[X]]=3)),tbal[[#This Row],[ACREEDOR]],0)</f>
        <v>0</v>
      </c>
      <c r="K252" s="16">
        <f>IF((OR(tbal[[#This Row],[X]]=3,tbal[[#This Row],[X]]=5)),tbal[[#This Row],[DEUDOR]],0)</f>
        <v>0</v>
      </c>
      <c r="L252" s="18">
        <f>IF((OR(tbal[[#This Row],[X]]=3,tbal[[#This Row],[X]]=4)),tbal[[#This Row],[ACREEDOR]],0)</f>
        <v>0</v>
      </c>
      <c r="M252" s="16">
        <f>IF((OR(tbal[[#This Row],[X]]=0,tbal[[#This Row],[X]]=6)),tbal[[#This Row],[DEUDOR]],0)</f>
        <v>0</v>
      </c>
      <c r="N252" s="18">
        <f>IF((OR(tbal[[#This Row],[X]]=0,tbal[[#This Row],[X]]=5)),tbal[[#This Row],[ACREEDOR]],0)</f>
        <v>0</v>
      </c>
    </row>
    <row r="253" spans="1:14" hidden="1" x14ac:dyDescent="0.3">
      <c r="A253" s="14">
        <f>+'PLAN DE CUENTAS'!A253</f>
        <v>0</v>
      </c>
      <c r="B253" s="13">
        <f>+'PLAN DE CUENTAS'!B253</f>
        <v>0</v>
      </c>
      <c r="C253" s="13">
        <f>+'PLAN DE CUENTAS'!C253</f>
        <v>0</v>
      </c>
      <c r="D253" t="str">
        <f>IF(tbal[[#This Row],[DEBE]]+tbal[[#This Row],[HABER]]=0,"","X")</f>
        <v/>
      </c>
      <c r="E253" s="16">
        <f>SUMIF(tdiario[CUENTA],tbal[[#This Row],[CUENTA]],tdiario[DEBE])</f>
        <v>0</v>
      </c>
      <c r="F253" s="17">
        <f>SUMIF(tdiario[CUENTA],tbal[[#This Row],[CUENTA]],tdiario[HABER])</f>
        <v>0</v>
      </c>
      <c r="G253" s="16">
        <f>IF(tbal[[#This Row],[DEBE]]-tbal[[#This Row],[HABER]]&gt;0,tbal[[#This Row],[DEBE]]-tbal[[#This Row],[HABER]],0)</f>
        <v>0</v>
      </c>
      <c r="H253" s="18">
        <f>IF(tbal[[#This Row],[HABER]]-tbal[[#This Row],[DEBE]]&gt;0,tbal[[#This Row],[HABER]]-tbal[[#This Row],[DEBE]],0)</f>
        <v>0</v>
      </c>
      <c r="I253" s="16">
        <f>IF((OR(tbal[[#This Row],[X]]=1,tbal[[#This Row],[X]]=2)),tbal[[#This Row],[DEUDOR]],0)</f>
        <v>0</v>
      </c>
      <c r="J253" s="18">
        <f>IF((OR(tbal[[#This Row],[X]]=2,tbal[[#This Row],[X]]=3)),tbal[[#This Row],[ACREEDOR]],0)</f>
        <v>0</v>
      </c>
      <c r="K253" s="16">
        <f>IF((OR(tbal[[#This Row],[X]]=3,tbal[[#This Row],[X]]=5)),tbal[[#This Row],[DEUDOR]],0)</f>
        <v>0</v>
      </c>
      <c r="L253" s="18">
        <f>IF((OR(tbal[[#This Row],[X]]=3,tbal[[#This Row],[X]]=4)),tbal[[#This Row],[ACREEDOR]],0)</f>
        <v>0</v>
      </c>
      <c r="M253" s="16">
        <f>IF((OR(tbal[[#This Row],[X]]=0,tbal[[#This Row],[X]]=6)),tbal[[#This Row],[DEUDOR]],0)</f>
        <v>0</v>
      </c>
      <c r="N253" s="18">
        <f>IF((OR(tbal[[#This Row],[X]]=0,tbal[[#This Row],[X]]=5)),tbal[[#This Row],[ACREEDOR]],0)</f>
        <v>0</v>
      </c>
    </row>
    <row r="254" spans="1:14" hidden="1" x14ac:dyDescent="0.3">
      <c r="A254" s="14">
        <f>+'PLAN DE CUENTAS'!A254</f>
        <v>0</v>
      </c>
      <c r="B254" s="13">
        <f>+'PLAN DE CUENTAS'!B254</f>
        <v>0</v>
      </c>
      <c r="C254" s="13">
        <f>+'PLAN DE CUENTAS'!C254</f>
        <v>0</v>
      </c>
      <c r="D254" t="str">
        <f>IF(tbal[[#This Row],[DEBE]]+tbal[[#This Row],[HABER]]=0,"","X")</f>
        <v/>
      </c>
      <c r="E254" s="16">
        <f>SUMIF(tdiario[CUENTA],tbal[[#This Row],[CUENTA]],tdiario[DEBE])</f>
        <v>0</v>
      </c>
      <c r="F254" s="17">
        <f>SUMIF(tdiario[CUENTA],tbal[[#This Row],[CUENTA]],tdiario[HABER])</f>
        <v>0</v>
      </c>
      <c r="G254" s="16">
        <f>IF(tbal[[#This Row],[DEBE]]-tbal[[#This Row],[HABER]]&gt;0,tbal[[#This Row],[DEBE]]-tbal[[#This Row],[HABER]],0)</f>
        <v>0</v>
      </c>
      <c r="H254" s="18">
        <f>IF(tbal[[#This Row],[HABER]]-tbal[[#This Row],[DEBE]]&gt;0,tbal[[#This Row],[HABER]]-tbal[[#This Row],[DEBE]],0)</f>
        <v>0</v>
      </c>
      <c r="I254" s="16">
        <f>IF((OR(tbal[[#This Row],[X]]=1,tbal[[#This Row],[X]]=2)),tbal[[#This Row],[DEUDOR]],0)</f>
        <v>0</v>
      </c>
      <c r="J254" s="18">
        <f>IF((OR(tbal[[#This Row],[X]]=2,tbal[[#This Row],[X]]=3)),tbal[[#This Row],[ACREEDOR]],0)</f>
        <v>0</v>
      </c>
      <c r="K254" s="16">
        <f>IF((OR(tbal[[#This Row],[X]]=3,tbal[[#This Row],[X]]=5)),tbal[[#This Row],[DEUDOR]],0)</f>
        <v>0</v>
      </c>
      <c r="L254" s="18">
        <f>IF((OR(tbal[[#This Row],[X]]=3,tbal[[#This Row],[X]]=4)),tbal[[#This Row],[ACREEDOR]],0)</f>
        <v>0</v>
      </c>
      <c r="M254" s="16">
        <f>IF((OR(tbal[[#This Row],[X]]=0,tbal[[#This Row],[X]]=6)),tbal[[#This Row],[DEUDOR]],0)</f>
        <v>0</v>
      </c>
      <c r="N254" s="18">
        <f>IF((OR(tbal[[#This Row],[X]]=0,tbal[[#This Row],[X]]=5)),tbal[[#This Row],[ACREEDOR]],0)</f>
        <v>0</v>
      </c>
    </row>
    <row r="255" spans="1:14" hidden="1" x14ac:dyDescent="0.3">
      <c r="A255" s="14">
        <f>+'PLAN DE CUENTAS'!A255</f>
        <v>0</v>
      </c>
      <c r="B255" s="13">
        <f>+'PLAN DE CUENTAS'!B255</f>
        <v>0</v>
      </c>
      <c r="C255" s="13">
        <f>+'PLAN DE CUENTAS'!C255</f>
        <v>0</v>
      </c>
      <c r="D255" t="str">
        <f>IF(tbal[[#This Row],[DEBE]]+tbal[[#This Row],[HABER]]=0,"","X")</f>
        <v/>
      </c>
      <c r="E255" s="16">
        <f>SUMIF(tdiario[CUENTA],tbal[[#This Row],[CUENTA]],tdiario[DEBE])</f>
        <v>0</v>
      </c>
      <c r="F255" s="17">
        <f>SUMIF(tdiario[CUENTA],tbal[[#This Row],[CUENTA]],tdiario[HABER])</f>
        <v>0</v>
      </c>
      <c r="G255" s="16">
        <f>IF(tbal[[#This Row],[DEBE]]-tbal[[#This Row],[HABER]]&gt;0,tbal[[#This Row],[DEBE]]-tbal[[#This Row],[HABER]],0)</f>
        <v>0</v>
      </c>
      <c r="H255" s="18">
        <f>IF(tbal[[#This Row],[HABER]]-tbal[[#This Row],[DEBE]]&gt;0,tbal[[#This Row],[HABER]]-tbal[[#This Row],[DEBE]],0)</f>
        <v>0</v>
      </c>
      <c r="I255" s="16">
        <f>IF((OR(tbal[[#This Row],[X]]=1,tbal[[#This Row],[X]]=2)),tbal[[#This Row],[DEUDOR]],0)</f>
        <v>0</v>
      </c>
      <c r="J255" s="18">
        <f>IF((OR(tbal[[#This Row],[X]]=2,tbal[[#This Row],[X]]=3)),tbal[[#This Row],[ACREEDOR]],0)</f>
        <v>0</v>
      </c>
      <c r="K255" s="16">
        <f>IF((OR(tbal[[#This Row],[X]]=3,tbal[[#This Row],[X]]=5)),tbal[[#This Row],[DEUDOR]],0)</f>
        <v>0</v>
      </c>
      <c r="L255" s="18">
        <f>IF((OR(tbal[[#This Row],[X]]=3,tbal[[#This Row],[X]]=4)),tbal[[#This Row],[ACREEDOR]],0)</f>
        <v>0</v>
      </c>
      <c r="M255" s="16">
        <f>IF((OR(tbal[[#This Row],[X]]=0,tbal[[#This Row],[X]]=6)),tbal[[#This Row],[DEUDOR]],0)</f>
        <v>0</v>
      </c>
      <c r="N255" s="18">
        <f>IF((OR(tbal[[#This Row],[X]]=0,tbal[[#This Row],[X]]=5)),tbal[[#This Row],[ACREEDOR]],0)</f>
        <v>0</v>
      </c>
    </row>
    <row r="256" spans="1:14" hidden="1" x14ac:dyDescent="0.3">
      <c r="A256" s="14">
        <f>+'PLAN DE CUENTAS'!A256</f>
        <v>0</v>
      </c>
      <c r="B256" s="13">
        <f>+'PLAN DE CUENTAS'!B256</f>
        <v>0</v>
      </c>
      <c r="C256" s="13">
        <f>+'PLAN DE CUENTAS'!C256</f>
        <v>0</v>
      </c>
      <c r="D256" t="str">
        <f>IF(tbal[[#This Row],[DEBE]]+tbal[[#This Row],[HABER]]=0,"","X")</f>
        <v/>
      </c>
      <c r="E256" s="16">
        <f>SUMIF(tdiario[CUENTA],tbal[[#This Row],[CUENTA]],tdiario[DEBE])</f>
        <v>0</v>
      </c>
      <c r="F256" s="17">
        <f>SUMIF(tdiario[CUENTA],tbal[[#This Row],[CUENTA]],tdiario[HABER])</f>
        <v>0</v>
      </c>
      <c r="G256" s="16">
        <f>IF(tbal[[#This Row],[DEBE]]-tbal[[#This Row],[HABER]]&gt;0,tbal[[#This Row],[DEBE]]-tbal[[#This Row],[HABER]],0)</f>
        <v>0</v>
      </c>
      <c r="H256" s="18">
        <f>IF(tbal[[#This Row],[HABER]]-tbal[[#This Row],[DEBE]]&gt;0,tbal[[#This Row],[HABER]]-tbal[[#This Row],[DEBE]],0)</f>
        <v>0</v>
      </c>
      <c r="I256" s="16">
        <f>IF((OR(tbal[[#This Row],[X]]=1,tbal[[#This Row],[X]]=2)),tbal[[#This Row],[DEUDOR]],0)</f>
        <v>0</v>
      </c>
      <c r="J256" s="18">
        <f>IF((OR(tbal[[#This Row],[X]]=2,tbal[[#This Row],[X]]=3)),tbal[[#This Row],[ACREEDOR]],0)</f>
        <v>0</v>
      </c>
      <c r="K256" s="16">
        <f>IF((OR(tbal[[#This Row],[X]]=3,tbal[[#This Row],[X]]=5)),tbal[[#This Row],[DEUDOR]],0)</f>
        <v>0</v>
      </c>
      <c r="L256" s="18">
        <f>IF((OR(tbal[[#This Row],[X]]=3,tbal[[#This Row],[X]]=4)),tbal[[#This Row],[ACREEDOR]],0)</f>
        <v>0</v>
      </c>
      <c r="M256" s="16">
        <f>IF((OR(tbal[[#This Row],[X]]=0,tbal[[#This Row],[X]]=6)),tbal[[#This Row],[DEUDOR]],0)</f>
        <v>0</v>
      </c>
      <c r="N256" s="18">
        <f>IF((OR(tbal[[#This Row],[X]]=0,tbal[[#This Row],[X]]=5)),tbal[[#This Row],[ACREEDOR]],0)</f>
        <v>0</v>
      </c>
    </row>
    <row r="257" spans="1:14" hidden="1" x14ac:dyDescent="0.3">
      <c r="A257" s="14">
        <f>+'PLAN DE CUENTAS'!A257</f>
        <v>0</v>
      </c>
      <c r="B257" s="13">
        <f>+'PLAN DE CUENTAS'!B257</f>
        <v>0</v>
      </c>
      <c r="C257" s="13">
        <f>+'PLAN DE CUENTAS'!C257</f>
        <v>0</v>
      </c>
      <c r="D257" t="str">
        <f>IF(tbal[[#This Row],[DEBE]]+tbal[[#This Row],[HABER]]=0,"","X")</f>
        <v/>
      </c>
      <c r="E257" s="16">
        <f>SUMIF(tdiario[CUENTA],tbal[[#This Row],[CUENTA]],tdiario[DEBE])</f>
        <v>0</v>
      </c>
      <c r="F257" s="17">
        <f>SUMIF(tdiario[CUENTA],tbal[[#This Row],[CUENTA]],tdiario[HABER])</f>
        <v>0</v>
      </c>
      <c r="G257" s="16">
        <f>IF(tbal[[#This Row],[DEBE]]-tbal[[#This Row],[HABER]]&gt;0,tbal[[#This Row],[DEBE]]-tbal[[#This Row],[HABER]],0)</f>
        <v>0</v>
      </c>
      <c r="H257" s="18">
        <f>IF(tbal[[#This Row],[HABER]]-tbal[[#This Row],[DEBE]]&gt;0,tbal[[#This Row],[HABER]]-tbal[[#This Row],[DEBE]],0)</f>
        <v>0</v>
      </c>
      <c r="I257" s="16">
        <f>IF((OR(tbal[[#This Row],[X]]=1,tbal[[#This Row],[X]]=2)),tbal[[#This Row],[DEUDOR]],0)</f>
        <v>0</v>
      </c>
      <c r="J257" s="18">
        <f>IF((OR(tbal[[#This Row],[X]]=2,tbal[[#This Row],[X]]=3)),tbal[[#This Row],[ACREEDOR]],0)</f>
        <v>0</v>
      </c>
      <c r="K257" s="16">
        <f>IF((OR(tbal[[#This Row],[X]]=3,tbal[[#This Row],[X]]=5)),tbal[[#This Row],[DEUDOR]],0)</f>
        <v>0</v>
      </c>
      <c r="L257" s="18">
        <f>IF((OR(tbal[[#This Row],[X]]=3,tbal[[#This Row],[X]]=4)),tbal[[#This Row],[ACREEDOR]],0)</f>
        <v>0</v>
      </c>
      <c r="M257" s="16">
        <f>IF((OR(tbal[[#This Row],[X]]=0,tbal[[#This Row],[X]]=6)),tbal[[#This Row],[DEUDOR]],0)</f>
        <v>0</v>
      </c>
      <c r="N257" s="18">
        <f>IF((OR(tbal[[#This Row],[X]]=0,tbal[[#This Row],[X]]=5)),tbal[[#This Row],[ACREEDOR]],0)</f>
        <v>0</v>
      </c>
    </row>
    <row r="258" spans="1:14" hidden="1" x14ac:dyDescent="0.3">
      <c r="A258" s="14">
        <f>+'PLAN DE CUENTAS'!A258</f>
        <v>0</v>
      </c>
      <c r="B258" s="13">
        <f>+'PLAN DE CUENTAS'!B258</f>
        <v>0</v>
      </c>
      <c r="C258" s="13">
        <f>+'PLAN DE CUENTAS'!C258</f>
        <v>0</v>
      </c>
      <c r="D258" t="str">
        <f>IF(tbal[[#This Row],[DEBE]]+tbal[[#This Row],[HABER]]=0,"","X")</f>
        <v/>
      </c>
      <c r="E258" s="16">
        <f>SUMIF(tdiario[CUENTA],tbal[[#This Row],[CUENTA]],tdiario[DEBE])</f>
        <v>0</v>
      </c>
      <c r="F258" s="17">
        <f>SUMIF(tdiario[CUENTA],tbal[[#This Row],[CUENTA]],tdiario[HABER])</f>
        <v>0</v>
      </c>
      <c r="G258" s="16">
        <f>IF(tbal[[#This Row],[DEBE]]-tbal[[#This Row],[HABER]]&gt;0,tbal[[#This Row],[DEBE]]-tbal[[#This Row],[HABER]],0)</f>
        <v>0</v>
      </c>
      <c r="H258" s="18">
        <f>IF(tbal[[#This Row],[HABER]]-tbal[[#This Row],[DEBE]]&gt;0,tbal[[#This Row],[HABER]]-tbal[[#This Row],[DEBE]],0)</f>
        <v>0</v>
      </c>
      <c r="I258" s="16">
        <f>IF((OR(tbal[[#This Row],[X]]=1,tbal[[#This Row],[X]]=2)),tbal[[#This Row],[DEUDOR]],0)</f>
        <v>0</v>
      </c>
      <c r="J258" s="18">
        <f>IF((OR(tbal[[#This Row],[X]]=2,tbal[[#This Row],[X]]=3)),tbal[[#This Row],[ACREEDOR]],0)</f>
        <v>0</v>
      </c>
      <c r="K258" s="16">
        <f>IF((OR(tbal[[#This Row],[X]]=3,tbal[[#This Row],[X]]=5)),tbal[[#This Row],[DEUDOR]],0)</f>
        <v>0</v>
      </c>
      <c r="L258" s="18">
        <f>IF((OR(tbal[[#This Row],[X]]=3,tbal[[#This Row],[X]]=4)),tbal[[#This Row],[ACREEDOR]],0)</f>
        <v>0</v>
      </c>
      <c r="M258" s="16">
        <f>IF((OR(tbal[[#This Row],[X]]=0,tbal[[#This Row],[X]]=6)),tbal[[#This Row],[DEUDOR]],0)</f>
        <v>0</v>
      </c>
      <c r="N258" s="18">
        <f>IF((OR(tbal[[#This Row],[X]]=0,tbal[[#This Row],[X]]=5)),tbal[[#This Row],[ACREEDOR]],0)</f>
        <v>0</v>
      </c>
    </row>
    <row r="259" spans="1:14" hidden="1" x14ac:dyDescent="0.3">
      <c r="A259" s="14">
        <f>+'PLAN DE CUENTAS'!A259</f>
        <v>0</v>
      </c>
      <c r="B259" s="13">
        <f>+'PLAN DE CUENTAS'!B259</f>
        <v>0</v>
      </c>
      <c r="C259" s="13">
        <f>+'PLAN DE CUENTAS'!C259</f>
        <v>0</v>
      </c>
      <c r="D259" t="str">
        <f>IF(tbal[[#This Row],[DEBE]]+tbal[[#This Row],[HABER]]=0,"","X")</f>
        <v/>
      </c>
      <c r="E259" s="16">
        <f>SUMIF(tdiario[CUENTA],tbal[[#This Row],[CUENTA]],tdiario[DEBE])</f>
        <v>0</v>
      </c>
      <c r="F259" s="17">
        <f>SUMIF(tdiario[CUENTA],tbal[[#This Row],[CUENTA]],tdiario[HABER])</f>
        <v>0</v>
      </c>
      <c r="G259" s="16">
        <f>IF(tbal[[#This Row],[DEBE]]-tbal[[#This Row],[HABER]]&gt;0,tbal[[#This Row],[DEBE]]-tbal[[#This Row],[HABER]],0)</f>
        <v>0</v>
      </c>
      <c r="H259" s="18">
        <f>IF(tbal[[#This Row],[HABER]]-tbal[[#This Row],[DEBE]]&gt;0,tbal[[#This Row],[HABER]]-tbal[[#This Row],[DEBE]],0)</f>
        <v>0</v>
      </c>
      <c r="I259" s="16">
        <f>IF((OR(tbal[[#This Row],[X]]=1,tbal[[#This Row],[X]]=2)),tbal[[#This Row],[DEUDOR]],0)</f>
        <v>0</v>
      </c>
      <c r="J259" s="18">
        <f>IF((OR(tbal[[#This Row],[X]]=2,tbal[[#This Row],[X]]=3)),tbal[[#This Row],[ACREEDOR]],0)</f>
        <v>0</v>
      </c>
      <c r="K259" s="16">
        <f>IF((OR(tbal[[#This Row],[X]]=3,tbal[[#This Row],[X]]=5)),tbal[[#This Row],[DEUDOR]],0)</f>
        <v>0</v>
      </c>
      <c r="L259" s="18">
        <f>IF((OR(tbal[[#This Row],[X]]=3,tbal[[#This Row],[X]]=4)),tbal[[#This Row],[ACREEDOR]],0)</f>
        <v>0</v>
      </c>
      <c r="M259" s="16">
        <f>IF((OR(tbal[[#This Row],[X]]=0,tbal[[#This Row],[X]]=6)),tbal[[#This Row],[DEUDOR]],0)</f>
        <v>0</v>
      </c>
      <c r="N259" s="18">
        <f>IF((OR(tbal[[#This Row],[X]]=0,tbal[[#This Row],[X]]=5)),tbal[[#This Row],[ACREEDOR]],0)</f>
        <v>0</v>
      </c>
    </row>
    <row r="260" spans="1:14" hidden="1" x14ac:dyDescent="0.3">
      <c r="A260" s="14">
        <f>+'PLAN DE CUENTAS'!A260</f>
        <v>0</v>
      </c>
      <c r="B260" s="13">
        <f>+'PLAN DE CUENTAS'!B260</f>
        <v>0</v>
      </c>
      <c r="C260" s="13">
        <f>+'PLAN DE CUENTAS'!C260</f>
        <v>0</v>
      </c>
      <c r="D260" t="str">
        <f>IF(tbal[[#This Row],[DEBE]]+tbal[[#This Row],[HABER]]=0,"","X")</f>
        <v/>
      </c>
      <c r="E260" s="16">
        <f>SUMIF(tdiario[CUENTA],tbal[[#This Row],[CUENTA]],tdiario[DEBE])</f>
        <v>0</v>
      </c>
      <c r="F260" s="17">
        <f>SUMIF(tdiario[CUENTA],tbal[[#This Row],[CUENTA]],tdiario[HABER])</f>
        <v>0</v>
      </c>
      <c r="G260" s="16">
        <f>IF(tbal[[#This Row],[DEBE]]-tbal[[#This Row],[HABER]]&gt;0,tbal[[#This Row],[DEBE]]-tbal[[#This Row],[HABER]],0)</f>
        <v>0</v>
      </c>
      <c r="H260" s="18">
        <f>IF(tbal[[#This Row],[HABER]]-tbal[[#This Row],[DEBE]]&gt;0,tbal[[#This Row],[HABER]]-tbal[[#This Row],[DEBE]],0)</f>
        <v>0</v>
      </c>
      <c r="I260" s="16">
        <f>IF((OR(tbal[[#This Row],[X]]=1,tbal[[#This Row],[X]]=2)),tbal[[#This Row],[DEUDOR]],0)</f>
        <v>0</v>
      </c>
      <c r="J260" s="18">
        <f>IF((OR(tbal[[#This Row],[X]]=2,tbal[[#This Row],[X]]=3)),tbal[[#This Row],[ACREEDOR]],0)</f>
        <v>0</v>
      </c>
      <c r="K260" s="16">
        <f>IF((OR(tbal[[#This Row],[X]]=3,tbal[[#This Row],[X]]=5)),tbal[[#This Row],[DEUDOR]],0)</f>
        <v>0</v>
      </c>
      <c r="L260" s="18">
        <f>IF((OR(tbal[[#This Row],[X]]=3,tbal[[#This Row],[X]]=4)),tbal[[#This Row],[ACREEDOR]],0)</f>
        <v>0</v>
      </c>
      <c r="M260" s="16">
        <f>IF((OR(tbal[[#This Row],[X]]=0,tbal[[#This Row],[X]]=6)),tbal[[#This Row],[DEUDOR]],0)</f>
        <v>0</v>
      </c>
      <c r="N260" s="18">
        <f>IF((OR(tbal[[#This Row],[X]]=0,tbal[[#This Row],[X]]=5)),tbal[[#This Row],[ACREEDOR]],0)</f>
        <v>0</v>
      </c>
    </row>
    <row r="261" spans="1:14" hidden="1" x14ac:dyDescent="0.3">
      <c r="A261" s="14">
        <f>+'PLAN DE CUENTAS'!A261</f>
        <v>0</v>
      </c>
      <c r="B261" s="13">
        <f>+'PLAN DE CUENTAS'!B261</f>
        <v>0</v>
      </c>
      <c r="C261" s="13">
        <f>+'PLAN DE CUENTAS'!C261</f>
        <v>0</v>
      </c>
      <c r="D261" t="str">
        <f>IF(tbal[[#This Row],[DEBE]]+tbal[[#This Row],[HABER]]=0,"","X")</f>
        <v/>
      </c>
      <c r="E261" s="16">
        <f>SUMIF(tdiario[CUENTA],tbal[[#This Row],[CUENTA]],tdiario[DEBE])</f>
        <v>0</v>
      </c>
      <c r="F261" s="17">
        <f>SUMIF(tdiario[CUENTA],tbal[[#This Row],[CUENTA]],tdiario[HABER])</f>
        <v>0</v>
      </c>
      <c r="G261" s="16">
        <f>IF(tbal[[#This Row],[DEBE]]-tbal[[#This Row],[HABER]]&gt;0,tbal[[#This Row],[DEBE]]-tbal[[#This Row],[HABER]],0)</f>
        <v>0</v>
      </c>
      <c r="H261" s="18">
        <f>IF(tbal[[#This Row],[HABER]]-tbal[[#This Row],[DEBE]]&gt;0,tbal[[#This Row],[HABER]]-tbal[[#This Row],[DEBE]],0)</f>
        <v>0</v>
      </c>
      <c r="I261" s="16">
        <f>IF((OR(tbal[[#This Row],[X]]=1,tbal[[#This Row],[X]]=2)),tbal[[#This Row],[DEUDOR]],0)</f>
        <v>0</v>
      </c>
      <c r="J261" s="18">
        <f>IF((OR(tbal[[#This Row],[X]]=2,tbal[[#This Row],[X]]=3)),tbal[[#This Row],[ACREEDOR]],0)</f>
        <v>0</v>
      </c>
      <c r="K261" s="16">
        <f>IF((OR(tbal[[#This Row],[X]]=3,tbal[[#This Row],[X]]=5)),tbal[[#This Row],[DEUDOR]],0)</f>
        <v>0</v>
      </c>
      <c r="L261" s="18">
        <f>IF((OR(tbal[[#This Row],[X]]=3,tbal[[#This Row],[X]]=4)),tbal[[#This Row],[ACREEDOR]],0)</f>
        <v>0</v>
      </c>
      <c r="M261" s="16">
        <f>IF((OR(tbal[[#This Row],[X]]=0,tbal[[#This Row],[X]]=6)),tbal[[#This Row],[DEUDOR]],0)</f>
        <v>0</v>
      </c>
      <c r="N261" s="18">
        <f>IF((OR(tbal[[#This Row],[X]]=0,tbal[[#This Row],[X]]=5)),tbal[[#This Row],[ACREEDOR]],0)</f>
        <v>0</v>
      </c>
    </row>
    <row r="262" spans="1:14" hidden="1" x14ac:dyDescent="0.3">
      <c r="A262" s="14">
        <f>+'PLAN DE CUENTAS'!A262</f>
        <v>0</v>
      </c>
      <c r="B262" s="13">
        <f>+'PLAN DE CUENTAS'!B262</f>
        <v>0</v>
      </c>
      <c r="C262" s="13">
        <f>+'PLAN DE CUENTAS'!C262</f>
        <v>0</v>
      </c>
      <c r="D262" t="str">
        <f>IF(tbal[[#This Row],[DEBE]]+tbal[[#This Row],[HABER]]=0,"","X")</f>
        <v/>
      </c>
      <c r="E262" s="16">
        <f>SUMIF(tdiario[CUENTA],tbal[[#This Row],[CUENTA]],tdiario[DEBE])</f>
        <v>0</v>
      </c>
      <c r="F262" s="17">
        <f>SUMIF(tdiario[CUENTA],tbal[[#This Row],[CUENTA]],tdiario[HABER])</f>
        <v>0</v>
      </c>
      <c r="G262" s="16">
        <f>IF(tbal[[#This Row],[DEBE]]-tbal[[#This Row],[HABER]]&gt;0,tbal[[#This Row],[DEBE]]-tbal[[#This Row],[HABER]],0)</f>
        <v>0</v>
      </c>
      <c r="H262" s="18">
        <f>IF(tbal[[#This Row],[HABER]]-tbal[[#This Row],[DEBE]]&gt;0,tbal[[#This Row],[HABER]]-tbal[[#This Row],[DEBE]],0)</f>
        <v>0</v>
      </c>
      <c r="I262" s="16">
        <f>IF((OR(tbal[[#This Row],[X]]=1,tbal[[#This Row],[X]]=2)),tbal[[#This Row],[DEUDOR]],0)</f>
        <v>0</v>
      </c>
      <c r="J262" s="18">
        <f>IF((OR(tbal[[#This Row],[X]]=2,tbal[[#This Row],[X]]=3)),tbal[[#This Row],[ACREEDOR]],0)</f>
        <v>0</v>
      </c>
      <c r="K262" s="16">
        <f>IF((OR(tbal[[#This Row],[X]]=3,tbal[[#This Row],[X]]=5)),tbal[[#This Row],[DEUDOR]],0)</f>
        <v>0</v>
      </c>
      <c r="L262" s="18">
        <f>IF((OR(tbal[[#This Row],[X]]=3,tbal[[#This Row],[X]]=4)),tbal[[#This Row],[ACREEDOR]],0)</f>
        <v>0</v>
      </c>
      <c r="M262" s="16">
        <f>IF((OR(tbal[[#This Row],[X]]=0,tbal[[#This Row],[X]]=6)),tbal[[#This Row],[DEUDOR]],0)</f>
        <v>0</v>
      </c>
      <c r="N262" s="18">
        <f>IF((OR(tbal[[#This Row],[X]]=0,tbal[[#This Row],[X]]=5)),tbal[[#This Row],[ACREEDOR]],0)</f>
        <v>0</v>
      </c>
    </row>
    <row r="263" spans="1:14" hidden="1" x14ac:dyDescent="0.3">
      <c r="A263" s="14">
        <f>+'PLAN DE CUENTAS'!A263</f>
        <v>0</v>
      </c>
      <c r="B263" s="13">
        <f>+'PLAN DE CUENTAS'!B263</f>
        <v>0</v>
      </c>
      <c r="C263" s="13">
        <f>+'PLAN DE CUENTAS'!C263</f>
        <v>0</v>
      </c>
      <c r="D263" t="str">
        <f>IF(tbal[[#This Row],[DEBE]]+tbal[[#This Row],[HABER]]=0,"","X")</f>
        <v/>
      </c>
      <c r="E263" s="16">
        <f>SUMIF(tdiario[CUENTA],tbal[[#This Row],[CUENTA]],tdiario[DEBE])</f>
        <v>0</v>
      </c>
      <c r="F263" s="17">
        <f>SUMIF(tdiario[CUENTA],tbal[[#This Row],[CUENTA]],tdiario[HABER])</f>
        <v>0</v>
      </c>
      <c r="G263" s="16">
        <f>IF(tbal[[#This Row],[DEBE]]-tbal[[#This Row],[HABER]]&gt;0,tbal[[#This Row],[DEBE]]-tbal[[#This Row],[HABER]],0)</f>
        <v>0</v>
      </c>
      <c r="H263" s="18">
        <f>IF(tbal[[#This Row],[HABER]]-tbal[[#This Row],[DEBE]]&gt;0,tbal[[#This Row],[HABER]]-tbal[[#This Row],[DEBE]],0)</f>
        <v>0</v>
      </c>
      <c r="I263" s="16">
        <f>IF((OR(tbal[[#This Row],[X]]=1,tbal[[#This Row],[X]]=2)),tbal[[#This Row],[DEUDOR]],0)</f>
        <v>0</v>
      </c>
      <c r="J263" s="18">
        <f>IF((OR(tbal[[#This Row],[X]]=2,tbal[[#This Row],[X]]=3)),tbal[[#This Row],[ACREEDOR]],0)</f>
        <v>0</v>
      </c>
      <c r="K263" s="16">
        <f>IF((OR(tbal[[#This Row],[X]]=3,tbal[[#This Row],[X]]=5)),tbal[[#This Row],[DEUDOR]],0)</f>
        <v>0</v>
      </c>
      <c r="L263" s="18">
        <f>IF((OR(tbal[[#This Row],[X]]=3,tbal[[#This Row],[X]]=4)),tbal[[#This Row],[ACREEDOR]],0)</f>
        <v>0</v>
      </c>
      <c r="M263" s="16">
        <f>IF((OR(tbal[[#This Row],[X]]=0,tbal[[#This Row],[X]]=6)),tbal[[#This Row],[DEUDOR]],0)</f>
        <v>0</v>
      </c>
      <c r="N263" s="18">
        <f>IF((OR(tbal[[#This Row],[X]]=0,tbal[[#This Row],[X]]=5)),tbal[[#This Row],[ACREEDOR]],0)</f>
        <v>0</v>
      </c>
    </row>
    <row r="264" spans="1:14" hidden="1" x14ac:dyDescent="0.3">
      <c r="A264" s="14">
        <f>+'PLAN DE CUENTAS'!A264</f>
        <v>0</v>
      </c>
      <c r="B264" s="13">
        <f>+'PLAN DE CUENTAS'!B264</f>
        <v>0</v>
      </c>
      <c r="C264" s="13">
        <f>+'PLAN DE CUENTAS'!C264</f>
        <v>0</v>
      </c>
      <c r="D264" t="str">
        <f>IF(tbal[[#This Row],[DEBE]]+tbal[[#This Row],[HABER]]=0,"","X")</f>
        <v/>
      </c>
      <c r="E264" s="16">
        <f>SUMIF(tdiario[CUENTA],tbal[[#This Row],[CUENTA]],tdiario[DEBE])</f>
        <v>0</v>
      </c>
      <c r="F264" s="17">
        <f>SUMIF(tdiario[CUENTA],tbal[[#This Row],[CUENTA]],tdiario[HABER])</f>
        <v>0</v>
      </c>
      <c r="G264" s="16">
        <f>IF(tbal[[#This Row],[DEBE]]-tbal[[#This Row],[HABER]]&gt;0,tbal[[#This Row],[DEBE]]-tbal[[#This Row],[HABER]],0)</f>
        <v>0</v>
      </c>
      <c r="H264" s="18">
        <f>IF(tbal[[#This Row],[HABER]]-tbal[[#This Row],[DEBE]]&gt;0,tbal[[#This Row],[HABER]]-tbal[[#This Row],[DEBE]],0)</f>
        <v>0</v>
      </c>
      <c r="I264" s="16">
        <f>IF((OR(tbal[[#This Row],[X]]=1,tbal[[#This Row],[X]]=2)),tbal[[#This Row],[DEUDOR]],0)</f>
        <v>0</v>
      </c>
      <c r="J264" s="18">
        <f>IF((OR(tbal[[#This Row],[X]]=2,tbal[[#This Row],[X]]=3)),tbal[[#This Row],[ACREEDOR]],0)</f>
        <v>0</v>
      </c>
      <c r="K264" s="16">
        <f>IF((OR(tbal[[#This Row],[X]]=3,tbal[[#This Row],[X]]=5)),tbal[[#This Row],[DEUDOR]],0)</f>
        <v>0</v>
      </c>
      <c r="L264" s="18">
        <f>IF((OR(tbal[[#This Row],[X]]=3,tbal[[#This Row],[X]]=4)),tbal[[#This Row],[ACREEDOR]],0)</f>
        <v>0</v>
      </c>
      <c r="M264" s="16">
        <f>IF((OR(tbal[[#This Row],[X]]=0,tbal[[#This Row],[X]]=6)),tbal[[#This Row],[DEUDOR]],0)</f>
        <v>0</v>
      </c>
      <c r="N264" s="18">
        <f>IF((OR(tbal[[#This Row],[X]]=0,tbal[[#This Row],[X]]=5)),tbal[[#This Row],[ACREEDOR]],0)</f>
        <v>0</v>
      </c>
    </row>
    <row r="265" spans="1:14" hidden="1" x14ac:dyDescent="0.3">
      <c r="A265" s="14">
        <f>+'PLAN DE CUENTAS'!A265</f>
        <v>0</v>
      </c>
      <c r="B265" s="13">
        <f>+'PLAN DE CUENTAS'!B265</f>
        <v>0</v>
      </c>
      <c r="C265" s="13">
        <f>+'PLAN DE CUENTAS'!C265</f>
        <v>0</v>
      </c>
      <c r="D265" t="str">
        <f>IF(tbal[[#This Row],[DEBE]]+tbal[[#This Row],[HABER]]=0,"","X")</f>
        <v/>
      </c>
      <c r="E265" s="16">
        <f>SUMIF(tdiario[CUENTA],tbal[[#This Row],[CUENTA]],tdiario[DEBE])</f>
        <v>0</v>
      </c>
      <c r="F265" s="17">
        <f>SUMIF(tdiario[CUENTA],tbal[[#This Row],[CUENTA]],tdiario[HABER])</f>
        <v>0</v>
      </c>
      <c r="G265" s="16">
        <f>IF(tbal[[#This Row],[DEBE]]-tbal[[#This Row],[HABER]]&gt;0,tbal[[#This Row],[DEBE]]-tbal[[#This Row],[HABER]],0)</f>
        <v>0</v>
      </c>
      <c r="H265" s="18">
        <f>IF(tbal[[#This Row],[HABER]]-tbal[[#This Row],[DEBE]]&gt;0,tbal[[#This Row],[HABER]]-tbal[[#This Row],[DEBE]],0)</f>
        <v>0</v>
      </c>
      <c r="I265" s="16">
        <f>IF((OR(tbal[[#This Row],[X]]=1,tbal[[#This Row],[X]]=2)),tbal[[#This Row],[DEUDOR]],0)</f>
        <v>0</v>
      </c>
      <c r="J265" s="18">
        <f>IF((OR(tbal[[#This Row],[X]]=2,tbal[[#This Row],[X]]=3)),tbal[[#This Row],[ACREEDOR]],0)</f>
        <v>0</v>
      </c>
      <c r="K265" s="16">
        <f>IF((OR(tbal[[#This Row],[X]]=3,tbal[[#This Row],[X]]=5)),tbal[[#This Row],[DEUDOR]],0)</f>
        <v>0</v>
      </c>
      <c r="L265" s="18">
        <f>IF((OR(tbal[[#This Row],[X]]=3,tbal[[#This Row],[X]]=4)),tbal[[#This Row],[ACREEDOR]],0)</f>
        <v>0</v>
      </c>
      <c r="M265" s="16">
        <f>IF((OR(tbal[[#This Row],[X]]=0,tbal[[#This Row],[X]]=6)),tbal[[#This Row],[DEUDOR]],0)</f>
        <v>0</v>
      </c>
      <c r="N265" s="18">
        <f>IF((OR(tbal[[#This Row],[X]]=0,tbal[[#This Row],[X]]=5)),tbal[[#This Row],[ACREEDOR]],0)</f>
        <v>0</v>
      </c>
    </row>
    <row r="266" spans="1:14" hidden="1" x14ac:dyDescent="0.3">
      <c r="A266" s="14">
        <f>+'PLAN DE CUENTAS'!A266</f>
        <v>0</v>
      </c>
      <c r="B266" s="13">
        <f>+'PLAN DE CUENTAS'!B266</f>
        <v>0</v>
      </c>
      <c r="C266" s="13">
        <f>+'PLAN DE CUENTAS'!C266</f>
        <v>0</v>
      </c>
      <c r="D266" t="str">
        <f>IF(tbal[[#This Row],[DEBE]]+tbal[[#This Row],[HABER]]=0,"","X")</f>
        <v/>
      </c>
      <c r="E266" s="16">
        <f>SUMIF(tdiario[CUENTA],tbal[[#This Row],[CUENTA]],tdiario[DEBE])</f>
        <v>0</v>
      </c>
      <c r="F266" s="17">
        <f>SUMIF(tdiario[CUENTA],tbal[[#This Row],[CUENTA]],tdiario[HABER])</f>
        <v>0</v>
      </c>
      <c r="G266" s="16">
        <f>IF(tbal[[#This Row],[DEBE]]-tbal[[#This Row],[HABER]]&gt;0,tbal[[#This Row],[DEBE]]-tbal[[#This Row],[HABER]],0)</f>
        <v>0</v>
      </c>
      <c r="H266" s="18">
        <f>IF(tbal[[#This Row],[HABER]]-tbal[[#This Row],[DEBE]]&gt;0,tbal[[#This Row],[HABER]]-tbal[[#This Row],[DEBE]],0)</f>
        <v>0</v>
      </c>
      <c r="I266" s="16">
        <f>IF((OR(tbal[[#This Row],[X]]=1,tbal[[#This Row],[X]]=2)),tbal[[#This Row],[DEUDOR]],0)</f>
        <v>0</v>
      </c>
      <c r="J266" s="18">
        <f>IF((OR(tbal[[#This Row],[X]]=2,tbal[[#This Row],[X]]=3)),tbal[[#This Row],[ACREEDOR]],0)</f>
        <v>0</v>
      </c>
      <c r="K266" s="16">
        <f>IF((OR(tbal[[#This Row],[X]]=3,tbal[[#This Row],[X]]=5)),tbal[[#This Row],[DEUDOR]],0)</f>
        <v>0</v>
      </c>
      <c r="L266" s="18">
        <f>IF((OR(tbal[[#This Row],[X]]=3,tbal[[#This Row],[X]]=4)),tbal[[#This Row],[ACREEDOR]],0)</f>
        <v>0</v>
      </c>
      <c r="M266" s="16">
        <f>IF((OR(tbal[[#This Row],[X]]=0,tbal[[#This Row],[X]]=6)),tbal[[#This Row],[DEUDOR]],0)</f>
        <v>0</v>
      </c>
      <c r="N266" s="18">
        <f>IF((OR(tbal[[#This Row],[X]]=0,tbal[[#This Row],[X]]=5)),tbal[[#This Row],[ACREEDOR]],0)</f>
        <v>0</v>
      </c>
    </row>
    <row r="267" spans="1:14" ht="46.5" hidden="1" customHeight="1" x14ac:dyDescent="0.3">
      <c r="A267" s="14">
        <f>+'PLAN DE CUENTAS'!A267</f>
        <v>0</v>
      </c>
      <c r="B267" s="13">
        <f>+'PLAN DE CUENTAS'!B267</f>
        <v>0</v>
      </c>
      <c r="C267" s="13">
        <f>+'PLAN DE CUENTAS'!C267</f>
        <v>0</v>
      </c>
      <c r="D267" t="str">
        <f>IF(tbal[[#This Row],[DEBE]]+tbal[[#This Row],[HABER]]=0,"","X")</f>
        <v/>
      </c>
      <c r="E267" s="16">
        <f>SUMIF(tdiario[CUENTA],tbal[[#This Row],[CUENTA]],tdiario[DEBE])</f>
        <v>0</v>
      </c>
      <c r="F267" s="17">
        <f>SUMIF(tdiario[CUENTA],tbal[[#This Row],[CUENTA]],tdiario[HABER])</f>
        <v>0</v>
      </c>
      <c r="G267" s="16">
        <f>IF(tbal[[#This Row],[DEBE]]-tbal[[#This Row],[HABER]]&gt;0,tbal[[#This Row],[DEBE]]-tbal[[#This Row],[HABER]],0)</f>
        <v>0</v>
      </c>
      <c r="H267" s="18">
        <f>IF(tbal[[#This Row],[HABER]]-tbal[[#This Row],[DEBE]]&gt;0,tbal[[#This Row],[HABER]]-tbal[[#This Row],[DEBE]],0)</f>
        <v>0</v>
      </c>
      <c r="I267" s="16">
        <f>IF((OR(tbal[[#This Row],[X]]=1,tbal[[#This Row],[X]]=2)),tbal[[#This Row],[DEUDOR]],0)</f>
        <v>0</v>
      </c>
      <c r="J267" s="18">
        <f>IF((OR(tbal[[#This Row],[X]]=2,tbal[[#This Row],[X]]=3)),tbal[[#This Row],[ACREEDOR]],0)</f>
        <v>0</v>
      </c>
      <c r="K267" s="16">
        <f>IF((OR(tbal[[#This Row],[X]]=3,tbal[[#This Row],[X]]=5)),tbal[[#This Row],[DEUDOR]],0)</f>
        <v>0</v>
      </c>
      <c r="L267" s="18">
        <f>IF((OR(tbal[[#This Row],[X]]=3,tbal[[#This Row],[X]]=4)),tbal[[#This Row],[ACREEDOR]],0)</f>
        <v>0</v>
      </c>
      <c r="M267" s="16">
        <f>IF((OR(tbal[[#This Row],[X]]=0,tbal[[#This Row],[X]]=6)),tbal[[#This Row],[DEUDOR]],0)</f>
        <v>0</v>
      </c>
      <c r="N267" s="18">
        <f>IF((OR(tbal[[#This Row],[X]]=0,tbal[[#This Row],[X]]=5)),tbal[[#This Row],[ACREEDOR]],0)</f>
        <v>0</v>
      </c>
    </row>
    <row r="268" spans="1:14" ht="12" hidden="1" customHeight="1" x14ac:dyDescent="0.3">
      <c r="A268" s="14">
        <f>+'PLAN DE CUENTAS'!A268</f>
        <v>0</v>
      </c>
      <c r="B268" s="13">
        <f>+'PLAN DE CUENTAS'!B268</f>
        <v>0</v>
      </c>
      <c r="C268" s="13">
        <f>+'PLAN DE CUENTAS'!C268</f>
        <v>0</v>
      </c>
      <c r="D268" t="str">
        <f>IF(tbal[[#This Row],[DEBE]]+tbal[[#This Row],[HABER]]=0,"","X")</f>
        <v/>
      </c>
      <c r="E268" s="16">
        <f>SUMIF(tdiario[CUENTA],tbal[[#This Row],[CUENTA]],tdiario[DEBE])</f>
        <v>0</v>
      </c>
      <c r="F268" s="17">
        <f>SUMIF(tdiario[CUENTA],tbal[[#This Row],[CUENTA]],tdiario[HABER])</f>
        <v>0</v>
      </c>
      <c r="G268" s="16">
        <f>IF(tbal[[#This Row],[DEBE]]-tbal[[#This Row],[HABER]]&gt;0,tbal[[#This Row],[DEBE]]-tbal[[#This Row],[HABER]],0)</f>
        <v>0</v>
      </c>
      <c r="H268" s="18">
        <f>IF(tbal[[#This Row],[HABER]]-tbal[[#This Row],[DEBE]]&gt;0,tbal[[#This Row],[HABER]]-tbal[[#This Row],[DEBE]],0)</f>
        <v>0</v>
      </c>
      <c r="I268" s="16">
        <f>IF((OR(tbal[[#This Row],[X]]=1,tbal[[#This Row],[X]]=2)),tbal[[#This Row],[DEUDOR]],0)</f>
        <v>0</v>
      </c>
      <c r="J268" s="18">
        <f>IF((OR(tbal[[#This Row],[X]]=2,tbal[[#This Row],[X]]=3)),tbal[[#This Row],[ACREEDOR]],0)</f>
        <v>0</v>
      </c>
      <c r="K268" s="16">
        <f>IF((OR(tbal[[#This Row],[X]]=3,tbal[[#This Row],[X]]=5)),tbal[[#This Row],[DEUDOR]],0)</f>
        <v>0</v>
      </c>
      <c r="L268" s="18">
        <f>IF((OR(tbal[[#This Row],[X]]=3,tbal[[#This Row],[X]]=4)),tbal[[#This Row],[ACREEDOR]],0)</f>
        <v>0</v>
      </c>
      <c r="M268" s="16">
        <f>IF((OR(tbal[[#This Row],[X]]=0,tbal[[#This Row],[X]]=6)),tbal[[#This Row],[DEUDOR]],0)</f>
        <v>0</v>
      </c>
      <c r="N268" s="18">
        <f>IF((OR(tbal[[#This Row],[X]]=0,tbal[[#This Row],[X]]=5)),tbal[[#This Row],[ACREEDOR]],0)</f>
        <v>0</v>
      </c>
    </row>
    <row r="269" spans="1:14" hidden="1" x14ac:dyDescent="0.3">
      <c r="A269" s="14">
        <f>+'PLAN DE CUENTAS'!A269</f>
        <v>0</v>
      </c>
      <c r="B269" s="13">
        <f>+'PLAN DE CUENTAS'!B269</f>
        <v>0</v>
      </c>
      <c r="C269" s="13">
        <f>+'PLAN DE CUENTAS'!C269</f>
        <v>0</v>
      </c>
      <c r="D269" t="str">
        <f>IF(tbal[[#This Row],[DEBE]]+tbal[[#This Row],[HABER]]=0,"","X")</f>
        <v/>
      </c>
      <c r="E269" s="16">
        <f>SUMIF(tdiario[CUENTA],tbal[[#This Row],[CUENTA]],tdiario[DEBE])</f>
        <v>0</v>
      </c>
      <c r="F269" s="17">
        <f>SUMIF(tdiario[CUENTA],tbal[[#This Row],[CUENTA]],tdiario[HABER])</f>
        <v>0</v>
      </c>
      <c r="G269" s="16">
        <f>IF(tbal[[#This Row],[DEBE]]-tbal[[#This Row],[HABER]]&gt;0,tbal[[#This Row],[DEBE]]-tbal[[#This Row],[HABER]],0)</f>
        <v>0</v>
      </c>
      <c r="H269" s="18">
        <f>IF(tbal[[#This Row],[HABER]]-tbal[[#This Row],[DEBE]]&gt;0,tbal[[#This Row],[HABER]]-tbal[[#This Row],[DEBE]],0)</f>
        <v>0</v>
      </c>
      <c r="I269" s="16">
        <f>IF((OR(tbal[[#This Row],[X]]=1,tbal[[#This Row],[X]]=2)),tbal[[#This Row],[DEUDOR]],0)</f>
        <v>0</v>
      </c>
      <c r="J269" s="18">
        <f>IF((OR(tbal[[#This Row],[X]]=2,tbal[[#This Row],[X]]=3)),tbal[[#This Row],[ACREEDOR]],0)</f>
        <v>0</v>
      </c>
      <c r="K269" s="16">
        <f>IF((OR(tbal[[#This Row],[X]]=3,tbal[[#This Row],[X]]=5)),tbal[[#This Row],[DEUDOR]],0)</f>
        <v>0</v>
      </c>
      <c r="L269" s="18">
        <f>IF((OR(tbal[[#This Row],[X]]=3,tbal[[#This Row],[X]]=4)),tbal[[#This Row],[ACREEDOR]],0)</f>
        <v>0</v>
      </c>
      <c r="M269" s="16">
        <f>IF((OR(tbal[[#This Row],[X]]=0,tbal[[#This Row],[X]]=6)),tbal[[#This Row],[DEUDOR]],0)</f>
        <v>0</v>
      </c>
      <c r="N269" s="18">
        <f>IF((OR(tbal[[#This Row],[X]]=0,tbal[[#This Row],[X]]=5)),tbal[[#This Row],[ACREEDOR]],0)</f>
        <v>0</v>
      </c>
    </row>
    <row r="270" spans="1:14" hidden="1" x14ac:dyDescent="0.3">
      <c r="A270" s="14">
        <f>+'PLAN DE CUENTAS'!A270</f>
        <v>0</v>
      </c>
      <c r="B270" s="13">
        <f>+'PLAN DE CUENTAS'!B270</f>
        <v>0</v>
      </c>
      <c r="C270" s="13">
        <f>+'PLAN DE CUENTAS'!C270</f>
        <v>0</v>
      </c>
      <c r="D270" t="str">
        <f>IF(tbal[[#This Row],[DEBE]]+tbal[[#This Row],[HABER]]=0,"","X")</f>
        <v/>
      </c>
      <c r="E270" s="16">
        <f>SUMIF(tdiario[CUENTA],tbal[[#This Row],[CUENTA]],tdiario[DEBE])</f>
        <v>0</v>
      </c>
      <c r="F270" s="17">
        <f>SUMIF(tdiario[CUENTA],tbal[[#This Row],[CUENTA]],tdiario[HABER])</f>
        <v>0</v>
      </c>
      <c r="G270" s="16">
        <f>IF(tbal[[#This Row],[DEBE]]-tbal[[#This Row],[HABER]]&gt;0,tbal[[#This Row],[DEBE]]-tbal[[#This Row],[HABER]],0)</f>
        <v>0</v>
      </c>
      <c r="H270" s="18">
        <f>IF(tbal[[#This Row],[HABER]]-tbal[[#This Row],[DEBE]]&gt;0,tbal[[#This Row],[HABER]]-tbal[[#This Row],[DEBE]],0)</f>
        <v>0</v>
      </c>
      <c r="I270" s="16">
        <f>IF((OR(tbal[[#This Row],[X]]=1,tbal[[#This Row],[X]]=2)),tbal[[#This Row],[DEUDOR]],0)</f>
        <v>0</v>
      </c>
      <c r="J270" s="18">
        <f>IF((OR(tbal[[#This Row],[X]]=2,tbal[[#This Row],[X]]=3)),tbal[[#This Row],[ACREEDOR]],0)</f>
        <v>0</v>
      </c>
      <c r="K270" s="16">
        <f>IF((OR(tbal[[#This Row],[X]]=3,tbal[[#This Row],[X]]=5)),tbal[[#This Row],[DEUDOR]],0)</f>
        <v>0</v>
      </c>
      <c r="L270" s="18">
        <f>IF((OR(tbal[[#This Row],[X]]=3,tbal[[#This Row],[X]]=4)),tbal[[#This Row],[ACREEDOR]],0)</f>
        <v>0</v>
      </c>
      <c r="M270" s="16">
        <f>IF((OR(tbal[[#This Row],[X]]=0,tbal[[#This Row],[X]]=6)),tbal[[#This Row],[DEUDOR]],0)</f>
        <v>0</v>
      </c>
      <c r="N270" s="18">
        <f>IF((OR(tbal[[#This Row],[X]]=0,tbal[[#This Row],[X]]=5)),tbal[[#This Row],[ACREEDOR]],0)</f>
        <v>0</v>
      </c>
    </row>
    <row r="271" spans="1:14" hidden="1" x14ac:dyDescent="0.3">
      <c r="A271" s="14">
        <f>+'PLAN DE CUENTAS'!A271</f>
        <v>0</v>
      </c>
      <c r="B271" s="13">
        <f>+'PLAN DE CUENTAS'!B271</f>
        <v>0</v>
      </c>
      <c r="C271" s="13">
        <f>+'PLAN DE CUENTAS'!C271</f>
        <v>0</v>
      </c>
      <c r="D271" t="str">
        <f>IF(tbal[[#This Row],[DEBE]]+tbal[[#This Row],[HABER]]=0,"","X")</f>
        <v/>
      </c>
      <c r="E271" s="16">
        <f>SUMIF(tdiario[CUENTA],tbal[[#This Row],[CUENTA]],tdiario[DEBE])</f>
        <v>0</v>
      </c>
      <c r="F271" s="17">
        <f>SUMIF(tdiario[CUENTA],tbal[[#This Row],[CUENTA]],tdiario[HABER])</f>
        <v>0</v>
      </c>
      <c r="G271" s="16">
        <f>IF(tbal[[#This Row],[DEBE]]-tbal[[#This Row],[HABER]]&gt;0,tbal[[#This Row],[DEBE]]-tbal[[#This Row],[HABER]],0)</f>
        <v>0</v>
      </c>
      <c r="H271" s="18">
        <f>IF(tbal[[#This Row],[HABER]]-tbal[[#This Row],[DEBE]]&gt;0,tbal[[#This Row],[HABER]]-tbal[[#This Row],[DEBE]],0)</f>
        <v>0</v>
      </c>
      <c r="I271" s="16">
        <f>IF((OR(tbal[[#This Row],[X]]=1,tbal[[#This Row],[X]]=2)),tbal[[#This Row],[DEUDOR]],0)</f>
        <v>0</v>
      </c>
      <c r="J271" s="18">
        <f>IF((OR(tbal[[#This Row],[X]]=2,tbal[[#This Row],[X]]=3)),tbal[[#This Row],[ACREEDOR]],0)</f>
        <v>0</v>
      </c>
      <c r="K271" s="16">
        <f>IF((OR(tbal[[#This Row],[X]]=3,tbal[[#This Row],[X]]=5)),tbal[[#This Row],[DEUDOR]],0)</f>
        <v>0</v>
      </c>
      <c r="L271" s="18">
        <f>IF((OR(tbal[[#This Row],[X]]=3,tbal[[#This Row],[X]]=4)),tbal[[#This Row],[ACREEDOR]],0)</f>
        <v>0</v>
      </c>
      <c r="M271" s="16">
        <f>IF((OR(tbal[[#This Row],[X]]=0,tbal[[#This Row],[X]]=6)),tbal[[#This Row],[DEUDOR]],0)</f>
        <v>0</v>
      </c>
      <c r="N271" s="18">
        <f>IF((OR(tbal[[#This Row],[X]]=0,tbal[[#This Row],[X]]=5)),tbal[[#This Row],[ACREEDOR]],0)</f>
        <v>0</v>
      </c>
    </row>
    <row r="272" spans="1:14" hidden="1" x14ac:dyDescent="0.3">
      <c r="A272" s="14">
        <f>+'PLAN DE CUENTAS'!A272</f>
        <v>0</v>
      </c>
      <c r="B272" s="13">
        <f>+'PLAN DE CUENTAS'!B272</f>
        <v>0</v>
      </c>
      <c r="C272" s="13">
        <f>+'PLAN DE CUENTAS'!C272</f>
        <v>0</v>
      </c>
      <c r="D272" t="str">
        <f>IF(tbal[[#This Row],[DEBE]]+tbal[[#This Row],[HABER]]=0,"","X")</f>
        <v/>
      </c>
      <c r="E272" s="16">
        <f>SUMIF(tdiario[CUENTA],tbal[[#This Row],[CUENTA]],tdiario[DEBE])</f>
        <v>0</v>
      </c>
      <c r="F272" s="17">
        <f>SUMIF(tdiario[CUENTA],tbal[[#This Row],[CUENTA]],tdiario[HABER])</f>
        <v>0</v>
      </c>
      <c r="G272" s="16">
        <f>IF(tbal[[#This Row],[DEBE]]-tbal[[#This Row],[HABER]]&gt;0,tbal[[#This Row],[DEBE]]-tbal[[#This Row],[HABER]],0)</f>
        <v>0</v>
      </c>
      <c r="H272" s="18">
        <f>IF(tbal[[#This Row],[HABER]]-tbal[[#This Row],[DEBE]]&gt;0,tbal[[#This Row],[HABER]]-tbal[[#This Row],[DEBE]],0)</f>
        <v>0</v>
      </c>
      <c r="I272" s="16">
        <f>IF((OR(tbal[[#This Row],[X]]=1,tbal[[#This Row],[X]]=2)),tbal[[#This Row],[DEUDOR]],0)</f>
        <v>0</v>
      </c>
      <c r="J272" s="18">
        <f>IF((OR(tbal[[#This Row],[X]]=2,tbal[[#This Row],[X]]=3)),tbal[[#This Row],[ACREEDOR]],0)</f>
        <v>0</v>
      </c>
      <c r="K272" s="16">
        <f>IF((OR(tbal[[#This Row],[X]]=3,tbal[[#This Row],[X]]=5)),tbal[[#This Row],[DEUDOR]],0)</f>
        <v>0</v>
      </c>
      <c r="L272" s="18">
        <f>IF((OR(tbal[[#This Row],[X]]=3,tbal[[#This Row],[X]]=4)),tbal[[#This Row],[ACREEDOR]],0)</f>
        <v>0</v>
      </c>
      <c r="M272" s="16">
        <f>IF((OR(tbal[[#This Row],[X]]=0,tbal[[#This Row],[X]]=6)),tbal[[#This Row],[DEUDOR]],0)</f>
        <v>0</v>
      </c>
      <c r="N272" s="18">
        <f>IF((OR(tbal[[#This Row],[X]]=0,tbal[[#This Row],[X]]=5)),tbal[[#This Row],[ACREEDOR]],0)</f>
        <v>0</v>
      </c>
    </row>
    <row r="273" spans="1:14" hidden="1" x14ac:dyDescent="0.3">
      <c r="A273" s="14">
        <f>+'PLAN DE CUENTAS'!A273</f>
        <v>0</v>
      </c>
      <c r="B273" s="13">
        <f>+'PLAN DE CUENTAS'!B273</f>
        <v>0</v>
      </c>
      <c r="C273" s="13">
        <f>+'PLAN DE CUENTAS'!C273</f>
        <v>0</v>
      </c>
      <c r="D273" t="str">
        <f>IF(tbal[[#This Row],[DEBE]]+tbal[[#This Row],[HABER]]=0,"","X")</f>
        <v/>
      </c>
      <c r="E273" s="16">
        <f>SUMIF(tdiario[CUENTA],tbal[[#This Row],[CUENTA]],tdiario[DEBE])</f>
        <v>0</v>
      </c>
      <c r="F273" s="17">
        <f>SUMIF(tdiario[CUENTA],tbal[[#This Row],[CUENTA]],tdiario[HABER])</f>
        <v>0</v>
      </c>
      <c r="G273" s="16">
        <f>IF(tbal[[#This Row],[DEBE]]-tbal[[#This Row],[HABER]]&gt;0,tbal[[#This Row],[DEBE]]-tbal[[#This Row],[HABER]],0)</f>
        <v>0</v>
      </c>
      <c r="H273" s="18">
        <f>IF(tbal[[#This Row],[HABER]]-tbal[[#This Row],[DEBE]]&gt;0,tbal[[#This Row],[HABER]]-tbal[[#This Row],[DEBE]],0)</f>
        <v>0</v>
      </c>
      <c r="I273" s="16">
        <f>IF((OR(tbal[[#This Row],[X]]=1,tbal[[#This Row],[X]]=2)),tbal[[#This Row],[DEUDOR]],0)</f>
        <v>0</v>
      </c>
      <c r="J273" s="18">
        <f>IF((OR(tbal[[#This Row],[X]]=2,tbal[[#This Row],[X]]=3)),tbal[[#This Row],[ACREEDOR]],0)</f>
        <v>0</v>
      </c>
      <c r="K273" s="16">
        <f>IF((OR(tbal[[#This Row],[X]]=3,tbal[[#This Row],[X]]=5)),tbal[[#This Row],[DEUDOR]],0)</f>
        <v>0</v>
      </c>
      <c r="L273" s="18">
        <f>IF((OR(tbal[[#This Row],[X]]=3,tbal[[#This Row],[X]]=4)),tbal[[#This Row],[ACREEDOR]],0)</f>
        <v>0</v>
      </c>
      <c r="M273" s="16">
        <f>IF((OR(tbal[[#This Row],[X]]=0,tbal[[#This Row],[X]]=6)),tbal[[#This Row],[DEUDOR]],0)</f>
        <v>0</v>
      </c>
      <c r="N273" s="18">
        <f>IF((OR(tbal[[#This Row],[X]]=0,tbal[[#This Row],[X]]=5)),tbal[[#This Row],[ACREEDOR]],0)</f>
        <v>0</v>
      </c>
    </row>
    <row r="274" spans="1:14" hidden="1" x14ac:dyDescent="0.3">
      <c r="A274" s="14">
        <f>+'PLAN DE CUENTAS'!A274</f>
        <v>0</v>
      </c>
      <c r="B274" s="13">
        <f>+'PLAN DE CUENTAS'!B274</f>
        <v>0</v>
      </c>
      <c r="C274" s="13">
        <f>+'PLAN DE CUENTAS'!C274</f>
        <v>0</v>
      </c>
      <c r="D274" t="str">
        <f>IF(tbal[[#This Row],[DEBE]]+tbal[[#This Row],[HABER]]=0,"","X")</f>
        <v/>
      </c>
      <c r="E274" s="16">
        <f>SUMIF(tdiario[CUENTA],tbal[[#This Row],[CUENTA]],tdiario[DEBE])</f>
        <v>0</v>
      </c>
      <c r="F274" s="17">
        <f>SUMIF(tdiario[CUENTA],tbal[[#This Row],[CUENTA]],tdiario[HABER])</f>
        <v>0</v>
      </c>
      <c r="G274" s="16">
        <f>IF(tbal[[#This Row],[DEBE]]-tbal[[#This Row],[HABER]]&gt;0,tbal[[#This Row],[DEBE]]-tbal[[#This Row],[HABER]],0)</f>
        <v>0</v>
      </c>
      <c r="H274" s="18">
        <f>IF(tbal[[#This Row],[HABER]]-tbal[[#This Row],[DEBE]]&gt;0,tbal[[#This Row],[HABER]]-tbal[[#This Row],[DEBE]],0)</f>
        <v>0</v>
      </c>
      <c r="I274" s="16">
        <f>IF((OR(tbal[[#This Row],[X]]=1,tbal[[#This Row],[X]]=2)),tbal[[#This Row],[DEUDOR]],0)</f>
        <v>0</v>
      </c>
      <c r="J274" s="18">
        <f>IF((OR(tbal[[#This Row],[X]]=2,tbal[[#This Row],[X]]=3)),tbal[[#This Row],[ACREEDOR]],0)</f>
        <v>0</v>
      </c>
      <c r="K274" s="16">
        <f>IF((OR(tbal[[#This Row],[X]]=3,tbal[[#This Row],[X]]=5)),tbal[[#This Row],[DEUDOR]],0)</f>
        <v>0</v>
      </c>
      <c r="L274" s="18">
        <f>IF((OR(tbal[[#This Row],[X]]=3,tbal[[#This Row],[X]]=4)),tbal[[#This Row],[ACREEDOR]],0)</f>
        <v>0</v>
      </c>
      <c r="M274" s="16">
        <f>IF((OR(tbal[[#This Row],[X]]=0,tbal[[#This Row],[X]]=6)),tbal[[#This Row],[DEUDOR]],0)</f>
        <v>0</v>
      </c>
      <c r="N274" s="18">
        <f>IF((OR(tbal[[#This Row],[X]]=0,tbal[[#This Row],[X]]=5)),tbal[[#This Row],[ACREEDOR]],0)</f>
        <v>0</v>
      </c>
    </row>
    <row r="275" spans="1:14" hidden="1" x14ac:dyDescent="0.3">
      <c r="A275" s="14">
        <f>+'PLAN DE CUENTAS'!A275</f>
        <v>0</v>
      </c>
      <c r="B275" s="13">
        <f>+'PLAN DE CUENTAS'!B275</f>
        <v>0</v>
      </c>
      <c r="C275" s="13">
        <f>+'PLAN DE CUENTAS'!C275</f>
        <v>0</v>
      </c>
      <c r="D275" t="str">
        <f>IF(tbal[[#This Row],[DEBE]]+tbal[[#This Row],[HABER]]=0,"","X")</f>
        <v/>
      </c>
      <c r="E275" s="16">
        <f>SUMIF(tdiario[CUENTA],tbal[[#This Row],[CUENTA]],tdiario[DEBE])</f>
        <v>0</v>
      </c>
      <c r="F275" s="17">
        <f>SUMIF(tdiario[CUENTA],tbal[[#This Row],[CUENTA]],tdiario[HABER])</f>
        <v>0</v>
      </c>
      <c r="G275" s="16">
        <f>IF(tbal[[#This Row],[DEBE]]-tbal[[#This Row],[HABER]]&gt;0,tbal[[#This Row],[DEBE]]-tbal[[#This Row],[HABER]],0)</f>
        <v>0</v>
      </c>
      <c r="H275" s="18">
        <f>IF(tbal[[#This Row],[HABER]]-tbal[[#This Row],[DEBE]]&gt;0,tbal[[#This Row],[HABER]]-tbal[[#This Row],[DEBE]],0)</f>
        <v>0</v>
      </c>
      <c r="I275" s="16">
        <f>IF((OR(tbal[[#This Row],[X]]=1,tbal[[#This Row],[X]]=2)),tbal[[#This Row],[DEUDOR]],0)</f>
        <v>0</v>
      </c>
      <c r="J275" s="18">
        <f>IF((OR(tbal[[#This Row],[X]]=2,tbal[[#This Row],[X]]=3)),tbal[[#This Row],[ACREEDOR]],0)</f>
        <v>0</v>
      </c>
      <c r="K275" s="16">
        <f>IF((OR(tbal[[#This Row],[X]]=3,tbal[[#This Row],[X]]=5)),tbal[[#This Row],[DEUDOR]],0)</f>
        <v>0</v>
      </c>
      <c r="L275" s="18">
        <f>IF((OR(tbal[[#This Row],[X]]=3,tbal[[#This Row],[X]]=4)),tbal[[#This Row],[ACREEDOR]],0)</f>
        <v>0</v>
      </c>
      <c r="M275" s="16">
        <f>IF((OR(tbal[[#This Row],[X]]=0,tbal[[#This Row],[X]]=6)),tbal[[#This Row],[DEUDOR]],0)</f>
        <v>0</v>
      </c>
      <c r="N275" s="18">
        <f>IF((OR(tbal[[#This Row],[X]]=0,tbal[[#This Row],[X]]=5)),tbal[[#This Row],[ACREEDOR]],0)</f>
        <v>0</v>
      </c>
    </row>
    <row r="276" spans="1:14" hidden="1" x14ac:dyDescent="0.3">
      <c r="A276" s="14">
        <f>+'PLAN DE CUENTAS'!A276</f>
        <v>0</v>
      </c>
      <c r="B276" s="13">
        <f>+'PLAN DE CUENTAS'!B276</f>
        <v>0</v>
      </c>
      <c r="C276" s="13">
        <f>+'PLAN DE CUENTAS'!C276</f>
        <v>0</v>
      </c>
      <c r="D276" t="str">
        <f>IF(tbal[[#This Row],[DEBE]]+tbal[[#This Row],[HABER]]=0,"","X")</f>
        <v/>
      </c>
      <c r="E276" s="16">
        <f>SUMIF(tdiario[CUENTA],tbal[[#This Row],[CUENTA]],tdiario[DEBE])</f>
        <v>0</v>
      </c>
      <c r="F276" s="17">
        <f>SUMIF(tdiario[CUENTA],tbal[[#This Row],[CUENTA]],tdiario[HABER])</f>
        <v>0</v>
      </c>
      <c r="G276" s="16">
        <f>IF(tbal[[#This Row],[DEBE]]-tbal[[#This Row],[HABER]]&gt;0,tbal[[#This Row],[DEBE]]-tbal[[#This Row],[HABER]],0)</f>
        <v>0</v>
      </c>
      <c r="H276" s="18">
        <f>IF(tbal[[#This Row],[HABER]]-tbal[[#This Row],[DEBE]]&gt;0,tbal[[#This Row],[HABER]]-tbal[[#This Row],[DEBE]],0)</f>
        <v>0</v>
      </c>
      <c r="I276" s="16">
        <f>IF((OR(tbal[[#This Row],[X]]=1,tbal[[#This Row],[X]]=2)),tbal[[#This Row],[DEUDOR]],0)</f>
        <v>0</v>
      </c>
      <c r="J276" s="18">
        <f>IF((OR(tbal[[#This Row],[X]]=2,tbal[[#This Row],[X]]=3)),tbal[[#This Row],[ACREEDOR]],0)</f>
        <v>0</v>
      </c>
      <c r="K276" s="16">
        <f>IF((OR(tbal[[#This Row],[X]]=3,tbal[[#This Row],[X]]=5)),tbal[[#This Row],[DEUDOR]],0)</f>
        <v>0</v>
      </c>
      <c r="L276" s="18">
        <f>IF((OR(tbal[[#This Row],[X]]=3,tbal[[#This Row],[X]]=4)),tbal[[#This Row],[ACREEDOR]],0)</f>
        <v>0</v>
      </c>
      <c r="M276" s="16">
        <f>IF((OR(tbal[[#This Row],[X]]=0,tbal[[#This Row],[X]]=6)),tbal[[#This Row],[DEUDOR]],0)</f>
        <v>0</v>
      </c>
      <c r="N276" s="18">
        <f>IF((OR(tbal[[#This Row],[X]]=0,tbal[[#This Row],[X]]=5)),tbal[[#This Row],[ACREEDOR]],0)</f>
        <v>0</v>
      </c>
    </row>
    <row r="277" spans="1:14" hidden="1" x14ac:dyDescent="0.3">
      <c r="A277" s="14">
        <f>+'PLAN DE CUENTAS'!A277</f>
        <v>0</v>
      </c>
      <c r="B277" s="13">
        <f>+'PLAN DE CUENTAS'!B277</f>
        <v>0</v>
      </c>
      <c r="C277" s="13">
        <f>+'PLAN DE CUENTAS'!C277</f>
        <v>0</v>
      </c>
      <c r="D277" t="str">
        <f>IF(tbal[[#This Row],[DEBE]]+tbal[[#This Row],[HABER]]=0,"","X")</f>
        <v/>
      </c>
      <c r="E277" s="16">
        <f>SUMIF(tdiario[CUENTA],tbal[[#This Row],[CUENTA]],tdiario[DEBE])</f>
        <v>0</v>
      </c>
      <c r="F277" s="17">
        <f>SUMIF(tdiario[CUENTA],tbal[[#This Row],[CUENTA]],tdiario[HABER])</f>
        <v>0</v>
      </c>
      <c r="G277" s="16">
        <f>IF(tbal[[#This Row],[DEBE]]-tbal[[#This Row],[HABER]]&gt;0,tbal[[#This Row],[DEBE]]-tbal[[#This Row],[HABER]],0)</f>
        <v>0</v>
      </c>
      <c r="H277" s="18">
        <f>IF(tbal[[#This Row],[HABER]]-tbal[[#This Row],[DEBE]]&gt;0,tbal[[#This Row],[HABER]]-tbal[[#This Row],[DEBE]],0)</f>
        <v>0</v>
      </c>
      <c r="I277" s="16">
        <f>IF((OR(tbal[[#This Row],[X]]=1,tbal[[#This Row],[X]]=2)),tbal[[#This Row],[DEUDOR]],0)</f>
        <v>0</v>
      </c>
      <c r="J277" s="18">
        <f>IF((OR(tbal[[#This Row],[X]]=2,tbal[[#This Row],[X]]=3)),tbal[[#This Row],[ACREEDOR]],0)</f>
        <v>0</v>
      </c>
      <c r="K277" s="16">
        <f>IF((OR(tbal[[#This Row],[X]]=3,tbal[[#This Row],[X]]=5)),tbal[[#This Row],[DEUDOR]],0)</f>
        <v>0</v>
      </c>
      <c r="L277" s="18">
        <f>IF((OR(tbal[[#This Row],[X]]=3,tbal[[#This Row],[X]]=4)),tbal[[#This Row],[ACREEDOR]],0)</f>
        <v>0</v>
      </c>
      <c r="M277" s="16">
        <f>IF((OR(tbal[[#This Row],[X]]=0,tbal[[#This Row],[X]]=6)),tbal[[#This Row],[DEUDOR]],0)</f>
        <v>0</v>
      </c>
      <c r="N277" s="18">
        <f>IF((OR(tbal[[#This Row],[X]]=0,tbal[[#This Row],[X]]=5)),tbal[[#This Row],[ACREEDOR]],0)</f>
        <v>0</v>
      </c>
    </row>
    <row r="278" spans="1:14" hidden="1" x14ac:dyDescent="0.3">
      <c r="A278" s="14">
        <f>+'PLAN DE CUENTAS'!A278</f>
        <v>0</v>
      </c>
      <c r="B278" s="13">
        <f>+'PLAN DE CUENTAS'!B278</f>
        <v>0</v>
      </c>
      <c r="C278" s="13">
        <f>+'PLAN DE CUENTAS'!C278</f>
        <v>0</v>
      </c>
      <c r="D278" t="str">
        <f>IF(tbal[[#This Row],[DEBE]]+tbal[[#This Row],[HABER]]=0,"","X")</f>
        <v/>
      </c>
      <c r="E278" s="16">
        <f>SUMIF(tdiario[CUENTA],tbal[[#This Row],[CUENTA]],tdiario[DEBE])</f>
        <v>0</v>
      </c>
      <c r="F278" s="17">
        <f>SUMIF(tdiario[CUENTA],tbal[[#This Row],[CUENTA]],tdiario[HABER])</f>
        <v>0</v>
      </c>
      <c r="G278" s="16">
        <f>IF(tbal[[#This Row],[DEBE]]-tbal[[#This Row],[HABER]]&gt;0,tbal[[#This Row],[DEBE]]-tbal[[#This Row],[HABER]],0)</f>
        <v>0</v>
      </c>
      <c r="H278" s="18">
        <f>IF(tbal[[#This Row],[HABER]]-tbal[[#This Row],[DEBE]]&gt;0,tbal[[#This Row],[HABER]]-tbal[[#This Row],[DEBE]],0)</f>
        <v>0</v>
      </c>
      <c r="I278" s="16">
        <f>IF((OR(tbal[[#This Row],[X]]=1,tbal[[#This Row],[X]]=2)),tbal[[#This Row],[DEUDOR]],0)</f>
        <v>0</v>
      </c>
      <c r="J278" s="18">
        <f>IF((OR(tbal[[#This Row],[X]]=2,tbal[[#This Row],[X]]=3)),tbal[[#This Row],[ACREEDOR]],0)</f>
        <v>0</v>
      </c>
      <c r="K278" s="16">
        <f>IF((OR(tbal[[#This Row],[X]]=3,tbal[[#This Row],[X]]=5)),tbal[[#This Row],[DEUDOR]],0)</f>
        <v>0</v>
      </c>
      <c r="L278" s="18">
        <f>IF((OR(tbal[[#This Row],[X]]=3,tbal[[#This Row],[X]]=4)),tbal[[#This Row],[ACREEDOR]],0)</f>
        <v>0</v>
      </c>
      <c r="M278" s="16">
        <f>IF((OR(tbal[[#This Row],[X]]=0,tbal[[#This Row],[X]]=6)),tbal[[#This Row],[DEUDOR]],0)</f>
        <v>0</v>
      </c>
      <c r="N278" s="18">
        <f>IF((OR(tbal[[#This Row],[X]]=0,tbal[[#This Row],[X]]=5)),tbal[[#This Row],[ACREEDOR]],0)</f>
        <v>0</v>
      </c>
    </row>
    <row r="279" spans="1:14" hidden="1" x14ac:dyDescent="0.3">
      <c r="A279" s="14">
        <f>+'PLAN DE CUENTAS'!A279</f>
        <v>0</v>
      </c>
      <c r="B279" s="13">
        <f>+'PLAN DE CUENTAS'!B279</f>
        <v>0</v>
      </c>
      <c r="C279" s="13">
        <f>+'PLAN DE CUENTAS'!C279</f>
        <v>0</v>
      </c>
      <c r="D279" t="str">
        <f>IF(tbal[[#This Row],[DEBE]]+tbal[[#This Row],[HABER]]=0,"","X")</f>
        <v/>
      </c>
      <c r="E279" s="16">
        <f>SUMIF(tdiario[CUENTA],tbal[[#This Row],[CUENTA]],tdiario[DEBE])</f>
        <v>0</v>
      </c>
      <c r="F279" s="17">
        <f>SUMIF(tdiario[CUENTA],tbal[[#This Row],[CUENTA]],tdiario[HABER])</f>
        <v>0</v>
      </c>
      <c r="G279" s="16">
        <f>IF(tbal[[#This Row],[DEBE]]-tbal[[#This Row],[HABER]]&gt;0,tbal[[#This Row],[DEBE]]-tbal[[#This Row],[HABER]],0)</f>
        <v>0</v>
      </c>
      <c r="H279" s="18">
        <f>IF(tbal[[#This Row],[HABER]]-tbal[[#This Row],[DEBE]]&gt;0,tbal[[#This Row],[HABER]]-tbal[[#This Row],[DEBE]],0)</f>
        <v>0</v>
      </c>
      <c r="I279" s="16">
        <f>IF((OR(tbal[[#This Row],[X]]=1,tbal[[#This Row],[X]]=2)),tbal[[#This Row],[DEUDOR]],0)</f>
        <v>0</v>
      </c>
      <c r="J279" s="18">
        <f>IF((OR(tbal[[#This Row],[X]]=2,tbal[[#This Row],[X]]=3)),tbal[[#This Row],[ACREEDOR]],0)</f>
        <v>0</v>
      </c>
      <c r="K279" s="16">
        <f>IF((OR(tbal[[#This Row],[X]]=3,tbal[[#This Row],[X]]=5)),tbal[[#This Row],[DEUDOR]],0)</f>
        <v>0</v>
      </c>
      <c r="L279" s="18">
        <f>IF((OR(tbal[[#This Row],[X]]=3,tbal[[#This Row],[X]]=4)),tbal[[#This Row],[ACREEDOR]],0)</f>
        <v>0</v>
      </c>
      <c r="M279" s="16">
        <f>IF((OR(tbal[[#This Row],[X]]=0,tbal[[#This Row],[X]]=6)),tbal[[#This Row],[DEUDOR]],0)</f>
        <v>0</v>
      </c>
      <c r="N279" s="18">
        <f>IF((OR(tbal[[#This Row],[X]]=0,tbal[[#This Row],[X]]=5)),tbal[[#This Row],[ACREEDOR]],0)</f>
        <v>0</v>
      </c>
    </row>
    <row r="280" spans="1:14" hidden="1" x14ac:dyDescent="0.3">
      <c r="A280" s="14">
        <f>+'PLAN DE CUENTAS'!A280</f>
        <v>0</v>
      </c>
      <c r="B280" s="13">
        <f>+'PLAN DE CUENTAS'!B280</f>
        <v>0</v>
      </c>
      <c r="C280" s="13">
        <f>+'PLAN DE CUENTAS'!C280</f>
        <v>0</v>
      </c>
      <c r="D280" t="str">
        <f>IF(tbal[[#This Row],[DEBE]]+tbal[[#This Row],[HABER]]=0,"","X")</f>
        <v/>
      </c>
      <c r="E280" s="16">
        <f>SUMIF(tdiario[CUENTA],tbal[[#This Row],[CUENTA]],tdiario[DEBE])</f>
        <v>0</v>
      </c>
      <c r="F280" s="17">
        <f>SUMIF(tdiario[CUENTA],tbal[[#This Row],[CUENTA]],tdiario[HABER])</f>
        <v>0</v>
      </c>
      <c r="G280" s="16">
        <f>IF(tbal[[#This Row],[DEBE]]-tbal[[#This Row],[HABER]]&gt;0,tbal[[#This Row],[DEBE]]-tbal[[#This Row],[HABER]],0)</f>
        <v>0</v>
      </c>
      <c r="H280" s="18">
        <f>IF(tbal[[#This Row],[HABER]]-tbal[[#This Row],[DEBE]]&gt;0,tbal[[#This Row],[HABER]]-tbal[[#This Row],[DEBE]],0)</f>
        <v>0</v>
      </c>
      <c r="I280" s="16">
        <f>IF((OR(tbal[[#This Row],[X]]=1,tbal[[#This Row],[X]]=2)),tbal[[#This Row],[DEUDOR]],0)</f>
        <v>0</v>
      </c>
      <c r="J280" s="18">
        <f>IF((OR(tbal[[#This Row],[X]]=2,tbal[[#This Row],[X]]=3)),tbal[[#This Row],[ACREEDOR]],0)</f>
        <v>0</v>
      </c>
      <c r="K280" s="16">
        <f>IF((OR(tbal[[#This Row],[X]]=3,tbal[[#This Row],[X]]=5)),tbal[[#This Row],[DEUDOR]],0)</f>
        <v>0</v>
      </c>
      <c r="L280" s="18">
        <f>IF((OR(tbal[[#This Row],[X]]=3,tbal[[#This Row],[X]]=4)),tbal[[#This Row],[ACREEDOR]],0)</f>
        <v>0</v>
      </c>
      <c r="M280" s="16">
        <f>IF((OR(tbal[[#This Row],[X]]=0,tbal[[#This Row],[X]]=6)),tbal[[#This Row],[DEUDOR]],0)</f>
        <v>0</v>
      </c>
      <c r="N280" s="18">
        <f>IF((OR(tbal[[#This Row],[X]]=0,tbal[[#This Row],[X]]=5)),tbal[[#This Row],[ACREEDOR]],0)</f>
        <v>0</v>
      </c>
    </row>
    <row r="281" spans="1:14" hidden="1" x14ac:dyDescent="0.3">
      <c r="A281" s="14">
        <f>+'PLAN DE CUENTAS'!A281</f>
        <v>0</v>
      </c>
      <c r="B281" s="13">
        <f>+'PLAN DE CUENTAS'!B281</f>
        <v>0</v>
      </c>
      <c r="C281" s="13">
        <f>+'PLAN DE CUENTAS'!C281</f>
        <v>0</v>
      </c>
      <c r="D281" t="str">
        <f>IF(tbal[[#This Row],[DEBE]]+tbal[[#This Row],[HABER]]=0,"","X")</f>
        <v/>
      </c>
      <c r="E281" s="16">
        <f>SUMIF(tdiario[CUENTA],tbal[[#This Row],[CUENTA]],tdiario[DEBE])</f>
        <v>0</v>
      </c>
      <c r="F281" s="17">
        <f>SUMIF(tdiario[CUENTA],tbal[[#This Row],[CUENTA]],tdiario[HABER])</f>
        <v>0</v>
      </c>
      <c r="G281" s="16">
        <f>IF(tbal[[#This Row],[DEBE]]-tbal[[#This Row],[HABER]]&gt;0,tbal[[#This Row],[DEBE]]-tbal[[#This Row],[HABER]],0)</f>
        <v>0</v>
      </c>
      <c r="H281" s="18">
        <f>IF(tbal[[#This Row],[HABER]]-tbal[[#This Row],[DEBE]]&gt;0,tbal[[#This Row],[HABER]]-tbal[[#This Row],[DEBE]],0)</f>
        <v>0</v>
      </c>
      <c r="I281" s="16">
        <f>IF((OR(tbal[[#This Row],[X]]=1,tbal[[#This Row],[X]]=2)),tbal[[#This Row],[DEUDOR]],0)</f>
        <v>0</v>
      </c>
      <c r="J281" s="18">
        <f>IF((OR(tbal[[#This Row],[X]]=2,tbal[[#This Row],[X]]=3)),tbal[[#This Row],[ACREEDOR]],0)</f>
        <v>0</v>
      </c>
      <c r="K281" s="16">
        <f>IF((OR(tbal[[#This Row],[X]]=3,tbal[[#This Row],[X]]=5)),tbal[[#This Row],[DEUDOR]],0)</f>
        <v>0</v>
      </c>
      <c r="L281" s="18">
        <f>IF((OR(tbal[[#This Row],[X]]=3,tbal[[#This Row],[X]]=4)),tbal[[#This Row],[ACREEDOR]],0)</f>
        <v>0</v>
      </c>
      <c r="M281" s="16">
        <f>IF((OR(tbal[[#This Row],[X]]=0,tbal[[#This Row],[X]]=6)),tbal[[#This Row],[DEUDOR]],0)</f>
        <v>0</v>
      </c>
      <c r="N281" s="18">
        <f>IF((OR(tbal[[#This Row],[X]]=0,tbal[[#This Row],[X]]=5)),tbal[[#This Row],[ACREEDOR]],0)</f>
        <v>0</v>
      </c>
    </row>
    <row r="282" spans="1:14" hidden="1" x14ac:dyDescent="0.3">
      <c r="A282" s="14">
        <f>+'PLAN DE CUENTAS'!A282</f>
        <v>0</v>
      </c>
      <c r="B282" s="13">
        <f>+'PLAN DE CUENTAS'!B282</f>
        <v>0</v>
      </c>
      <c r="C282" s="13">
        <f>+'PLAN DE CUENTAS'!C282</f>
        <v>0</v>
      </c>
      <c r="D282" t="str">
        <f>IF(tbal[[#This Row],[DEBE]]+tbal[[#This Row],[HABER]]=0,"","X")</f>
        <v/>
      </c>
      <c r="E282" s="16">
        <f>SUMIF(tdiario[CUENTA],tbal[[#This Row],[CUENTA]],tdiario[DEBE])</f>
        <v>0</v>
      </c>
      <c r="F282" s="17">
        <f>SUMIF(tdiario[CUENTA],tbal[[#This Row],[CUENTA]],tdiario[HABER])</f>
        <v>0</v>
      </c>
      <c r="G282" s="16">
        <f>IF(tbal[[#This Row],[DEBE]]-tbal[[#This Row],[HABER]]&gt;0,tbal[[#This Row],[DEBE]]-tbal[[#This Row],[HABER]],0)</f>
        <v>0</v>
      </c>
      <c r="H282" s="18">
        <f>IF(tbal[[#This Row],[HABER]]-tbal[[#This Row],[DEBE]]&gt;0,tbal[[#This Row],[HABER]]-tbal[[#This Row],[DEBE]],0)</f>
        <v>0</v>
      </c>
      <c r="I282" s="16">
        <f>IF((OR(tbal[[#This Row],[X]]=1,tbal[[#This Row],[X]]=2)),tbal[[#This Row],[DEUDOR]],0)</f>
        <v>0</v>
      </c>
      <c r="J282" s="18">
        <f>IF((OR(tbal[[#This Row],[X]]=2,tbal[[#This Row],[X]]=3)),tbal[[#This Row],[ACREEDOR]],0)</f>
        <v>0</v>
      </c>
      <c r="K282" s="16">
        <f>IF((OR(tbal[[#This Row],[X]]=3,tbal[[#This Row],[X]]=5)),tbal[[#This Row],[DEUDOR]],0)</f>
        <v>0</v>
      </c>
      <c r="L282" s="18">
        <f>IF((OR(tbal[[#This Row],[X]]=3,tbal[[#This Row],[X]]=4)),tbal[[#This Row],[ACREEDOR]],0)</f>
        <v>0</v>
      </c>
      <c r="M282" s="16">
        <f>IF((OR(tbal[[#This Row],[X]]=0,tbal[[#This Row],[X]]=6)),tbal[[#This Row],[DEUDOR]],0)</f>
        <v>0</v>
      </c>
      <c r="N282" s="18">
        <f>IF((OR(tbal[[#This Row],[X]]=0,tbal[[#This Row],[X]]=5)),tbal[[#This Row],[ACREEDOR]],0)</f>
        <v>0</v>
      </c>
    </row>
    <row r="283" spans="1:14" hidden="1" x14ac:dyDescent="0.3">
      <c r="A283" s="14">
        <f>+'PLAN DE CUENTAS'!A283</f>
        <v>0</v>
      </c>
      <c r="B283" s="13">
        <f>+'PLAN DE CUENTAS'!B283</f>
        <v>0</v>
      </c>
      <c r="C283" s="13">
        <f>+'PLAN DE CUENTAS'!C283</f>
        <v>0</v>
      </c>
      <c r="D283" t="str">
        <f>IF(tbal[[#This Row],[DEBE]]+tbal[[#This Row],[HABER]]=0,"","X")</f>
        <v/>
      </c>
      <c r="E283" s="16">
        <f>SUMIF(tdiario[CUENTA],tbal[[#This Row],[CUENTA]],tdiario[DEBE])</f>
        <v>0</v>
      </c>
      <c r="F283" s="17">
        <f>SUMIF(tdiario[CUENTA],tbal[[#This Row],[CUENTA]],tdiario[HABER])</f>
        <v>0</v>
      </c>
      <c r="G283" s="16">
        <f>IF(tbal[[#This Row],[DEBE]]-tbal[[#This Row],[HABER]]&gt;0,tbal[[#This Row],[DEBE]]-tbal[[#This Row],[HABER]],0)</f>
        <v>0</v>
      </c>
      <c r="H283" s="18">
        <f>IF(tbal[[#This Row],[HABER]]-tbal[[#This Row],[DEBE]]&gt;0,tbal[[#This Row],[HABER]]-tbal[[#This Row],[DEBE]],0)</f>
        <v>0</v>
      </c>
      <c r="I283" s="16">
        <f>IF((OR(tbal[[#This Row],[X]]=1,tbal[[#This Row],[X]]=2)),tbal[[#This Row],[DEUDOR]],0)</f>
        <v>0</v>
      </c>
      <c r="J283" s="18">
        <f>IF((OR(tbal[[#This Row],[X]]=2,tbal[[#This Row],[X]]=3)),tbal[[#This Row],[ACREEDOR]],0)</f>
        <v>0</v>
      </c>
      <c r="K283" s="16">
        <f>IF((OR(tbal[[#This Row],[X]]=3,tbal[[#This Row],[X]]=5)),tbal[[#This Row],[DEUDOR]],0)</f>
        <v>0</v>
      </c>
      <c r="L283" s="18">
        <f>IF((OR(tbal[[#This Row],[X]]=3,tbal[[#This Row],[X]]=4)),tbal[[#This Row],[ACREEDOR]],0)</f>
        <v>0</v>
      </c>
      <c r="M283" s="16">
        <f>IF((OR(tbal[[#This Row],[X]]=0,tbal[[#This Row],[X]]=6)),tbal[[#This Row],[DEUDOR]],0)</f>
        <v>0</v>
      </c>
      <c r="N283" s="18">
        <f>IF((OR(tbal[[#This Row],[X]]=0,tbal[[#This Row],[X]]=5)),tbal[[#This Row],[ACREEDOR]],0)</f>
        <v>0</v>
      </c>
    </row>
    <row r="284" spans="1:14" hidden="1" x14ac:dyDescent="0.3">
      <c r="A284" s="14">
        <f>+'PLAN DE CUENTAS'!A284</f>
        <v>0</v>
      </c>
      <c r="B284" s="13">
        <f>+'PLAN DE CUENTAS'!B284</f>
        <v>0</v>
      </c>
      <c r="C284" s="13">
        <f>+'PLAN DE CUENTAS'!C284</f>
        <v>0</v>
      </c>
      <c r="D284" t="str">
        <f>IF(tbal[[#This Row],[DEBE]]+tbal[[#This Row],[HABER]]=0,"","X")</f>
        <v/>
      </c>
      <c r="E284" s="16">
        <f>SUMIF(tdiario[CUENTA],tbal[[#This Row],[CUENTA]],tdiario[DEBE])</f>
        <v>0</v>
      </c>
      <c r="F284" s="17">
        <f>SUMIF(tdiario[CUENTA],tbal[[#This Row],[CUENTA]],tdiario[HABER])</f>
        <v>0</v>
      </c>
      <c r="G284" s="16">
        <f>IF(tbal[[#This Row],[DEBE]]-tbal[[#This Row],[HABER]]&gt;0,tbal[[#This Row],[DEBE]]-tbal[[#This Row],[HABER]],0)</f>
        <v>0</v>
      </c>
      <c r="H284" s="18">
        <f>IF(tbal[[#This Row],[HABER]]-tbal[[#This Row],[DEBE]]&gt;0,tbal[[#This Row],[HABER]]-tbal[[#This Row],[DEBE]],0)</f>
        <v>0</v>
      </c>
      <c r="I284" s="16">
        <f>IF((OR(tbal[[#This Row],[X]]=1,tbal[[#This Row],[X]]=2)),tbal[[#This Row],[DEUDOR]],0)</f>
        <v>0</v>
      </c>
      <c r="J284" s="18">
        <f>IF((OR(tbal[[#This Row],[X]]=2,tbal[[#This Row],[X]]=3)),tbal[[#This Row],[ACREEDOR]],0)</f>
        <v>0</v>
      </c>
      <c r="K284" s="16">
        <f>IF((OR(tbal[[#This Row],[X]]=3,tbal[[#This Row],[X]]=5)),tbal[[#This Row],[DEUDOR]],0)</f>
        <v>0</v>
      </c>
      <c r="L284" s="18">
        <f>IF((OR(tbal[[#This Row],[X]]=3,tbal[[#This Row],[X]]=4)),tbal[[#This Row],[ACREEDOR]],0)</f>
        <v>0</v>
      </c>
      <c r="M284" s="16">
        <f>IF((OR(tbal[[#This Row],[X]]=0,tbal[[#This Row],[X]]=6)),tbal[[#This Row],[DEUDOR]],0)</f>
        <v>0</v>
      </c>
      <c r="N284" s="18">
        <f>IF((OR(tbal[[#This Row],[X]]=0,tbal[[#This Row],[X]]=5)),tbal[[#This Row],[ACREEDOR]],0)</f>
        <v>0</v>
      </c>
    </row>
    <row r="285" spans="1:14" hidden="1" x14ac:dyDescent="0.3">
      <c r="A285" s="14">
        <f>+'PLAN DE CUENTAS'!A285</f>
        <v>0</v>
      </c>
      <c r="B285" s="13">
        <f>+'PLAN DE CUENTAS'!B285</f>
        <v>0</v>
      </c>
      <c r="C285" s="13">
        <f>+'PLAN DE CUENTAS'!C285</f>
        <v>0</v>
      </c>
      <c r="D285" t="str">
        <f>IF(tbal[[#This Row],[DEBE]]+tbal[[#This Row],[HABER]]=0,"","X")</f>
        <v/>
      </c>
      <c r="E285" s="16">
        <f>SUMIF(tdiario[CUENTA],tbal[[#This Row],[CUENTA]],tdiario[DEBE])</f>
        <v>0</v>
      </c>
      <c r="F285" s="17">
        <f>SUMIF(tdiario[CUENTA],tbal[[#This Row],[CUENTA]],tdiario[HABER])</f>
        <v>0</v>
      </c>
      <c r="G285" s="16">
        <f>IF(tbal[[#This Row],[DEBE]]-tbal[[#This Row],[HABER]]&gt;0,tbal[[#This Row],[DEBE]]-tbal[[#This Row],[HABER]],0)</f>
        <v>0</v>
      </c>
      <c r="H285" s="18">
        <f>IF(tbal[[#This Row],[HABER]]-tbal[[#This Row],[DEBE]]&gt;0,tbal[[#This Row],[HABER]]-tbal[[#This Row],[DEBE]],0)</f>
        <v>0</v>
      </c>
      <c r="I285" s="16">
        <f>IF((OR(tbal[[#This Row],[X]]=1,tbal[[#This Row],[X]]=2)),tbal[[#This Row],[DEUDOR]],0)</f>
        <v>0</v>
      </c>
      <c r="J285" s="18">
        <f>IF((OR(tbal[[#This Row],[X]]=2,tbal[[#This Row],[X]]=3)),tbal[[#This Row],[ACREEDOR]],0)</f>
        <v>0</v>
      </c>
      <c r="K285" s="16">
        <f>IF((OR(tbal[[#This Row],[X]]=3,tbal[[#This Row],[X]]=5)),tbal[[#This Row],[DEUDOR]],0)</f>
        <v>0</v>
      </c>
      <c r="L285" s="18">
        <f>IF((OR(tbal[[#This Row],[X]]=3,tbal[[#This Row],[X]]=4)),tbal[[#This Row],[ACREEDOR]],0)</f>
        <v>0</v>
      </c>
      <c r="M285" s="16">
        <f>IF((OR(tbal[[#This Row],[X]]=0,tbal[[#This Row],[X]]=6)),tbal[[#This Row],[DEUDOR]],0)</f>
        <v>0</v>
      </c>
      <c r="N285" s="18">
        <f>IF((OR(tbal[[#This Row],[X]]=0,tbal[[#This Row],[X]]=5)),tbal[[#This Row],[ACREEDOR]],0)</f>
        <v>0</v>
      </c>
    </row>
    <row r="286" spans="1:14" hidden="1" x14ac:dyDescent="0.3">
      <c r="A286" s="14">
        <f>+'PLAN DE CUENTAS'!A286</f>
        <v>0</v>
      </c>
      <c r="B286" s="13">
        <f>+'PLAN DE CUENTAS'!B286</f>
        <v>0</v>
      </c>
      <c r="C286" s="13">
        <f>+'PLAN DE CUENTAS'!C286</f>
        <v>0</v>
      </c>
      <c r="D286" t="str">
        <f>IF(tbal[[#This Row],[DEBE]]+tbal[[#This Row],[HABER]]=0,"","X")</f>
        <v/>
      </c>
      <c r="E286" s="16">
        <f>SUMIF(tdiario[CUENTA],tbal[[#This Row],[CUENTA]],tdiario[DEBE])</f>
        <v>0</v>
      </c>
      <c r="F286" s="17">
        <f>SUMIF(tdiario[CUENTA],tbal[[#This Row],[CUENTA]],tdiario[HABER])</f>
        <v>0</v>
      </c>
      <c r="G286" s="16">
        <f>IF(tbal[[#This Row],[DEBE]]-tbal[[#This Row],[HABER]]&gt;0,tbal[[#This Row],[DEBE]]-tbal[[#This Row],[HABER]],0)</f>
        <v>0</v>
      </c>
      <c r="H286" s="18">
        <f>IF(tbal[[#This Row],[HABER]]-tbal[[#This Row],[DEBE]]&gt;0,tbal[[#This Row],[HABER]]-tbal[[#This Row],[DEBE]],0)</f>
        <v>0</v>
      </c>
      <c r="I286" s="16">
        <f>IF((OR(tbal[[#This Row],[X]]=1,tbal[[#This Row],[X]]=2)),tbal[[#This Row],[DEUDOR]],0)</f>
        <v>0</v>
      </c>
      <c r="J286" s="18">
        <f>IF((OR(tbal[[#This Row],[X]]=2,tbal[[#This Row],[X]]=3)),tbal[[#This Row],[ACREEDOR]],0)</f>
        <v>0</v>
      </c>
      <c r="K286" s="16">
        <f>IF((OR(tbal[[#This Row],[X]]=3,tbal[[#This Row],[X]]=5)),tbal[[#This Row],[DEUDOR]],0)</f>
        <v>0</v>
      </c>
      <c r="L286" s="18">
        <f>IF((OR(tbal[[#This Row],[X]]=3,tbal[[#This Row],[X]]=4)),tbal[[#This Row],[ACREEDOR]],0)</f>
        <v>0</v>
      </c>
      <c r="M286" s="16">
        <f>IF((OR(tbal[[#This Row],[X]]=0,tbal[[#This Row],[X]]=6)),tbal[[#This Row],[DEUDOR]],0)</f>
        <v>0</v>
      </c>
      <c r="N286" s="18">
        <f>IF((OR(tbal[[#This Row],[X]]=0,tbal[[#This Row],[X]]=5)),tbal[[#This Row],[ACREEDOR]],0)</f>
        <v>0</v>
      </c>
    </row>
    <row r="287" spans="1:14" hidden="1" x14ac:dyDescent="0.3">
      <c r="A287" s="14">
        <f>+'PLAN DE CUENTAS'!A287</f>
        <v>0</v>
      </c>
      <c r="B287" s="13">
        <f>+'PLAN DE CUENTAS'!B287</f>
        <v>0</v>
      </c>
      <c r="C287" s="13">
        <f>+'PLAN DE CUENTAS'!C287</f>
        <v>0</v>
      </c>
      <c r="D287" t="str">
        <f>IF(tbal[[#This Row],[DEBE]]+tbal[[#This Row],[HABER]]=0,"","X")</f>
        <v/>
      </c>
      <c r="E287" s="16">
        <f>SUMIF(tdiario[CUENTA],tbal[[#This Row],[CUENTA]],tdiario[DEBE])</f>
        <v>0</v>
      </c>
      <c r="F287" s="17">
        <f>SUMIF(tdiario[CUENTA],tbal[[#This Row],[CUENTA]],tdiario[HABER])</f>
        <v>0</v>
      </c>
      <c r="G287" s="16">
        <f>IF(tbal[[#This Row],[DEBE]]-tbal[[#This Row],[HABER]]&gt;0,tbal[[#This Row],[DEBE]]-tbal[[#This Row],[HABER]],0)</f>
        <v>0</v>
      </c>
      <c r="H287" s="18">
        <f>IF(tbal[[#This Row],[HABER]]-tbal[[#This Row],[DEBE]]&gt;0,tbal[[#This Row],[HABER]]-tbal[[#This Row],[DEBE]],0)</f>
        <v>0</v>
      </c>
      <c r="I287" s="16">
        <f>IF((OR(tbal[[#This Row],[X]]=1,tbal[[#This Row],[X]]=2)),tbal[[#This Row],[DEUDOR]],0)</f>
        <v>0</v>
      </c>
      <c r="J287" s="18">
        <f>IF((OR(tbal[[#This Row],[X]]=2,tbal[[#This Row],[X]]=3)),tbal[[#This Row],[ACREEDOR]],0)</f>
        <v>0</v>
      </c>
      <c r="K287" s="16">
        <f>IF((OR(tbal[[#This Row],[X]]=3,tbal[[#This Row],[X]]=5)),tbal[[#This Row],[DEUDOR]],0)</f>
        <v>0</v>
      </c>
      <c r="L287" s="18">
        <f>IF((OR(tbal[[#This Row],[X]]=3,tbal[[#This Row],[X]]=4)),tbal[[#This Row],[ACREEDOR]],0)</f>
        <v>0</v>
      </c>
      <c r="M287" s="16">
        <f>IF((OR(tbal[[#This Row],[X]]=0,tbal[[#This Row],[X]]=6)),tbal[[#This Row],[DEUDOR]],0)</f>
        <v>0</v>
      </c>
      <c r="N287" s="18">
        <f>IF((OR(tbal[[#This Row],[X]]=0,tbal[[#This Row],[X]]=5)),tbal[[#This Row],[ACREEDOR]],0)</f>
        <v>0</v>
      </c>
    </row>
    <row r="288" spans="1:14" hidden="1" x14ac:dyDescent="0.3">
      <c r="A288" s="14">
        <f>+'PLAN DE CUENTAS'!A288</f>
        <v>0</v>
      </c>
      <c r="B288" s="13">
        <f>+'PLAN DE CUENTAS'!B288</f>
        <v>0</v>
      </c>
      <c r="C288" s="13">
        <f>+'PLAN DE CUENTAS'!C288</f>
        <v>0</v>
      </c>
      <c r="D288" t="str">
        <f>IF(tbal[[#This Row],[DEBE]]+tbal[[#This Row],[HABER]]=0,"","X")</f>
        <v/>
      </c>
      <c r="E288" s="16">
        <f>SUMIF(tdiario[CUENTA],tbal[[#This Row],[CUENTA]],tdiario[DEBE])</f>
        <v>0</v>
      </c>
      <c r="F288" s="17">
        <f>SUMIF(tdiario[CUENTA],tbal[[#This Row],[CUENTA]],tdiario[HABER])</f>
        <v>0</v>
      </c>
      <c r="G288" s="16">
        <f>IF(tbal[[#This Row],[DEBE]]-tbal[[#This Row],[HABER]]&gt;0,tbal[[#This Row],[DEBE]]-tbal[[#This Row],[HABER]],0)</f>
        <v>0</v>
      </c>
      <c r="H288" s="18">
        <f>IF(tbal[[#This Row],[HABER]]-tbal[[#This Row],[DEBE]]&gt;0,tbal[[#This Row],[HABER]]-tbal[[#This Row],[DEBE]],0)</f>
        <v>0</v>
      </c>
      <c r="I288" s="16">
        <f>IF((OR(tbal[[#This Row],[X]]=1,tbal[[#This Row],[X]]=2)),tbal[[#This Row],[DEUDOR]],0)</f>
        <v>0</v>
      </c>
      <c r="J288" s="18">
        <f>IF((OR(tbal[[#This Row],[X]]=2,tbal[[#This Row],[X]]=3)),tbal[[#This Row],[ACREEDOR]],0)</f>
        <v>0</v>
      </c>
      <c r="K288" s="16">
        <f>IF((OR(tbal[[#This Row],[X]]=3,tbal[[#This Row],[X]]=5)),tbal[[#This Row],[DEUDOR]],0)</f>
        <v>0</v>
      </c>
      <c r="L288" s="18">
        <f>IF((OR(tbal[[#This Row],[X]]=3,tbal[[#This Row],[X]]=4)),tbal[[#This Row],[ACREEDOR]],0)</f>
        <v>0</v>
      </c>
      <c r="M288" s="16">
        <f>IF((OR(tbal[[#This Row],[X]]=0,tbal[[#This Row],[X]]=6)),tbal[[#This Row],[DEUDOR]],0)</f>
        <v>0</v>
      </c>
      <c r="N288" s="18">
        <f>IF((OR(tbal[[#This Row],[X]]=0,tbal[[#This Row],[X]]=5)),tbal[[#This Row],[ACREEDOR]],0)</f>
        <v>0</v>
      </c>
    </row>
    <row r="289" spans="1:14" hidden="1" x14ac:dyDescent="0.3">
      <c r="A289" s="14">
        <f>+'PLAN DE CUENTAS'!A289</f>
        <v>0</v>
      </c>
      <c r="B289" s="13">
        <f>+'PLAN DE CUENTAS'!B289</f>
        <v>0</v>
      </c>
      <c r="C289" s="13">
        <f>+'PLAN DE CUENTAS'!C289</f>
        <v>0</v>
      </c>
      <c r="D289" t="str">
        <f>IF(tbal[[#This Row],[DEBE]]+tbal[[#This Row],[HABER]]=0,"","X")</f>
        <v/>
      </c>
      <c r="E289" s="16">
        <f>SUMIF(tdiario[CUENTA],tbal[[#This Row],[CUENTA]],tdiario[DEBE])</f>
        <v>0</v>
      </c>
      <c r="F289" s="17">
        <f>SUMIF(tdiario[CUENTA],tbal[[#This Row],[CUENTA]],tdiario[HABER])</f>
        <v>0</v>
      </c>
      <c r="G289" s="16">
        <f>IF(tbal[[#This Row],[DEBE]]-tbal[[#This Row],[HABER]]&gt;0,tbal[[#This Row],[DEBE]]-tbal[[#This Row],[HABER]],0)</f>
        <v>0</v>
      </c>
      <c r="H289" s="18">
        <f>IF(tbal[[#This Row],[HABER]]-tbal[[#This Row],[DEBE]]&gt;0,tbal[[#This Row],[HABER]]-tbal[[#This Row],[DEBE]],0)</f>
        <v>0</v>
      </c>
      <c r="I289" s="16">
        <f>IF((OR(tbal[[#This Row],[X]]=1,tbal[[#This Row],[X]]=2)),tbal[[#This Row],[DEUDOR]],0)</f>
        <v>0</v>
      </c>
      <c r="J289" s="18">
        <f>IF((OR(tbal[[#This Row],[X]]=2,tbal[[#This Row],[X]]=3)),tbal[[#This Row],[ACREEDOR]],0)</f>
        <v>0</v>
      </c>
      <c r="K289" s="16">
        <f>IF((OR(tbal[[#This Row],[X]]=3,tbal[[#This Row],[X]]=5)),tbal[[#This Row],[DEUDOR]],0)</f>
        <v>0</v>
      </c>
      <c r="L289" s="18">
        <f>IF((OR(tbal[[#This Row],[X]]=3,tbal[[#This Row],[X]]=4)),tbal[[#This Row],[ACREEDOR]],0)</f>
        <v>0</v>
      </c>
      <c r="M289" s="16">
        <f>IF((OR(tbal[[#This Row],[X]]=0,tbal[[#This Row],[X]]=6)),tbal[[#This Row],[DEUDOR]],0)</f>
        <v>0</v>
      </c>
      <c r="N289" s="18">
        <f>IF((OR(tbal[[#This Row],[X]]=0,tbal[[#This Row],[X]]=5)),tbal[[#This Row],[ACREEDOR]],0)</f>
        <v>0</v>
      </c>
    </row>
    <row r="290" spans="1:14" hidden="1" x14ac:dyDescent="0.3">
      <c r="A290" s="14">
        <f>+'PLAN DE CUENTAS'!A290</f>
        <v>0</v>
      </c>
      <c r="B290" s="13">
        <f>+'PLAN DE CUENTAS'!B290</f>
        <v>0</v>
      </c>
      <c r="C290" s="13">
        <f>+'PLAN DE CUENTAS'!C290</f>
        <v>0</v>
      </c>
      <c r="D290" t="str">
        <f>IF(tbal[[#This Row],[DEBE]]+tbal[[#This Row],[HABER]]=0,"","X")</f>
        <v/>
      </c>
      <c r="E290" s="16">
        <f>SUMIF(tdiario[CUENTA],tbal[[#This Row],[CUENTA]],tdiario[DEBE])</f>
        <v>0</v>
      </c>
      <c r="F290" s="17">
        <f>SUMIF(tdiario[CUENTA],tbal[[#This Row],[CUENTA]],tdiario[HABER])</f>
        <v>0</v>
      </c>
      <c r="G290" s="16">
        <f>IF(tbal[[#This Row],[DEBE]]-tbal[[#This Row],[HABER]]&gt;0,tbal[[#This Row],[DEBE]]-tbal[[#This Row],[HABER]],0)</f>
        <v>0</v>
      </c>
      <c r="H290" s="18">
        <f>IF(tbal[[#This Row],[HABER]]-tbal[[#This Row],[DEBE]]&gt;0,tbal[[#This Row],[HABER]]-tbal[[#This Row],[DEBE]],0)</f>
        <v>0</v>
      </c>
      <c r="I290" s="16">
        <f>IF((OR(tbal[[#This Row],[X]]=1,tbal[[#This Row],[X]]=2)),tbal[[#This Row],[DEUDOR]],0)</f>
        <v>0</v>
      </c>
      <c r="J290" s="18">
        <f>IF((OR(tbal[[#This Row],[X]]=2,tbal[[#This Row],[X]]=3)),tbal[[#This Row],[ACREEDOR]],0)</f>
        <v>0</v>
      </c>
      <c r="K290" s="16">
        <f>IF((OR(tbal[[#This Row],[X]]=3,tbal[[#This Row],[X]]=5)),tbal[[#This Row],[DEUDOR]],0)</f>
        <v>0</v>
      </c>
      <c r="L290" s="18">
        <f>IF((OR(tbal[[#This Row],[X]]=3,tbal[[#This Row],[X]]=4)),tbal[[#This Row],[ACREEDOR]],0)</f>
        <v>0</v>
      </c>
      <c r="M290" s="16">
        <f>IF((OR(tbal[[#This Row],[X]]=0,tbal[[#This Row],[X]]=6)),tbal[[#This Row],[DEUDOR]],0)</f>
        <v>0</v>
      </c>
      <c r="N290" s="18">
        <f>IF((OR(tbal[[#This Row],[X]]=0,tbal[[#This Row],[X]]=5)),tbal[[#This Row],[ACREEDOR]],0)</f>
        <v>0</v>
      </c>
    </row>
    <row r="291" spans="1:14" hidden="1" x14ac:dyDescent="0.3">
      <c r="A291" s="14">
        <f>+'PLAN DE CUENTAS'!A291</f>
        <v>0</v>
      </c>
      <c r="B291" s="13">
        <f>+'PLAN DE CUENTAS'!B291</f>
        <v>0</v>
      </c>
      <c r="C291" s="13">
        <f>+'PLAN DE CUENTAS'!C291</f>
        <v>0</v>
      </c>
      <c r="D291" t="str">
        <f>IF(tbal[[#This Row],[DEBE]]+tbal[[#This Row],[HABER]]=0,"","X")</f>
        <v/>
      </c>
      <c r="E291" s="16">
        <f>SUMIF(tdiario[CUENTA],tbal[[#This Row],[CUENTA]],tdiario[DEBE])</f>
        <v>0</v>
      </c>
      <c r="F291" s="17">
        <f>SUMIF(tdiario[CUENTA],tbal[[#This Row],[CUENTA]],tdiario[HABER])</f>
        <v>0</v>
      </c>
      <c r="G291" s="16">
        <f>IF(tbal[[#This Row],[DEBE]]-tbal[[#This Row],[HABER]]&gt;0,tbal[[#This Row],[DEBE]]-tbal[[#This Row],[HABER]],0)</f>
        <v>0</v>
      </c>
      <c r="H291" s="18">
        <f>IF(tbal[[#This Row],[HABER]]-tbal[[#This Row],[DEBE]]&gt;0,tbal[[#This Row],[HABER]]-tbal[[#This Row],[DEBE]],0)</f>
        <v>0</v>
      </c>
      <c r="I291" s="16">
        <f>IF((OR(tbal[[#This Row],[X]]=1,tbal[[#This Row],[X]]=2)),tbal[[#This Row],[DEUDOR]],0)</f>
        <v>0</v>
      </c>
      <c r="J291" s="18">
        <f>IF((OR(tbal[[#This Row],[X]]=2,tbal[[#This Row],[X]]=3)),tbal[[#This Row],[ACREEDOR]],0)</f>
        <v>0</v>
      </c>
      <c r="K291" s="16">
        <f>IF((OR(tbal[[#This Row],[X]]=3,tbal[[#This Row],[X]]=5)),tbal[[#This Row],[DEUDOR]],0)</f>
        <v>0</v>
      </c>
      <c r="L291" s="18">
        <f>IF((OR(tbal[[#This Row],[X]]=3,tbal[[#This Row],[X]]=4)),tbal[[#This Row],[ACREEDOR]],0)</f>
        <v>0</v>
      </c>
      <c r="M291" s="16">
        <f>IF((OR(tbal[[#This Row],[X]]=0,tbal[[#This Row],[X]]=6)),tbal[[#This Row],[DEUDOR]],0)</f>
        <v>0</v>
      </c>
      <c r="N291" s="18">
        <f>IF((OR(tbal[[#This Row],[X]]=0,tbal[[#This Row],[X]]=5)),tbal[[#This Row],[ACREEDOR]],0)</f>
        <v>0</v>
      </c>
    </row>
    <row r="292" spans="1:14" hidden="1" x14ac:dyDescent="0.3">
      <c r="A292" s="14">
        <f>+'PLAN DE CUENTAS'!A292</f>
        <v>0</v>
      </c>
      <c r="B292" s="13">
        <f>+'PLAN DE CUENTAS'!B292</f>
        <v>0</v>
      </c>
      <c r="C292" s="13">
        <f>+'PLAN DE CUENTAS'!C292</f>
        <v>0</v>
      </c>
      <c r="D292" t="str">
        <f>IF(tbal[[#This Row],[DEBE]]+tbal[[#This Row],[HABER]]=0,"","X")</f>
        <v/>
      </c>
      <c r="E292" s="16">
        <f>SUMIF(tdiario[CUENTA],tbal[[#This Row],[CUENTA]],tdiario[DEBE])</f>
        <v>0</v>
      </c>
      <c r="F292" s="17">
        <f>SUMIF(tdiario[CUENTA],tbal[[#This Row],[CUENTA]],tdiario[HABER])</f>
        <v>0</v>
      </c>
      <c r="G292" s="16">
        <f>IF(tbal[[#This Row],[DEBE]]-tbal[[#This Row],[HABER]]&gt;0,tbal[[#This Row],[DEBE]]-tbal[[#This Row],[HABER]],0)</f>
        <v>0</v>
      </c>
      <c r="H292" s="18">
        <f>IF(tbal[[#This Row],[HABER]]-tbal[[#This Row],[DEBE]]&gt;0,tbal[[#This Row],[HABER]]-tbal[[#This Row],[DEBE]],0)</f>
        <v>0</v>
      </c>
      <c r="I292" s="16">
        <f>IF((OR(tbal[[#This Row],[X]]=1,tbal[[#This Row],[X]]=2)),tbal[[#This Row],[DEUDOR]],0)</f>
        <v>0</v>
      </c>
      <c r="J292" s="18">
        <f>IF((OR(tbal[[#This Row],[X]]=2,tbal[[#This Row],[X]]=3)),tbal[[#This Row],[ACREEDOR]],0)</f>
        <v>0</v>
      </c>
      <c r="K292" s="16">
        <f>IF((OR(tbal[[#This Row],[X]]=3,tbal[[#This Row],[X]]=5)),tbal[[#This Row],[DEUDOR]],0)</f>
        <v>0</v>
      </c>
      <c r="L292" s="18">
        <f>IF((OR(tbal[[#This Row],[X]]=3,tbal[[#This Row],[X]]=4)),tbal[[#This Row],[ACREEDOR]],0)</f>
        <v>0</v>
      </c>
      <c r="M292" s="16">
        <f>IF((OR(tbal[[#This Row],[X]]=0,tbal[[#This Row],[X]]=6)),tbal[[#This Row],[DEUDOR]],0)</f>
        <v>0</v>
      </c>
      <c r="N292" s="18">
        <f>IF((OR(tbal[[#This Row],[X]]=0,tbal[[#This Row],[X]]=5)),tbal[[#This Row],[ACREEDOR]],0)</f>
        <v>0</v>
      </c>
    </row>
    <row r="293" spans="1:14" hidden="1" x14ac:dyDescent="0.3">
      <c r="A293" s="14">
        <f>+'PLAN DE CUENTAS'!A293</f>
        <v>0</v>
      </c>
      <c r="B293" s="13">
        <f>+'PLAN DE CUENTAS'!B293</f>
        <v>0</v>
      </c>
      <c r="C293" s="13">
        <f>+'PLAN DE CUENTAS'!C293</f>
        <v>0</v>
      </c>
      <c r="D293" t="str">
        <f>IF(tbal[[#This Row],[DEBE]]+tbal[[#This Row],[HABER]]=0,"","X")</f>
        <v/>
      </c>
      <c r="E293" s="16">
        <f>SUMIF(tdiario[CUENTA],tbal[[#This Row],[CUENTA]],tdiario[DEBE])</f>
        <v>0</v>
      </c>
      <c r="F293" s="17">
        <f>SUMIF(tdiario[CUENTA],tbal[[#This Row],[CUENTA]],tdiario[HABER])</f>
        <v>0</v>
      </c>
      <c r="G293" s="16">
        <f>IF(tbal[[#This Row],[DEBE]]-tbal[[#This Row],[HABER]]&gt;0,tbal[[#This Row],[DEBE]]-tbal[[#This Row],[HABER]],0)</f>
        <v>0</v>
      </c>
      <c r="H293" s="18">
        <f>IF(tbal[[#This Row],[HABER]]-tbal[[#This Row],[DEBE]]&gt;0,tbal[[#This Row],[HABER]]-tbal[[#This Row],[DEBE]],0)</f>
        <v>0</v>
      </c>
      <c r="I293" s="16">
        <f>IF((OR(tbal[[#This Row],[X]]=1,tbal[[#This Row],[X]]=2)),tbal[[#This Row],[DEUDOR]],0)</f>
        <v>0</v>
      </c>
      <c r="J293" s="18">
        <f>IF((OR(tbal[[#This Row],[X]]=2,tbal[[#This Row],[X]]=3)),tbal[[#This Row],[ACREEDOR]],0)</f>
        <v>0</v>
      </c>
      <c r="K293" s="16">
        <f>IF((OR(tbal[[#This Row],[X]]=3,tbal[[#This Row],[X]]=5)),tbal[[#This Row],[DEUDOR]],0)</f>
        <v>0</v>
      </c>
      <c r="L293" s="18">
        <f>IF((OR(tbal[[#This Row],[X]]=3,tbal[[#This Row],[X]]=4)),tbal[[#This Row],[ACREEDOR]],0)</f>
        <v>0</v>
      </c>
      <c r="M293" s="16">
        <f>IF((OR(tbal[[#This Row],[X]]=0,tbal[[#This Row],[X]]=6)),tbal[[#This Row],[DEUDOR]],0)</f>
        <v>0</v>
      </c>
      <c r="N293" s="18">
        <f>IF((OR(tbal[[#This Row],[X]]=0,tbal[[#This Row],[X]]=5)),tbal[[#This Row],[ACREEDOR]],0)</f>
        <v>0</v>
      </c>
    </row>
    <row r="294" spans="1:14" hidden="1" x14ac:dyDescent="0.3">
      <c r="A294" s="14">
        <f>+'PLAN DE CUENTAS'!A294</f>
        <v>0</v>
      </c>
      <c r="B294" s="13">
        <f>+'PLAN DE CUENTAS'!B294</f>
        <v>0</v>
      </c>
      <c r="C294" s="13">
        <f>+'PLAN DE CUENTAS'!C294</f>
        <v>0</v>
      </c>
      <c r="D294" t="str">
        <f>IF(tbal[[#This Row],[DEBE]]+tbal[[#This Row],[HABER]]=0,"","X")</f>
        <v/>
      </c>
      <c r="E294" s="16">
        <f>SUMIF(tdiario[CUENTA],tbal[[#This Row],[CUENTA]],tdiario[DEBE])</f>
        <v>0</v>
      </c>
      <c r="F294" s="17">
        <f>SUMIF(tdiario[CUENTA],tbal[[#This Row],[CUENTA]],tdiario[HABER])</f>
        <v>0</v>
      </c>
      <c r="G294" s="16">
        <f>IF(tbal[[#This Row],[DEBE]]-tbal[[#This Row],[HABER]]&gt;0,tbal[[#This Row],[DEBE]]-tbal[[#This Row],[HABER]],0)</f>
        <v>0</v>
      </c>
      <c r="H294" s="18">
        <f>IF(tbal[[#This Row],[HABER]]-tbal[[#This Row],[DEBE]]&gt;0,tbal[[#This Row],[HABER]]-tbal[[#This Row],[DEBE]],0)</f>
        <v>0</v>
      </c>
      <c r="I294" s="16">
        <f>IF((OR(tbal[[#This Row],[X]]=1,tbal[[#This Row],[X]]=2)),tbal[[#This Row],[DEUDOR]],0)</f>
        <v>0</v>
      </c>
      <c r="J294" s="18">
        <f>IF((OR(tbal[[#This Row],[X]]=2,tbal[[#This Row],[X]]=3)),tbal[[#This Row],[ACREEDOR]],0)</f>
        <v>0</v>
      </c>
      <c r="K294" s="16">
        <f>IF((OR(tbal[[#This Row],[X]]=3,tbal[[#This Row],[X]]=5)),tbal[[#This Row],[DEUDOR]],0)</f>
        <v>0</v>
      </c>
      <c r="L294" s="18">
        <f>IF((OR(tbal[[#This Row],[X]]=3,tbal[[#This Row],[X]]=4)),tbal[[#This Row],[ACREEDOR]],0)</f>
        <v>0</v>
      </c>
      <c r="M294" s="16">
        <f>IF((OR(tbal[[#This Row],[X]]=0,tbal[[#This Row],[X]]=6)),tbal[[#This Row],[DEUDOR]],0)</f>
        <v>0</v>
      </c>
      <c r="N294" s="18">
        <f>IF((OR(tbal[[#This Row],[X]]=0,tbal[[#This Row],[X]]=5)),tbal[[#This Row],[ACREEDOR]],0)</f>
        <v>0</v>
      </c>
    </row>
    <row r="295" spans="1:14" hidden="1" x14ac:dyDescent="0.3">
      <c r="A295" s="14">
        <f>+'PLAN DE CUENTAS'!A295</f>
        <v>0</v>
      </c>
      <c r="B295" s="13">
        <f>+'PLAN DE CUENTAS'!B295</f>
        <v>0</v>
      </c>
      <c r="C295" s="13">
        <f>+'PLAN DE CUENTAS'!C295</f>
        <v>0</v>
      </c>
      <c r="D295" t="str">
        <f>IF(tbal[[#This Row],[DEBE]]+tbal[[#This Row],[HABER]]=0,"","X")</f>
        <v/>
      </c>
      <c r="E295" s="16">
        <f>SUMIF(tdiario[CUENTA],tbal[[#This Row],[CUENTA]],tdiario[DEBE])</f>
        <v>0</v>
      </c>
      <c r="F295" s="17">
        <f>SUMIF(tdiario[CUENTA],tbal[[#This Row],[CUENTA]],tdiario[HABER])</f>
        <v>0</v>
      </c>
      <c r="G295" s="16">
        <f>IF(tbal[[#This Row],[DEBE]]-tbal[[#This Row],[HABER]]&gt;0,tbal[[#This Row],[DEBE]]-tbal[[#This Row],[HABER]],0)</f>
        <v>0</v>
      </c>
      <c r="H295" s="18">
        <f>IF(tbal[[#This Row],[HABER]]-tbal[[#This Row],[DEBE]]&gt;0,tbal[[#This Row],[HABER]]-tbal[[#This Row],[DEBE]],0)</f>
        <v>0</v>
      </c>
      <c r="I295" s="16">
        <f>IF((OR(tbal[[#This Row],[X]]=1,tbal[[#This Row],[X]]=2)),tbal[[#This Row],[DEUDOR]],0)</f>
        <v>0</v>
      </c>
      <c r="J295" s="18">
        <f>IF((OR(tbal[[#This Row],[X]]=2,tbal[[#This Row],[X]]=3)),tbal[[#This Row],[ACREEDOR]],0)</f>
        <v>0</v>
      </c>
      <c r="K295" s="16">
        <f>IF((OR(tbal[[#This Row],[X]]=3,tbal[[#This Row],[X]]=5)),tbal[[#This Row],[DEUDOR]],0)</f>
        <v>0</v>
      </c>
      <c r="L295" s="18">
        <f>IF((OR(tbal[[#This Row],[X]]=3,tbal[[#This Row],[X]]=4)),tbal[[#This Row],[ACREEDOR]],0)</f>
        <v>0</v>
      </c>
      <c r="M295" s="16">
        <f>IF((OR(tbal[[#This Row],[X]]=0,tbal[[#This Row],[X]]=6)),tbal[[#This Row],[DEUDOR]],0)</f>
        <v>0</v>
      </c>
      <c r="N295" s="18">
        <f>IF((OR(tbal[[#This Row],[X]]=0,tbal[[#This Row],[X]]=5)),tbal[[#This Row],[ACREEDOR]],0)</f>
        <v>0</v>
      </c>
    </row>
    <row r="296" spans="1:14" hidden="1" x14ac:dyDescent="0.3">
      <c r="A296" s="14">
        <f>+'PLAN DE CUENTAS'!A296</f>
        <v>0</v>
      </c>
      <c r="B296" s="13">
        <f>+'PLAN DE CUENTAS'!B296</f>
        <v>0</v>
      </c>
      <c r="C296" s="13">
        <f>+'PLAN DE CUENTAS'!C296</f>
        <v>0</v>
      </c>
      <c r="D296" t="str">
        <f>IF(tbal[[#This Row],[DEBE]]+tbal[[#This Row],[HABER]]=0,"","X")</f>
        <v/>
      </c>
      <c r="E296" s="16">
        <f>SUMIF(tdiario[CUENTA],tbal[[#This Row],[CUENTA]],tdiario[DEBE])</f>
        <v>0</v>
      </c>
      <c r="F296" s="17">
        <f>SUMIF(tdiario[CUENTA],tbal[[#This Row],[CUENTA]],tdiario[HABER])</f>
        <v>0</v>
      </c>
      <c r="G296" s="16">
        <f>IF(tbal[[#This Row],[DEBE]]-tbal[[#This Row],[HABER]]&gt;0,tbal[[#This Row],[DEBE]]-tbal[[#This Row],[HABER]],0)</f>
        <v>0</v>
      </c>
      <c r="H296" s="18">
        <f>IF(tbal[[#This Row],[HABER]]-tbal[[#This Row],[DEBE]]&gt;0,tbal[[#This Row],[HABER]]-tbal[[#This Row],[DEBE]],0)</f>
        <v>0</v>
      </c>
      <c r="I296" s="16">
        <f>IF((OR(tbal[[#This Row],[X]]=1,tbal[[#This Row],[X]]=2)),tbal[[#This Row],[DEUDOR]],0)</f>
        <v>0</v>
      </c>
      <c r="J296" s="18">
        <f>IF((OR(tbal[[#This Row],[X]]=2,tbal[[#This Row],[X]]=3)),tbal[[#This Row],[ACREEDOR]],0)</f>
        <v>0</v>
      </c>
      <c r="K296" s="16">
        <f>IF((OR(tbal[[#This Row],[X]]=3,tbal[[#This Row],[X]]=5)),tbal[[#This Row],[DEUDOR]],0)</f>
        <v>0</v>
      </c>
      <c r="L296" s="18">
        <f>IF((OR(tbal[[#This Row],[X]]=3,tbal[[#This Row],[X]]=4)),tbal[[#This Row],[ACREEDOR]],0)</f>
        <v>0</v>
      </c>
      <c r="M296" s="16">
        <f>IF((OR(tbal[[#This Row],[X]]=0,tbal[[#This Row],[X]]=6)),tbal[[#This Row],[DEUDOR]],0)</f>
        <v>0</v>
      </c>
      <c r="N296" s="18">
        <f>IF((OR(tbal[[#This Row],[X]]=0,tbal[[#This Row],[X]]=5)),tbal[[#This Row],[ACREEDOR]],0)</f>
        <v>0</v>
      </c>
    </row>
    <row r="297" spans="1:14" hidden="1" x14ac:dyDescent="0.3">
      <c r="A297" s="14">
        <f>+'PLAN DE CUENTAS'!A297</f>
        <v>0</v>
      </c>
      <c r="B297" s="13">
        <f>+'PLAN DE CUENTAS'!B297</f>
        <v>0</v>
      </c>
      <c r="C297" s="13">
        <f>+'PLAN DE CUENTAS'!C297</f>
        <v>0</v>
      </c>
      <c r="D297" t="str">
        <f>IF(tbal[[#This Row],[DEBE]]+tbal[[#This Row],[HABER]]=0,"","X")</f>
        <v/>
      </c>
      <c r="E297" s="16">
        <f>SUMIF(tdiario[CUENTA],tbal[[#This Row],[CUENTA]],tdiario[DEBE])</f>
        <v>0</v>
      </c>
      <c r="F297" s="17">
        <f>SUMIF(tdiario[CUENTA],tbal[[#This Row],[CUENTA]],tdiario[HABER])</f>
        <v>0</v>
      </c>
      <c r="G297" s="16">
        <f>IF(tbal[[#This Row],[DEBE]]-tbal[[#This Row],[HABER]]&gt;0,tbal[[#This Row],[DEBE]]-tbal[[#This Row],[HABER]],0)</f>
        <v>0</v>
      </c>
      <c r="H297" s="18">
        <f>IF(tbal[[#This Row],[HABER]]-tbal[[#This Row],[DEBE]]&gt;0,tbal[[#This Row],[HABER]]-tbal[[#This Row],[DEBE]],0)</f>
        <v>0</v>
      </c>
      <c r="I297" s="16">
        <f>IF((OR(tbal[[#This Row],[X]]=1,tbal[[#This Row],[X]]=2)),tbal[[#This Row],[DEUDOR]],0)</f>
        <v>0</v>
      </c>
      <c r="J297" s="18">
        <f>IF((OR(tbal[[#This Row],[X]]=2,tbal[[#This Row],[X]]=3)),tbal[[#This Row],[ACREEDOR]],0)</f>
        <v>0</v>
      </c>
      <c r="K297" s="16">
        <f>IF((OR(tbal[[#This Row],[X]]=3,tbal[[#This Row],[X]]=5)),tbal[[#This Row],[DEUDOR]],0)</f>
        <v>0</v>
      </c>
      <c r="L297" s="18">
        <f>IF((OR(tbal[[#This Row],[X]]=3,tbal[[#This Row],[X]]=4)),tbal[[#This Row],[ACREEDOR]],0)</f>
        <v>0</v>
      </c>
      <c r="M297" s="16">
        <f>IF((OR(tbal[[#This Row],[X]]=0,tbal[[#This Row],[X]]=6)),tbal[[#This Row],[DEUDOR]],0)</f>
        <v>0</v>
      </c>
      <c r="N297" s="18">
        <f>IF((OR(tbal[[#This Row],[X]]=0,tbal[[#This Row],[X]]=5)),tbal[[#This Row],[ACREEDOR]],0)</f>
        <v>0</v>
      </c>
    </row>
    <row r="298" spans="1:14" hidden="1" x14ac:dyDescent="0.3">
      <c r="A298" s="14">
        <f>+'PLAN DE CUENTAS'!A298</f>
        <v>0</v>
      </c>
      <c r="B298" s="13">
        <f>+'PLAN DE CUENTAS'!B298</f>
        <v>0</v>
      </c>
      <c r="C298" s="13">
        <f>+'PLAN DE CUENTAS'!C298</f>
        <v>0</v>
      </c>
      <c r="D298" t="str">
        <f>IF(tbal[[#This Row],[DEBE]]+tbal[[#This Row],[HABER]]=0,"","X")</f>
        <v/>
      </c>
      <c r="E298" s="16">
        <f>SUMIF(tdiario[CUENTA],tbal[[#This Row],[CUENTA]],tdiario[DEBE])</f>
        <v>0</v>
      </c>
      <c r="F298" s="17">
        <f>SUMIF(tdiario[CUENTA],tbal[[#This Row],[CUENTA]],tdiario[HABER])</f>
        <v>0</v>
      </c>
      <c r="G298" s="16">
        <f>IF(tbal[[#This Row],[DEBE]]-tbal[[#This Row],[HABER]]&gt;0,tbal[[#This Row],[DEBE]]-tbal[[#This Row],[HABER]],0)</f>
        <v>0</v>
      </c>
      <c r="H298" s="18">
        <f>IF(tbal[[#This Row],[HABER]]-tbal[[#This Row],[DEBE]]&gt;0,tbal[[#This Row],[HABER]]-tbal[[#This Row],[DEBE]],0)</f>
        <v>0</v>
      </c>
      <c r="I298" s="16">
        <f>IF((OR(tbal[[#This Row],[X]]=1,tbal[[#This Row],[X]]=2)),tbal[[#This Row],[DEUDOR]],0)</f>
        <v>0</v>
      </c>
      <c r="J298" s="18">
        <f>IF((OR(tbal[[#This Row],[X]]=2,tbal[[#This Row],[X]]=3)),tbal[[#This Row],[ACREEDOR]],0)</f>
        <v>0</v>
      </c>
      <c r="K298" s="16">
        <f>IF((OR(tbal[[#This Row],[X]]=3,tbal[[#This Row],[X]]=5)),tbal[[#This Row],[DEUDOR]],0)</f>
        <v>0</v>
      </c>
      <c r="L298" s="18">
        <f>IF((OR(tbal[[#This Row],[X]]=3,tbal[[#This Row],[X]]=4)),tbal[[#This Row],[ACREEDOR]],0)</f>
        <v>0</v>
      </c>
      <c r="M298" s="16">
        <f>IF((OR(tbal[[#This Row],[X]]=0,tbal[[#This Row],[X]]=6)),tbal[[#This Row],[DEUDOR]],0)</f>
        <v>0</v>
      </c>
      <c r="N298" s="18">
        <f>IF((OR(tbal[[#This Row],[X]]=0,tbal[[#This Row],[X]]=5)),tbal[[#This Row],[ACREEDOR]],0)</f>
        <v>0</v>
      </c>
    </row>
    <row r="299" spans="1:14" hidden="1" x14ac:dyDescent="0.3">
      <c r="A299" s="14">
        <f>+'PLAN DE CUENTAS'!A299</f>
        <v>0</v>
      </c>
      <c r="B299" s="13">
        <f>+'PLAN DE CUENTAS'!B299</f>
        <v>0</v>
      </c>
      <c r="C299" s="13">
        <f>+'PLAN DE CUENTAS'!C299</f>
        <v>0</v>
      </c>
      <c r="D299" t="str">
        <f>IF(tbal[[#This Row],[DEBE]]+tbal[[#This Row],[HABER]]=0,"","X")</f>
        <v/>
      </c>
      <c r="E299" s="16">
        <f>SUMIF(tdiario[CUENTA],tbal[[#This Row],[CUENTA]],tdiario[DEBE])</f>
        <v>0</v>
      </c>
      <c r="F299" s="17">
        <f>SUMIF(tdiario[CUENTA],tbal[[#This Row],[CUENTA]],tdiario[HABER])</f>
        <v>0</v>
      </c>
      <c r="G299" s="16">
        <f>IF(tbal[[#This Row],[DEBE]]-tbal[[#This Row],[HABER]]&gt;0,tbal[[#This Row],[DEBE]]-tbal[[#This Row],[HABER]],0)</f>
        <v>0</v>
      </c>
      <c r="H299" s="18">
        <f>IF(tbal[[#This Row],[HABER]]-tbal[[#This Row],[DEBE]]&gt;0,tbal[[#This Row],[HABER]]-tbal[[#This Row],[DEBE]],0)</f>
        <v>0</v>
      </c>
      <c r="I299" s="16">
        <f>IF((OR(tbal[[#This Row],[X]]=1,tbal[[#This Row],[X]]=2)),tbal[[#This Row],[DEUDOR]],0)</f>
        <v>0</v>
      </c>
      <c r="J299" s="18">
        <f>IF((OR(tbal[[#This Row],[X]]=2,tbal[[#This Row],[X]]=3)),tbal[[#This Row],[ACREEDOR]],0)</f>
        <v>0</v>
      </c>
      <c r="K299" s="16">
        <f>IF((OR(tbal[[#This Row],[X]]=3,tbal[[#This Row],[X]]=5)),tbal[[#This Row],[DEUDOR]],0)</f>
        <v>0</v>
      </c>
      <c r="L299" s="18">
        <f>IF((OR(tbal[[#This Row],[X]]=3,tbal[[#This Row],[X]]=4)),tbal[[#This Row],[ACREEDOR]],0)</f>
        <v>0</v>
      </c>
      <c r="M299" s="16">
        <f>IF((OR(tbal[[#This Row],[X]]=0,tbal[[#This Row],[X]]=6)),tbal[[#This Row],[DEUDOR]],0)</f>
        <v>0</v>
      </c>
      <c r="N299" s="18">
        <f>IF((OR(tbal[[#This Row],[X]]=0,tbal[[#This Row],[X]]=5)),tbal[[#This Row],[ACREEDOR]],0)</f>
        <v>0</v>
      </c>
    </row>
    <row r="300" spans="1:14" hidden="1" x14ac:dyDescent="0.3">
      <c r="A300" s="14">
        <f>+'PLAN DE CUENTAS'!A300</f>
        <v>0</v>
      </c>
      <c r="B300" s="13">
        <f>+'PLAN DE CUENTAS'!B300</f>
        <v>0</v>
      </c>
      <c r="C300" s="13">
        <f>+'PLAN DE CUENTAS'!C300</f>
        <v>0</v>
      </c>
      <c r="D300" t="str">
        <f>IF(tbal[[#This Row],[DEBE]]+tbal[[#This Row],[HABER]]=0,"","X")</f>
        <v/>
      </c>
      <c r="E300" s="16">
        <f>SUMIF(tdiario[CUENTA],tbal[[#This Row],[CUENTA]],tdiario[DEBE])</f>
        <v>0</v>
      </c>
      <c r="F300" s="17">
        <f>SUMIF(tdiario[CUENTA],tbal[[#This Row],[CUENTA]],tdiario[HABER])</f>
        <v>0</v>
      </c>
      <c r="G300" s="16">
        <f>IF(tbal[[#This Row],[DEBE]]-tbal[[#This Row],[HABER]]&gt;0,tbal[[#This Row],[DEBE]]-tbal[[#This Row],[HABER]],0)</f>
        <v>0</v>
      </c>
      <c r="H300" s="18">
        <f>IF(tbal[[#This Row],[HABER]]-tbal[[#This Row],[DEBE]]&gt;0,tbal[[#This Row],[HABER]]-tbal[[#This Row],[DEBE]],0)</f>
        <v>0</v>
      </c>
      <c r="I300" s="16">
        <f>IF((OR(tbal[[#This Row],[X]]=1,tbal[[#This Row],[X]]=2)),tbal[[#This Row],[DEUDOR]],0)</f>
        <v>0</v>
      </c>
      <c r="J300" s="18">
        <f>IF((OR(tbal[[#This Row],[X]]=2,tbal[[#This Row],[X]]=3)),tbal[[#This Row],[ACREEDOR]],0)</f>
        <v>0</v>
      </c>
      <c r="K300" s="16">
        <f>IF((OR(tbal[[#This Row],[X]]=3,tbal[[#This Row],[X]]=5)),tbal[[#This Row],[DEUDOR]],0)</f>
        <v>0</v>
      </c>
      <c r="L300" s="18">
        <f>IF((OR(tbal[[#This Row],[X]]=3,tbal[[#This Row],[X]]=4)),tbal[[#This Row],[ACREEDOR]],0)</f>
        <v>0</v>
      </c>
      <c r="M300" s="16">
        <f>IF((OR(tbal[[#This Row],[X]]=0,tbal[[#This Row],[X]]=6)),tbal[[#This Row],[DEUDOR]],0)</f>
        <v>0</v>
      </c>
      <c r="N300" s="18">
        <f>IF((OR(tbal[[#This Row],[X]]=0,tbal[[#This Row],[X]]=5)),tbal[[#This Row],[ACREEDOR]],0)</f>
        <v>0</v>
      </c>
    </row>
    <row r="301" spans="1:14" hidden="1" x14ac:dyDescent="0.3">
      <c r="A301" s="14">
        <f>+'PLAN DE CUENTAS'!A301</f>
        <v>0</v>
      </c>
      <c r="B301" s="13">
        <f>+'PLAN DE CUENTAS'!B301</f>
        <v>0</v>
      </c>
      <c r="C301" s="13">
        <f>+'PLAN DE CUENTAS'!C301</f>
        <v>0</v>
      </c>
      <c r="D301" t="str">
        <f>IF(tbal[[#This Row],[DEBE]]+tbal[[#This Row],[HABER]]=0,"","X")</f>
        <v/>
      </c>
      <c r="E301" s="16">
        <f>SUMIF(tdiario[CUENTA],tbal[[#This Row],[CUENTA]],tdiario[DEBE])</f>
        <v>0</v>
      </c>
      <c r="F301" s="17">
        <f>SUMIF(tdiario[CUENTA],tbal[[#This Row],[CUENTA]],tdiario[HABER])</f>
        <v>0</v>
      </c>
      <c r="G301" s="16">
        <f>IF(tbal[[#This Row],[DEBE]]-tbal[[#This Row],[HABER]]&gt;0,tbal[[#This Row],[DEBE]]-tbal[[#This Row],[HABER]],0)</f>
        <v>0</v>
      </c>
      <c r="H301" s="18">
        <f>IF(tbal[[#This Row],[HABER]]-tbal[[#This Row],[DEBE]]&gt;0,tbal[[#This Row],[HABER]]-tbal[[#This Row],[DEBE]],0)</f>
        <v>0</v>
      </c>
      <c r="I301" s="16">
        <f>IF((OR(tbal[[#This Row],[X]]=1,tbal[[#This Row],[X]]=2)),tbal[[#This Row],[DEUDOR]],0)</f>
        <v>0</v>
      </c>
      <c r="J301" s="18">
        <f>IF((OR(tbal[[#This Row],[X]]=2,tbal[[#This Row],[X]]=3)),tbal[[#This Row],[ACREEDOR]],0)</f>
        <v>0</v>
      </c>
      <c r="K301" s="16">
        <f>IF((OR(tbal[[#This Row],[X]]=3,tbal[[#This Row],[X]]=5)),tbal[[#This Row],[DEUDOR]],0)</f>
        <v>0</v>
      </c>
      <c r="L301" s="18">
        <f>IF((OR(tbal[[#This Row],[X]]=3,tbal[[#This Row],[X]]=4)),tbal[[#This Row],[ACREEDOR]],0)</f>
        <v>0</v>
      </c>
      <c r="M301" s="16">
        <f>IF((OR(tbal[[#This Row],[X]]=0,tbal[[#This Row],[X]]=6)),tbal[[#This Row],[DEUDOR]],0)</f>
        <v>0</v>
      </c>
      <c r="N301" s="18">
        <f>IF((OR(tbal[[#This Row],[X]]=0,tbal[[#This Row],[X]]=5)),tbal[[#This Row],[ACREEDOR]],0)</f>
        <v>0</v>
      </c>
    </row>
    <row r="302" spans="1:14" hidden="1" x14ac:dyDescent="0.3">
      <c r="A302" s="14">
        <f>+'PLAN DE CUENTAS'!A302</f>
        <v>0</v>
      </c>
      <c r="B302" s="13">
        <f>+'PLAN DE CUENTAS'!B302</f>
        <v>0</v>
      </c>
      <c r="C302" s="13">
        <f>+'PLAN DE CUENTAS'!C302</f>
        <v>0</v>
      </c>
      <c r="D302" t="str">
        <f>IF(tbal[[#This Row],[DEBE]]+tbal[[#This Row],[HABER]]=0,"","X")</f>
        <v/>
      </c>
      <c r="E302" s="16">
        <f>SUMIF(tdiario[CUENTA],tbal[[#This Row],[CUENTA]],tdiario[DEBE])</f>
        <v>0</v>
      </c>
      <c r="F302" s="17">
        <f>SUMIF(tdiario[CUENTA],tbal[[#This Row],[CUENTA]],tdiario[HABER])</f>
        <v>0</v>
      </c>
      <c r="G302" s="16">
        <f>IF(tbal[[#This Row],[DEBE]]-tbal[[#This Row],[HABER]]&gt;0,tbal[[#This Row],[DEBE]]-tbal[[#This Row],[HABER]],0)</f>
        <v>0</v>
      </c>
      <c r="H302" s="18">
        <f>IF(tbal[[#This Row],[HABER]]-tbal[[#This Row],[DEBE]]&gt;0,tbal[[#This Row],[HABER]]-tbal[[#This Row],[DEBE]],0)</f>
        <v>0</v>
      </c>
      <c r="I302" s="16">
        <f>IF((OR(tbal[[#This Row],[X]]=1,tbal[[#This Row],[X]]=2)),tbal[[#This Row],[DEUDOR]],0)</f>
        <v>0</v>
      </c>
      <c r="J302" s="18">
        <f>IF((OR(tbal[[#This Row],[X]]=2,tbal[[#This Row],[X]]=3)),tbal[[#This Row],[ACREEDOR]],0)</f>
        <v>0</v>
      </c>
      <c r="K302" s="16">
        <f>IF((OR(tbal[[#This Row],[X]]=3,tbal[[#This Row],[X]]=5)),tbal[[#This Row],[DEUDOR]],0)</f>
        <v>0</v>
      </c>
      <c r="L302" s="18">
        <f>IF((OR(tbal[[#This Row],[X]]=3,tbal[[#This Row],[X]]=4)),tbal[[#This Row],[ACREEDOR]],0)</f>
        <v>0</v>
      </c>
      <c r="M302" s="16">
        <f>IF((OR(tbal[[#This Row],[X]]=0,tbal[[#This Row],[X]]=6)),tbal[[#This Row],[DEUDOR]],0)</f>
        <v>0</v>
      </c>
      <c r="N302" s="18">
        <f>IF((OR(tbal[[#This Row],[X]]=0,tbal[[#This Row],[X]]=5)),tbal[[#This Row],[ACREEDOR]],0)</f>
        <v>0</v>
      </c>
    </row>
    <row r="303" spans="1:14" hidden="1" x14ac:dyDescent="0.3">
      <c r="A303" s="14">
        <f>+'PLAN DE CUENTAS'!A303</f>
        <v>0</v>
      </c>
      <c r="B303" s="13">
        <f>+'PLAN DE CUENTAS'!B303</f>
        <v>0</v>
      </c>
      <c r="C303" s="13">
        <f>+'PLAN DE CUENTAS'!C303</f>
        <v>0</v>
      </c>
      <c r="D303" t="str">
        <f>IF(tbal[[#This Row],[DEBE]]+tbal[[#This Row],[HABER]]=0,"","X")</f>
        <v/>
      </c>
      <c r="E303" s="16">
        <f>SUMIF(tdiario[CUENTA],tbal[[#This Row],[CUENTA]],tdiario[DEBE])</f>
        <v>0</v>
      </c>
      <c r="F303" s="17">
        <f>SUMIF(tdiario[CUENTA],tbal[[#This Row],[CUENTA]],tdiario[HABER])</f>
        <v>0</v>
      </c>
      <c r="G303" s="16">
        <f>IF(tbal[[#This Row],[DEBE]]-tbal[[#This Row],[HABER]]&gt;0,tbal[[#This Row],[DEBE]]-tbal[[#This Row],[HABER]],0)</f>
        <v>0</v>
      </c>
      <c r="H303" s="18">
        <f>IF(tbal[[#This Row],[HABER]]-tbal[[#This Row],[DEBE]]&gt;0,tbal[[#This Row],[HABER]]-tbal[[#This Row],[DEBE]],0)</f>
        <v>0</v>
      </c>
      <c r="I303" s="16">
        <f>IF((OR(tbal[[#This Row],[X]]=1,tbal[[#This Row],[X]]=2)),tbal[[#This Row],[DEUDOR]],0)</f>
        <v>0</v>
      </c>
      <c r="J303" s="18">
        <f>IF((OR(tbal[[#This Row],[X]]=2,tbal[[#This Row],[X]]=3)),tbal[[#This Row],[ACREEDOR]],0)</f>
        <v>0</v>
      </c>
      <c r="K303" s="16">
        <f>IF((OR(tbal[[#This Row],[X]]=3,tbal[[#This Row],[X]]=5)),tbal[[#This Row],[DEUDOR]],0)</f>
        <v>0</v>
      </c>
      <c r="L303" s="18">
        <f>IF((OR(tbal[[#This Row],[X]]=3,tbal[[#This Row],[X]]=4)),tbal[[#This Row],[ACREEDOR]],0)</f>
        <v>0</v>
      </c>
      <c r="M303" s="16">
        <f>IF((OR(tbal[[#This Row],[X]]=0,tbal[[#This Row],[X]]=6)),tbal[[#This Row],[DEUDOR]],0)</f>
        <v>0</v>
      </c>
      <c r="N303" s="18">
        <f>IF((OR(tbal[[#This Row],[X]]=0,tbal[[#This Row],[X]]=5)),tbal[[#This Row],[ACREEDOR]],0)</f>
        <v>0</v>
      </c>
    </row>
    <row r="304" spans="1:14" hidden="1" x14ac:dyDescent="0.3">
      <c r="A304" s="14">
        <f>+'PLAN DE CUENTAS'!A304</f>
        <v>0</v>
      </c>
      <c r="B304" s="13">
        <f>+'PLAN DE CUENTAS'!B304</f>
        <v>0</v>
      </c>
      <c r="C304" s="13">
        <f>+'PLAN DE CUENTAS'!C304</f>
        <v>0</v>
      </c>
      <c r="D304" t="str">
        <f>IF(tbal[[#This Row],[DEBE]]+tbal[[#This Row],[HABER]]=0,"","X")</f>
        <v/>
      </c>
      <c r="E304" s="16">
        <f>SUMIF(tdiario[CUENTA],tbal[[#This Row],[CUENTA]],tdiario[DEBE])</f>
        <v>0</v>
      </c>
      <c r="F304" s="17">
        <f>SUMIF(tdiario[CUENTA],tbal[[#This Row],[CUENTA]],tdiario[HABER])</f>
        <v>0</v>
      </c>
      <c r="G304" s="16">
        <f>IF(tbal[[#This Row],[DEBE]]-tbal[[#This Row],[HABER]]&gt;0,tbal[[#This Row],[DEBE]]-tbal[[#This Row],[HABER]],0)</f>
        <v>0</v>
      </c>
      <c r="H304" s="18">
        <f>IF(tbal[[#This Row],[HABER]]-tbal[[#This Row],[DEBE]]&gt;0,tbal[[#This Row],[HABER]]-tbal[[#This Row],[DEBE]],0)</f>
        <v>0</v>
      </c>
      <c r="I304" s="16">
        <f>IF((OR(tbal[[#This Row],[X]]=1,tbal[[#This Row],[X]]=2)),tbal[[#This Row],[DEUDOR]],0)</f>
        <v>0</v>
      </c>
      <c r="J304" s="18">
        <f>IF((OR(tbal[[#This Row],[X]]=2,tbal[[#This Row],[X]]=3)),tbal[[#This Row],[ACREEDOR]],0)</f>
        <v>0</v>
      </c>
      <c r="K304" s="16">
        <f>IF((OR(tbal[[#This Row],[X]]=3,tbal[[#This Row],[X]]=5)),tbal[[#This Row],[DEUDOR]],0)</f>
        <v>0</v>
      </c>
      <c r="L304" s="18">
        <f>IF((OR(tbal[[#This Row],[X]]=3,tbal[[#This Row],[X]]=4)),tbal[[#This Row],[ACREEDOR]],0)</f>
        <v>0</v>
      </c>
      <c r="M304" s="16">
        <f>IF((OR(tbal[[#This Row],[X]]=0,tbal[[#This Row],[X]]=6)),tbal[[#This Row],[DEUDOR]],0)</f>
        <v>0</v>
      </c>
      <c r="N304" s="18">
        <f>IF((OR(tbal[[#This Row],[X]]=0,tbal[[#This Row],[X]]=5)),tbal[[#This Row],[ACREEDOR]],0)</f>
        <v>0</v>
      </c>
    </row>
    <row r="305" spans="1:14" hidden="1" x14ac:dyDescent="0.3">
      <c r="A305" s="14">
        <f>+'PLAN DE CUENTAS'!A305</f>
        <v>0</v>
      </c>
      <c r="B305" s="13">
        <f>+'PLAN DE CUENTAS'!B305</f>
        <v>0</v>
      </c>
      <c r="C305" s="13">
        <f>+'PLAN DE CUENTAS'!C305</f>
        <v>0</v>
      </c>
      <c r="D305" t="str">
        <f>IF(tbal[[#This Row],[DEBE]]+tbal[[#This Row],[HABER]]=0,"","X")</f>
        <v/>
      </c>
      <c r="E305" s="16">
        <f>SUMIF(tdiario[CUENTA],tbal[[#This Row],[CUENTA]],tdiario[DEBE])</f>
        <v>0</v>
      </c>
      <c r="F305" s="17">
        <f>SUMIF(tdiario[CUENTA],tbal[[#This Row],[CUENTA]],tdiario[HABER])</f>
        <v>0</v>
      </c>
      <c r="G305" s="16">
        <f>IF(tbal[[#This Row],[DEBE]]-tbal[[#This Row],[HABER]]&gt;0,tbal[[#This Row],[DEBE]]-tbal[[#This Row],[HABER]],0)</f>
        <v>0</v>
      </c>
      <c r="H305" s="18">
        <f>IF(tbal[[#This Row],[HABER]]-tbal[[#This Row],[DEBE]]&gt;0,tbal[[#This Row],[HABER]]-tbal[[#This Row],[DEBE]],0)</f>
        <v>0</v>
      </c>
      <c r="I305" s="16">
        <f>IF((OR(tbal[[#This Row],[X]]=1,tbal[[#This Row],[X]]=2)),tbal[[#This Row],[DEUDOR]],0)</f>
        <v>0</v>
      </c>
      <c r="J305" s="18">
        <f>IF((OR(tbal[[#This Row],[X]]=2,tbal[[#This Row],[X]]=3)),tbal[[#This Row],[ACREEDOR]],0)</f>
        <v>0</v>
      </c>
      <c r="K305" s="16">
        <f>IF((OR(tbal[[#This Row],[X]]=3,tbal[[#This Row],[X]]=5)),tbal[[#This Row],[DEUDOR]],0)</f>
        <v>0</v>
      </c>
      <c r="L305" s="18">
        <f>IF((OR(tbal[[#This Row],[X]]=3,tbal[[#This Row],[X]]=4)),tbal[[#This Row],[ACREEDOR]],0)</f>
        <v>0</v>
      </c>
      <c r="M305" s="16">
        <f>IF((OR(tbal[[#This Row],[X]]=0,tbal[[#This Row],[X]]=6)),tbal[[#This Row],[DEUDOR]],0)</f>
        <v>0</v>
      </c>
      <c r="N305" s="18">
        <f>IF((OR(tbal[[#This Row],[X]]=0,tbal[[#This Row],[X]]=5)),tbal[[#This Row],[ACREEDOR]],0)</f>
        <v>0</v>
      </c>
    </row>
    <row r="306" spans="1:14" hidden="1" x14ac:dyDescent="0.3">
      <c r="A306" s="14">
        <f>+'PLAN DE CUENTAS'!A306</f>
        <v>0</v>
      </c>
      <c r="B306" s="13">
        <f>+'PLAN DE CUENTAS'!B306</f>
        <v>0</v>
      </c>
      <c r="C306" s="13">
        <f>+'PLAN DE CUENTAS'!C306</f>
        <v>0</v>
      </c>
      <c r="D306" t="str">
        <f>IF(tbal[[#This Row],[DEBE]]+tbal[[#This Row],[HABER]]=0,"","X")</f>
        <v/>
      </c>
      <c r="E306" s="16">
        <f>SUMIF(tdiario[CUENTA],tbal[[#This Row],[CUENTA]],tdiario[DEBE])</f>
        <v>0</v>
      </c>
      <c r="F306" s="17">
        <f>SUMIF(tdiario[CUENTA],tbal[[#This Row],[CUENTA]],tdiario[HABER])</f>
        <v>0</v>
      </c>
      <c r="G306" s="16">
        <f>IF(tbal[[#This Row],[DEBE]]-tbal[[#This Row],[HABER]]&gt;0,tbal[[#This Row],[DEBE]]-tbal[[#This Row],[HABER]],0)</f>
        <v>0</v>
      </c>
      <c r="H306" s="18">
        <f>IF(tbal[[#This Row],[HABER]]-tbal[[#This Row],[DEBE]]&gt;0,tbal[[#This Row],[HABER]]-tbal[[#This Row],[DEBE]],0)</f>
        <v>0</v>
      </c>
      <c r="I306" s="16">
        <f>IF((OR(tbal[[#This Row],[X]]=1,tbal[[#This Row],[X]]=2)),tbal[[#This Row],[DEUDOR]],0)</f>
        <v>0</v>
      </c>
      <c r="J306" s="18">
        <f>IF((OR(tbal[[#This Row],[X]]=2,tbal[[#This Row],[X]]=3)),tbal[[#This Row],[ACREEDOR]],0)</f>
        <v>0</v>
      </c>
      <c r="K306" s="16">
        <f>IF((OR(tbal[[#This Row],[X]]=3,tbal[[#This Row],[X]]=5)),tbal[[#This Row],[DEUDOR]],0)</f>
        <v>0</v>
      </c>
      <c r="L306" s="18">
        <f>IF((OR(tbal[[#This Row],[X]]=3,tbal[[#This Row],[X]]=4)),tbal[[#This Row],[ACREEDOR]],0)</f>
        <v>0</v>
      </c>
      <c r="M306" s="16">
        <f>IF((OR(tbal[[#This Row],[X]]=0,tbal[[#This Row],[X]]=6)),tbal[[#This Row],[DEUDOR]],0)</f>
        <v>0</v>
      </c>
      <c r="N306" s="18">
        <f>IF((OR(tbal[[#This Row],[X]]=0,tbal[[#This Row],[X]]=5)),tbal[[#This Row],[ACREEDOR]],0)</f>
        <v>0</v>
      </c>
    </row>
    <row r="307" spans="1:14" hidden="1" x14ac:dyDescent="0.3">
      <c r="A307" s="14">
        <f>+'PLAN DE CUENTAS'!A307</f>
        <v>0</v>
      </c>
      <c r="B307" s="13">
        <f>+'PLAN DE CUENTAS'!B307</f>
        <v>0</v>
      </c>
      <c r="C307" s="13">
        <f>+'PLAN DE CUENTAS'!C307</f>
        <v>0</v>
      </c>
      <c r="D307" t="str">
        <f>IF(tbal[[#This Row],[DEBE]]+tbal[[#This Row],[HABER]]=0,"","X")</f>
        <v/>
      </c>
      <c r="E307" s="16">
        <f>SUMIF(tdiario[CUENTA],tbal[[#This Row],[CUENTA]],tdiario[DEBE])</f>
        <v>0</v>
      </c>
      <c r="F307" s="17">
        <f>SUMIF(tdiario[CUENTA],tbal[[#This Row],[CUENTA]],tdiario[HABER])</f>
        <v>0</v>
      </c>
      <c r="G307" s="16">
        <f>IF(tbal[[#This Row],[DEBE]]-tbal[[#This Row],[HABER]]&gt;0,tbal[[#This Row],[DEBE]]-tbal[[#This Row],[HABER]],0)</f>
        <v>0</v>
      </c>
      <c r="H307" s="18">
        <f>IF(tbal[[#This Row],[HABER]]-tbal[[#This Row],[DEBE]]&gt;0,tbal[[#This Row],[HABER]]-tbal[[#This Row],[DEBE]],0)</f>
        <v>0</v>
      </c>
      <c r="I307" s="16">
        <f>IF((OR(tbal[[#This Row],[X]]=1,tbal[[#This Row],[X]]=2)),tbal[[#This Row],[DEUDOR]],0)</f>
        <v>0</v>
      </c>
      <c r="J307" s="18">
        <f>IF((OR(tbal[[#This Row],[X]]=2,tbal[[#This Row],[X]]=3)),tbal[[#This Row],[ACREEDOR]],0)</f>
        <v>0</v>
      </c>
      <c r="K307" s="16">
        <f>IF((OR(tbal[[#This Row],[X]]=3,tbal[[#This Row],[X]]=5)),tbal[[#This Row],[DEUDOR]],0)</f>
        <v>0</v>
      </c>
      <c r="L307" s="18">
        <f>IF((OR(tbal[[#This Row],[X]]=3,tbal[[#This Row],[X]]=4)),tbal[[#This Row],[ACREEDOR]],0)</f>
        <v>0</v>
      </c>
      <c r="M307" s="16">
        <f>IF((OR(tbal[[#This Row],[X]]=0,tbal[[#This Row],[X]]=6)),tbal[[#This Row],[DEUDOR]],0)</f>
        <v>0</v>
      </c>
      <c r="N307" s="18">
        <f>IF((OR(tbal[[#This Row],[X]]=0,tbal[[#This Row],[X]]=5)),tbal[[#This Row],[ACREEDOR]],0)</f>
        <v>0</v>
      </c>
    </row>
    <row r="308" spans="1:14" hidden="1" x14ac:dyDescent="0.3">
      <c r="A308" s="14">
        <f>+'PLAN DE CUENTAS'!A308</f>
        <v>0</v>
      </c>
      <c r="B308" s="13">
        <f>+'PLAN DE CUENTAS'!B308</f>
        <v>0</v>
      </c>
      <c r="C308" s="13">
        <f>+'PLAN DE CUENTAS'!C308</f>
        <v>0</v>
      </c>
      <c r="D308" t="str">
        <f>IF(tbal[[#This Row],[DEBE]]+tbal[[#This Row],[HABER]]=0,"","X")</f>
        <v/>
      </c>
      <c r="E308" s="16">
        <f>SUMIF(tdiario[CUENTA],tbal[[#This Row],[CUENTA]],tdiario[DEBE])</f>
        <v>0</v>
      </c>
      <c r="F308" s="17">
        <f>SUMIF(tdiario[CUENTA],tbal[[#This Row],[CUENTA]],tdiario[HABER])</f>
        <v>0</v>
      </c>
      <c r="G308" s="16">
        <f>IF(tbal[[#This Row],[DEBE]]-tbal[[#This Row],[HABER]]&gt;0,tbal[[#This Row],[DEBE]]-tbal[[#This Row],[HABER]],0)</f>
        <v>0</v>
      </c>
      <c r="H308" s="18">
        <f>IF(tbal[[#This Row],[HABER]]-tbal[[#This Row],[DEBE]]&gt;0,tbal[[#This Row],[HABER]]-tbal[[#This Row],[DEBE]],0)</f>
        <v>0</v>
      </c>
      <c r="I308" s="16">
        <f>IF((OR(tbal[[#This Row],[X]]=1,tbal[[#This Row],[X]]=2)),tbal[[#This Row],[DEUDOR]],0)</f>
        <v>0</v>
      </c>
      <c r="J308" s="18">
        <f>IF((OR(tbal[[#This Row],[X]]=2,tbal[[#This Row],[X]]=3)),tbal[[#This Row],[ACREEDOR]],0)</f>
        <v>0</v>
      </c>
      <c r="K308" s="16">
        <f>IF((OR(tbal[[#This Row],[X]]=3,tbal[[#This Row],[X]]=5)),tbal[[#This Row],[DEUDOR]],0)</f>
        <v>0</v>
      </c>
      <c r="L308" s="18">
        <f>IF((OR(tbal[[#This Row],[X]]=3,tbal[[#This Row],[X]]=4)),tbal[[#This Row],[ACREEDOR]],0)</f>
        <v>0</v>
      </c>
      <c r="M308" s="16">
        <f>IF((OR(tbal[[#This Row],[X]]=0,tbal[[#This Row],[X]]=6)),tbal[[#This Row],[DEUDOR]],0)</f>
        <v>0</v>
      </c>
      <c r="N308" s="18">
        <f>IF((OR(tbal[[#This Row],[X]]=0,tbal[[#This Row],[X]]=5)),tbal[[#This Row],[ACREEDOR]],0)</f>
        <v>0</v>
      </c>
    </row>
    <row r="309" spans="1:14" hidden="1" x14ac:dyDescent="0.3">
      <c r="A309" s="14">
        <f>+'PLAN DE CUENTAS'!A309</f>
        <v>0</v>
      </c>
      <c r="B309" s="13">
        <f>+'PLAN DE CUENTAS'!B309</f>
        <v>0</v>
      </c>
      <c r="C309" s="13">
        <f>+'PLAN DE CUENTAS'!C309</f>
        <v>0</v>
      </c>
      <c r="D309" t="str">
        <f>IF(tbal[[#This Row],[DEBE]]+tbal[[#This Row],[HABER]]=0,"","X")</f>
        <v/>
      </c>
      <c r="E309" s="16">
        <f>SUMIF(tdiario[CUENTA],tbal[[#This Row],[CUENTA]],tdiario[DEBE])</f>
        <v>0</v>
      </c>
      <c r="F309" s="17">
        <f>SUMIF(tdiario[CUENTA],tbal[[#This Row],[CUENTA]],tdiario[HABER])</f>
        <v>0</v>
      </c>
      <c r="G309" s="16">
        <f>IF(tbal[[#This Row],[DEBE]]-tbal[[#This Row],[HABER]]&gt;0,tbal[[#This Row],[DEBE]]-tbal[[#This Row],[HABER]],0)</f>
        <v>0</v>
      </c>
      <c r="H309" s="18">
        <f>IF(tbal[[#This Row],[HABER]]-tbal[[#This Row],[DEBE]]&gt;0,tbal[[#This Row],[HABER]]-tbal[[#This Row],[DEBE]],0)</f>
        <v>0</v>
      </c>
      <c r="I309" s="16">
        <f>IF((OR(tbal[[#This Row],[X]]=1,tbal[[#This Row],[X]]=2)),tbal[[#This Row],[DEUDOR]],0)</f>
        <v>0</v>
      </c>
      <c r="J309" s="18">
        <f>IF((OR(tbal[[#This Row],[X]]=2,tbal[[#This Row],[X]]=3)),tbal[[#This Row],[ACREEDOR]],0)</f>
        <v>0</v>
      </c>
      <c r="K309" s="16">
        <f>IF((OR(tbal[[#This Row],[X]]=3,tbal[[#This Row],[X]]=5)),tbal[[#This Row],[DEUDOR]],0)</f>
        <v>0</v>
      </c>
      <c r="L309" s="18">
        <f>IF((OR(tbal[[#This Row],[X]]=3,tbal[[#This Row],[X]]=4)),tbal[[#This Row],[ACREEDOR]],0)</f>
        <v>0</v>
      </c>
      <c r="M309" s="16">
        <f>IF((OR(tbal[[#This Row],[X]]=0,tbal[[#This Row],[X]]=6)),tbal[[#This Row],[DEUDOR]],0)</f>
        <v>0</v>
      </c>
      <c r="N309" s="18">
        <f>IF((OR(tbal[[#This Row],[X]]=0,tbal[[#This Row],[X]]=5)),tbal[[#This Row],[ACREEDOR]],0)</f>
        <v>0</v>
      </c>
    </row>
    <row r="310" spans="1:14" hidden="1" x14ac:dyDescent="0.3">
      <c r="A310" s="14">
        <f>+'PLAN DE CUENTAS'!A310</f>
        <v>0</v>
      </c>
      <c r="B310" s="13">
        <f>+'PLAN DE CUENTAS'!B310</f>
        <v>0</v>
      </c>
      <c r="C310" s="13">
        <f>+'PLAN DE CUENTAS'!C310</f>
        <v>0</v>
      </c>
      <c r="D310" t="str">
        <f>IF(tbal[[#This Row],[DEBE]]+tbal[[#This Row],[HABER]]=0,"","X")</f>
        <v/>
      </c>
      <c r="E310" s="16">
        <f>SUMIF(tdiario[CUENTA],tbal[[#This Row],[CUENTA]],tdiario[DEBE])</f>
        <v>0</v>
      </c>
      <c r="F310" s="17">
        <f>SUMIF(tdiario[CUENTA],tbal[[#This Row],[CUENTA]],tdiario[HABER])</f>
        <v>0</v>
      </c>
      <c r="G310" s="16">
        <f>IF(tbal[[#This Row],[DEBE]]-tbal[[#This Row],[HABER]]&gt;0,tbal[[#This Row],[DEBE]]-tbal[[#This Row],[HABER]],0)</f>
        <v>0</v>
      </c>
      <c r="H310" s="18">
        <f>IF(tbal[[#This Row],[HABER]]-tbal[[#This Row],[DEBE]]&gt;0,tbal[[#This Row],[HABER]]-tbal[[#This Row],[DEBE]],0)</f>
        <v>0</v>
      </c>
      <c r="I310" s="16">
        <f>IF((OR(tbal[[#This Row],[X]]=1,tbal[[#This Row],[X]]=2)),tbal[[#This Row],[DEUDOR]],0)</f>
        <v>0</v>
      </c>
      <c r="J310" s="18">
        <f>IF((OR(tbal[[#This Row],[X]]=2,tbal[[#This Row],[X]]=3)),tbal[[#This Row],[ACREEDOR]],0)</f>
        <v>0</v>
      </c>
      <c r="K310" s="16">
        <f>IF((OR(tbal[[#This Row],[X]]=3,tbal[[#This Row],[X]]=5)),tbal[[#This Row],[DEUDOR]],0)</f>
        <v>0</v>
      </c>
      <c r="L310" s="18">
        <f>IF((OR(tbal[[#This Row],[X]]=3,tbal[[#This Row],[X]]=4)),tbal[[#This Row],[ACREEDOR]],0)</f>
        <v>0</v>
      </c>
      <c r="M310" s="16">
        <f>IF((OR(tbal[[#This Row],[X]]=0,tbal[[#This Row],[X]]=6)),tbal[[#This Row],[DEUDOR]],0)</f>
        <v>0</v>
      </c>
      <c r="N310" s="18">
        <f>IF((OR(tbal[[#This Row],[X]]=0,tbal[[#This Row],[X]]=5)),tbal[[#This Row],[ACREEDOR]],0)</f>
        <v>0</v>
      </c>
    </row>
    <row r="311" spans="1:14" hidden="1" x14ac:dyDescent="0.3">
      <c r="A311" s="14">
        <f>+'PLAN DE CUENTAS'!A311</f>
        <v>0</v>
      </c>
      <c r="B311" s="13">
        <f>+'PLAN DE CUENTAS'!B311</f>
        <v>0</v>
      </c>
      <c r="C311" s="13">
        <f>+'PLAN DE CUENTAS'!C311</f>
        <v>0</v>
      </c>
      <c r="D311" t="str">
        <f>IF(tbal[[#This Row],[DEBE]]+tbal[[#This Row],[HABER]]=0,"","X")</f>
        <v/>
      </c>
      <c r="E311" s="16">
        <f>SUMIF(tdiario[CUENTA],tbal[[#This Row],[CUENTA]],tdiario[DEBE])</f>
        <v>0</v>
      </c>
      <c r="F311" s="17">
        <f>SUMIF(tdiario[CUENTA],tbal[[#This Row],[CUENTA]],tdiario[HABER])</f>
        <v>0</v>
      </c>
      <c r="G311" s="16">
        <f>IF(tbal[[#This Row],[DEBE]]-tbal[[#This Row],[HABER]]&gt;0,tbal[[#This Row],[DEBE]]-tbal[[#This Row],[HABER]],0)</f>
        <v>0</v>
      </c>
      <c r="H311" s="18">
        <f>IF(tbal[[#This Row],[HABER]]-tbal[[#This Row],[DEBE]]&gt;0,tbal[[#This Row],[HABER]]-tbal[[#This Row],[DEBE]],0)</f>
        <v>0</v>
      </c>
      <c r="I311" s="16">
        <f>IF((OR(tbal[[#This Row],[X]]=1,tbal[[#This Row],[X]]=2)),tbal[[#This Row],[DEUDOR]],0)</f>
        <v>0</v>
      </c>
      <c r="J311" s="18">
        <f>IF((OR(tbal[[#This Row],[X]]=2,tbal[[#This Row],[X]]=3)),tbal[[#This Row],[ACREEDOR]],0)</f>
        <v>0</v>
      </c>
      <c r="K311" s="16">
        <f>IF((OR(tbal[[#This Row],[X]]=3,tbal[[#This Row],[X]]=5)),tbal[[#This Row],[DEUDOR]],0)</f>
        <v>0</v>
      </c>
      <c r="L311" s="18">
        <f>IF((OR(tbal[[#This Row],[X]]=3,tbal[[#This Row],[X]]=4)),tbal[[#This Row],[ACREEDOR]],0)</f>
        <v>0</v>
      </c>
      <c r="M311" s="16">
        <f>IF((OR(tbal[[#This Row],[X]]=0,tbal[[#This Row],[X]]=6)),tbal[[#This Row],[DEUDOR]],0)</f>
        <v>0</v>
      </c>
      <c r="N311" s="18">
        <f>IF((OR(tbal[[#This Row],[X]]=0,tbal[[#This Row],[X]]=5)),tbal[[#This Row],[ACREEDOR]],0)</f>
        <v>0</v>
      </c>
    </row>
    <row r="312" spans="1:14" hidden="1" x14ac:dyDescent="0.3">
      <c r="A312" s="14">
        <f>+'PLAN DE CUENTAS'!A312</f>
        <v>0</v>
      </c>
      <c r="B312" s="13">
        <f>+'PLAN DE CUENTAS'!B312</f>
        <v>0</v>
      </c>
      <c r="C312" s="13">
        <f>+'PLAN DE CUENTAS'!C312</f>
        <v>0</v>
      </c>
      <c r="D312" t="str">
        <f>IF(tbal[[#This Row],[DEBE]]+tbal[[#This Row],[HABER]]=0,"","X")</f>
        <v/>
      </c>
      <c r="E312" s="16">
        <f>SUMIF(tdiario[CUENTA],tbal[[#This Row],[CUENTA]],tdiario[DEBE])</f>
        <v>0</v>
      </c>
      <c r="F312" s="17">
        <f>SUMIF(tdiario[CUENTA],tbal[[#This Row],[CUENTA]],tdiario[HABER])</f>
        <v>0</v>
      </c>
      <c r="G312" s="16">
        <f>IF(tbal[[#This Row],[DEBE]]-tbal[[#This Row],[HABER]]&gt;0,tbal[[#This Row],[DEBE]]-tbal[[#This Row],[HABER]],0)</f>
        <v>0</v>
      </c>
      <c r="H312" s="18">
        <f>IF(tbal[[#This Row],[HABER]]-tbal[[#This Row],[DEBE]]&gt;0,tbal[[#This Row],[HABER]]-tbal[[#This Row],[DEBE]],0)</f>
        <v>0</v>
      </c>
      <c r="I312" s="16">
        <f>IF((OR(tbal[[#This Row],[X]]=1,tbal[[#This Row],[X]]=2)),tbal[[#This Row],[DEUDOR]],0)</f>
        <v>0</v>
      </c>
      <c r="J312" s="18">
        <f>IF((OR(tbal[[#This Row],[X]]=2,tbal[[#This Row],[X]]=3)),tbal[[#This Row],[ACREEDOR]],0)</f>
        <v>0</v>
      </c>
      <c r="K312" s="16">
        <f>IF((OR(tbal[[#This Row],[X]]=3,tbal[[#This Row],[X]]=5)),tbal[[#This Row],[DEUDOR]],0)</f>
        <v>0</v>
      </c>
      <c r="L312" s="18">
        <f>IF((OR(tbal[[#This Row],[X]]=3,tbal[[#This Row],[X]]=4)),tbal[[#This Row],[ACREEDOR]],0)</f>
        <v>0</v>
      </c>
      <c r="M312" s="16">
        <f>IF((OR(tbal[[#This Row],[X]]=0,tbal[[#This Row],[X]]=6)),tbal[[#This Row],[DEUDOR]],0)</f>
        <v>0</v>
      </c>
      <c r="N312" s="18">
        <f>IF((OR(tbal[[#This Row],[X]]=0,tbal[[#This Row],[X]]=5)),tbal[[#This Row],[ACREEDOR]],0)</f>
        <v>0</v>
      </c>
    </row>
    <row r="313" spans="1:14" hidden="1" x14ac:dyDescent="0.3">
      <c r="A313" s="14">
        <f>+'PLAN DE CUENTAS'!A313</f>
        <v>0</v>
      </c>
      <c r="B313" s="13">
        <f>+'PLAN DE CUENTAS'!B313</f>
        <v>0</v>
      </c>
      <c r="C313" s="13">
        <f>+'PLAN DE CUENTAS'!C313</f>
        <v>0</v>
      </c>
      <c r="D313" t="str">
        <f>IF(tbal[[#This Row],[DEBE]]+tbal[[#This Row],[HABER]]=0,"","X")</f>
        <v/>
      </c>
      <c r="E313" s="16">
        <f>SUMIF(tdiario[CUENTA],tbal[[#This Row],[CUENTA]],tdiario[DEBE])</f>
        <v>0</v>
      </c>
      <c r="F313" s="17">
        <f>SUMIF(tdiario[CUENTA],tbal[[#This Row],[CUENTA]],tdiario[HABER])</f>
        <v>0</v>
      </c>
      <c r="G313" s="16">
        <f>IF(tbal[[#This Row],[DEBE]]-tbal[[#This Row],[HABER]]&gt;0,tbal[[#This Row],[DEBE]]-tbal[[#This Row],[HABER]],0)</f>
        <v>0</v>
      </c>
      <c r="H313" s="18">
        <f>IF(tbal[[#This Row],[HABER]]-tbal[[#This Row],[DEBE]]&gt;0,tbal[[#This Row],[HABER]]-tbal[[#This Row],[DEBE]],0)</f>
        <v>0</v>
      </c>
      <c r="I313" s="16">
        <f>IF((OR(tbal[[#This Row],[X]]=1,tbal[[#This Row],[X]]=2)),tbal[[#This Row],[DEUDOR]],0)</f>
        <v>0</v>
      </c>
      <c r="J313" s="18">
        <f>IF((OR(tbal[[#This Row],[X]]=2,tbal[[#This Row],[X]]=3)),tbal[[#This Row],[ACREEDOR]],0)</f>
        <v>0</v>
      </c>
      <c r="K313" s="16">
        <f>IF((OR(tbal[[#This Row],[X]]=3,tbal[[#This Row],[X]]=5)),tbal[[#This Row],[DEUDOR]],0)</f>
        <v>0</v>
      </c>
      <c r="L313" s="18">
        <f>IF((OR(tbal[[#This Row],[X]]=3,tbal[[#This Row],[X]]=4)),tbal[[#This Row],[ACREEDOR]],0)</f>
        <v>0</v>
      </c>
      <c r="M313" s="16">
        <f>IF((OR(tbal[[#This Row],[X]]=0,tbal[[#This Row],[X]]=6)),tbal[[#This Row],[DEUDOR]],0)</f>
        <v>0</v>
      </c>
      <c r="N313" s="18">
        <f>IF((OR(tbal[[#This Row],[X]]=0,tbal[[#This Row],[X]]=5)),tbal[[#This Row],[ACREEDOR]],0)</f>
        <v>0</v>
      </c>
    </row>
    <row r="314" spans="1:14" hidden="1" x14ac:dyDescent="0.3">
      <c r="A314" s="14">
        <f>+'PLAN DE CUENTAS'!A314</f>
        <v>0</v>
      </c>
      <c r="B314" s="13">
        <f>+'PLAN DE CUENTAS'!B314</f>
        <v>0</v>
      </c>
      <c r="C314" s="13">
        <f>+'PLAN DE CUENTAS'!C314</f>
        <v>0</v>
      </c>
      <c r="D314" t="str">
        <f>IF(tbal[[#This Row],[DEBE]]+tbal[[#This Row],[HABER]]=0,"","X")</f>
        <v/>
      </c>
      <c r="E314" s="16">
        <f>SUMIF(tdiario[CUENTA],tbal[[#This Row],[CUENTA]],tdiario[DEBE])</f>
        <v>0</v>
      </c>
      <c r="F314" s="17">
        <f>SUMIF(tdiario[CUENTA],tbal[[#This Row],[CUENTA]],tdiario[HABER])</f>
        <v>0</v>
      </c>
      <c r="G314" s="16">
        <f>IF(tbal[[#This Row],[DEBE]]-tbal[[#This Row],[HABER]]&gt;0,tbal[[#This Row],[DEBE]]-tbal[[#This Row],[HABER]],0)</f>
        <v>0</v>
      </c>
      <c r="H314" s="18">
        <f>IF(tbal[[#This Row],[HABER]]-tbal[[#This Row],[DEBE]]&gt;0,tbal[[#This Row],[HABER]]-tbal[[#This Row],[DEBE]],0)</f>
        <v>0</v>
      </c>
      <c r="I314" s="16">
        <f>IF((OR(tbal[[#This Row],[X]]=1,tbal[[#This Row],[X]]=2)),tbal[[#This Row],[DEUDOR]],0)</f>
        <v>0</v>
      </c>
      <c r="J314" s="18">
        <f>IF((OR(tbal[[#This Row],[X]]=2,tbal[[#This Row],[X]]=3)),tbal[[#This Row],[ACREEDOR]],0)</f>
        <v>0</v>
      </c>
      <c r="K314" s="16">
        <f>IF((OR(tbal[[#This Row],[X]]=3,tbal[[#This Row],[X]]=5)),tbal[[#This Row],[DEUDOR]],0)</f>
        <v>0</v>
      </c>
      <c r="L314" s="18">
        <f>IF((OR(tbal[[#This Row],[X]]=3,tbal[[#This Row],[X]]=4)),tbal[[#This Row],[ACREEDOR]],0)</f>
        <v>0</v>
      </c>
      <c r="M314" s="16">
        <f>IF((OR(tbal[[#This Row],[X]]=0,tbal[[#This Row],[X]]=6)),tbal[[#This Row],[DEUDOR]],0)</f>
        <v>0</v>
      </c>
      <c r="N314" s="18">
        <f>IF((OR(tbal[[#This Row],[X]]=0,tbal[[#This Row],[X]]=5)),tbal[[#This Row],[ACREEDOR]],0)</f>
        <v>0</v>
      </c>
    </row>
    <row r="315" spans="1:14" hidden="1" x14ac:dyDescent="0.3">
      <c r="A315" s="14">
        <f>+'PLAN DE CUENTAS'!A315</f>
        <v>0</v>
      </c>
      <c r="B315" s="13">
        <f>+'PLAN DE CUENTAS'!B315</f>
        <v>0</v>
      </c>
      <c r="C315" s="13">
        <f>+'PLAN DE CUENTAS'!C315</f>
        <v>0</v>
      </c>
      <c r="D315" t="str">
        <f>IF(tbal[[#This Row],[DEBE]]+tbal[[#This Row],[HABER]]=0,"","X")</f>
        <v/>
      </c>
      <c r="E315" s="16">
        <f>SUMIF(tdiario[CUENTA],tbal[[#This Row],[CUENTA]],tdiario[DEBE])</f>
        <v>0</v>
      </c>
      <c r="F315" s="17">
        <f>SUMIF(tdiario[CUENTA],tbal[[#This Row],[CUENTA]],tdiario[HABER])</f>
        <v>0</v>
      </c>
      <c r="G315" s="16">
        <f>IF(tbal[[#This Row],[DEBE]]-tbal[[#This Row],[HABER]]&gt;0,tbal[[#This Row],[DEBE]]-tbal[[#This Row],[HABER]],0)</f>
        <v>0</v>
      </c>
      <c r="H315" s="18">
        <f>IF(tbal[[#This Row],[HABER]]-tbal[[#This Row],[DEBE]]&gt;0,tbal[[#This Row],[HABER]]-tbal[[#This Row],[DEBE]],0)</f>
        <v>0</v>
      </c>
      <c r="I315" s="16">
        <f>IF((OR(tbal[[#This Row],[X]]=1,tbal[[#This Row],[X]]=2)),tbal[[#This Row],[DEUDOR]],0)</f>
        <v>0</v>
      </c>
      <c r="J315" s="18">
        <f>IF((OR(tbal[[#This Row],[X]]=2,tbal[[#This Row],[X]]=3)),tbal[[#This Row],[ACREEDOR]],0)</f>
        <v>0</v>
      </c>
      <c r="K315" s="16">
        <f>IF((OR(tbal[[#This Row],[X]]=3,tbal[[#This Row],[X]]=5)),tbal[[#This Row],[DEUDOR]],0)</f>
        <v>0</v>
      </c>
      <c r="L315" s="18">
        <f>IF((OR(tbal[[#This Row],[X]]=3,tbal[[#This Row],[X]]=4)),tbal[[#This Row],[ACREEDOR]],0)</f>
        <v>0</v>
      </c>
      <c r="M315" s="16">
        <f>IF((OR(tbal[[#This Row],[X]]=0,tbal[[#This Row],[X]]=6)),tbal[[#This Row],[DEUDOR]],0)</f>
        <v>0</v>
      </c>
      <c r="N315" s="18">
        <f>IF((OR(tbal[[#This Row],[X]]=0,tbal[[#This Row],[X]]=5)),tbal[[#This Row],[ACREEDOR]],0)</f>
        <v>0</v>
      </c>
    </row>
    <row r="316" spans="1:14" hidden="1" x14ac:dyDescent="0.3">
      <c r="A316" s="14">
        <f>+'PLAN DE CUENTAS'!A316</f>
        <v>0</v>
      </c>
      <c r="B316" s="13">
        <f>+'PLAN DE CUENTAS'!B316</f>
        <v>0</v>
      </c>
      <c r="C316" s="13">
        <f>+'PLAN DE CUENTAS'!C316</f>
        <v>0</v>
      </c>
      <c r="D316" t="str">
        <f>IF(tbal[[#This Row],[DEBE]]+tbal[[#This Row],[HABER]]=0,"","X")</f>
        <v/>
      </c>
      <c r="E316" s="16">
        <f>SUMIF(tdiario[CUENTA],tbal[[#This Row],[CUENTA]],tdiario[DEBE])</f>
        <v>0</v>
      </c>
      <c r="F316" s="17">
        <f>SUMIF(tdiario[CUENTA],tbal[[#This Row],[CUENTA]],tdiario[HABER])</f>
        <v>0</v>
      </c>
      <c r="G316" s="16">
        <f>IF(tbal[[#This Row],[DEBE]]-tbal[[#This Row],[HABER]]&gt;0,tbal[[#This Row],[DEBE]]-tbal[[#This Row],[HABER]],0)</f>
        <v>0</v>
      </c>
      <c r="H316" s="18">
        <f>IF(tbal[[#This Row],[HABER]]-tbal[[#This Row],[DEBE]]&gt;0,tbal[[#This Row],[HABER]]-tbal[[#This Row],[DEBE]],0)</f>
        <v>0</v>
      </c>
      <c r="I316" s="16">
        <f>IF((OR(tbal[[#This Row],[X]]=1,tbal[[#This Row],[X]]=2)),tbal[[#This Row],[DEUDOR]],0)</f>
        <v>0</v>
      </c>
      <c r="J316" s="18">
        <f>IF((OR(tbal[[#This Row],[X]]=2,tbal[[#This Row],[X]]=3)),tbal[[#This Row],[ACREEDOR]],0)</f>
        <v>0</v>
      </c>
      <c r="K316" s="16">
        <f>IF((OR(tbal[[#This Row],[X]]=3,tbal[[#This Row],[X]]=5)),tbal[[#This Row],[DEUDOR]],0)</f>
        <v>0</v>
      </c>
      <c r="L316" s="18">
        <f>IF((OR(tbal[[#This Row],[X]]=3,tbal[[#This Row],[X]]=4)),tbal[[#This Row],[ACREEDOR]],0)</f>
        <v>0</v>
      </c>
      <c r="M316" s="16">
        <f>IF((OR(tbal[[#This Row],[X]]=0,tbal[[#This Row],[X]]=6)),tbal[[#This Row],[DEUDOR]],0)</f>
        <v>0</v>
      </c>
      <c r="N316" s="18">
        <f>IF((OR(tbal[[#This Row],[X]]=0,tbal[[#This Row],[X]]=5)),tbal[[#This Row],[ACREEDOR]],0)</f>
        <v>0</v>
      </c>
    </row>
    <row r="317" spans="1:14" hidden="1" x14ac:dyDescent="0.3">
      <c r="A317" s="14">
        <f>+'PLAN DE CUENTAS'!A317</f>
        <v>0</v>
      </c>
      <c r="B317" s="13">
        <f>+'PLAN DE CUENTAS'!B317</f>
        <v>0</v>
      </c>
      <c r="C317" s="13">
        <f>+'PLAN DE CUENTAS'!C317</f>
        <v>0</v>
      </c>
      <c r="D317" t="str">
        <f>IF(tbal[[#This Row],[DEBE]]+tbal[[#This Row],[HABER]]=0,"","X")</f>
        <v/>
      </c>
      <c r="E317" s="16">
        <f>SUMIF(tdiario[CUENTA],tbal[[#This Row],[CUENTA]],tdiario[DEBE])</f>
        <v>0</v>
      </c>
      <c r="F317" s="17">
        <f>SUMIF(tdiario[CUENTA],tbal[[#This Row],[CUENTA]],tdiario[HABER])</f>
        <v>0</v>
      </c>
      <c r="G317" s="16">
        <f>IF(tbal[[#This Row],[DEBE]]-tbal[[#This Row],[HABER]]&gt;0,tbal[[#This Row],[DEBE]]-tbal[[#This Row],[HABER]],0)</f>
        <v>0</v>
      </c>
      <c r="H317" s="18">
        <f>IF(tbal[[#This Row],[HABER]]-tbal[[#This Row],[DEBE]]&gt;0,tbal[[#This Row],[HABER]]-tbal[[#This Row],[DEBE]],0)</f>
        <v>0</v>
      </c>
      <c r="I317" s="16">
        <f>IF((OR(tbal[[#This Row],[X]]=1,tbal[[#This Row],[X]]=2)),tbal[[#This Row],[DEUDOR]],0)</f>
        <v>0</v>
      </c>
      <c r="J317" s="18">
        <f>IF((OR(tbal[[#This Row],[X]]=2,tbal[[#This Row],[X]]=3)),tbal[[#This Row],[ACREEDOR]],0)</f>
        <v>0</v>
      </c>
      <c r="K317" s="16">
        <f>IF((OR(tbal[[#This Row],[X]]=3,tbal[[#This Row],[X]]=5)),tbal[[#This Row],[DEUDOR]],0)</f>
        <v>0</v>
      </c>
      <c r="L317" s="18">
        <f>IF((OR(tbal[[#This Row],[X]]=3,tbal[[#This Row],[X]]=4)),tbal[[#This Row],[ACREEDOR]],0)</f>
        <v>0</v>
      </c>
      <c r="M317" s="16">
        <f>IF((OR(tbal[[#This Row],[X]]=0,tbal[[#This Row],[X]]=6)),tbal[[#This Row],[DEUDOR]],0)</f>
        <v>0</v>
      </c>
      <c r="N317" s="18">
        <f>IF((OR(tbal[[#This Row],[X]]=0,tbal[[#This Row],[X]]=5)),tbal[[#This Row],[ACREEDOR]],0)</f>
        <v>0</v>
      </c>
    </row>
    <row r="318" spans="1:14" hidden="1" x14ac:dyDescent="0.3">
      <c r="A318" s="14">
        <f>+'PLAN DE CUENTAS'!A318</f>
        <v>0</v>
      </c>
      <c r="B318" s="13">
        <f>+'PLAN DE CUENTAS'!B318</f>
        <v>0</v>
      </c>
      <c r="C318" s="13">
        <f>+'PLAN DE CUENTAS'!C318</f>
        <v>0</v>
      </c>
      <c r="D318" t="str">
        <f>IF(tbal[[#This Row],[DEBE]]+tbal[[#This Row],[HABER]]=0,"","X")</f>
        <v/>
      </c>
      <c r="E318" s="16">
        <f>SUMIF(tdiario[CUENTA],tbal[[#This Row],[CUENTA]],tdiario[DEBE])</f>
        <v>0</v>
      </c>
      <c r="F318" s="17">
        <f>SUMIF(tdiario[CUENTA],tbal[[#This Row],[CUENTA]],tdiario[HABER])</f>
        <v>0</v>
      </c>
      <c r="G318" s="16">
        <f>IF(tbal[[#This Row],[DEBE]]-tbal[[#This Row],[HABER]]&gt;0,tbal[[#This Row],[DEBE]]-tbal[[#This Row],[HABER]],0)</f>
        <v>0</v>
      </c>
      <c r="H318" s="18">
        <f>IF(tbal[[#This Row],[HABER]]-tbal[[#This Row],[DEBE]]&gt;0,tbal[[#This Row],[HABER]]-tbal[[#This Row],[DEBE]],0)</f>
        <v>0</v>
      </c>
      <c r="I318" s="16">
        <f>IF((OR(tbal[[#This Row],[X]]=1,tbal[[#This Row],[X]]=2)),tbal[[#This Row],[DEUDOR]],0)</f>
        <v>0</v>
      </c>
      <c r="J318" s="18">
        <f>IF((OR(tbal[[#This Row],[X]]=2,tbal[[#This Row],[X]]=3)),tbal[[#This Row],[ACREEDOR]],0)</f>
        <v>0</v>
      </c>
      <c r="K318" s="16">
        <f>IF((OR(tbal[[#This Row],[X]]=3,tbal[[#This Row],[X]]=5)),tbal[[#This Row],[DEUDOR]],0)</f>
        <v>0</v>
      </c>
      <c r="L318" s="18">
        <f>IF((OR(tbal[[#This Row],[X]]=3,tbal[[#This Row],[X]]=4)),tbal[[#This Row],[ACREEDOR]],0)</f>
        <v>0</v>
      </c>
      <c r="M318" s="16">
        <f>IF((OR(tbal[[#This Row],[X]]=0,tbal[[#This Row],[X]]=6)),tbal[[#This Row],[DEUDOR]],0)</f>
        <v>0</v>
      </c>
      <c r="N318" s="18">
        <f>IF((OR(tbal[[#This Row],[X]]=0,tbal[[#This Row],[X]]=5)),tbal[[#This Row],[ACREEDOR]],0)</f>
        <v>0</v>
      </c>
    </row>
    <row r="319" spans="1:14" hidden="1" x14ac:dyDescent="0.3">
      <c r="A319" s="14">
        <f>+'PLAN DE CUENTAS'!A319</f>
        <v>0</v>
      </c>
      <c r="B319" s="13">
        <f>+'PLAN DE CUENTAS'!B319</f>
        <v>0</v>
      </c>
      <c r="C319" s="13">
        <f>+'PLAN DE CUENTAS'!C319</f>
        <v>0</v>
      </c>
      <c r="D319" t="str">
        <f>IF(tbal[[#This Row],[DEBE]]+tbal[[#This Row],[HABER]]=0,"","X")</f>
        <v/>
      </c>
      <c r="E319" s="16">
        <f>SUMIF(tdiario[CUENTA],tbal[[#This Row],[CUENTA]],tdiario[DEBE])</f>
        <v>0</v>
      </c>
      <c r="F319" s="17">
        <f>SUMIF(tdiario[CUENTA],tbal[[#This Row],[CUENTA]],tdiario[HABER])</f>
        <v>0</v>
      </c>
      <c r="G319" s="16">
        <f>IF(tbal[[#This Row],[DEBE]]-tbal[[#This Row],[HABER]]&gt;0,tbal[[#This Row],[DEBE]]-tbal[[#This Row],[HABER]],0)</f>
        <v>0</v>
      </c>
      <c r="H319" s="18">
        <f>IF(tbal[[#This Row],[HABER]]-tbal[[#This Row],[DEBE]]&gt;0,tbal[[#This Row],[HABER]]-tbal[[#This Row],[DEBE]],0)</f>
        <v>0</v>
      </c>
      <c r="I319" s="16">
        <f>IF((OR(tbal[[#This Row],[X]]=1,tbal[[#This Row],[X]]=2)),tbal[[#This Row],[DEUDOR]],0)</f>
        <v>0</v>
      </c>
      <c r="J319" s="18">
        <f>IF((OR(tbal[[#This Row],[X]]=2,tbal[[#This Row],[X]]=3)),tbal[[#This Row],[ACREEDOR]],0)</f>
        <v>0</v>
      </c>
      <c r="K319" s="16">
        <f>IF((OR(tbal[[#This Row],[X]]=3,tbal[[#This Row],[X]]=5)),tbal[[#This Row],[DEUDOR]],0)</f>
        <v>0</v>
      </c>
      <c r="L319" s="18">
        <f>IF((OR(tbal[[#This Row],[X]]=3,tbal[[#This Row],[X]]=4)),tbal[[#This Row],[ACREEDOR]],0)</f>
        <v>0</v>
      </c>
      <c r="M319" s="16">
        <f>IF((OR(tbal[[#This Row],[X]]=0,tbal[[#This Row],[X]]=6)),tbal[[#This Row],[DEUDOR]],0)</f>
        <v>0</v>
      </c>
      <c r="N319" s="18">
        <f>IF((OR(tbal[[#This Row],[X]]=0,tbal[[#This Row],[X]]=5)),tbal[[#This Row],[ACREEDOR]],0)</f>
        <v>0</v>
      </c>
    </row>
    <row r="320" spans="1:14" hidden="1" x14ac:dyDescent="0.3">
      <c r="A320" s="14">
        <f>+'PLAN DE CUENTAS'!A320</f>
        <v>0</v>
      </c>
      <c r="B320" s="13">
        <f>+'PLAN DE CUENTAS'!B320</f>
        <v>0</v>
      </c>
      <c r="C320" s="13">
        <f>+'PLAN DE CUENTAS'!C320</f>
        <v>0</v>
      </c>
      <c r="D320" t="str">
        <f>IF(tbal[[#This Row],[DEBE]]+tbal[[#This Row],[HABER]]=0,"","X")</f>
        <v/>
      </c>
      <c r="E320" s="16">
        <f>SUMIF(tdiario[CUENTA],tbal[[#This Row],[CUENTA]],tdiario[DEBE])</f>
        <v>0</v>
      </c>
      <c r="F320" s="17">
        <f>SUMIF(tdiario[CUENTA],tbal[[#This Row],[CUENTA]],tdiario[HABER])</f>
        <v>0</v>
      </c>
      <c r="G320" s="16">
        <f>IF(tbal[[#This Row],[DEBE]]-tbal[[#This Row],[HABER]]&gt;0,tbal[[#This Row],[DEBE]]-tbal[[#This Row],[HABER]],0)</f>
        <v>0</v>
      </c>
      <c r="H320" s="18">
        <f>IF(tbal[[#This Row],[HABER]]-tbal[[#This Row],[DEBE]]&gt;0,tbal[[#This Row],[HABER]]-tbal[[#This Row],[DEBE]],0)</f>
        <v>0</v>
      </c>
      <c r="I320" s="16">
        <f>IF((OR(tbal[[#This Row],[X]]=1,tbal[[#This Row],[X]]=2)),tbal[[#This Row],[DEUDOR]],0)</f>
        <v>0</v>
      </c>
      <c r="J320" s="18">
        <f>IF((OR(tbal[[#This Row],[X]]=2,tbal[[#This Row],[X]]=3)),tbal[[#This Row],[ACREEDOR]],0)</f>
        <v>0</v>
      </c>
      <c r="K320" s="16">
        <f>IF((OR(tbal[[#This Row],[X]]=3,tbal[[#This Row],[X]]=5)),tbal[[#This Row],[DEUDOR]],0)</f>
        <v>0</v>
      </c>
      <c r="L320" s="18">
        <f>IF((OR(tbal[[#This Row],[X]]=3,tbal[[#This Row],[X]]=4)),tbal[[#This Row],[ACREEDOR]],0)</f>
        <v>0</v>
      </c>
      <c r="M320" s="16">
        <f>IF((OR(tbal[[#This Row],[X]]=0,tbal[[#This Row],[X]]=6)),tbal[[#This Row],[DEUDOR]],0)</f>
        <v>0</v>
      </c>
      <c r="N320" s="18">
        <f>IF((OR(tbal[[#This Row],[X]]=0,tbal[[#This Row],[X]]=5)),tbal[[#This Row],[ACREEDOR]],0)</f>
        <v>0</v>
      </c>
    </row>
    <row r="321" spans="1:14" hidden="1" x14ac:dyDescent="0.3">
      <c r="A321" s="14">
        <f>+'PLAN DE CUENTAS'!A321</f>
        <v>0</v>
      </c>
      <c r="B321" s="13">
        <f>+'PLAN DE CUENTAS'!B321</f>
        <v>0</v>
      </c>
      <c r="C321" s="13">
        <f>+'PLAN DE CUENTAS'!C321</f>
        <v>0</v>
      </c>
      <c r="D321" t="str">
        <f>IF(tbal[[#This Row],[DEBE]]+tbal[[#This Row],[HABER]]=0,"","X")</f>
        <v/>
      </c>
      <c r="E321" s="16">
        <f>SUMIF(tdiario[CUENTA],tbal[[#This Row],[CUENTA]],tdiario[DEBE])</f>
        <v>0</v>
      </c>
      <c r="F321" s="17">
        <f>SUMIF(tdiario[CUENTA],tbal[[#This Row],[CUENTA]],tdiario[HABER])</f>
        <v>0</v>
      </c>
      <c r="G321" s="16">
        <f>IF(tbal[[#This Row],[DEBE]]-tbal[[#This Row],[HABER]]&gt;0,tbal[[#This Row],[DEBE]]-tbal[[#This Row],[HABER]],0)</f>
        <v>0</v>
      </c>
      <c r="H321" s="18">
        <f>IF(tbal[[#This Row],[HABER]]-tbal[[#This Row],[DEBE]]&gt;0,tbal[[#This Row],[HABER]]-tbal[[#This Row],[DEBE]],0)</f>
        <v>0</v>
      </c>
      <c r="I321" s="16">
        <f>IF((OR(tbal[[#This Row],[X]]=1,tbal[[#This Row],[X]]=2)),tbal[[#This Row],[DEUDOR]],0)</f>
        <v>0</v>
      </c>
      <c r="J321" s="18">
        <f>IF((OR(tbal[[#This Row],[X]]=2,tbal[[#This Row],[X]]=3)),tbal[[#This Row],[ACREEDOR]],0)</f>
        <v>0</v>
      </c>
      <c r="K321" s="16">
        <f>IF((OR(tbal[[#This Row],[X]]=3,tbal[[#This Row],[X]]=5)),tbal[[#This Row],[DEUDOR]],0)</f>
        <v>0</v>
      </c>
      <c r="L321" s="18">
        <f>IF((OR(tbal[[#This Row],[X]]=3,tbal[[#This Row],[X]]=4)),tbal[[#This Row],[ACREEDOR]],0)</f>
        <v>0</v>
      </c>
      <c r="M321" s="16">
        <f>IF((OR(tbal[[#This Row],[X]]=0,tbal[[#This Row],[X]]=6)),tbal[[#This Row],[DEUDOR]],0)</f>
        <v>0</v>
      </c>
      <c r="N321" s="18">
        <f>IF((OR(tbal[[#This Row],[X]]=0,tbal[[#This Row],[X]]=5)),tbal[[#This Row],[ACREEDOR]],0)</f>
        <v>0</v>
      </c>
    </row>
    <row r="322" spans="1:14" hidden="1" x14ac:dyDescent="0.3">
      <c r="A322" s="14">
        <f>+'PLAN DE CUENTAS'!A322</f>
        <v>0</v>
      </c>
      <c r="B322" s="13">
        <f>+'PLAN DE CUENTAS'!B322</f>
        <v>0</v>
      </c>
      <c r="C322" s="13">
        <f>+'PLAN DE CUENTAS'!C322</f>
        <v>0</v>
      </c>
      <c r="D322" t="str">
        <f>IF(tbal[[#This Row],[DEBE]]+tbal[[#This Row],[HABER]]=0,"","X")</f>
        <v/>
      </c>
      <c r="E322" s="16">
        <f>SUMIF(tdiario[CUENTA],tbal[[#This Row],[CUENTA]],tdiario[DEBE])</f>
        <v>0</v>
      </c>
      <c r="F322" s="17">
        <f>SUMIF(tdiario[CUENTA],tbal[[#This Row],[CUENTA]],tdiario[HABER])</f>
        <v>0</v>
      </c>
      <c r="G322" s="16">
        <f>IF(tbal[[#This Row],[DEBE]]-tbal[[#This Row],[HABER]]&gt;0,tbal[[#This Row],[DEBE]]-tbal[[#This Row],[HABER]],0)</f>
        <v>0</v>
      </c>
      <c r="H322" s="18">
        <f>IF(tbal[[#This Row],[HABER]]-tbal[[#This Row],[DEBE]]&gt;0,tbal[[#This Row],[HABER]]-tbal[[#This Row],[DEBE]],0)</f>
        <v>0</v>
      </c>
      <c r="I322" s="16">
        <f>IF((OR(tbal[[#This Row],[X]]=1,tbal[[#This Row],[X]]=2)),tbal[[#This Row],[DEUDOR]],0)</f>
        <v>0</v>
      </c>
      <c r="J322" s="18">
        <f>IF((OR(tbal[[#This Row],[X]]=2,tbal[[#This Row],[X]]=3)),tbal[[#This Row],[ACREEDOR]],0)</f>
        <v>0</v>
      </c>
      <c r="K322" s="16">
        <f>IF((OR(tbal[[#This Row],[X]]=3,tbal[[#This Row],[X]]=5)),tbal[[#This Row],[DEUDOR]],0)</f>
        <v>0</v>
      </c>
      <c r="L322" s="18">
        <f>IF((OR(tbal[[#This Row],[X]]=3,tbal[[#This Row],[X]]=4)),tbal[[#This Row],[ACREEDOR]],0)</f>
        <v>0</v>
      </c>
      <c r="M322" s="16">
        <f>IF((OR(tbal[[#This Row],[X]]=0,tbal[[#This Row],[X]]=6)),tbal[[#This Row],[DEUDOR]],0)</f>
        <v>0</v>
      </c>
      <c r="N322" s="18">
        <f>IF((OR(tbal[[#This Row],[X]]=0,tbal[[#This Row],[X]]=5)),tbal[[#This Row],[ACREEDOR]],0)</f>
        <v>0</v>
      </c>
    </row>
    <row r="323" spans="1:14" hidden="1" x14ac:dyDescent="0.3">
      <c r="A323" s="14">
        <f>+'PLAN DE CUENTAS'!A323</f>
        <v>0</v>
      </c>
      <c r="B323" s="13">
        <f>+'PLAN DE CUENTAS'!B323</f>
        <v>0</v>
      </c>
      <c r="C323" s="13">
        <f>+'PLAN DE CUENTAS'!C323</f>
        <v>0</v>
      </c>
      <c r="D323" t="str">
        <f>IF(tbal[[#This Row],[DEBE]]+tbal[[#This Row],[HABER]]=0,"","X")</f>
        <v/>
      </c>
      <c r="E323" s="16">
        <f>SUMIF(tdiario[CUENTA],tbal[[#This Row],[CUENTA]],tdiario[DEBE])</f>
        <v>0</v>
      </c>
      <c r="F323" s="17">
        <f>SUMIF(tdiario[CUENTA],tbal[[#This Row],[CUENTA]],tdiario[HABER])</f>
        <v>0</v>
      </c>
      <c r="G323" s="16">
        <f>IF(tbal[[#This Row],[DEBE]]-tbal[[#This Row],[HABER]]&gt;0,tbal[[#This Row],[DEBE]]-tbal[[#This Row],[HABER]],0)</f>
        <v>0</v>
      </c>
      <c r="H323" s="18">
        <f>IF(tbal[[#This Row],[HABER]]-tbal[[#This Row],[DEBE]]&gt;0,tbal[[#This Row],[HABER]]-tbal[[#This Row],[DEBE]],0)</f>
        <v>0</v>
      </c>
      <c r="I323" s="16">
        <f>IF((OR(tbal[[#This Row],[X]]=1,tbal[[#This Row],[X]]=2)),tbal[[#This Row],[DEUDOR]],0)</f>
        <v>0</v>
      </c>
      <c r="J323" s="18">
        <f>IF((OR(tbal[[#This Row],[X]]=2,tbal[[#This Row],[X]]=3)),tbal[[#This Row],[ACREEDOR]],0)</f>
        <v>0</v>
      </c>
      <c r="K323" s="16">
        <f>IF((OR(tbal[[#This Row],[X]]=3,tbal[[#This Row],[X]]=5)),tbal[[#This Row],[DEUDOR]],0)</f>
        <v>0</v>
      </c>
      <c r="L323" s="18">
        <f>IF((OR(tbal[[#This Row],[X]]=3,tbal[[#This Row],[X]]=4)),tbal[[#This Row],[ACREEDOR]],0)</f>
        <v>0</v>
      </c>
      <c r="M323" s="16">
        <f>IF((OR(tbal[[#This Row],[X]]=0,tbal[[#This Row],[X]]=6)),tbal[[#This Row],[DEUDOR]],0)</f>
        <v>0</v>
      </c>
      <c r="N323" s="18">
        <f>IF((OR(tbal[[#This Row],[X]]=0,tbal[[#This Row],[X]]=5)),tbal[[#This Row],[ACREEDOR]],0)</f>
        <v>0</v>
      </c>
    </row>
    <row r="324" spans="1:14" hidden="1" x14ac:dyDescent="0.3">
      <c r="A324" s="14">
        <f>+'PLAN DE CUENTAS'!A324</f>
        <v>0</v>
      </c>
      <c r="B324" s="13">
        <f>+'PLAN DE CUENTAS'!B324</f>
        <v>0</v>
      </c>
      <c r="C324" s="13">
        <f>+'PLAN DE CUENTAS'!C324</f>
        <v>0</v>
      </c>
      <c r="D324" t="str">
        <f>IF(tbal[[#This Row],[DEBE]]+tbal[[#This Row],[HABER]]=0,"","X")</f>
        <v/>
      </c>
      <c r="E324" s="16">
        <f>SUMIF(tdiario[CUENTA],tbal[[#This Row],[CUENTA]],tdiario[DEBE])</f>
        <v>0</v>
      </c>
      <c r="F324" s="17">
        <f>SUMIF(tdiario[CUENTA],tbal[[#This Row],[CUENTA]],tdiario[HABER])</f>
        <v>0</v>
      </c>
      <c r="G324" s="16">
        <f>IF(tbal[[#This Row],[DEBE]]-tbal[[#This Row],[HABER]]&gt;0,tbal[[#This Row],[DEBE]]-tbal[[#This Row],[HABER]],0)</f>
        <v>0</v>
      </c>
      <c r="H324" s="18">
        <f>IF(tbal[[#This Row],[HABER]]-tbal[[#This Row],[DEBE]]&gt;0,tbal[[#This Row],[HABER]]-tbal[[#This Row],[DEBE]],0)</f>
        <v>0</v>
      </c>
      <c r="I324" s="16">
        <f>IF((OR(tbal[[#This Row],[X]]=1,tbal[[#This Row],[X]]=2)),tbal[[#This Row],[DEUDOR]],0)</f>
        <v>0</v>
      </c>
      <c r="J324" s="18">
        <f>IF((OR(tbal[[#This Row],[X]]=2,tbal[[#This Row],[X]]=3)),tbal[[#This Row],[ACREEDOR]],0)</f>
        <v>0</v>
      </c>
      <c r="K324" s="16">
        <f>IF((OR(tbal[[#This Row],[X]]=3,tbal[[#This Row],[X]]=5)),tbal[[#This Row],[DEUDOR]],0)</f>
        <v>0</v>
      </c>
      <c r="L324" s="18">
        <f>IF((OR(tbal[[#This Row],[X]]=3,tbal[[#This Row],[X]]=4)),tbal[[#This Row],[ACREEDOR]],0)</f>
        <v>0</v>
      </c>
      <c r="M324" s="16">
        <f>IF((OR(tbal[[#This Row],[X]]=0,tbal[[#This Row],[X]]=6)),tbal[[#This Row],[DEUDOR]],0)</f>
        <v>0</v>
      </c>
      <c r="N324" s="18">
        <f>IF((OR(tbal[[#This Row],[X]]=0,tbal[[#This Row],[X]]=5)),tbal[[#This Row],[ACREEDOR]],0)</f>
        <v>0</v>
      </c>
    </row>
    <row r="325" spans="1:14" hidden="1" x14ac:dyDescent="0.3">
      <c r="A325" s="14">
        <f>+'PLAN DE CUENTAS'!A325</f>
        <v>0</v>
      </c>
      <c r="B325" s="13">
        <f>+'PLAN DE CUENTAS'!B325</f>
        <v>0</v>
      </c>
      <c r="C325" s="13">
        <f>+'PLAN DE CUENTAS'!C325</f>
        <v>0</v>
      </c>
      <c r="D325" t="str">
        <f>IF(tbal[[#This Row],[DEBE]]+tbal[[#This Row],[HABER]]=0,"","X")</f>
        <v/>
      </c>
      <c r="E325" s="16">
        <f>SUMIF(tdiario[CUENTA],tbal[[#This Row],[CUENTA]],tdiario[DEBE])</f>
        <v>0</v>
      </c>
      <c r="F325" s="17">
        <f>SUMIF(tdiario[CUENTA],tbal[[#This Row],[CUENTA]],tdiario[HABER])</f>
        <v>0</v>
      </c>
      <c r="G325" s="16">
        <f>IF(tbal[[#This Row],[DEBE]]-tbal[[#This Row],[HABER]]&gt;0,tbal[[#This Row],[DEBE]]-tbal[[#This Row],[HABER]],0)</f>
        <v>0</v>
      </c>
      <c r="H325" s="18">
        <f>IF(tbal[[#This Row],[HABER]]-tbal[[#This Row],[DEBE]]&gt;0,tbal[[#This Row],[HABER]]-tbal[[#This Row],[DEBE]],0)</f>
        <v>0</v>
      </c>
      <c r="I325" s="16">
        <f>IF((OR(tbal[[#This Row],[X]]=1,tbal[[#This Row],[X]]=2)),tbal[[#This Row],[DEUDOR]],0)</f>
        <v>0</v>
      </c>
      <c r="J325" s="18">
        <f>IF((OR(tbal[[#This Row],[X]]=2,tbal[[#This Row],[X]]=3)),tbal[[#This Row],[ACREEDOR]],0)</f>
        <v>0</v>
      </c>
      <c r="K325" s="16">
        <f>IF((OR(tbal[[#This Row],[X]]=3,tbal[[#This Row],[X]]=5)),tbal[[#This Row],[DEUDOR]],0)</f>
        <v>0</v>
      </c>
      <c r="L325" s="18">
        <f>IF((OR(tbal[[#This Row],[X]]=3,tbal[[#This Row],[X]]=4)),tbal[[#This Row],[ACREEDOR]],0)</f>
        <v>0</v>
      </c>
      <c r="M325" s="16">
        <f>IF((OR(tbal[[#This Row],[X]]=0,tbal[[#This Row],[X]]=6)),tbal[[#This Row],[DEUDOR]],0)</f>
        <v>0</v>
      </c>
      <c r="N325" s="18">
        <f>IF((OR(tbal[[#This Row],[X]]=0,tbal[[#This Row],[X]]=5)),tbal[[#This Row],[ACREEDOR]],0)</f>
        <v>0</v>
      </c>
    </row>
    <row r="326" spans="1:14" hidden="1" x14ac:dyDescent="0.3">
      <c r="A326" s="14">
        <f>+'PLAN DE CUENTAS'!A326</f>
        <v>0</v>
      </c>
      <c r="B326" s="13">
        <f>+'PLAN DE CUENTAS'!B326</f>
        <v>0</v>
      </c>
      <c r="C326" s="13">
        <f>+'PLAN DE CUENTAS'!C326</f>
        <v>0</v>
      </c>
      <c r="D326" t="str">
        <f>IF(tbal[[#This Row],[DEBE]]+tbal[[#This Row],[HABER]]=0,"","X")</f>
        <v/>
      </c>
      <c r="E326" s="16">
        <f>SUMIF(tdiario[CUENTA],tbal[[#This Row],[CUENTA]],tdiario[DEBE])</f>
        <v>0</v>
      </c>
      <c r="F326" s="17">
        <f>SUMIF(tdiario[CUENTA],tbal[[#This Row],[CUENTA]],tdiario[HABER])</f>
        <v>0</v>
      </c>
      <c r="G326" s="16">
        <f>IF(tbal[[#This Row],[DEBE]]-tbal[[#This Row],[HABER]]&gt;0,tbal[[#This Row],[DEBE]]-tbal[[#This Row],[HABER]],0)</f>
        <v>0</v>
      </c>
      <c r="H326" s="18">
        <f>IF(tbal[[#This Row],[HABER]]-tbal[[#This Row],[DEBE]]&gt;0,tbal[[#This Row],[HABER]]-tbal[[#This Row],[DEBE]],0)</f>
        <v>0</v>
      </c>
      <c r="I326" s="16">
        <f>IF((OR(tbal[[#This Row],[X]]=1,tbal[[#This Row],[X]]=2)),tbal[[#This Row],[DEUDOR]],0)</f>
        <v>0</v>
      </c>
      <c r="J326" s="18">
        <f>IF((OR(tbal[[#This Row],[X]]=2,tbal[[#This Row],[X]]=3)),tbal[[#This Row],[ACREEDOR]],0)</f>
        <v>0</v>
      </c>
      <c r="K326" s="16">
        <f>IF((OR(tbal[[#This Row],[X]]=3,tbal[[#This Row],[X]]=5)),tbal[[#This Row],[DEUDOR]],0)</f>
        <v>0</v>
      </c>
      <c r="L326" s="18">
        <f>IF((OR(tbal[[#This Row],[X]]=3,tbal[[#This Row],[X]]=4)),tbal[[#This Row],[ACREEDOR]],0)</f>
        <v>0</v>
      </c>
      <c r="M326" s="16">
        <f>IF((OR(tbal[[#This Row],[X]]=0,tbal[[#This Row],[X]]=6)),tbal[[#This Row],[DEUDOR]],0)</f>
        <v>0</v>
      </c>
      <c r="N326" s="18">
        <f>IF((OR(tbal[[#This Row],[X]]=0,tbal[[#This Row],[X]]=5)),tbal[[#This Row],[ACREEDOR]],0)</f>
        <v>0</v>
      </c>
    </row>
    <row r="327" spans="1:14" hidden="1" x14ac:dyDescent="0.3">
      <c r="A327" s="14">
        <f>+'PLAN DE CUENTAS'!A327</f>
        <v>0</v>
      </c>
      <c r="B327" s="13">
        <f>+'PLAN DE CUENTAS'!B327</f>
        <v>0</v>
      </c>
      <c r="C327" s="13">
        <f>+'PLAN DE CUENTAS'!C327</f>
        <v>0</v>
      </c>
      <c r="D327" t="str">
        <f>IF(tbal[[#This Row],[DEBE]]+tbal[[#This Row],[HABER]]=0,"","X")</f>
        <v/>
      </c>
      <c r="E327" s="16">
        <f>SUMIF(tdiario[CUENTA],tbal[[#This Row],[CUENTA]],tdiario[DEBE])</f>
        <v>0</v>
      </c>
      <c r="F327" s="17">
        <f>SUMIF(tdiario[CUENTA],tbal[[#This Row],[CUENTA]],tdiario[HABER])</f>
        <v>0</v>
      </c>
      <c r="G327" s="16">
        <f>IF(tbal[[#This Row],[DEBE]]-tbal[[#This Row],[HABER]]&gt;0,tbal[[#This Row],[DEBE]]-tbal[[#This Row],[HABER]],0)</f>
        <v>0</v>
      </c>
      <c r="H327" s="18">
        <f>IF(tbal[[#This Row],[HABER]]-tbal[[#This Row],[DEBE]]&gt;0,tbal[[#This Row],[HABER]]-tbal[[#This Row],[DEBE]],0)</f>
        <v>0</v>
      </c>
      <c r="I327" s="16">
        <f>IF((OR(tbal[[#This Row],[X]]=1,tbal[[#This Row],[X]]=2)),tbal[[#This Row],[DEUDOR]],0)</f>
        <v>0</v>
      </c>
      <c r="J327" s="18">
        <f>IF((OR(tbal[[#This Row],[X]]=2,tbal[[#This Row],[X]]=3)),tbal[[#This Row],[ACREEDOR]],0)</f>
        <v>0</v>
      </c>
      <c r="K327" s="16">
        <f>IF((OR(tbal[[#This Row],[X]]=3,tbal[[#This Row],[X]]=5)),tbal[[#This Row],[DEUDOR]],0)</f>
        <v>0</v>
      </c>
      <c r="L327" s="18">
        <f>IF((OR(tbal[[#This Row],[X]]=3,tbal[[#This Row],[X]]=4)),tbal[[#This Row],[ACREEDOR]],0)</f>
        <v>0</v>
      </c>
      <c r="M327" s="16">
        <f>IF((OR(tbal[[#This Row],[X]]=0,tbal[[#This Row],[X]]=6)),tbal[[#This Row],[DEUDOR]],0)</f>
        <v>0</v>
      </c>
      <c r="N327" s="18">
        <f>IF((OR(tbal[[#This Row],[X]]=0,tbal[[#This Row],[X]]=5)),tbal[[#This Row],[ACREEDOR]],0)</f>
        <v>0</v>
      </c>
    </row>
    <row r="328" spans="1:14" hidden="1" x14ac:dyDescent="0.3">
      <c r="A328" s="14">
        <f>+'PLAN DE CUENTAS'!A328</f>
        <v>0</v>
      </c>
      <c r="B328" s="13">
        <f>+'PLAN DE CUENTAS'!B328</f>
        <v>0</v>
      </c>
      <c r="C328" s="13">
        <f>+'PLAN DE CUENTAS'!C328</f>
        <v>0</v>
      </c>
      <c r="D328" t="str">
        <f>IF(tbal[[#This Row],[DEBE]]+tbal[[#This Row],[HABER]]=0,"","X")</f>
        <v/>
      </c>
      <c r="E328" s="16">
        <f>SUMIF(tdiario[CUENTA],tbal[[#This Row],[CUENTA]],tdiario[DEBE])</f>
        <v>0</v>
      </c>
      <c r="F328" s="17">
        <f>SUMIF(tdiario[CUENTA],tbal[[#This Row],[CUENTA]],tdiario[HABER])</f>
        <v>0</v>
      </c>
      <c r="G328" s="16">
        <f>IF(tbal[[#This Row],[DEBE]]-tbal[[#This Row],[HABER]]&gt;0,tbal[[#This Row],[DEBE]]-tbal[[#This Row],[HABER]],0)</f>
        <v>0</v>
      </c>
      <c r="H328" s="18">
        <f>IF(tbal[[#This Row],[HABER]]-tbal[[#This Row],[DEBE]]&gt;0,tbal[[#This Row],[HABER]]-tbal[[#This Row],[DEBE]],0)</f>
        <v>0</v>
      </c>
      <c r="I328" s="16">
        <f>IF((OR(tbal[[#This Row],[X]]=1,tbal[[#This Row],[X]]=2)),tbal[[#This Row],[DEUDOR]],0)</f>
        <v>0</v>
      </c>
      <c r="J328" s="18">
        <f>IF((OR(tbal[[#This Row],[X]]=2,tbal[[#This Row],[X]]=3)),tbal[[#This Row],[ACREEDOR]],0)</f>
        <v>0</v>
      </c>
      <c r="K328" s="16">
        <f>IF((OR(tbal[[#This Row],[X]]=3,tbal[[#This Row],[X]]=5)),tbal[[#This Row],[DEUDOR]],0)</f>
        <v>0</v>
      </c>
      <c r="L328" s="18">
        <f>IF((OR(tbal[[#This Row],[X]]=3,tbal[[#This Row],[X]]=4)),tbal[[#This Row],[ACREEDOR]],0)</f>
        <v>0</v>
      </c>
      <c r="M328" s="16">
        <f>IF((OR(tbal[[#This Row],[X]]=0,tbal[[#This Row],[X]]=6)),tbal[[#This Row],[DEUDOR]],0)</f>
        <v>0</v>
      </c>
      <c r="N328" s="18">
        <f>IF((OR(tbal[[#This Row],[X]]=0,tbal[[#This Row],[X]]=5)),tbal[[#This Row],[ACREEDOR]],0)</f>
        <v>0</v>
      </c>
    </row>
    <row r="329" spans="1:14" hidden="1" x14ac:dyDescent="0.3">
      <c r="A329" s="14">
        <f>+'PLAN DE CUENTAS'!A329</f>
        <v>0</v>
      </c>
      <c r="B329" s="13">
        <f>+'PLAN DE CUENTAS'!B329</f>
        <v>0</v>
      </c>
      <c r="C329" s="13">
        <f>+'PLAN DE CUENTAS'!C329</f>
        <v>0</v>
      </c>
      <c r="D329" t="str">
        <f>IF(tbal[[#This Row],[DEBE]]+tbal[[#This Row],[HABER]]=0,"","X")</f>
        <v/>
      </c>
      <c r="E329" s="16">
        <f>SUMIF(tdiario[CUENTA],tbal[[#This Row],[CUENTA]],tdiario[DEBE])</f>
        <v>0</v>
      </c>
      <c r="F329" s="17">
        <f>SUMIF(tdiario[CUENTA],tbal[[#This Row],[CUENTA]],tdiario[HABER])</f>
        <v>0</v>
      </c>
      <c r="G329" s="16">
        <f>IF(tbal[[#This Row],[DEBE]]-tbal[[#This Row],[HABER]]&gt;0,tbal[[#This Row],[DEBE]]-tbal[[#This Row],[HABER]],0)</f>
        <v>0</v>
      </c>
      <c r="H329" s="18">
        <f>IF(tbal[[#This Row],[HABER]]-tbal[[#This Row],[DEBE]]&gt;0,tbal[[#This Row],[HABER]]-tbal[[#This Row],[DEBE]],0)</f>
        <v>0</v>
      </c>
      <c r="I329" s="16">
        <f>IF((OR(tbal[[#This Row],[X]]=1,tbal[[#This Row],[X]]=2)),tbal[[#This Row],[DEUDOR]],0)</f>
        <v>0</v>
      </c>
      <c r="J329" s="18">
        <f>IF((OR(tbal[[#This Row],[X]]=2,tbal[[#This Row],[X]]=3)),tbal[[#This Row],[ACREEDOR]],0)</f>
        <v>0</v>
      </c>
      <c r="K329" s="16">
        <f>IF((OR(tbal[[#This Row],[X]]=3,tbal[[#This Row],[X]]=5)),tbal[[#This Row],[DEUDOR]],0)</f>
        <v>0</v>
      </c>
      <c r="L329" s="18">
        <f>IF((OR(tbal[[#This Row],[X]]=3,tbal[[#This Row],[X]]=4)),tbal[[#This Row],[ACREEDOR]],0)</f>
        <v>0</v>
      </c>
      <c r="M329" s="16">
        <f>IF((OR(tbal[[#This Row],[X]]=0,tbal[[#This Row],[X]]=6)),tbal[[#This Row],[DEUDOR]],0)</f>
        <v>0</v>
      </c>
      <c r="N329" s="18">
        <f>IF((OR(tbal[[#This Row],[X]]=0,tbal[[#This Row],[X]]=5)),tbal[[#This Row],[ACREEDOR]],0)</f>
        <v>0</v>
      </c>
    </row>
    <row r="330" spans="1:14" hidden="1" x14ac:dyDescent="0.3">
      <c r="A330" s="14">
        <f>+'PLAN DE CUENTAS'!A330</f>
        <v>0</v>
      </c>
      <c r="B330" s="13">
        <f>+'PLAN DE CUENTAS'!B330</f>
        <v>0</v>
      </c>
      <c r="C330" s="13">
        <f>+'PLAN DE CUENTAS'!C330</f>
        <v>0</v>
      </c>
      <c r="D330" t="str">
        <f>IF(tbal[[#This Row],[DEBE]]+tbal[[#This Row],[HABER]]=0,"","X")</f>
        <v/>
      </c>
      <c r="E330" s="16">
        <f>SUMIF(tdiario[CUENTA],tbal[[#This Row],[CUENTA]],tdiario[DEBE])</f>
        <v>0</v>
      </c>
      <c r="F330" s="17">
        <f>SUMIF(tdiario[CUENTA],tbal[[#This Row],[CUENTA]],tdiario[HABER])</f>
        <v>0</v>
      </c>
      <c r="G330" s="16">
        <f>IF(tbal[[#This Row],[DEBE]]-tbal[[#This Row],[HABER]]&gt;0,tbal[[#This Row],[DEBE]]-tbal[[#This Row],[HABER]],0)</f>
        <v>0</v>
      </c>
      <c r="H330" s="18">
        <f>IF(tbal[[#This Row],[HABER]]-tbal[[#This Row],[DEBE]]&gt;0,tbal[[#This Row],[HABER]]-tbal[[#This Row],[DEBE]],0)</f>
        <v>0</v>
      </c>
      <c r="I330" s="16">
        <f>IF((OR(tbal[[#This Row],[X]]=1,tbal[[#This Row],[X]]=2)),tbal[[#This Row],[DEUDOR]],0)</f>
        <v>0</v>
      </c>
      <c r="J330" s="18">
        <f>IF((OR(tbal[[#This Row],[X]]=2,tbal[[#This Row],[X]]=3)),tbal[[#This Row],[ACREEDOR]],0)</f>
        <v>0</v>
      </c>
      <c r="K330" s="16">
        <f>IF((OR(tbal[[#This Row],[X]]=3,tbal[[#This Row],[X]]=5)),tbal[[#This Row],[DEUDOR]],0)</f>
        <v>0</v>
      </c>
      <c r="L330" s="18">
        <f>IF((OR(tbal[[#This Row],[X]]=3,tbal[[#This Row],[X]]=4)),tbal[[#This Row],[ACREEDOR]],0)</f>
        <v>0</v>
      </c>
      <c r="M330" s="16">
        <f>IF((OR(tbal[[#This Row],[X]]=0,tbal[[#This Row],[X]]=6)),tbal[[#This Row],[DEUDOR]],0)</f>
        <v>0</v>
      </c>
      <c r="N330" s="18">
        <f>IF((OR(tbal[[#This Row],[X]]=0,tbal[[#This Row],[X]]=5)),tbal[[#This Row],[ACREEDOR]],0)</f>
        <v>0</v>
      </c>
    </row>
    <row r="331" spans="1:14" hidden="1" x14ac:dyDescent="0.3">
      <c r="A331" s="14">
        <f>+'PLAN DE CUENTAS'!A331</f>
        <v>0</v>
      </c>
      <c r="B331" s="13">
        <f>+'PLAN DE CUENTAS'!B331</f>
        <v>0</v>
      </c>
      <c r="C331" s="13">
        <f>+'PLAN DE CUENTAS'!C331</f>
        <v>0</v>
      </c>
      <c r="D331" t="str">
        <f>IF(tbal[[#This Row],[DEBE]]+tbal[[#This Row],[HABER]]=0,"","X")</f>
        <v/>
      </c>
      <c r="E331" s="16">
        <f>SUMIF(tdiario[CUENTA],tbal[[#This Row],[CUENTA]],tdiario[DEBE])</f>
        <v>0</v>
      </c>
      <c r="F331" s="17">
        <f>SUMIF(tdiario[CUENTA],tbal[[#This Row],[CUENTA]],tdiario[HABER])</f>
        <v>0</v>
      </c>
      <c r="G331" s="16">
        <f>IF(tbal[[#This Row],[DEBE]]-tbal[[#This Row],[HABER]]&gt;0,tbal[[#This Row],[DEBE]]-tbal[[#This Row],[HABER]],0)</f>
        <v>0</v>
      </c>
      <c r="H331" s="18">
        <f>IF(tbal[[#This Row],[HABER]]-tbal[[#This Row],[DEBE]]&gt;0,tbal[[#This Row],[HABER]]-tbal[[#This Row],[DEBE]],0)</f>
        <v>0</v>
      </c>
      <c r="I331" s="16">
        <f>IF((OR(tbal[[#This Row],[X]]=1,tbal[[#This Row],[X]]=2)),tbal[[#This Row],[DEUDOR]],0)</f>
        <v>0</v>
      </c>
      <c r="J331" s="18">
        <f>IF((OR(tbal[[#This Row],[X]]=2,tbal[[#This Row],[X]]=3)),tbal[[#This Row],[ACREEDOR]],0)</f>
        <v>0</v>
      </c>
      <c r="K331" s="16">
        <f>IF((OR(tbal[[#This Row],[X]]=3,tbal[[#This Row],[X]]=5)),tbal[[#This Row],[DEUDOR]],0)</f>
        <v>0</v>
      </c>
      <c r="L331" s="18">
        <f>IF((OR(tbal[[#This Row],[X]]=3,tbal[[#This Row],[X]]=4)),tbal[[#This Row],[ACREEDOR]],0)</f>
        <v>0</v>
      </c>
      <c r="M331" s="16">
        <f>IF((OR(tbal[[#This Row],[X]]=0,tbal[[#This Row],[X]]=6)),tbal[[#This Row],[DEUDOR]],0)</f>
        <v>0</v>
      </c>
      <c r="N331" s="18">
        <f>IF((OR(tbal[[#This Row],[X]]=0,tbal[[#This Row],[X]]=5)),tbal[[#This Row],[ACREEDOR]],0)</f>
        <v>0</v>
      </c>
    </row>
    <row r="332" spans="1:14" hidden="1" x14ac:dyDescent="0.3">
      <c r="A332" s="14">
        <f>+'PLAN DE CUENTAS'!A332</f>
        <v>0</v>
      </c>
      <c r="B332" s="13">
        <f>+'PLAN DE CUENTAS'!B332</f>
        <v>0</v>
      </c>
      <c r="C332" s="13">
        <f>+'PLAN DE CUENTAS'!C332</f>
        <v>0</v>
      </c>
      <c r="D332" t="str">
        <f>IF(tbal[[#This Row],[DEBE]]+tbal[[#This Row],[HABER]]=0,"","X")</f>
        <v/>
      </c>
      <c r="E332" s="16">
        <f>SUMIF(tdiario[CUENTA],tbal[[#This Row],[CUENTA]],tdiario[DEBE])</f>
        <v>0</v>
      </c>
      <c r="F332" s="17">
        <f>SUMIF(tdiario[CUENTA],tbal[[#This Row],[CUENTA]],tdiario[HABER])</f>
        <v>0</v>
      </c>
      <c r="G332" s="16">
        <f>IF(tbal[[#This Row],[DEBE]]-tbal[[#This Row],[HABER]]&gt;0,tbal[[#This Row],[DEBE]]-tbal[[#This Row],[HABER]],0)</f>
        <v>0</v>
      </c>
      <c r="H332" s="18">
        <f>IF(tbal[[#This Row],[HABER]]-tbal[[#This Row],[DEBE]]&gt;0,tbal[[#This Row],[HABER]]-tbal[[#This Row],[DEBE]],0)</f>
        <v>0</v>
      </c>
      <c r="I332" s="16">
        <f>IF((OR(tbal[[#This Row],[X]]=1,tbal[[#This Row],[X]]=2)),tbal[[#This Row],[DEUDOR]],0)</f>
        <v>0</v>
      </c>
      <c r="J332" s="18">
        <f>IF((OR(tbal[[#This Row],[X]]=2,tbal[[#This Row],[X]]=3)),tbal[[#This Row],[ACREEDOR]],0)</f>
        <v>0</v>
      </c>
      <c r="K332" s="16">
        <f>IF((OR(tbal[[#This Row],[X]]=3,tbal[[#This Row],[X]]=5)),tbal[[#This Row],[DEUDOR]],0)</f>
        <v>0</v>
      </c>
      <c r="L332" s="18">
        <f>IF((OR(tbal[[#This Row],[X]]=3,tbal[[#This Row],[X]]=4)),tbal[[#This Row],[ACREEDOR]],0)</f>
        <v>0</v>
      </c>
      <c r="M332" s="16">
        <f>IF((OR(tbal[[#This Row],[X]]=0,tbal[[#This Row],[X]]=6)),tbal[[#This Row],[DEUDOR]],0)</f>
        <v>0</v>
      </c>
      <c r="N332" s="18">
        <f>IF((OR(tbal[[#This Row],[X]]=0,tbal[[#This Row],[X]]=5)),tbal[[#This Row],[ACREEDOR]],0)</f>
        <v>0</v>
      </c>
    </row>
    <row r="333" spans="1:14" hidden="1" x14ac:dyDescent="0.3">
      <c r="A333" s="14">
        <f>+'PLAN DE CUENTAS'!A333</f>
        <v>0</v>
      </c>
      <c r="B333" s="13">
        <f>+'PLAN DE CUENTAS'!B333</f>
        <v>0</v>
      </c>
      <c r="C333" s="13">
        <f>+'PLAN DE CUENTAS'!C333</f>
        <v>0</v>
      </c>
      <c r="D333" t="str">
        <f>IF(tbal[[#This Row],[DEBE]]+tbal[[#This Row],[HABER]]=0,"","X")</f>
        <v/>
      </c>
      <c r="E333" s="16">
        <f>SUMIF(tdiario[CUENTA],tbal[[#This Row],[CUENTA]],tdiario[DEBE])</f>
        <v>0</v>
      </c>
      <c r="F333" s="17">
        <f>SUMIF(tdiario[CUENTA],tbal[[#This Row],[CUENTA]],tdiario[HABER])</f>
        <v>0</v>
      </c>
      <c r="G333" s="16">
        <f>IF(tbal[[#This Row],[DEBE]]-tbal[[#This Row],[HABER]]&gt;0,tbal[[#This Row],[DEBE]]-tbal[[#This Row],[HABER]],0)</f>
        <v>0</v>
      </c>
      <c r="H333" s="18">
        <f>IF(tbal[[#This Row],[HABER]]-tbal[[#This Row],[DEBE]]&gt;0,tbal[[#This Row],[HABER]]-tbal[[#This Row],[DEBE]],0)</f>
        <v>0</v>
      </c>
      <c r="I333" s="16">
        <f>IF((OR(tbal[[#This Row],[X]]=1,tbal[[#This Row],[X]]=2)),tbal[[#This Row],[DEUDOR]],0)</f>
        <v>0</v>
      </c>
      <c r="J333" s="18">
        <f>IF((OR(tbal[[#This Row],[X]]=2,tbal[[#This Row],[X]]=3)),tbal[[#This Row],[ACREEDOR]],0)</f>
        <v>0</v>
      </c>
      <c r="K333" s="16">
        <f>IF((OR(tbal[[#This Row],[X]]=3,tbal[[#This Row],[X]]=5)),tbal[[#This Row],[DEUDOR]],0)</f>
        <v>0</v>
      </c>
      <c r="L333" s="18">
        <f>IF((OR(tbal[[#This Row],[X]]=3,tbal[[#This Row],[X]]=4)),tbal[[#This Row],[ACREEDOR]],0)</f>
        <v>0</v>
      </c>
      <c r="M333" s="16">
        <f>IF((OR(tbal[[#This Row],[X]]=0,tbal[[#This Row],[X]]=6)),tbal[[#This Row],[DEUDOR]],0)</f>
        <v>0</v>
      </c>
      <c r="N333" s="18">
        <f>IF((OR(tbal[[#This Row],[X]]=0,tbal[[#This Row],[X]]=5)),tbal[[#This Row],[ACREEDOR]],0)</f>
        <v>0</v>
      </c>
    </row>
    <row r="334" spans="1:14" hidden="1" x14ac:dyDescent="0.3">
      <c r="A334" s="14">
        <f>+'PLAN DE CUENTAS'!A334</f>
        <v>0</v>
      </c>
      <c r="B334" s="13">
        <f>+'PLAN DE CUENTAS'!B334</f>
        <v>0</v>
      </c>
      <c r="C334" s="13">
        <f>+'PLAN DE CUENTAS'!C334</f>
        <v>0</v>
      </c>
      <c r="D334" t="str">
        <f>IF(tbal[[#This Row],[DEBE]]+tbal[[#This Row],[HABER]]=0,"","X")</f>
        <v/>
      </c>
      <c r="E334" s="16">
        <f>SUMIF(tdiario[CUENTA],tbal[[#This Row],[CUENTA]],tdiario[DEBE])</f>
        <v>0</v>
      </c>
      <c r="F334" s="17">
        <f>SUMIF(tdiario[CUENTA],tbal[[#This Row],[CUENTA]],tdiario[HABER])</f>
        <v>0</v>
      </c>
      <c r="G334" s="16">
        <f>IF(tbal[[#This Row],[DEBE]]-tbal[[#This Row],[HABER]]&gt;0,tbal[[#This Row],[DEBE]]-tbal[[#This Row],[HABER]],0)</f>
        <v>0</v>
      </c>
      <c r="H334" s="18">
        <f>IF(tbal[[#This Row],[HABER]]-tbal[[#This Row],[DEBE]]&gt;0,tbal[[#This Row],[HABER]]-tbal[[#This Row],[DEBE]],0)</f>
        <v>0</v>
      </c>
      <c r="I334" s="16">
        <f>IF((OR(tbal[[#This Row],[X]]=1,tbal[[#This Row],[X]]=2)),tbal[[#This Row],[DEUDOR]],0)</f>
        <v>0</v>
      </c>
      <c r="J334" s="18">
        <f>IF((OR(tbal[[#This Row],[X]]=2,tbal[[#This Row],[X]]=3)),tbal[[#This Row],[ACREEDOR]],0)</f>
        <v>0</v>
      </c>
      <c r="K334" s="16">
        <f>IF((OR(tbal[[#This Row],[X]]=3,tbal[[#This Row],[X]]=5)),tbal[[#This Row],[DEUDOR]],0)</f>
        <v>0</v>
      </c>
      <c r="L334" s="18">
        <f>IF((OR(tbal[[#This Row],[X]]=3,tbal[[#This Row],[X]]=4)),tbal[[#This Row],[ACREEDOR]],0)</f>
        <v>0</v>
      </c>
      <c r="M334" s="16">
        <f>IF((OR(tbal[[#This Row],[X]]=0,tbal[[#This Row],[X]]=6)),tbal[[#This Row],[DEUDOR]],0)</f>
        <v>0</v>
      </c>
      <c r="N334" s="18">
        <f>IF((OR(tbal[[#This Row],[X]]=0,tbal[[#This Row],[X]]=5)),tbal[[#This Row],[ACREEDOR]],0)</f>
        <v>0</v>
      </c>
    </row>
    <row r="335" spans="1:14" hidden="1" x14ac:dyDescent="0.3">
      <c r="A335" s="14">
        <f>+'PLAN DE CUENTAS'!A335</f>
        <v>0</v>
      </c>
      <c r="B335" s="13">
        <f>+'PLAN DE CUENTAS'!B335</f>
        <v>0</v>
      </c>
      <c r="C335" s="13">
        <f>+'PLAN DE CUENTAS'!C335</f>
        <v>0</v>
      </c>
      <c r="D335" t="str">
        <f>IF(tbal[[#This Row],[DEBE]]+tbal[[#This Row],[HABER]]=0,"","X")</f>
        <v/>
      </c>
      <c r="E335" s="16">
        <f>SUMIF(tdiario[CUENTA],tbal[[#This Row],[CUENTA]],tdiario[DEBE])</f>
        <v>0</v>
      </c>
      <c r="F335" s="17">
        <f>SUMIF(tdiario[CUENTA],tbal[[#This Row],[CUENTA]],tdiario[HABER])</f>
        <v>0</v>
      </c>
      <c r="G335" s="16">
        <f>IF(tbal[[#This Row],[DEBE]]-tbal[[#This Row],[HABER]]&gt;0,tbal[[#This Row],[DEBE]]-tbal[[#This Row],[HABER]],0)</f>
        <v>0</v>
      </c>
      <c r="H335" s="18">
        <f>IF(tbal[[#This Row],[HABER]]-tbal[[#This Row],[DEBE]]&gt;0,tbal[[#This Row],[HABER]]-tbal[[#This Row],[DEBE]],0)</f>
        <v>0</v>
      </c>
      <c r="I335" s="16">
        <f>IF((OR(tbal[[#This Row],[X]]=1,tbal[[#This Row],[X]]=2)),tbal[[#This Row],[DEUDOR]],0)</f>
        <v>0</v>
      </c>
      <c r="J335" s="18">
        <f>IF((OR(tbal[[#This Row],[X]]=2,tbal[[#This Row],[X]]=3)),tbal[[#This Row],[ACREEDOR]],0)</f>
        <v>0</v>
      </c>
      <c r="K335" s="16">
        <f>IF((OR(tbal[[#This Row],[X]]=3,tbal[[#This Row],[X]]=5)),tbal[[#This Row],[DEUDOR]],0)</f>
        <v>0</v>
      </c>
      <c r="L335" s="18">
        <f>IF((OR(tbal[[#This Row],[X]]=3,tbal[[#This Row],[X]]=4)),tbal[[#This Row],[ACREEDOR]],0)</f>
        <v>0</v>
      </c>
      <c r="M335" s="16">
        <f>IF((OR(tbal[[#This Row],[X]]=0,tbal[[#This Row],[X]]=6)),tbal[[#This Row],[DEUDOR]],0)</f>
        <v>0</v>
      </c>
      <c r="N335" s="18">
        <f>IF((OR(tbal[[#This Row],[X]]=0,tbal[[#This Row],[X]]=5)),tbal[[#This Row],[ACREEDOR]],0)</f>
        <v>0</v>
      </c>
    </row>
    <row r="336" spans="1:14" hidden="1" x14ac:dyDescent="0.3">
      <c r="A336" s="14">
        <f>+'PLAN DE CUENTAS'!A336</f>
        <v>0</v>
      </c>
      <c r="B336" s="13">
        <f>+'PLAN DE CUENTAS'!B336</f>
        <v>0</v>
      </c>
      <c r="C336" s="13">
        <f>+'PLAN DE CUENTAS'!C336</f>
        <v>0</v>
      </c>
      <c r="D336" t="str">
        <f>IF(tbal[[#This Row],[DEBE]]+tbal[[#This Row],[HABER]]=0,"","X")</f>
        <v/>
      </c>
      <c r="E336" s="16">
        <f>SUMIF(tdiario[CUENTA],tbal[[#This Row],[CUENTA]],tdiario[DEBE])</f>
        <v>0</v>
      </c>
      <c r="F336" s="17">
        <f>SUMIF(tdiario[CUENTA],tbal[[#This Row],[CUENTA]],tdiario[HABER])</f>
        <v>0</v>
      </c>
      <c r="G336" s="16">
        <f>IF(tbal[[#This Row],[DEBE]]-tbal[[#This Row],[HABER]]&gt;0,tbal[[#This Row],[DEBE]]-tbal[[#This Row],[HABER]],0)</f>
        <v>0</v>
      </c>
      <c r="H336" s="18">
        <f>IF(tbal[[#This Row],[HABER]]-tbal[[#This Row],[DEBE]]&gt;0,tbal[[#This Row],[HABER]]-tbal[[#This Row],[DEBE]],0)</f>
        <v>0</v>
      </c>
      <c r="I336" s="16">
        <f>IF((OR(tbal[[#This Row],[X]]=1,tbal[[#This Row],[X]]=2)),tbal[[#This Row],[DEUDOR]],0)</f>
        <v>0</v>
      </c>
      <c r="J336" s="18">
        <f>IF((OR(tbal[[#This Row],[X]]=2,tbal[[#This Row],[X]]=3)),tbal[[#This Row],[ACREEDOR]],0)</f>
        <v>0</v>
      </c>
      <c r="K336" s="16">
        <f>IF((OR(tbal[[#This Row],[X]]=3,tbal[[#This Row],[X]]=5)),tbal[[#This Row],[DEUDOR]],0)</f>
        <v>0</v>
      </c>
      <c r="L336" s="18">
        <f>IF((OR(tbal[[#This Row],[X]]=3,tbal[[#This Row],[X]]=4)),tbal[[#This Row],[ACREEDOR]],0)</f>
        <v>0</v>
      </c>
      <c r="M336" s="16">
        <f>IF((OR(tbal[[#This Row],[X]]=0,tbal[[#This Row],[X]]=6)),tbal[[#This Row],[DEUDOR]],0)</f>
        <v>0</v>
      </c>
      <c r="N336" s="18">
        <f>IF((OR(tbal[[#This Row],[X]]=0,tbal[[#This Row],[X]]=5)),tbal[[#This Row],[ACREEDOR]],0)</f>
        <v>0</v>
      </c>
    </row>
    <row r="337" spans="1:14" hidden="1" x14ac:dyDescent="0.3">
      <c r="A337" s="14">
        <f>+'PLAN DE CUENTAS'!A337</f>
        <v>0</v>
      </c>
      <c r="B337" s="13">
        <f>+'PLAN DE CUENTAS'!B337</f>
        <v>0</v>
      </c>
      <c r="C337" s="13">
        <f>+'PLAN DE CUENTAS'!C337</f>
        <v>0</v>
      </c>
      <c r="D337" t="str">
        <f>IF(tbal[[#This Row],[DEBE]]+tbal[[#This Row],[HABER]]=0,"","X")</f>
        <v/>
      </c>
      <c r="E337" s="16">
        <f>SUMIF(tdiario[CUENTA],tbal[[#This Row],[CUENTA]],tdiario[DEBE])</f>
        <v>0</v>
      </c>
      <c r="F337" s="17">
        <f>SUMIF(tdiario[CUENTA],tbal[[#This Row],[CUENTA]],tdiario[HABER])</f>
        <v>0</v>
      </c>
      <c r="G337" s="16">
        <f>IF(tbal[[#This Row],[DEBE]]-tbal[[#This Row],[HABER]]&gt;0,tbal[[#This Row],[DEBE]]-tbal[[#This Row],[HABER]],0)</f>
        <v>0</v>
      </c>
      <c r="H337" s="18">
        <f>IF(tbal[[#This Row],[HABER]]-tbal[[#This Row],[DEBE]]&gt;0,tbal[[#This Row],[HABER]]-tbal[[#This Row],[DEBE]],0)</f>
        <v>0</v>
      </c>
      <c r="I337" s="16">
        <f>IF((OR(tbal[[#This Row],[X]]=1,tbal[[#This Row],[X]]=2)),tbal[[#This Row],[DEUDOR]],0)</f>
        <v>0</v>
      </c>
      <c r="J337" s="18">
        <f>IF((OR(tbal[[#This Row],[X]]=2,tbal[[#This Row],[X]]=3)),tbal[[#This Row],[ACREEDOR]],0)</f>
        <v>0</v>
      </c>
      <c r="K337" s="16">
        <f>IF((OR(tbal[[#This Row],[X]]=3,tbal[[#This Row],[X]]=5)),tbal[[#This Row],[DEUDOR]],0)</f>
        <v>0</v>
      </c>
      <c r="L337" s="18">
        <f>IF((OR(tbal[[#This Row],[X]]=3,tbal[[#This Row],[X]]=4)),tbal[[#This Row],[ACREEDOR]],0)</f>
        <v>0</v>
      </c>
      <c r="M337" s="16">
        <f>IF((OR(tbal[[#This Row],[X]]=0,tbal[[#This Row],[X]]=6)),tbal[[#This Row],[DEUDOR]],0)</f>
        <v>0</v>
      </c>
      <c r="N337" s="18">
        <f>IF((OR(tbal[[#This Row],[X]]=0,tbal[[#This Row],[X]]=5)),tbal[[#This Row],[ACREEDOR]],0)</f>
        <v>0</v>
      </c>
    </row>
    <row r="338" spans="1:14" hidden="1" x14ac:dyDescent="0.3">
      <c r="A338" s="14">
        <f>+'PLAN DE CUENTAS'!A338</f>
        <v>0</v>
      </c>
      <c r="B338" s="13">
        <f>+'PLAN DE CUENTAS'!B338</f>
        <v>0</v>
      </c>
      <c r="C338" s="13">
        <f>+'PLAN DE CUENTAS'!C338</f>
        <v>0</v>
      </c>
      <c r="D338" t="str">
        <f>IF(tbal[[#This Row],[DEBE]]+tbal[[#This Row],[HABER]]=0,"","X")</f>
        <v/>
      </c>
      <c r="E338" s="16">
        <f>SUMIF(tdiario[CUENTA],tbal[[#This Row],[CUENTA]],tdiario[DEBE])</f>
        <v>0</v>
      </c>
      <c r="F338" s="17">
        <f>SUMIF(tdiario[CUENTA],tbal[[#This Row],[CUENTA]],tdiario[HABER])</f>
        <v>0</v>
      </c>
      <c r="G338" s="16">
        <f>IF(tbal[[#This Row],[DEBE]]-tbal[[#This Row],[HABER]]&gt;0,tbal[[#This Row],[DEBE]]-tbal[[#This Row],[HABER]],0)</f>
        <v>0</v>
      </c>
      <c r="H338" s="18">
        <f>IF(tbal[[#This Row],[HABER]]-tbal[[#This Row],[DEBE]]&gt;0,tbal[[#This Row],[HABER]]-tbal[[#This Row],[DEBE]],0)</f>
        <v>0</v>
      </c>
      <c r="I338" s="16">
        <f>IF((OR(tbal[[#This Row],[X]]=1,tbal[[#This Row],[X]]=2)),tbal[[#This Row],[DEUDOR]],0)</f>
        <v>0</v>
      </c>
      <c r="J338" s="18">
        <f>IF((OR(tbal[[#This Row],[X]]=2,tbal[[#This Row],[X]]=3)),tbal[[#This Row],[ACREEDOR]],0)</f>
        <v>0</v>
      </c>
      <c r="K338" s="16">
        <f>IF((OR(tbal[[#This Row],[X]]=3,tbal[[#This Row],[X]]=5)),tbal[[#This Row],[DEUDOR]],0)</f>
        <v>0</v>
      </c>
      <c r="L338" s="18">
        <f>IF((OR(tbal[[#This Row],[X]]=3,tbal[[#This Row],[X]]=4)),tbal[[#This Row],[ACREEDOR]],0)</f>
        <v>0</v>
      </c>
      <c r="M338" s="16">
        <f>IF((OR(tbal[[#This Row],[X]]=0,tbal[[#This Row],[X]]=6)),tbal[[#This Row],[DEUDOR]],0)</f>
        <v>0</v>
      </c>
      <c r="N338" s="18">
        <f>IF((OR(tbal[[#This Row],[X]]=0,tbal[[#This Row],[X]]=5)),tbal[[#This Row],[ACREEDOR]],0)</f>
        <v>0</v>
      </c>
    </row>
    <row r="339" spans="1:14" hidden="1" x14ac:dyDescent="0.3">
      <c r="A339" s="14">
        <f>+'PLAN DE CUENTAS'!A339</f>
        <v>0</v>
      </c>
      <c r="B339" s="13">
        <f>+'PLAN DE CUENTAS'!B339</f>
        <v>0</v>
      </c>
      <c r="C339" s="13">
        <f>+'PLAN DE CUENTAS'!C339</f>
        <v>0</v>
      </c>
      <c r="D339" t="str">
        <f>IF(tbal[[#This Row],[DEBE]]+tbal[[#This Row],[HABER]]=0,"","X")</f>
        <v/>
      </c>
      <c r="E339" s="16">
        <f>SUMIF(tdiario[CUENTA],tbal[[#This Row],[CUENTA]],tdiario[DEBE])</f>
        <v>0</v>
      </c>
      <c r="F339" s="17">
        <f>SUMIF(tdiario[CUENTA],tbal[[#This Row],[CUENTA]],tdiario[HABER])</f>
        <v>0</v>
      </c>
      <c r="G339" s="16">
        <f>IF(tbal[[#This Row],[DEBE]]-tbal[[#This Row],[HABER]]&gt;0,tbal[[#This Row],[DEBE]]-tbal[[#This Row],[HABER]],0)</f>
        <v>0</v>
      </c>
      <c r="H339" s="18">
        <f>IF(tbal[[#This Row],[HABER]]-tbal[[#This Row],[DEBE]]&gt;0,tbal[[#This Row],[HABER]]-tbal[[#This Row],[DEBE]],0)</f>
        <v>0</v>
      </c>
      <c r="I339" s="16">
        <f>IF((OR(tbal[[#This Row],[X]]=1,tbal[[#This Row],[X]]=2)),tbal[[#This Row],[DEUDOR]],0)</f>
        <v>0</v>
      </c>
      <c r="J339" s="18">
        <f>IF((OR(tbal[[#This Row],[X]]=2,tbal[[#This Row],[X]]=3)),tbal[[#This Row],[ACREEDOR]],0)</f>
        <v>0</v>
      </c>
      <c r="K339" s="16">
        <f>IF((OR(tbal[[#This Row],[X]]=3,tbal[[#This Row],[X]]=5)),tbal[[#This Row],[DEUDOR]],0)</f>
        <v>0</v>
      </c>
      <c r="L339" s="18">
        <f>IF((OR(tbal[[#This Row],[X]]=3,tbal[[#This Row],[X]]=4)),tbal[[#This Row],[ACREEDOR]],0)</f>
        <v>0</v>
      </c>
      <c r="M339" s="16">
        <f>IF((OR(tbal[[#This Row],[X]]=0,tbal[[#This Row],[X]]=6)),tbal[[#This Row],[DEUDOR]],0)</f>
        <v>0</v>
      </c>
      <c r="N339" s="18">
        <f>IF((OR(tbal[[#This Row],[X]]=0,tbal[[#This Row],[X]]=5)),tbal[[#This Row],[ACREEDOR]],0)</f>
        <v>0</v>
      </c>
    </row>
    <row r="340" spans="1:14" hidden="1" x14ac:dyDescent="0.3">
      <c r="A340" s="14">
        <f>+'PLAN DE CUENTAS'!A340</f>
        <v>0</v>
      </c>
      <c r="B340" s="13">
        <f>+'PLAN DE CUENTAS'!B340</f>
        <v>0</v>
      </c>
      <c r="C340" s="13">
        <f>+'PLAN DE CUENTAS'!C340</f>
        <v>0</v>
      </c>
      <c r="D340" t="str">
        <f>IF(tbal[[#This Row],[DEBE]]+tbal[[#This Row],[HABER]]=0,"","X")</f>
        <v/>
      </c>
      <c r="E340" s="16">
        <f>SUMIF(tdiario[CUENTA],tbal[[#This Row],[CUENTA]],tdiario[DEBE])</f>
        <v>0</v>
      </c>
      <c r="F340" s="17">
        <f>SUMIF(tdiario[CUENTA],tbal[[#This Row],[CUENTA]],tdiario[HABER])</f>
        <v>0</v>
      </c>
      <c r="G340" s="16">
        <f>IF(tbal[[#This Row],[DEBE]]-tbal[[#This Row],[HABER]]&gt;0,tbal[[#This Row],[DEBE]]-tbal[[#This Row],[HABER]],0)</f>
        <v>0</v>
      </c>
      <c r="H340" s="18">
        <f>IF(tbal[[#This Row],[HABER]]-tbal[[#This Row],[DEBE]]&gt;0,tbal[[#This Row],[HABER]]-tbal[[#This Row],[DEBE]],0)</f>
        <v>0</v>
      </c>
      <c r="I340" s="16">
        <f>IF((OR(tbal[[#This Row],[X]]=1,tbal[[#This Row],[X]]=2)),tbal[[#This Row],[DEUDOR]],0)</f>
        <v>0</v>
      </c>
      <c r="J340" s="18">
        <f>IF((OR(tbal[[#This Row],[X]]=2,tbal[[#This Row],[X]]=3)),tbal[[#This Row],[ACREEDOR]],0)</f>
        <v>0</v>
      </c>
      <c r="K340" s="16">
        <f>IF((OR(tbal[[#This Row],[X]]=3,tbal[[#This Row],[X]]=5)),tbal[[#This Row],[DEUDOR]],0)</f>
        <v>0</v>
      </c>
      <c r="L340" s="18">
        <f>IF((OR(tbal[[#This Row],[X]]=3,tbal[[#This Row],[X]]=4)),tbal[[#This Row],[ACREEDOR]],0)</f>
        <v>0</v>
      </c>
      <c r="M340" s="16">
        <f>IF((OR(tbal[[#This Row],[X]]=0,tbal[[#This Row],[X]]=6)),tbal[[#This Row],[DEUDOR]],0)</f>
        <v>0</v>
      </c>
      <c r="N340" s="18">
        <f>IF((OR(tbal[[#This Row],[X]]=0,tbal[[#This Row],[X]]=5)),tbal[[#This Row],[ACREEDOR]],0)</f>
        <v>0</v>
      </c>
    </row>
    <row r="341" spans="1:14" hidden="1" x14ac:dyDescent="0.3">
      <c r="A341" s="14">
        <f>+'PLAN DE CUENTAS'!A341</f>
        <v>0</v>
      </c>
      <c r="B341" s="13">
        <f>+'PLAN DE CUENTAS'!B341</f>
        <v>0</v>
      </c>
      <c r="C341" s="13">
        <f>+'PLAN DE CUENTAS'!C341</f>
        <v>0</v>
      </c>
      <c r="D341" t="str">
        <f>IF(tbal[[#This Row],[DEBE]]+tbal[[#This Row],[HABER]]=0,"","X")</f>
        <v/>
      </c>
      <c r="E341" s="16">
        <f>SUMIF(tdiario[CUENTA],tbal[[#This Row],[CUENTA]],tdiario[DEBE])</f>
        <v>0</v>
      </c>
      <c r="F341" s="17">
        <f>SUMIF(tdiario[CUENTA],tbal[[#This Row],[CUENTA]],tdiario[HABER])</f>
        <v>0</v>
      </c>
      <c r="G341" s="16">
        <f>IF(tbal[[#This Row],[DEBE]]-tbal[[#This Row],[HABER]]&gt;0,tbal[[#This Row],[DEBE]]-tbal[[#This Row],[HABER]],0)</f>
        <v>0</v>
      </c>
      <c r="H341" s="18">
        <f>IF(tbal[[#This Row],[HABER]]-tbal[[#This Row],[DEBE]]&gt;0,tbal[[#This Row],[HABER]]-tbal[[#This Row],[DEBE]],0)</f>
        <v>0</v>
      </c>
      <c r="I341" s="16">
        <f>IF((OR(tbal[[#This Row],[X]]=1,tbal[[#This Row],[X]]=2)),tbal[[#This Row],[DEUDOR]],0)</f>
        <v>0</v>
      </c>
      <c r="J341" s="18">
        <f>IF((OR(tbal[[#This Row],[X]]=2,tbal[[#This Row],[X]]=3)),tbal[[#This Row],[ACREEDOR]],0)</f>
        <v>0</v>
      </c>
      <c r="K341" s="16">
        <f>IF((OR(tbal[[#This Row],[X]]=3,tbal[[#This Row],[X]]=5)),tbal[[#This Row],[DEUDOR]],0)</f>
        <v>0</v>
      </c>
      <c r="L341" s="18">
        <f>IF((OR(tbal[[#This Row],[X]]=3,tbal[[#This Row],[X]]=4)),tbal[[#This Row],[ACREEDOR]],0)</f>
        <v>0</v>
      </c>
      <c r="M341" s="16">
        <f>IF((OR(tbal[[#This Row],[X]]=0,tbal[[#This Row],[X]]=6)),tbal[[#This Row],[DEUDOR]],0)</f>
        <v>0</v>
      </c>
      <c r="N341" s="18">
        <f>IF((OR(tbal[[#This Row],[X]]=0,tbal[[#This Row],[X]]=5)),tbal[[#This Row],[ACREEDOR]],0)</f>
        <v>0</v>
      </c>
    </row>
    <row r="342" spans="1:14" hidden="1" x14ac:dyDescent="0.3">
      <c r="A342" s="14">
        <f>+'PLAN DE CUENTAS'!A342</f>
        <v>0</v>
      </c>
      <c r="B342" s="13">
        <f>+'PLAN DE CUENTAS'!B342</f>
        <v>0</v>
      </c>
      <c r="C342" s="13">
        <f>+'PLAN DE CUENTAS'!C342</f>
        <v>0</v>
      </c>
      <c r="D342" t="str">
        <f>IF(tbal[[#This Row],[DEBE]]+tbal[[#This Row],[HABER]]=0,"","X")</f>
        <v/>
      </c>
      <c r="E342" s="16">
        <f>SUMIF(tdiario[CUENTA],tbal[[#This Row],[CUENTA]],tdiario[DEBE])</f>
        <v>0</v>
      </c>
      <c r="F342" s="17">
        <f>SUMIF(tdiario[CUENTA],tbal[[#This Row],[CUENTA]],tdiario[HABER])</f>
        <v>0</v>
      </c>
      <c r="G342" s="16">
        <f>IF(tbal[[#This Row],[DEBE]]-tbal[[#This Row],[HABER]]&gt;0,tbal[[#This Row],[DEBE]]-tbal[[#This Row],[HABER]],0)</f>
        <v>0</v>
      </c>
      <c r="H342" s="18">
        <f>IF(tbal[[#This Row],[HABER]]-tbal[[#This Row],[DEBE]]&gt;0,tbal[[#This Row],[HABER]]-tbal[[#This Row],[DEBE]],0)</f>
        <v>0</v>
      </c>
      <c r="I342" s="16">
        <f>IF((OR(tbal[[#This Row],[X]]=1,tbal[[#This Row],[X]]=2)),tbal[[#This Row],[DEUDOR]],0)</f>
        <v>0</v>
      </c>
      <c r="J342" s="18">
        <f>IF((OR(tbal[[#This Row],[X]]=2,tbal[[#This Row],[X]]=3)),tbal[[#This Row],[ACREEDOR]],0)</f>
        <v>0</v>
      </c>
      <c r="K342" s="16">
        <f>IF((OR(tbal[[#This Row],[X]]=3,tbal[[#This Row],[X]]=5)),tbal[[#This Row],[DEUDOR]],0)</f>
        <v>0</v>
      </c>
      <c r="L342" s="18">
        <f>IF((OR(tbal[[#This Row],[X]]=3,tbal[[#This Row],[X]]=4)),tbal[[#This Row],[ACREEDOR]],0)</f>
        <v>0</v>
      </c>
      <c r="M342" s="16">
        <f>IF((OR(tbal[[#This Row],[X]]=0,tbal[[#This Row],[X]]=6)),tbal[[#This Row],[DEUDOR]],0)</f>
        <v>0</v>
      </c>
      <c r="N342" s="18">
        <f>IF((OR(tbal[[#This Row],[X]]=0,tbal[[#This Row],[X]]=5)),tbal[[#This Row],[ACREEDOR]],0)</f>
        <v>0</v>
      </c>
    </row>
    <row r="343" spans="1:14" hidden="1" x14ac:dyDescent="0.3">
      <c r="A343" s="14">
        <f>+'PLAN DE CUENTAS'!A343</f>
        <v>0</v>
      </c>
      <c r="B343" s="13">
        <f>+'PLAN DE CUENTAS'!B343</f>
        <v>0</v>
      </c>
      <c r="C343" s="13">
        <f>+'PLAN DE CUENTAS'!C343</f>
        <v>0</v>
      </c>
      <c r="D343" t="str">
        <f>IF(tbal[[#This Row],[DEBE]]+tbal[[#This Row],[HABER]]=0,"","X")</f>
        <v/>
      </c>
      <c r="E343" s="16">
        <f>SUMIF(tdiario[CUENTA],tbal[[#This Row],[CUENTA]],tdiario[DEBE])</f>
        <v>0</v>
      </c>
      <c r="F343" s="17">
        <f>SUMIF(tdiario[CUENTA],tbal[[#This Row],[CUENTA]],tdiario[HABER])</f>
        <v>0</v>
      </c>
      <c r="G343" s="16">
        <f>IF(tbal[[#This Row],[DEBE]]-tbal[[#This Row],[HABER]]&gt;0,tbal[[#This Row],[DEBE]]-tbal[[#This Row],[HABER]],0)</f>
        <v>0</v>
      </c>
      <c r="H343" s="18">
        <f>IF(tbal[[#This Row],[HABER]]-tbal[[#This Row],[DEBE]]&gt;0,tbal[[#This Row],[HABER]]-tbal[[#This Row],[DEBE]],0)</f>
        <v>0</v>
      </c>
      <c r="I343" s="16">
        <f>IF((OR(tbal[[#This Row],[X]]=1,tbal[[#This Row],[X]]=2)),tbal[[#This Row],[DEUDOR]],0)</f>
        <v>0</v>
      </c>
      <c r="J343" s="18">
        <f>IF((OR(tbal[[#This Row],[X]]=2,tbal[[#This Row],[X]]=3)),tbal[[#This Row],[ACREEDOR]],0)</f>
        <v>0</v>
      </c>
      <c r="K343" s="16">
        <f>IF((OR(tbal[[#This Row],[X]]=3,tbal[[#This Row],[X]]=5)),tbal[[#This Row],[DEUDOR]],0)</f>
        <v>0</v>
      </c>
      <c r="L343" s="18">
        <f>IF((OR(tbal[[#This Row],[X]]=3,tbal[[#This Row],[X]]=4)),tbal[[#This Row],[ACREEDOR]],0)</f>
        <v>0</v>
      </c>
      <c r="M343" s="16">
        <f>IF((OR(tbal[[#This Row],[X]]=0,tbal[[#This Row],[X]]=6)),tbal[[#This Row],[DEUDOR]],0)</f>
        <v>0</v>
      </c>
      <c r="N343" s="18">
        <f>IF((OR(tbal[[#This Row],[X]]=0,tbal[[#This Row],[X]]=5)),tbal[[#This Row],[ACREEDOR]],0)</f>
        <v>0</v>
      </c>
    </row>
    <row r="344" spans="1:14" hidden="1" x14ac:dyDescent="0.3">
      <c r="A344" s="14">
        <f>+'PLAN DE CUENTAS'!A344</f>
        <v>0</v>
      </c>
      <c r="B344" s="13">
        <f>+'PLAN DE CUENTAS'!B344</f>
        <v>0</v>
      </c>
      <c r="C344" s="13">
        <f>+'PLAN DE CUENTAS'!C344</f>
        <v>0</v>
      </c>
      <c r="D344" t="str">
        <f>IF(tbal[[#This Row],[DEBE]]+tbal[[#This Row],[HABER]]=0,"","X")</f>
        <v/>
      </c>
      <c r="E344" s="16">
        <f>SUMIF(tdiario[CUENTA],tbal[[#This Row],[CUENTA]],tdiario[DEBE])</f>
        <v>0</v>
      </c>
      <c r="F344" s="17">
        <f>SUMIF(tdiario[CUENTA],tbal[[#This Row],[CUENTA]],tdiario[HABER])</f>
        <v>0</v>
      </c>
      <c r="G344" s="16">
        <f>IF(tbal[[#This Row],[DEBE]]-tbal[[#This Row],[HABER]]&gt;0,tbal[[#This Row],[DEBE]]-tbal[[#This Row],[HABER]],0)</f>
        <v>0</v>
      </c>
      <c r="H344" s="18">
        <f>IF(tbal[[#This Row],[HABER]]-tbal[[#This Row],[DEBE]]&gt;0,tbal[[#This Row],[HABER]]-tbal[[#This Row],[DEBE]],0)</f>
        <v>0</v>
      </c>
      <c r="I344" s="16">
        <f>IF((OR(tbal[[#This Row],[X]]=1,tbal[[#This Row],[X]]=2)),tbal[[#This Row],[DEUDOR]],0)</f>
        <v>0</v>
      </c>
      <c r="J344" s="18">
        <f>IF((OR(tbal[[#This Row],[X]]=2,tbal[[#This Row],[X]]=3)),tbal[[#This Row],[ACREEDOR]],0)</f>
        <v>0</v>
      </c>
      <c r="K344" s="16">
        <f>IF((OR(tbal[[#This Row],[X]]=3,tbal[[#This Row],[X]]=5)),tbal[[#This Row],[DEUDOR]],0)</f>
        <v>0</v>
      </c>
      <c r="L344" s="18">
        <f>IF((OR(tbal[[#This Row],[X]]=3,tbal[[#This Row],[X]]=4)),tbal[[#This Row],[ACREEDOR]],0)</f>
        <v>0</v>
      </c>
      <c r="M344" s="16">
        <f>IF((OR(tbal[[#This Row],[X]]=0,tbal[[#This Row],[X]]=6)),tbal[[#This Row],[DEUDOR]],0)</f>
        <v>0</v>
      </c>
      <c r="N344" s="18">
        <f>IF((OR(tbal[[#This Row],[X]]=0,tbal[[#This Row],[X]]=5)),tbal[[#This Row],[ACREEDOR]],0)</f>
        <v>0</v>
      </c>
    </row>
    <row r="345" spans="1:14" hidden="1" x14ac:dyDescent="0.3">
      <c r="A345" s="14">
        <f>+'PLAN DE CUENTAS'!A345</f>
        <v>0</v>
      </c>
      <c r="B345" s="13">
        <f>+'PLAN DE CUENTAS'!B345</f>
        <v>0</v>
      </c>
      <c r="C345" s="13">
        <f>+'PLAN DE CUENTAS'!C345</f>
        <v>0</v>
      </c>
      <c r="D345" t="str">
        <f>IF(tbal[[#This Row],[DEBE]]+tbal[[#This Row],[HABER]]=0,"","X")</f>
        <v/>
      </c>
      <c r="E345" s="16">
        <f>SUMIF(tdiario[CUENTA],tbal[[#This Row],[CUENTA]],tdiario[DEBE])</f>
        <v>0</v>
      </c>
      <c r="F345" s="17">
        <f>SUMIF(tdiario[CUENTA],tbal[[#This Row],[CUENTA]],tdiario[HABER])</f>
        <v>0</v>
      </c>
      <c r="G345" s="16">
        <f>IF(tbal[[#This Row],[DEBE]]-tbal[[#This Row],[HABER]]&gt;0,tbal[[#This Row],[DEBE]]-tbal[[#This Row],[HABER]],0)</f>
        <v>0</v>
      </c>
      <c r="H345" s="18">
        <f>IF(tbal[[#This Row],[HABER]]-tbal[[#This Row],[DEBE]]&gt;0,tbal[[#This Row],[HABER]]-tbal[[#This Row],[DEBE]],0)</f>
        <v>0</v>
      </c>
      <c r="I345" s="16">
        <f>IF((OR(tbal[[#This Row],[X]]=1,tbal[[#This Row],[X]]=2)),tbal[[#This Row],[DEUDOR]],0)</f>
        <v>0</v>
      </c>
      <c r="J345" s="18">
        <f>IF((OR(tbal[[#This Row],[X]]=2,tbal[[#This Row],[X]]=3)),tbal[[#This Row],[ACREEDOR]],0)</f>
        <v>0</v>
      </c>
      <c r="K345" s="16">
        <f>IF((OR(tbal[[#This Row],[X]]=3,tbal[[#This Row],[X]]=5)),tbal[[#This Row],[DEUDOR]],0)</f>
        <v>0</v>
      </c>
      <c r="L345" s="18">
        <f>IF((OR(tbal[[#This Row],[X]]=3,tbal[[#This Row],[X]]=4)),tbal[[#This Row],[ACREEDOR]],0)</f>
        <v>0</v>
      </c>
      <c r="M345" s="16">
        <f>IF((OR(tbal[[#This Row],[X]]=0,tbal[[#This Row],[X]]=6)),tbal[[#This Row],[DEUDOR]],0)</f>
        <v>0</v>
      </c>
      <c r="N345" s="18">
        <f>IF((OR(tbal[[#This Row],[X]]=0,tbal[[#This Row],[X]]=5)),tbal[[#This Row],[ACREEDOR]],0)</f>
        <v>0</v>
      </c>
    </row>
    <row r="346" spans="1:14" hidden="1" x14ac:dyDescent="0.3">
      <c r="A346" s="14">
        <f>+'PLAN DE CUENTAS'!A346</f>
        <v>0</v>
      </c>
      <c r="B346" s="13">
        <f>+'PLAN DE CUENTAS'!B346</f>
        <v>0</v>
      </c>
      <c r="C346" s="13">
        <f>+'PLAN DE CUENTAS'!C346</f>
        <v>0</v>
      </c>
      <c r="D346" t="str">
        <f>IF(tbal[[#This Row],[DEBE]]+tbal[[#This Row],[HABER]]=0,"","X")</f>
        <v/>
      </c>
      <c r="E346" s="16">
        <f>SUMIF(tdiario[CUENTA],tbal[[#This Row],[CUENTA]],tdiario[DEBE])</f>
        <v>0</v>
      </c>
      <c r="F346" s="17">
        <f>SUMIF(tdiario[CUENTA],tbal[[#This Row],[CUENTA]],tdiario[HABER])</f>
        <v>0</v>
      </c>
      <c r="G346" s="16">
        <f>IF(tbal[[#This Row],[DEBE]]-tbal[[#This Row],[HABER]]&gt;0,tbal[[#This Row],[DEBE]]-tbal[[#This Row],[HABER]],0)</f>
        <v>0</v>
      </c>
      <c r="H346" s="18">
        <f>IF(tbal[[#This Row],[HABER]]-tbal[[#This Row],[DEBE]]&gt;0,tbal[[#This Row],[HABER]]-tbal[[#This Row],[DEBE]],0)</f>
        <v>0</v>
      </c>
      <c r="I346" s="16">
        <f>IF((OR(tbal[[#This Row],[X]]=1,tbal[[#This Row],[X]]=2)),tbal[[#This Row],[DEUDOR]],0)</f>
        <v>0</v>
      </c>
      <c r="J346" s="18">
        <f>IF((OR(tbal[[#This Row],[X]]=2,tbal[[#This Row],[X]]=3)),tbal[[#This Row],[ACREEDOR]],0)</f>
        <v>0</v>
      </c>
      <c r="K346" s="16">
        <f>IF((OR(tbal[[#This Row],[X]]=3,tbal[[#This Row],[X]]=5)),tbal[[#This Row],[DEUDOR]],0)</f>
        <v>0</v>
      </c>
      <c r="L346" s="18">
        <f>IF((OR(tbal[[#This Row],[X]]=3,tbal[[#This Row],[X]]=4)),tbal[[#This Row],[ACREEDOR]],0)</f>
        <v>0</v>
      </c>
      <c r="M346" s="16">
        <f>IF((OR(tbal[[#This Row],[X]]=0,tbal[[#This Row],[X]]=6)),tbal[[#This Row],[DEUDOR]],0)</f>
        <v>0</v>
      </c>
      <c r="N346" s="18">
        <f>IF((OR(tbal[[#This Row],[X]]=0,tbal[[#This Row],[X]]=5)),tbal[[#This Row],[ACREEDOR]],0)</f>
        <v>0</v>
      </c>
    </row>
    <row r="347" spans="1:14" hidden="1" x14ac:dyDescent="0.3">
      <c r="A347" s="14">
        <f>+'PLAN DE CUENTAS'!A347</f>
        <v>0</v>
      </c>
      <c r="B347" s="13">
        <f>+'PLAN DE CUENTAS'!B347</f>
        <v>0</v>
      </c>
      <c r="C347" s="13">
        <f>+'PLAN DE CUENTAS'!C347</f>
        <v>0</v>
      </c>
      <c r="D347" t="str">
        <f>IF(tbal[[#This Row],[DEBE]]+tbal[[#This Row],[HABER]]=0,"","X")</f>
        <v/>
      </c>
      <c r="E347" s="16">
        <f>SUMIF(tdiario[CUENTA],tbal[[#This Row],[CUENTA]],tdiario[DEBE])</f>
        <v>0</v>
      </c>
      <c r="F347" s="17">
        <f>SUMIF(tdiario[CUENTA],tbal[[#This Row],[CUENTA]],tdiario[HABER])</f>
        <v>0</v>
      </c>
      <c r="G347" s="16">
        <f>IF(tbal[[#This Row],[DEBE]]-tbal[[#This Row],[HABER]]&gt;0,tbal[[#This Row],[DEBE]]-tbal[[#This Row],[HABER]],0)</f>
        <v>0</v>
      </c>
      <c r="H347" s="18">
        <f>IF(tbal[[#This Row],[HABER]]-tbal[[#This Row],[DEBE]]&gt;0,tbal[[#This Row],[HABER]]-tbal[[#This Row],[DEBE]],0)</f>
        <v>0</v>
      </c>
      <c r="I347" s="16">
        <f>IF((OR(tbal[[#This Row],[X]]=1,tbal[[#This Row],[X]]=2)),tbal[[#This Row],[DEUDOR]],0)</f>
        <v>0</v>
      </c>
      <c r="J347" s="18">
        <f>IF((OR(tbal[[#This Row],[X]]=2,tbal[[#This Row],[X]]=3)),tbal[[#This Row],[ACREEDOR]],0)</f>
        <v>0</v>
      </c>
      <c r="K347" s="16">
        <f>IF((OR(tbal[[#This Row],[X]]=3,tbal[[#This Row],[X]]=5)),tbal[[#This Row],[DEUDOR]],0)</f>
        <v>0</v>
      </c>
      <c r="L347" s="18">
        <f>IF((OR(tbal[[#This Row],[X]]=3,tbal[[#This Row],[X]]=4)),tbal[[#This Row],[ACREEDOR]],0)</f>
        <v>0</v>
      </c>
      <c r="M347" s="16">
        <f>IF((OR(tbal[[#This Row],[X]]=0,tbal[[#This Row],[X]]=6)),tbal[[#This Row],[DEUDOR]],0)</f>
        <v>0</v>
      </c>
      <c r="N347" s="18">
        <f>IF((OR(tbal[[#This Row],[X]]=0,tbal[[#This Row],[X]]=5)),tbal[[#This Row],[ACREEDOR]],0)</f>
        <v>0</v>
      </c>
    </row>
    <row r="348" spans="1:14" hidden="1" x14ac:dyDescent="0.3">
      <c r="A348" s="14">
        <f>+'PLAN DE CUENTAS'!A348</f>
        <v>0</v>
      </c>
      <c r="B348" s="13">
        <f>+'PLAN DE CUENTAS'!B348</f>
        <v>0</v>
      </c>
      <c r="C348" s="13">
        <f>+'PLAN DE CUENTAS'!C348</f>
        <v>0</v>
      </c>
      <c r="D348" t="str">
        <f>IF(tbal[[#This Row],[DEBE]]+tbal[[#This Row],[HABER]]=0,"","X")</f>
        <v/>
      </c>
      <c r="E348" s="16">
        <f>SUMIF(tdiario[CUENTA],tbal[[#This Row],[CUENTA]],tdiario[DEBE])</f>
        <v>0</v>
      </c>
      <c r="F348" s="17">
        <f>SUMIF(tdiario[CUENTA],tbal[[#This Row],[CUENTA]],tdiario[HABER])</f>
        <v>0</v>
      </c>
      <c r="G348" s="16">
        <f>IF(tbal[[#This Row],[DEBE]]-tbal[[#This Row],[HABER]]&gt;0,tbal[[#This Row],[DEBE]]-tbal[[#This Row],[HABER]],0)</f>
        <v>0</v>
      </c>
      <c r="H348" s="18">
        <f>IF(tbal[[#This Row],[HABER]]-tbal[[#This Row],[DEBE]]&gt;0,tbal[[#This Row],[HABER]]-tbal[[#This Row],[DEBE]],0)</f>
        <v>0</v>
      </c>
      <c r="I348" s="16">
        <f>IF((OR(tbal[[#This Row],[X]]=1,tbal[[#This Row],[X]]=2)),tbal[[#This Row],[DEUDOR]],0)</f>
        <v>0</v>
      </c>
      <c r="J348" s="18">
        <f>IF((OR(tbal[[#This Row],[X]]=2,tbal[[#This Row],[X]]=3)),tbal[[#This Row],[ACREEDOR]],0)</f>
        <v>0</v>
      </c>
      <c r="K348" s="16">
        <f>IF((OR(tbal[[#This Row],[X]]=3,tbal[[#This Row],[X]]=5)),tbal[[#This Row],[DEUDOR]],0)</f>
        <v>0</v>
      </c>
      <c r="L348" s="18">
        <f>IF((OR(tbal[[#This Row],[X]]=3,tbal[[#This Row],[X]]=4)),tbal[[#This Row],[ACREEDOR]],0)</f>
        <v>0</v>
      </c>
      <c r="M348" s="16">
        <f>IF((OR(tbal[[#This Row],[X]]=0,tbal[[#This Row],[X]]=6)),tbal[[#This Row],[DEUDOR]],0)</f>
        <v>0</v>
      </c>
      <c r="N348" s="18">
        <f>IF((OR(tbal[[#This Row],[X]]=0,tbal[[#This Row],[X]]=5)),tbal[[#This Row],[ACREEDOR]],0)</f>
        <v>0</v>
      </c>
    </row>
    <row r="349" spans="1:14" hidden="1" x14ac:dyDescent="0.3">
      <c r="A349" s="14">
        <f>+'PLAN DE CUENTAS'!A349</f>
        <v>0</v>
      </c>
      <c r="B349" s="13">
        <f>+'PLAN DE CUENTAS'!B349</f>
        <v>0</v>
      </c>
      <c r="C349" s="13">
        <f>+'PLAN DE CUENTAS'!C349</f>
        <v>0</v>
      </c>
      <c r="D349" t="str">
        <f>IF(tbal[[#This Row],[DEBE]]+tbal[[#This Row],[HABER]]=0,"","X")</f>
        <v/>
      </c>
      <c r="E349" s="16">
        <f>SUMIF(tdiario[CUENTA],tbal[[#This Row],[CUENTA]],tdiario[DEBE])</f>
        <v>0</v>
      </c>
      <c r="F349" s="17">
        <f>SUMIF(tdiario[CUENTA],tbal[[#This Row],[CUENTA]],tdiario[HABER])</f>
        <v>0</v>
      </c>
      <c r="G349" s="16">
        <f>IF(tbal[[#This Row],[DEBE]]-tbal[[#This Row],[HABER]]&gt;0,tbal[[#This Row],[DEBE]]-tbal[[#This Row],[HABER]],0)</f>
        <v>0</v>
      </c>
      <c r="H349" s="18">
        <f>IF(tbal[[#This Row],[HABER]]-tbal[[#This Row],[DEBE]]&gt;0,tbal[[#This Row],[HABER]]-tbal[[#This Row],[DEBE]],0)</f>
        <v>0</v>
      </c>
      <c r="I349" s="16">
        <f>IF((OR(tbal[[#This Row],[X]]=1,tbal[[#This Row],[X]]=2)),tbal[[#This Row],[DEUDOR]],0)</f>
        <v>0</v>
      </c>
      <c r="J349" s="18">
        <f>IF((OR(tbal[[#This Row],[X]]=2,tbal[[#This Row],[X]]=3)),tbal[[#This Row],[ACREEDOR]],0)</f>
        <v>0</v>
      </c>
      <c r="K349" s="16">
        <f>IF((OR(tbal[[#This Row],[X]]=3,tbal[[#This Row],[X]]=5)),tbal[[#This Row],[DEUDOR]],0)</f>
        <v>0</v>
      </c>
      <c r="L349" s="18">
        <f>IF((OR(tbal[[#This Row],[X]]=3,tbal[[#This Row],[X]]=4)),tbal[[#This Row],[ACREEDOR]],0)</f>
        <v>0</v>
      </c>
      <c r="M349" s="16">
        <f>IF((OR(tbal[[#This Row],[X]]=0,tbal[[#This Row],[X]]=6)),tbal[[#This Row],[DEUDOR]],0)</f>
        <v>0</v>
      </c>
      <c r="N349" s="18">
        <f>IF((OR(tbal[[#This Row],[X]]=0,tbal[[#This Row],[X]]=5)),tbal[[#This Row],[ACREEDOR]],0)</f>
        <v>0</v>
      </c>
    </row>
    <row r="350" spans="1:14" hidden="1" x14ac:dyDescent="0.3">
      <c r="A350" s="14">
        <f>+'PLAN DE CUENTAS'!A350</f>
        <v>0</v>
      </c>
      <c r="B350" s="13">
        <f>+'PLAN DE CUENTAS'!B350</f>
        <v>0</v>
      </c>
      <c r="C350" s="13">
        <f>+'PLAN DE CUENTAS'!C350</f>
        <v>0</v>
      </c>
      <c r="D350" t="str">
        <f>IF(tbal[[#This Row],[DEBE]]+tbal[[#This Row],[HABER]]=0,"","X")</f>
        <v/>
      </c>
      <c r="E350" s="16">
        <f>SUMIF(tdiario[CUENTA],tbal[[#This Row],[CUENTA]],tdiario[DEBE])</f>
        <v>0</v>
      </c>
      <c r="F350" s="17">
        <f>SUMIF(tdiario[CUENTA],tbal[[#This Row],[CUENTA]],tdiario[HABER])</f>
        <v>0</v>
      </c>
      <c r="G350" s="16">
        <f>IF(tbal[[#This Row],[DEBE]]-tbal[[#This Row],[HABER]]&gt;0,tbal[[#This Row],[DEBE]]-tbal[[#This Row],[HABER]],0)</f>
        <v>0</v>
      </c>
      <c r="H350" s="18">
        <f>IF(tbal[[#This Row],[HABER]]-tbal[[#This Row],[DEBE]]&gt;0,tbal[[#This Row],[HABER]]-tbal[[#This Row],[DEBE]],0)</f>
        <v>0</v>
      </c>
      <c r="I350" s="16">
        <f>IF((OR(tbal[[#This Row],[X]]=1,tbal[[#This Row],[X]]=2)),tbal[[#This Row],[DEUDOR]],0)</f>
        <v>0</v>
      </c>
      <c r="J350" s="18">
        <f>IF((OR(tbal[[#This Row],[X]]=2,tbal[[#This Row],[X]]=3)),tbal[[#This Row],[ACREEDOR]],0)</f>
        <v>0</v>
      </c>
      <c r="K350" s="16">
        <f>IF((OR(tbal[[#This Row],[X]]=3,tbal[[#This Row],[X]]=5)),tbal[[#This Row],[DEUDOR]],0)</f>
        <v>0</v>
      </c>
      <c r="L350" s="18">
        <f>IF((OR(tbal[[#This Row],[X]]=3,tbal[[#This Row],[X]]=4)),tbal[[#This Row],[ACREEDOR]],0)</f>
        <v>0</v>
      </c>
      <c r="M350" s="16">
        <f>IF((OR(tbal[[#This Row],[X]]=0,tbal[[#This Row],[X]]=6)),tbal[[#This Row],[DEUDOR]],0)</f>
        <v>0</v>
      </c>
      <c r="N350" s="18">
        <f>IF((OR(tbal[[#This Row],[X]]=0,tbal[[#This Row],[X]]=5)),tbal[[#This Row],[ACREEDOR]],0)</f>
        <v>0</v>
      </c>
    </row>
    <row r="351" spans="1:14" hidden="1" x14ac:dyDescent="0.3">
      <c r="A351" s="14">
        <f>+'PLAN DE CUENTAS'!A351</f>
        <v>0</v>
      </c>
      <c r="B351" s="13">
        <f>+'PLAN DE CUENTAS'!B351</f>
        <v>0</v>
      </c>
      <c r="C351" s="13">
        <f>+'PLAN DE CUENTAS'!C351</f>
        <v>0</v>
      </c>
      <c r="D351" t="str">
        <f>IF(tbal[[#This Row],[DEBE]]+tbal[[#This Row],[HABER]]=0,"","X")</f>
        <v/>
      </c>
      <c r="E351" s="16">
        <f>SUMIF(tdiario[CUENTA],tbal[[#This Row],[CUENTA]],tdiario[DEBE])</f>
        <v>0</v>
      </c>
      <c r="F351" s="17">
        <f>SUMIF(tdiario[CUENTA],tbal[[#This Row],[CUENTA]],tdiario[HABER])</f>
        <v>0</v>
      </c>
      <c r="G351" s="16">
        <f>IF(tbal[[#This Row],[DEBE]]-tbal[[#This Row],[HABER]]&gt;0,tbal[[#This Row],[DEBE]]-tbal[[#This Row],[HABER]],0)</f>
        <v>0</v>
      </c>
      <c r="H351" s="18">
        <f>IF(tbal[[#This Row],[HABER]]-tbal[[#This Row],[DEBE]]&gt;0,tbal[[#This Row],[HABER]]-tbal[[#This Row],[DEBE]],0)</f>
        <v>0</v>
      </c>
      <c r="I351" s="16">
        <f>IF((OR(tbal[[#This Row],[X]]=1,tbal[[#This Row],[X]]=2)),tbal[[#This Row],[DEUDOR]],0)</f>
        <v>0</v>
      </c>
      <c r="J351" s="18">
        <f>IF((OR(tbal[[#This Row],[X]]=2,tbal[[#This Row],[X]]=3)),tbal[[#This Row],[ACREEDOR]],0)</f>
        <v>0</v>
      </c>
      <c r="K351" s="16">
        <f>IF((OR(tbal[[#This Row],[X]]=3,tbal[[#This Row],[X]]=5)),tbal[[#This Row],[DEUDOR]],0)</f>
        <v>0</v>
      </c>
      <c r="L351" s="18">
        <f>IF((OR(tbal[[#This Row],[X]]=3,tbal[[#This Row],[X]]=4)),tbal[[#This Row],[ACREEDOR]],0)</f>
        <v>0</v>
      </c>
      <c r="M351" s="16">
        <f>IF((OR(tbal[[#This Row],[X]]=0,tbal[[#This Row],[X]]=6)),tbal[[#This Row],[DEUDOR]],0)</f>
        <v>0</v>
      </c>
      <c r="N351" s="18">
        <f>IF((OR(tbal[[#This Row],[X]]=0,tbal[[#This Row],[X]]=5)),tbal[[#This Row],[ACREEDOR]],0)</f>
        <v>0</v>
      </c>
    </row>
    <row r="352" spans="1:14" hidden="1" x14ac:dyDescent="0.3">
      <c r="A352" s="14">
        <f>+'PLAN DE CUENTAS'!A352</f>
        <v>0</v>
      </c>
      <c r="B352" s="13">
        <f>+'PLAN DE CUENTAS'!B352</f>
        <v>0</v>
      </c>
      <c r="C352" s="13">
        <f>+'PLAN DE CUENTAS'!C352</f>
        <v>0</v>
      </c>
      <c r="D352" t="str">
        <f>IF(tbal[[#This Row],[DEBE]]+tbal[[#This Row],[HABER]]=0,"","X")</f>
        <v/>
      </c>
      <c r="E352" s="16">
        <f>SUMIF(tdiario[CUENTA],tbal[[#This Row],[CUENTA]],tdiario[DEBE])</f>
        <v>0</v>
      </c>
      <c r="F352" s="17">
        <f>SUMIF(tdiario[CUENTA],tbal[[#This Row],[CUENTA]],tdiario[HABER])</f>
        <v>0</v>
      </c>
      <c r="G352" s="16">
        <f>IF(tbal[[#This Row],[DEBE]]-tbal[[#This Row],[HABER]]&gt;0,tbal[[#This Row],[DEBE]]-tbal[[#This Row],[HABER]],0)</f>
        <v>0</v>
      </c>
      <c r="H352" s="18">
        <f>IF(tbal[[#This Row],[HABER]]-tbal[[#This Row],[DEBE]]&gt;0,tbal[[#This Row],[HABER]]-tbal[[#This Row],[DEBE]],0)</f>
        <v>0</v>
      </c>
      <c r="I352" s="16">
        <f>IF((OR(tbal[[#This Row],[X]]=1,tbal[[#This Row],[X]]=2)),tbal[[#This Row],[DEUDOR]],0)</f>
        <v>0</v>
      </c>
      <c r="J352" s="18">
        <f>IF((OR(tbal[[#This Row],[X]]=2,tbal[[#This Row],[X]]=3)),tbal[[#This Row],[ACREEDOR]],0)</f>
        <v>0</v>
      </c>
      <c r="K352" s="16">
        <f>IF((OR(tbal[[#This Row],[X]]=3,tbal[[#This Row],[X]]=5)),tbal[[#This Row],[DEUDOR]],0)</f>
        <v>0</v>
      </c>
      <c r="L352" s="18">
        <f>IF((OR(tbal[[#This Row],[X]]=3,tbal[[#This Row],[X]]=4)),tbal[[#This Row],[ACREEDOR]],0)</f>
        <v>0</v>
      </c>
      <c r="M352" s="16">
        <f>IF((OR(tbal[[#This Row],[X]]=0,tbal[[#This Row],[X]]=6)),tbal[[#This Row],[DEUDOR]],0)</f>
        <v>0</v>
      </c>
      <c r="N352" s="18">
        <f>IF((OR(tbal[[#This Row],[X]]=0,tbal[[#This Row],[X]]=5)),tbal[[#This Row],[ACREEDOR]],0)</f>
        <v>0</v>
      </c>
    </row>
    <row r="353" spans="1:14" hidden="1" x14ac:dyDescent="0.3">
      <c r="A353" s="14">
        <f>+'PLAN DE CUENTAS'!A353</f>
        <v>0</v>
      </c>
      <c r="B353" s="13">
        <f>+'PLAN DE CUENTAS'!B353</f>
        <v>0</v>
      </c>
      <c r="C353" s="13">
        <f>+'PLAN DE CUENTAS'!C353</f>
        <v>0</v>
      </c>
      <c r="D353" t="str">
        <f>IF(tbal[[#This Row],[DEBE]]+tbal[[#This Row],[HABER]]=0,"","X")</f>
        <v/>
      </c>
      <c r="E353" s="16">
        <f>SUMIF(tdiario[CUENTA],tbal[[#This Row],[CUENTA]],tdiario[DEBE])</f>
        <v>0</v>
      </c>
      <c r="F353" s="17">
        <f>SUMIF(tdiario[CUENTA],tbal[[#This Row],[CUENTA]],tdiario[HABER])</f>
        <v>0</v>
      </c>
      <c r="G353" s="16">
        <f>IF(tbal[[#This Row],[DEBE]]-tbal[[#This Row],[HABER]]&gt;0,tbal[[#This Row],[DEBE]]-tbal[[#This Row],[HABER]],0)</f>
        <v>0</v>
      </c>
      <c r="H353" s="18">
        <f>IF(tbal[[#This Row],[HABER]]-tbal[[#This Row],[DEBE]]&gt;0,tbal[[#This Row],[HABER]]-tbal[[#This Row],[DEBE]],0)</f>
        <v>0</v>
      </c>
      <c r="I353" s="16">
        <f>IF((OR(tbal[[#This Row],[X]]=1,tbal[[#This Row],[X]]=2)),tbal[[#This Row],[DEUDOR]],0)</f>
        <v>0</v>
      </c>
      <c r="J353" s="18">
        <f>IF((OR(tbal[[#This Row],[X]]=2,tbal[[#This Row],[X]]=3)),tbal[[#This Row],[ACREEDOR]],0)</f>
        <v>0</v>
      </c>
      <c r="K353" s="16">
        <f>IF((OR(tbal[[#This Row],[X]]=3,tbal[[#This Row],[X]]=5)),tbal[[#This Row],[DEUDOR]],0)</f>
        <v>0</v>
      </c>
      <c r="L353" s="18">
        <f>IF((OR(tbal[[#This Row],[X]]=3,tbal[[#This Row],[X]]=4)),tbal[[#This Row],[ACREEDOR]],0)</f>
        <v>0</v>
      </c>
      <c r="M353" s="16">
        <f>IF((OR(tbal[[#This Row],[X]]=0,tbal[[#This Row],[X]]=6)),tbal[[#This Row],[DEUDOR]],0)</f>
        <v>0</v>
      </c>
      <c r="N353" s="18">
        <f>IF((OR(tbal[[#This Row],[X]]=0,tbal[[#This Row],[X]]=5)),tbal[[#This Row],[ACREEDOR]],0)</f>
        <v>0</v>
      </c>
    </row>
    <row r="354" spans="1:14" hidden="1" x14ac:dyDescent="0.3">
      <c r="A354" s="14">
        <f>+'PLAN DE CUENTAS'!A354</f>
        <v>0</v>
      </c>
      <c r="B354" s="13">
        <f>+'PLAN DE CUENTAS'!B354</f>
        <v>0</v>
      </c>
      <c r="C354" s="13">
        <f>+'PLAN DE CUENTAS'!C354</f>
        <v>0</v>
      </c>
      <c r="D354" t="str">
        <f>IF(tbal[[#This Row],[DEBE]]+tbal[[#This Row],[HABER]]=0,"","X")</f>
        <v/>
      </c>
      <c r="E354" s="16">
        <f>SUMIF(tdiario[CUENTA],tbal[[#This Row],[CUENTA]],tdiario[DEBE])</f>
        <v>0</v>
      </c>
      <c r="F354" s="17">
        <f>SUMIF(tdiario[CUENTA],tbal[[#This Row],[CUENTA]],tdiario[HABER])</f>
        <v>0</v>
      </c>
      <c r="G354" s="16">
        <f>IF(tbal[[#This Row],[DEBE]]-tbal[[#This Row],[HABER]]&gt;0,tbal[[#This Row],[DEBE]]-tbal[[#This Row],[HABER]],0)</f>
        <v>0</v>
      </c>
      <c r="H354" s="18">
        <f>IF(tbal[[#This Row],[HABER]]-tbal[[#This Row],[DEBE]]&gt;0,tbal[[#This Row],[HABER]]-tbal[[#This Row],[DEBE]],0)</f>
        <v>0</v>
      </c>
      <c r="I354" s="16">
        <f>IF((OR(tbal[[#This Row],[X]]=1,tbal[[#This Row],[X]]=2)),tbal[[#This Row],[DEUDOR]],0)</f>
        <v>0</v>
      </c>
      <c r="J354" s="18">
        <f>IF((OR(tbal[[#This Row],[X]]=2,tbal[[#This Row],[X]]=3)),tbal[[#This Row],[ACREEDOR]],0)</f>
        <v>0</v>
      </c>
      <c r="K354" s="16">
        <f>IF((OR(tbal[[#This Row],[X]]=3,tbal[[#This Row],[X]]=5)),tbal[[#This Row],[DEUDOR]],0)</f>
        <v>0</v>
      </c>
      <c r="L354" s="18">
        <f>IF((OR(tbal[[#This Row],[X]]=3,tbal[[#This Row],[X]]=4)),tbal[[#This Row],[ACREEDOR]],0)</f>
        <v>0</v>
      </c>
      <c r="M354" s="16">
        <f>IF((OR(tbal[[#This Row],[X]]=0,tbal[[#This Row],[X]]=6)),tbal[[#This Row],[DEUDOR]],0)</f>
        <v>0</v>
      </c>
      <c r="N354" s="18">
        <f>IF((OR(tbal[[#This Row],[X]]=0,tbal[[#This Row],[X]]=5)),tbal[[#This Row],[ACREEDOR]],0)</f>
        <v>0</v>
      </c>
    </row>
    <row r="355" spans="1:14" hidden="1" x14ac:dyDescent="0.3">
      <c r="A355" s="14">
        <f>+'PLAN DE CUENTAS'!A355</f>
        <v>0</v>
      </c>
      <c r="B355" s="13">
        <f>+'PLAN DE CUENTAS'!B355</f>
        <v>0</v>
      </c>
      <c r="C355" s="13">
        <f>+'PLAN DE CUENTAS'!C355</f>
        <v>0</v>
      </c>
      <c r="D355" t="str">
        <f>IF(tbal[[#This Row],[DEBE]]+tbal[[#This Row],[HABER]]=0,"","X")</f>
        <v/>
      </c>
      <c r="E355" s="16">
        <f>SUMIF(tdiario[CUENTA],tbal[[#This Row],[CUENTA]],tdiario[DEBE])</f>
        <v>0</v>
      </c>
      <c r="F355" s="17">
        <f>SUMIF(tdiario[CUENTA],tbal[[#This Row],[CUENTA]],tdiario[HABER])</f>
        <v>0</v>
      </c>
      <c r="G355" s="16">
        <f>IF(tbal[[#This Row],[DEBE]]-tbal[[#This Row],[HABER]]&gt;0,tbal[[#This Row],[DEBE]]-tbal[[#This Row],[HABER]],0)</f>
        <v>0</v>
      </c>
      <c r="H355" s="18">
        <f>IF(tbal[[#This Row],[HABER]]-tbal[[#This Row],[DEBE]]&gt;0,tbal[[#This Row],[HABER]]-tbal[[#This Row],[DEBE]],0)</f>
        <v>0</v>
      </c>
      <c r="I355" s="16">
        <f>IF((OR(tbal[[#This Row],[X]]=1,tbal[[#This Row],[X]]=2)),tbal[[#This Row],[DEUDOR]],0)</f>
        <v>0</v>
      </c>
      <c r="J355" s="18">
        <f>IF((OR(tbal[[#This Row],[X]]=2,tbal[[#This Row],[X]]=3)),tbal[[#This Row],[ACREEDOR]],0)</f>
        <v>0</v>
      </c>
      <c r="K355" s="16">
        <f>IF((OR(tbal[[#This Row],[X]]=3,tbal[[#This Row],[X]]=5)),tbal[[#This Row],[DEUDOR]],0)</f>
        <v>0</v>
      </c>
      <c r="L355" s="18">
        <f>IF((OR(tbal[[#This Row],[X]]=3,tbal[[#This Row],[X]]=4)),tbal[[#This Row],[ACREEDOR]],0)</f>
        <v>0</v>
      </c>
      <c r="M355" s="16">
        <f>IF((OR(tbal[[#This Row],[X]]=0,tbal[[#This Row],[X]]=6)),tbal[[#This Row],[DEUDOR]],0)</f>
        <v>0</v>
      </c>
      <c r="N355" s="18">
        <f>IF((OR(tbal[[#This Row],[X]]=0,tbal[[#This Row],[X]]=5)),tbal[[#This Row],[ACREEDOR]],0)</f>
        <v>0</v>
      </c>
    </row>
    <row r="356" spans="1:14" hidden="1" x14ac:dyDescent="0.3">
      <c r="A356" s="14">
        <f>+'PLAN DE CUENTAS'!A356</f>
        <v>0</v>
      </c>
      <c r="B356" s="13">
        <f>+'PLAN DE CUENTAS'!B356</f>
        <v>0</v>
      </c>
      <c r="C356" s="13">
        <f>+'PLAN DE CUENTAS'!C356</f>
        <v>0</v>
      </c>
      <c r="D356" t="str">
        <f>IF(tbal[[#This Row],[DEBE]]+tbal[[#This Row],[HABER]]=0,"","X")</f>
        <v/>
      </c>
      <c r="E356" s="16">
        <f>SUMIF(tdiario[CUENTA],tbal[[#This Row],[CUENTA]],tdiario[DEBE])</f>
        <v>0</v>
      </c>
      <c r="F356" s="17">
        <f>SUMIF(tdiario[CUENTA],tbal[[#This Row],[CUENTA]],tdiario[HABER])</f>
        <v>0</v>
      </c>
      <c r="G356" s="16">
        <f>IF(tbal[[#This Row],[DEBE]]-tbal[[#This Row],[HABER]]&gt;0,tbal[[#This Row],[DEBE]]-tbal[[#This Row],[HABER]],0)</f>
        <v>0</v>
      </c>
      <c r="H356" s="18">
        <f>IF(tbal[[#This Row],[HABER]]-tbal[[#This Row],[DEBE]]&gt;0,tbal[[#This Row],[HABER]]-tbal[[#This Row],[DEBE]],0)</f>
        <v>0</v>
      </c>
      <c r="I356" s="16">
        <f>IF((OR(tbal[[#This Row],[X]]=1,tbal[[#This Row],[X]]=2)),tbal[[#This Row],[DEUDOR]],0)</f>
        <v>0</v>
      </c>
      <c r="J356" s="18">
        <f>IF((OR(tbal[[#This Row],[X]]=2,tbal[[#This Row],[X]]=3)),tbal[[#This Row],[ACREEDOR]],0)</f>
        <v>0</v>
      </c>
      <c r="K356" s="16">
        <f>IF((OR(tbal[[#This Row],[X]]=3,tbal[[#This Row],[X]]=5)),tbal[[#This Row],[DEUDOR]],0)</f>
        <v>0</v>
      </c>
      <c r="L356" s="18">
        <f>IF((OR(tbal[[#This Row],[X]]=3,tbal[[#This Row],[X]]=4)),tbal[[#This Row],[ACREEDOR]],0)</f>
        <v>0</v>
      </c>
      <c r="M356" s="16">
        <f>IF((OR(tbal[[#This Row],[X]]=0,tbal[[#This Row],[X]]=6)),tbal[[#This Row],[DEUDOR]],0)</f>
        <v>0</v>
      </c>
      <c r="N356" s="18">
        <f>IF((OR(tbal[[#This Row],[X]]=0,tbal[[#This Row],[X]]=5)),tbal[[#This Row],[ACREEDOR]],0)</f>
        <v>0</v>
      </c>
    </row>
    <row r="357" spans="1:14" hidden="1" x14ac:dyDescent="0.3">
      <c r="A357" s="14">
        <f>+'PLAN DE CUENTAS'!A357</f>
        <v>0</v>
      </c>
      <c r="B357" s="13">
        <f>+'PLAN DE CUENTAS'!B357</f>
        <v>0</v>
      </c>
      <c r="C357" s="13">
        <f>+'PLAN DE CUENTAS'!C357</f>
        <v>0</v>
      </c>
      <c r="D357" t="str">
        <f>IF(tbal[[#This Row],[DEBE]]+tbal[[#This Row],[HABER]]=0,"","X")</f>
        <v/>
      </c>
      <c r="E357" s="16">
        <f>SUMIF(tdiario[CUENTA],tbal[[#This Row],[CUENTA]],tdiario[DEBE])</f>
        <v>0</v>
      </c>
      <c r="F357" s="17">
        <f>SUMIF(tdiario[CUENTA],tbal[[#This Row],[CUENTA]],tdiario[HABER])</f>
        <v>0</v>
      </c>
      <c r="G357" s="16">
        <f>IF(tbal[[#This Row],[DEBE]]-tbal[[#This Row],[HABER]]&gt;0,tbal[[#This Row],[DEBE]]-tbal[[#This Row],[HABER]],0)</f>
        <v>0</v>
      </c>
      <c r="H357" s="18">
        <f>IF(tbal[[#This Row],[HABER]]-tbal[[#This Row],[DEBE]]&gt;0,tbal[[#This Row],[HABER]]-tbal[[#This Row],[DEBE]],0)</f>
        <v>0</v>
      </c>
      <c r="I357" s="16">
        <f>IF((OR(tbal[[#This Row],[X]]=1,tbal[[#This Row],[X]]=2)),tbal[[#This Row],[DEUDOR]],0)</f>
        <v>0</v>
      </c>
      <c r="J357" s="18">
        <f>IF((OR(tbal[[#This Row],[X]]=2,tbal[[#This Row],[X]]=3)),tbal[[#This Row],[ACREEDOR]],0)</f>
        <v>0</v>
      </c>
      <c r="K357" s="16">
        <f>IF((OR(tbal[[#This Row],[X]]=3,tbal[[#This Row],[X]]=5)),tbal[[#This Row],[DEUDOR]],0)</f>
        <v>0</v>
      </c>
      <c r="L357" s="18">
        <f>IF((OR(tbal[[#This Row],[X]]=3,tbal[[#This Row],[X]]=4)),tbal[[#This Row],[ACREEDOR]],0)</f>
        <v>0</v>
      </c>
      <c r="M357" s="16">
        <f>IF((OR(tbal[[#This Row],[X]]=0,tbal[[#This Row],[X]]=6)),tbal[[#This Row],[DEUDOR]],0)</f>
        <v>0</v>
      </c>
      <c r="N357" s="18">
        <f>IF((OR(tbal[[#This Row],[X]]=0,tbal[[#This Row],[X]]=5)),tbal[[#This Row],[ACREEDOR]],0)</f>
        <v>0</v>
      </c>
    </row>
    <row r="358" spans="1:14" hidden="1" x14ac:dyDescent="0.3">
      <c r="A358" s="14">
        <f>+'PLAN DE CUENTAS'!A358</f>
        <v>0</v>
      </c>
      <c r="B358" s="13">
        <f>+'PLAN DE CUENTAS'!B358</f>
        <v>0</v>
      </c>
      <c r="C358" s="13">
        <f>+'PLAN DE CUENTAS'!C358</f>
        <v>0</v>
      </c>
      <c r="D358" t="str">
        <f>IF(tbal[[#This Row],[DEBE]]+tbal[[#This Row],[HABER]]=0,"","X")</f>
        <v/>
      </c>
      <c r="E358" s="16">
        <f>SUMIF(tdiario[CUENTA],tbal[[#This Row],[CUENTA]],tdiario[DEBE])</f>
        <v>0</v>
      </c>
      <c r="F358" s="17">
        <f>SUMIF(tdiario[CUENTA],tbal[[#This Row],[CUENTA]],tdiario[HABER])</f>
        <v>0</v>
      </c>
      <c r="G358" s="16">
        <f>IF(tbal[[#This Row],[DEBE]]-tbal[[#This Row],[HABER]]&gt;0,tbal[[#This Row],[DEBE]]-tbal[[#This Row],[HABER]],0)</f>
        <v>0</v>
      </c>
      <c r="H358" s="18">
        <f>IF(tbal[[#This Row],[HABER]]-tbal[[#This Row],[DEBE]]&gt;0,tbal[[#This Row],[HABER]]-tbal[[#This Row],[DEBE]],0)</f>
        <v>0</v>
      </c>
      <c r="I358" s="16">
        <f>IF((OR(tbal[[#This Row],[X]]=1,tbal[[#This Row],[X]]=2)),tbal[[#This Row],[DEUDOR]],0)</f>
        <v>0</v>
      </c>
      <c r="J358" s="18">
        <f>IF((OR(tbal[[#This Row],[X]]=2,tbal[[#This Row],[X]]=3)),tbal[[#This Row],[ACREEDOR]],0)</f>
        <v>0</v>
      </c>
      <c r="K358" s="16">
        <f>IF((OR(tbal[[#This Row],[X]]=3,tbal[[#This Row],[X]]=5)),tbal[[#This Row],[DEUDOR]],0)</f>
        <v>0</v>
      </c>
      <c r="L358" s="18">
        <f>IF((OR(tbal[[#This Row],[X]]=3,tbal[[#This Row],[X]]=4)),tbal[[#This Row],[ACREEDOR]],0)</f>
        <v>0</v>
      </c>
      <c r="M358" s="16">
        <f>IF((OR(tbal[[#This Row],[X]]=0,tbal[[#This Row],[X]]=6)),tbal[[#This Row],[DEUDOR]],0)</f>
        <v>0</v>
      </c>
      <c r="N358" s="18">
        <f>IF((OR(tbal[[#This Row],[X]]=0,tbal[[#This Row],[X]]=5)),tbal[[#This Row],[ACREEDOR]],0)</f>
        <v>0</v>
      </c>
    </row>
    <row r="359" spans="1:14" hidden="1" x14ac:dyDescent="0.3">
      <c r="A359" s="14">
        <f>+'PLAN DE CUENTAS'!A359</f>
        <v>0</v>
      </c>
      <c r="B359" s="13">
        <f>+'PLAN DE CUENTAS'!B359</f>
        <v>0</v>
      </c>
      <c r="C359" s="13">
        <f>+'PLAN DE CUENTAS'!C359</f>
        <v>0</v>
      </c>
      <c r="D359" t="str">
        <f>IF(tbal[[#This Row],[DEBE]]+tbal[[#This Row],[HABER]]=0,"","X")</f>
        <v/>
      </c>
      <c r="E359" s="16">
        <f>SUMIF(tdiario[CUENTA],tbal[[#This Row],[CUENTA]],tdiario[DEBE])</f>
        <v>0</v>
      </c>
      <c r="F359" s="17">
        <f>SUMIF(tdiario[CUENTA],tbal[[#This Row],[CUENTA]],tdiario[HABER])</f>
        <v>0</v>
      </c>
      <c r="G359" s="16">
        <f>IF(tbal[[#This Row],[DEBE]]-tbal[[#This Row],[HABER]]&gt;0,tbal[[#This Row],[DEBE]]-tbal[[#This Row],[HABER]],0)</f>
        <v>0</v>
      </c>
      <c r="H359" s="18">
        <f>IF(tbal[[#This Row],[HABER]]-tbal[[#This Row],[DEBE]]&gt;0,tbal[[#This Row],[HABER]]-tbal[[#This Row],[DEBE]],0)</f>
        <v>0</v>
      </c>
      <c r="I359" s="16">
        <f>IF((OR(tbal[[#This Row],[X]]=1,tbal[[#This Row],[X]]=2)),tbal[[#This Row],[DEUDOR]],0)</f>
        <v>0</v>
      </c>
      <c r="J359" s="18">
        <f>IF((OR(tbal[[#This Row],[X]]=2,tbal[[#This Row],[X]]=3)),tbal[[#This Row],[ACREEDOR]],0)</f>
        <v>0</v>
      </c>
      <c r="K359" s="16">
        <f>IF((OR(tbal[[#This Row],[X]]=3,tbal[[#This Row],[X]]=5)),tbal[[#This Row],[DEUDOR]],0)</f>
        <v>0</v>
      </c>
      <c r="L359" s="18">
        <f>IF((OR(tbal[[#This Row],[X]]=3,tbal[[#This Row],[X]]=4)),tbal[[#This Row],[ACREEDOR]],0)</f>
        <v>0</v>
      </c>
      <c r="M359" s="16">
        <f>IF((OR(tbal[[#This Row],[X]]=0,tbal[[#This Row],[X]]=6)),tbal[[#This Row],[DEUDOR]],0)</f>
        <v>0</v>
      </c>
      <c r="N359" s="18">
        <f>IF((OR(tbal[[#This Row],[X]]=0,tbal[[#This Row],[X]]=5)),tbal[[#This Row],[ACREEDOR]],0)</f>
        <v>0</v>
      </c>
    </row>
    <row r="360" spans="1:14" hidden="1" x14ac:dyDescent="0.3">
      <c r="A360" s="14">
        <f>+'PLAN DE CUENTAS'!A360</f>
        <v>0</v>
      </c>
      <c r="B360" s="13">
        <f>+'PLAN DE CUENTAS'!B360</f>
        <v>0</v>
      </c>
      <c r="C360" s="13">
        <f>+'PLAN DE CUENTAS'!C360</f>
        <v>0</v>
      </c>
      <c r="D360" t="str">
        <f>IF(tbal[[#This Row],[DEBE]]+tbal[[#This Row],[HABER]]=0,"","X")</f>
        <v/>
      </c>
      <c r="E360" s="16">
        <f>SUMIF(tdiario[CUENTA],tbal[[#This Row],[CUENTA]],tdiario[DEBE])</f>
        <v>0</v>
      </c>
      <c r="F360" s="17">
        <f>SUMIF(tdiario[CUENTA],tbal[[#This Row],[CUENTA]],tdiario[HABER])</f>
        <v>0</v>
      </c>
      <c r="G360" s="16">
        <f>IF(tbal[[#This Row],[DEBE]]-tbal[[#This Row],[HABER]]&gt;0,tbal[[#This Row],[DEBE]]-tbal[[#This Row],[HABER]],0)</f>
        <v>0</v>
      </c>
      <c r="H360" s="18">
        <f>IF(tbal[[#This Row],[HABER]]-tbal[[#This Row],[DEBE]]&gt;0,tbal[[#This Row],[HABER]]-tbal[[#This Row],[DEBE]],0)</f>
        <v>0</v>
      </c>
      <c r="I360" s="16">
        <f>IF((OR(tbal[[#This Row],[X]]=1,tbal[[#This Row],[X]]=2)),tbal[[#This Row],[DEUDOR]],0)</f>
        <v>0</v>
      </c>
      <c r="J360" s="18">
        <f>IF((OR(tbal[[#This Row],[X]]=2,tbal[[#This Row],[X]]=3)),tbal[[#This Row],[ACREEDOR]],0)</f>
        <v>0</v>
      </c>
      <c r="K360" s="16">
        <f>IF((OR(tbal[[#This Row],[X]]=3,tbal[[#This Row],[X]]=5)),tbal[[#This Row],[DEUDOR]],0)</f>
        <v>0</v>
      </c>
      <c r="L360" s="18">
        <f>IF((OR(tbal[[#This Row],[X]]=3,tbal[[#This Row],[X]]=4)),tbal[[#This Row],[ACREEDOR]],0)</f>
        <v>0</v>
      </c>
      <c r="M360" s="16">
        <f>IF((OR(tbal[[#This Row],[X]]=0,tbal[[#This Row],[X]]=6)),tbal[[#This Row],[DEUDOR]],0)</f>
        <v>0</v>
      </c>
      <c r="N360" s="18">
        <f>IF((OR(tbal[[#This Row],[X]]=0,tbal[[#This Row],[X]]=5)),tbal[[#This Row],[ACREEDOR]],0)</f>
        <v>0</v>
      </c>
    </row>
    <row r="361" spans="1:14" hidden="1" x14ac:dyDescent="0.3">
      <c r="A361" s="14">
        <f>+'PLAN DE CUENTAS'!A361</f>
        <v>0</v>
      </c>
      <c r="B361" s="13">
        <f>+'PLAN DE CUENTAS'!B361</f>
        <v>0</v>
      </c>
      <c r="C361" s="13">
        <f>+'PLAN DE CUENTAS'!C361</f>
        <v>0</v>
      </c>
      <c r="D361" t="str">
        <f>IF(tbal[[#This Row],[DEBE]]+tbal[[#This Row],[HABER]]=0,"","X")</f>
        <v/>
      </c>
      <c r="E361" s="16">
        <f>SUMIF(tdiario[CUENTA],tbal[[#This Row],[CUENTA]],tdiario[DEBE])</f>
        <v>0</v>
      </c>
      <c r="F361" s="17">
        <f>SUMIF(tdiario[CUENTA],tbal[[#This Row],[CUENTA]],tdiario[HABER])</f>
        <v>0</v>
      </c>
      <c r="G361" s="16">
        <f>IF(tbal[[#This Row],[DEBE]]-tbal[[#This Row],[HABER]]&gt;0,tbal[[#This Row],[DEBE]]-tbal[[#This Row],[HABER]],0)</f>
        <v>0</v>
      </c>
      <c r="H361" s="18">
        <f>IF(tbal[[#This Row],[HABER]]-tbal[[#This Row],[DEBE]]&gt;0,tbal[[#This Row],[HABER]]-tbal[[#This Row],[DEBE]],0)</f>
        <v>0</v>
      </c>
      <c r="I361" s="16">
        <f>IF((OR(tbal[[#This Row],[X]]=1,tbal[[#This Row],[X]]=2)),tbal[[#This Row],[DEUDOR]],0)</f>
        <v>0</v>
      </c>
      <c r="J361" s="18">
        <f>IF((OR(tbal[[#This Row],[X]]=2,tbal[[#This Row],[X]]=3)),tbal[[#This Row],[ACREEDOR]],0)</f>
        <v>0</v>
      </c>
      <c r="K361" s="16">
        <f>IF((OR(tbal[[#This Row],[X]]=3,tbal[[#This Row],[X]]=5)),tbal[[#This Row],[DEUDOR]],0)</f>
        <v>0</v>
      </c>
      <c r="L361" s="18">
        <f>IF((OR(tbal[[#This Row],[X]]=3,tbal[[#This Row],[X]]=4)),tbal[[#This Row],[ACREEDOR]],0)</f>
        <v>0</v>
      </c>
      <c r="M361" s="16">
        <f>IF((OR(tbal[[#This Row],[X]]=0,tbal[[#This Row],[X]]=6)),tbal[[#This Row],[DEUDOR]],0)</f>
        <v>0</v>
      </c>
      <c r="N361" s="18">
        <f>IF((OR(tbal[[#This Row],[X]]=0,tbal[[#This Row],[X]]=5)),tbal[[#This Row],[ACREEDOR]],0)</f>
        <v>0</v>
      </c>
    </row>
    <row r="362" spans="1:14" hidden="1" x14ac:dyDescent="0.3">
      <c r="A362" s="14">
        <f>+'PLAN DE CUENTAS'!A362</f>
        <v>0</v>
      </c>
      <c r="B362" s="13">
        <f>+'PLAN DE CUENTAS'!B362</f>
        <v>0</v>
      </c>
      <c r="C362" s="13">
        <f>+'PLAN DE CUENTAS'!C362</f>
        <v>0</v>
      </c>
      <c r="D362" t="str">
        <f>IF(tbal[[#This Row],[DEBE]]+tbal[[#This Row],[HABER]]=0,"","X")</f>
        <v/>
      </c>
      <c r="E362" s="16">
        <f>SUMIF(tdiario[CUENTA],tbal[[#This Row],[CUENTA]],tdiario[DEBE])</f>
        <v>0</v>
      </c>
      <c r="F362" s="17">
        <f>SUMIF(tdiario[CUENTA],tbal[[#This Row],[CUENTA]],tdiario[HABER])</f>
        <v>0</v>
      </c>
      <c r="G362" s="16">
        <f>IF(tbal[[#This Row],[DEBE]]-tbal[[#This Row],[HABER]]&gt;0,tbal[[#This Row],[DEBE]]-tbal[[#This Row],[HABER]],0)</f>
        <v>0</v>
      </c>
      <c r="H362" s="18">
        <f>IF(tbal[[#This Row],[HABER]]-tbal[[#This Row],[DEBE]]&gt;0,tbal[[#This Row],[HABER]]-tbal[[#This Row],[DEBE]],0)</f>
        <v>0</v>
      </c>
      <c r="I362" s="16">
        <f>IF((OR(tbal[[#This Row],[X]]=1,tbal[[#This Row],[X]]=2)),tbal[[#This Row],[DEUDOR]],0)</f>
        <v>0</v>
      </c>
      <c r="J362" s="18">
        <f>IF((OR(tbal[[#This Row],[X]]=2,tbal[[#This Row],[X]]=3)),tbal[[#This Row],[ACREEDOR]],0)</f>
        <v>0</v>
      </c>
      <c r="K362" s="16">
        <f>IF((OR(tbal[[#This Row],[X]]=3,tbal[[#This Row],[X]]=5)),tbal[[#This Row],[DEUDOR]],0)</f>
        <v>0</v>
      </c>
      <c r="L362" s="18">
        <f>IF((OR(tbal[[#This Row],[X]]=3,tbal[[#This Row],[X]]=4)),tbal[[#This Row],[ACREEDOR]],0)</f>
        <v>0</v>
      </c>
      <c r="M362" s="16">
        <f>IF((OR(tbal[[#This Row],[X]]=0,tbal[[#This Row],[X]]=6)),tbal[[#This Row],[DEUDOR]],0)</f>
        <v>0</v>
      </c>
      <c r="N362" s="18">
        <f>IF((OR(tbal[[#This Row],[X]]=0,tbal[[#This Row],[X]]=5)),tbal[[#This Row],[ACREEDOR]],0)</f>
        <v>0</v>
      </c>
    </row>
    <row r="363" spans="1:14" hidden="1" x14ac:dyDescent="0.3">
      <c r="A363" s="14">
        <f>+'PLAN DE CUENTAS'!A363</f>
        <v>0</v>
      </c>
      <c r="B363" s="13">
        <f>+'PLAN DE CUENTAS'!B363</f>
        <v>0</v>
      </c>
      <c r="C363" s="13">
        <f>+'PLAN DE CUENTAS'!C363</f>
        <v>0</v>
      </c>
      <c r="D363" t="str">
        <f>IF(tbal[[#This Row],[DEBE]]+tbal[[#This Row],[HABER]]=0,"","X")</f>
        <v/>
      </c>
      <c r="E363" s="16">
        <f>SUMIF(tdiario[CUENTA],tbal[[#This Row],[CUENTA]],tdiario[DEBE])</f>
        <v>0</v>
      </c>
      <c r="F363" s="17">
        <f>SUMIF(tdiario[CUENTA],tbal[[#This Row],[CUENTA]],tdiario[HABER])</f>
        <v>0</v>
      </c>
      <c r="G363" s="16">
        <f>IF(tbal[[#This Row],[DEBE]]-tbal[[#This Row],[HABER]]&gt;0,tbal[[#This Row],[DEBE]]-tbal[[#This Row],[HABER]],0)</f>
        <v>0</v>
      </c>
      <c r="H363" s="18">
        <f>IF(tbal[[#This Row],[HABER]]-tbal[[#This Row],[DEBE]]&gt;0,tbal[[#This Row],[HABER]]-tbal[[#This Row],[DEBE]],0)</f>
        <v>0</v>
      </c>
      <c r="I363" s="16">
        <f>IF((OR(tbal[[#This Row],[X]]=1,tbal[[#This Row],[X]]=2)),tbal[[#This Row],[DEUDOR]],0)</f>
        <v>0</v>
      </c>
      <c r="J363" s="18">
        <f>IF((OR(tbal[[#This Row],[X]]=2,tbal[[#This Row],[X]]=3)),tbal[[#This Row],[ACREEDOR]],0)</f>
        <v>0</v>
      </c>
      <c r="K363" s="16">
        <f>IF((OR(tbal[[#This Row],[X]]=3,tbal[[#This Row],[X]]=5)),tbal[[#This Row],[DEUDOR]],0)</f>
        <v>0</v>
      </c>
      <c r="L363" s="18">
        <f>IF((OR(tbal[[#This Row],[X]]=3,tbal[[#This Row],[X]]=4)),tbal[[#This Row],[ACREEDOR]],0)</f>
        <v>0</v>
      </c>
      <c r="M363" s="16">
        <f>IF((OR(tbal[[#This Row],[X]]=0,tbal[[#This Row],[X]]=6)),tbal[[#This Row],[DEUDOR]],0)</f>
        <v>0</v>
      </c>
      <c r="N363" s="18">
        <f>IF((OR(tbal[[#This Row],[X]]=0,tbal[[#This Row],[X]]=5)),tbal[[#This Row],[ACREEDOR]],0)</f>
        <v>0</v>
      </c>
    </row>
    <row r="364" spans="1:14" hidden="1" x14ac:dyDescent="0.3">
      <c r="A364" s="14">
        <f>+'PLAN DE CUENTAS'!A364</f>
        <v>0</v>
      </c>
      <c r="B364" s="13">
        <f>+'PLAN DE CUENTAS'!B364</f>
        <v>0</v>
      </c>
      <c r="C364" s="13">
        <f>+'PLAN DE CUENTAS'!C364</f>
        <v>0</v>
      </c>
      <c r="D364" t="str">
        <f>IF(tbal[[#This Row],[DEBE]]+tbal[[#This Row],[HABER]]=0,"","X")</f>
        <v/>
      </c>
      <c r="E364" s="16">
        <f>SUMIF(tdiario[CUENTA],tbal[[#This Row],[CUENTA]],tdiario[DEBE])</f>
        <v>0</v>
      </c>
      <c r="F364" s="17">
        <f>SUMIF(tdiario[CUENTA],tbal[[#This Row],[CUENTA]],tdiario[HABER])</f>
        <v>0</v>
      </c>
      <c r="G364" s="16">
        <f>IF(tbal[[#This Row],[DEBE]]-tbal[[#This Row],[HABER]]&gt;0,tbal[[#This Row],[DEBE]]-tbal[[#This Row],[HABER]],0)</f>
        <v>0</v>
      </c>
      <c r="H364" s="18">
        <f>IF(tbal[[#This Row],[HABER]]-tbal[[#This Row],[DEBE]]&gt;0,tbal[[#This Row],[HABER]]-tbal[[#This Row],[DEBE]],0)</f>
        <v>0</v>
      </c>
      <c r="I364" s="16">
        <f>IF((OR(tbal[[#This Row],[X]]=1,tbal[[#This Row],[X]]=2)),tbal[[#This Row],[DEUDOR]],0)</f>
        <v>0</v>
      </c>
      <c r="J364" s="18">
        <f>IF((OR(tbal[[#This Row],[X]]=2,tbal[[#This Row],[X]]=3)),tbal[[#This Row],[ACREEDOR]],0)</f>
        <v>0</v>
      </c>
      <c r="K364" s="16">
        <f>IF((OR(tbal[[#This Row],[X]]=3,tbal[[#This Row],[X]]=5)),tbal[[#This Row],[DEUDOR]],0)</f>
        <v>0</v>
      </c>
      <c r="L364" s="18">
        <f>IF((OR(tbal[[#This Row],[X]]=3,tbal[[#This Row],[X]]=4)),tbal[[#This Row],[ACREEDOR]],0)</f>
        <v>0</v>
      </c>
      <c r="M364" s="16">
        <f>IF((OR(tbal[[#This Row],[X]]=0,tbal[[#This Row],[X]]=6)),tbal[[#This Row],[DEUDOR]],0)</f>
        <v>0</v>
      </c>
      <c r="N364" s="18">
        <f>IF((OR(tbal[[#This Row],[X]]=0,tbal[[#This Row],[X]]=5)),tbal[[#This Row],[ACREEDOR]],0)</f>
        <v>0</v>
      </c>
    </row>
    <row r="365" spans="1:14" hidden="1" x14ac:dyDescent="0.3">
      <c r="A365" s="14">
        <f>+'PLAN DE CUENTAS'!A365</f>
        <v>0</v>
      </c>
      <c r="B365" s="13">
        <f>+'PLAN DE CUENTAS'!B365</f>
        <v>0</v>
      </c>
      <c r="C365" s="13">
        <f>+'PLAN DE CUENTAS'!C365</f>
        <v>0</v>
      </c>
      <c r="D365" t="str">
        <f>IF(tbal[[#This Row],[DEBE]]+tbal[[#This Row],[HABER]]=0,"","X")</f>
        <v/>
      </c>
      <c r="E365" s="16">
        <f>SUMIF(tdiario[CUENTA],tbal[[#This Row],[CUENTA]],tdiario[DEBE])</f>
        <v>0</v>
      </c>
      <c r="F365" s="17">
        <f>SUMIF(tdiario[CUENTA],tbal[[#This Row],[CUENTA]],tdiario[HABER])</f>
        <v>0</v>
      </c>
      <c r="G365" s="16">
        <f>IF(tbal[[#This Row],[DEBE]]-tbal[[#This Row],[HABER]]&gt;0,tbal[[#This Row],[DEBE]]-tbal[[#This Row],[HABER]],0)</f>
        <v>0</v>
      </c>
      <c r="H365" s="18">
        <f>IF(tbal[[#This Row],[HABER]]-tbal[[#This Row],[DEBE]]&gt;0,tbal[[#This Row],[HABER]]-tbal[[#This Row],[DEBE]],0)</f>
        <v>0</v>
      </c>
      <c r="I365" s="16">
        <f>IF((OR(tbal[[#This Row],[X]]=1,tbal[[#This Row],[X]]=2)),tbal[[#This Row],[DEUDOR]],0)</f>
        <v>0</v>
      </c>
      <c r="J365" s="18">
        <f>IF((OR(tbal[[#This Row],[X]]=2,tbal[[#This Row],[X]]=3)),tbal[[#This Row],[ACREEDOR]],0)</f>
        <v>0</v>
      </c>
      <c r="K365" s="16">
        <f>IF((OR(tbal[[#This Row],[X]]=3,tbal[[#This Row],[X]]=5)),tbal[[#This Row],[DEUDOR]],0)</f>
        <v>0</v>
      </c>
      <c r="L365" s="18">
        <f>IF((OR(tbal[[#This Row],[X]]=3,tbal[[#This Row],[X]]=4)),tbal[[#This Row],[ACREEDOR]],0)</f>
        <v>0</v>
      </c>
      <c r="M365" s="16">
        <f>IF((OR(tbal[[#This Row],[X]]=0,tbal[[#This Row],[X]]=6)),tbal[[#This Row],[DEUDOR]],0)</f>
        <v>0</v>
      </c>
      <c r="N365" s="18">
        <f>IF((OR(tbal[[#This Row],[X]]=0,tbal[[#This Row],[X]]=5)),tbal[[#This Row],[ACREEDOR]],0)</f>
        <v>0</v>
      </c>
    </row>
    <row r="366" spans="1:14" hidden="1" x14ac:dyDescent="0.3">
      <c r="A366" s="14">
        <f>+'PLAN DE CUENTAS'!A366</f>
        <v>0</v>
      </c>
      <c r="B366" s="13">
        <f>+'PLAN DE CUENTAS'!B366</f>
        <v>0</v>
      </c>
      <c r="C366" s="13">
        <f>+'PLAN DE CUENTAS'!C366</f>
        <v>0</v>
      </c>
      <c r="D366" t="str">
        <f>IF(tbal[[#This Row],[DEBE]]+tbal[[#This Row],[HABER]]=0,"","X")</f>
        <v/>
      </c>
      <c r="E366" s="16">
        <f>SUMIF(tdiario[CUENTA],tbal[[#This Row],[CUENTA]],tdiario[DEBE])</f>
        <v>0</v>
      </c>
      <c r="F366" s="17">
        <f>SUMIF(tdiario[CUENTA],tbal[[#This Row],[CUENTA]],tdiario[HABER])</f>
        <v>0</v>
      </c>
      <c r="G366" s="16">
        <f>IF(tbal[[#This Row],[DEBE]]-tbal[[#This Row],[HABER]]&gt;0,tbal[[#This Row],[DEBE]]-tbal[[#This Row],[HABER]],0)</f>
        <v>0</v>
      </c>
      <c r="H366" s="18">
        <f>IF(tbal[[#This Row],[HABER]]-tbal[[#This Row],[DEBE]]&gt;0,tbal[[#This Row],[HABER]]-tbal[[#This Row],[DEBE]],0)</f>
        <v>0</v>
      </c>
      <c r="I366" s="16">
        <f>IF((OR(tbal[[#This Row],[X]]=1,tbal[[#This Row],[X]]=2)),tbal[[#This Row],[DEUDOR]],0)</f>
        <v>0</v>
      </c>
      <c r="J366" s="18">
        <f>IF((OR(tbal[[#This Row],[X]]=2,tbal[[#This Row],[X]]=3)),tbal[[#This Row],[ACREEDOR]],0)</f>
        <v>0</v>
      </c>
      <c r="K366" s="16">
        <f>IF((OR(tbal[[#This Row],[X]]=3,tbal[[#This Row],[X]]=5)),tbal[[#This Row],[DEUDOR]],0)</f>
        <v>0</v>
      </c>
      <c r="L366" s="18">
        <f>IF((OR(tbal[[#This Row],[X]]=3,tbal[[#This Row],[X]]=4)),tbal[[#This Row],[ACREEDOR]],0)</f>
        <v>0</v>
      </c>
      <c r="M366" s="16">
        <f>IF((OR(tbal[[#This Row],[X]]=0,tbal[[#This Row],[X]]=6)),tbal[[#This Row],[DEUDOR]],0)</f>
        <v>0</v>
      </c>
      <c r="N366" s="18">
        <f>IF((OR(tbal[[#This Row],[X]]=0,tbal[[#This Row],[X]]=5)),tbal[[#This Row],[ACREEDOR]],0)</f>
        <v>0</v>
      </c>
    </row>
    <row r="367" spans="1:14" hidden="1" x14ac:dyDescent="0.3">
      <c r="A367" s="14">
        <f>+'PLAN DE CUENTAS'!A367</f>
        <v>0</v>
      </c>
      <c r="B367" s="13">
        <f>+'PLAN DE CUENTAS'!B367</f>
        <v>0</v>
      </c>
      <c r="C367" s="13">
        <f>+'PLAN DE CUENTAS'!C367</f>
        <v>0</v>
      </c>
      <c r="D367" t="str">
        <f>IF(tbal[[#This Row],[DEBE]]+tbal[[#This Row],[HABER]]=0,"","X")</f>
        <v/>
      </c>
      <c r="E367" s="16">
        <f>SUMIF(tdiario[CUENTA],tbal[[#This Row],[CUENTA]],tdiario[DEBE])</f>
        <v>0</v>
      </c>
      <c r="F367" s="17">
        <f>SUMIF(tdiario[CUENTA],tbal[[#This Row],[CUENTA]],tdiario[HABER])</f>
        <v>0</v>
      </c>
      <c r="G367" s="16">
        <f>IF(tbal[[#This Row],[DEBE]]-tbal[[#This Row],[HABER]]&gt;0,tbal[[#This Row],[DEBE]]-tbal[[#This Row],[HABER]],0)</f>
        <v>0</v>
      </c>
      <c r="H367" s="18">
        <f>IF(tbal[[#This Row],[HABER]]-tbal[[#This Row],[DEBE]]&gt;0,tbal[[#This Row],[HABER]]-tbal[[#This Row],[DEBE]],0)</f>
        <v>0</v>
      </c>
      <c r="I367" s="16">
        <f>IF((OR(tbal[[#This Row],[X]]=1,tbal[[#This Row],[X]]=2)),tbal[[#This Row],[DEUDOR]],0)</f>
        <v>0</v>
      </c>
      <c r="J367" s="18">
        <f>IF((OR(tbal[[#This Row],[X]]=2,tbal[[#This Row],[X]]=3)),tbal[[#This Row],[ACREEDOR]],0)</f>
        <v>0</v>
      </c>
      <c r="K367" s="16">
        <f>IF((OR(tbal[[#This Row],[X]]=3,tbal[[#This Row],[X]]=5)),tbal[[#This Row],[DEUDOR]],0)</f>
        <v>0</v>
      </c>
      <c r="L367" s="18">
        <f>IF((OR(tbal[[#This Row],[X]]=3,tbal[[#This Row],[X]]=4)),tbal[[#This Row],[ACREEDOR]],0)</f>
        <v>0</v>
      </c>
      <c r="M367" s="16">
        <f>IF((OR(tbal[[#This Row],[X]]=0,tbal[[#This Row],[X]]=6)),tbal[[#This Row],[DEUDOR]],0)</f>
        <v>0</v>
      </c>
      <c r="N367" s="18">
        <f>IF((OR(tbal[[#This Row],[X]]=0,tbal[[#This Row],[X]]=5)),tbal[[#This Row],[ACREEDOR]],0)</f>
        <v>0</v>
      </c>
    </row>
    <row r="368" spans="1:14" hidden="1" x14ac:dyDescent="0.3">
      <c r="A368" s="14">
        <f>+'PLAN DE CUENTAS'!A368</f>
        <v>0</v>
      </c>
      <c r="B368" s="13">
        <f>+'PLAN DE CUENTAS'!B368</f>
        <v>0</v>
      </c>
      <c r="C368" s="13">
        <f>+'PLAN DE CUENTAS'!C368</f>
        <v>0</v>
      </c>
      <c r="D368" t="str">
        <f>IF(tbal[[#This Row],[DEBE]]+tbal[[#This Row],[HABER]]=0,"","X")</f>
        <v/>
      </c>
      <c r="E368" s="16">
        <f>SUMIF(tdiario[CUENTA],tbal[[#This Row],[CUENTA]],tdiario[DEBE])</f>
        <v>0</v>
      </c>
      <c r="F368" s="17">
        <f>SUMIF(tdiario[CUENTA],tbal[[#This Row],[CUENTA]],tdiario[HABER])</f>
        <v>0</v>
      </c>
      <c r="G368" s="16">
        <f>IF(tbal[[#This Row],[DEBE]]-tbal[[#This Row],[HABER]]&gt;0,tbal[[#This Row],[DEBE]]-tbal[[#This Row],[HABER]],0)</f>
        <v>0</v>
      </c>
      <c r="H368" s="18">
        <f>IF(tbal[[#This Row],[HABER]]-tbal[[#This Row],[DEBE]]&gt;0,tbal[[#This Row],[HABER]]-tbal[[#This Row],[DEBE]],0)</f>
        <v>0</v>
      </c>
      <c r="I368" s="16">
        <f>IF((OR(tbal[[#This Row],[X]]=1,tbal[[#This Row],[X]]=2)),tbal[[#This Row],[DEUDOR]],0)</f>
        <v>0</v>
      </c>
      <c r="J368" s="18">
        <f>IF((OR(tbal[[#This Row],[X]]=2,tbal[[#This Row],[X]]=3)),tbal[[#This Row],[ACREEDOR]],0)</f>
        <v>0</v>
      </c>
      <c r="K368" s="16">
        <f>IF((OR(tbal[[#This Row],[X]]=3,tbal[[#This Row],[X]]=5)),tbal[[#This Row],[DEUDOR]],0)</f>
        <v>0</v>
      </c>
      <c r="L368" s="18">
        <f>IF((OR(tbal[[#This Row],[X]]=3,tbal[[#This Row],[X]]=4)),tbal[[#This Row],[ACREEDOR]],0)</f>
        <v>0</v>
      </c>
      <c r="M368" s="16">
        <f>IF((OR(tbal[[#This Row],[X]]=0,tbal[[#This Row],[X]]=6)),tbal[[#This Row],[DEUDOR]],0)</f>
        <v>0</v>
      </c>
      <c r="N368" s="18">
        <f>IF((OR(tbal[[#This Row],[X]]=0,tbal[[#This Row],[X]]=5)),tbal[[#This Row],[ACREEDOR]],0)</f>
        <v>0</v>
      </c>
    </row>
    <row r="369" spans="1:14" hidden="1" x14ac:dyDescent="0.3">
      <c r="A369" s="14">
        <f>+'PLAN DE CUENTAS'!A369</f>
        <v>0</v>
      </c>
      <c r="B369" s="13">
        <f>+'PLAN DE CUENTAS'!B369</f>
        <v>0</v>
      </c>
      <c r="C369" s="13">
        <f>+'PLAN DE CUENTAS'!C369</f>
        <v>0</v>
      </c>
      <c r="D369" t="str">
        <f>IF(tbal[[#This Row],[DEBE]]+tbal[[#This Row],[HABER]]=0,"","X")</f>
        <v/>
      </c>
      <c r="E369" s="16">
        <f>SUMIF(tdiario[CUENTA],tbal[[#This Row],[CUENTA]],tdiario[DEBE])</f>
        <v>0</v>
      </c>
      <c r="F369" s="17">
        <f>SUMIF(tdiario[CUENTA],tbal[[#This Row],[CUENTA]],tdiario[HABER])</f>
        <v>0</v>
      </c>
      <c r="G369" s="16">
        <f>IF(tbal[[#This Row],[DEBE]]-tbal[[#This Row],[HABER]]&gt;0,tbal[[#This Row],[DEBE]]-tbal[[#This Row],[HABER]],0)</f>
        <v>0</v>
      </c>
      <c r="H369" s="18">
        <f>IF(tbal[[#This Row],[HABER]]-tbal[[#This Row],[DEBE]]&gt;0,tbal[[#This Row],[HABER]]-tbal[[#This Row],[DEBE]],0)</f>
        <v>0</v>
      </c>
      <c r="I369" s="16">
        <f>IF((OR(tbal[[#This Row],[X]]=1,tbal[[#This Row],[X]]=2)),tbal[[#This Row],[DEUDOR]],0)</f>
        <v>0</v>
      </c>
      <c r="J369" s="18">
        <f>IF((OR(tbal[[#This Row],[X]]=2,tbal[[#This Row],[X]]=3)),tbal[[#This Row],[ACREEDOR]],0)</f>
        <v>0</v>
      </c>
      <c r="K369" s="16">
        <f>IF((OR(tbal[[#This Row],[X]]=3,tbal[[#This Row],[X]]=5)),tbal[[#This Row],[DEUDOR]],0)</f>
        <v>0</v>
      </c>
      <c r="L369" s="18">
        <f>IF((OR(tbal[[#This Row],[X]]=3,tbal[[#This Row],[X]]=4)),tbal[[#This Row],[ACREEDOR]],0)</f>
        <v>0</v>
      </c>
      <c r="M369" s="16">
        <f>IF((OR(tbal[[#This Row],[X]]=0,tbal[[#This Row],[X]]=6)),tbal[[#This Row],[DEUDOR]],0)</f>
        <v>0</v>
      </c>
      <c r="N369" s="18">
        <f>IF((OR(tbal[[#This Row],[X]]=0,tbal[[#This Row],[X]]=5)),tbal[[#This Row],[ACREEDOR]],0)</f>
        <v>0</v>
      </c>
    </row>
    <row r="370" spans="1:14" hidden="1" x14ac:dyDescent="0.3">
      <c r="A370" s="14">
        <f>+'PLAN DE CUENTAS'!A370</f>
        <v>0</v>
      </c>
      <c r="B370" s="13">
        <f>+'PLAN DE CUENTAS'!B370</f>
        <v>0</v>
      </c>
      <c r="C370" s="13">
        <f>+'PLAN DE CUENTAS'!C370</f>
        <v>0</v>
      </c>
      <c r="D370" t="str">
        <f>IF(tbal[[#This Row],[DEBE]]+tbal[[#This Row],[HABER]]=0,"","X")</f>
        <v/>
      </c>
      <c r="E370" s="16">
        <f>SUMIF(tdiario[CUENTA],tbal[[#This Row],[CUENTA]],tdiario[DEBE])</f>
        <v>0</v>
      </c>
      <c r="F370" s="17">
        <f>SUMIF(tdiario[CUENTA],tbal[[#This Row],[CUENTA]],tdiario[HABER])</f>
        <v>0</v>
      </c>
      <c r="G370" s="16">
        <f>IF(tbal[[#This Row],[DEBE]]-tbal[[#This Row],[HABER]]&gt;0,tbal[[#This Row],[DEBE]]-tbal[[#This Row],[HABER]],0)</f>
        <v>0</v>
      </c>
      <c r="H370" s="18">
        <f>IF(tbal[[#This Row],[HABER]]-tbal[[#This Row],[DEBE]]&gt;0,tbal[[#This Row],[HABER]]-tbal[[#This Row],[DEBE]],0)</f>
        <v>0</v>
      </c>
      <c r="I370" s="16">
        <f>IF((OR(tbal[[#This Row],[X]]=1,tbal[[#This Row],[X]]=2)),tbal[[#This Row],[DEUDOR]],0)</f>
        <v>0</v>
      </c>
      <c r="J370" s="18">
        <f>IF((OR(tbal[[#This Row],[X]]=2,tbal[[#This Row],[X]]=3)),tbal[[#This Row],[ACREEDOR]],0)</f>
        <v>0</v>
      </c>
      <c r="K370" s="16">
        <f>IF((OR(tbal[[#This Row],[X]]=3,tbal[[#This Row],[X]]=5)),tbal[[#This Row],[DEUDOR]],0)</f>
        <v>0</v>
      </c>
      <c r="L370" s="18">
        <f>IF((OR(tbal[[#This Row],[X]]=3,tbal[[#This Row],[X]]=4)),tbal[[#This Row],[ACREEDOR]],0)</f>
        <v>0</v>
      </c>
      <c r="M370" s="16">
        <f>IF((OR(tbal[[#This Row],[X]]=0,tbal[[#This Row],[X]]=6)),tbal[[#This Row],[DEUDOR]],0)</f>
        <v>0</v>
      </c>
      <c r="N370" s="18">
        <f>IF((OR(tbal[[#This Row],[X]]=0,tbal[[#This Row],[X]]=5)),tbal[[#This Row],[ACREEDOR]],0)</f>
        <v>0</v>
      </c>
    </row>
    <row r="371" spans="1:14" hidden="1" x14ac:dyDescent="0.3">
      <c r="A371" s="14">
        <f>+'PLAN DE CUENTAS'!A371</f>
        <v>0</v>
      </c>
      <c r="B371" s="13">
        <f>+'PLAN DE CUENTAS'!B371</f>
        <v>0</v>
      </c>
      <c r="C371" s="13">
        <f>+'PLAN DE CUENTAS'!C371</f>
        <v>0</v>
      </c>
      <c r="D371" t="str">
        <f>IF(tbal[[#This Row],[DEBE]]+tbal[[#This Row],[HABER]]=0,"","X")</f>
        <v/>
      </c>
      <c r="E371" s="16">
        <f>SUMIF(tdiario[CUENTA],tbal[[#This Row],[CUENTA]],tdiario[DEBE])</f>
        <v>0</v>
      </c>
      <c r="F371" s="17">
        <f>SUMIF(tdiario[CUENTA],tbal[[#This Row],[CUENTA]],tdiario[HABER])</f>
        <v>0</v>
      </c>
      <c r="G371" s="16">
        <f>IF(tbal[[#This Row],[DEBE]]-tbal[[#This Row],[HABER]]&gt;0,tbal[[#This Row],[DEBE]]-tbal[[#This Row],[HABER]],0)</f>
        <v>0</v>
      </c>
      <c r="H371" s="18">
        <f>IF(tbal[[#This Row],[HABER]]-tbal[[#This Row],[DEBE]]&gt;0,tbal[[#This Row],[HABER]]-tbal[[#This Row],[DEBE]],0)</f>
        <v>0</v>
      </c>
      <c r="I371" s="16">
        <f>IF((OR(tbal[[#This Row],[X]]=1,tbal[[#This Row],[X]]=2)),tbal[[#This Row],[DEUDOR]],0)</f>
        <v>0</v>
      </c>
      <c r="J371" s="18">
        <f>IF((OR(tbal[[#This Row],[X]]=2,tbal[[#This Row],[X]]=3)),tbal[[#This Row],[ACREEDOR]],0)</f>
        <v>0</v>
      </c>
      <c r="K371" s="16">
        <f>IF((OR(tbal[[#This Row],[X]]=3,tbal[[#This Row],[X]]=5)),tbal[[#This Row],[DEUDOR]],0)</f>
        <v>0</v>
      </c>
      <c r="L371" s="18">
        <f>IF((OR(tbal[[#This Row],[X]]=3,tbal[[#This Row],[X]]=4)),tbal[[#This Row],[ACREEDOR]],0)</f>
        <v>0</v>
      </c>
      <c r="M371" s="16">
        <f>IF((OR(tbal[[#This Row],[X]]=0,tbal[[#This Row],[X]]=6)),tbal[[#This Row],[DEUDOR]],0)</f>
        <v>0</v>
      </c>
      <c r="N371" s="18">
        <f>IF((OR(tbal[[#This Row],[X]]=0,tbal[[#This Row],[X]]=5)),tbal[[#This Row],[ACREEDOR]],0)</f>
        <v>0</v>
      </c>
    </row>
    <row r="372" spans="1:14" hidden="1" x14ac:dyDescent="0.3">
      <c r="A372" s="14">
        <f>+'PLAN DE CUENTAS'!A372</f>
        <v>0</v>
      </c>
      <c r="B372" s="13">
        <f>+'PLAN DE CUENTAS'!B372</f>
        <v>0</v>
      </c>
      <c r="C372" s="13">
        <f>+'PLAN DE CUENTAS'!C372</f>
        <v>0</v>
      </c>
      <c r="D372" t="str">
        <f>IF(tbal[[#This Row],[DEBE]]+tbal[[#This Row],[HABER]]=0,"","X")</f>
        <v/>
      </c>
      <c r="E372" s="16">
        <f>SUMIF(tdiario[CUENTA],tbal[[#This Row],[CUENTA]],tdiario[DEBE])</f>
        <v>0</v>
      </c>
      <c r="F372" s="17">
        <f>SUMIF(tdiario[CUENTA],tbal[[#This Row],[CUENTA]],tdiario[HABER])</f>
        <v>0</v>
      </c>
      <c r="G372" s="16">
        <f>IF(tbal[[#This Row],[DEBE]]-tbal[[#This Row],[HABER]]&gt;0,tbal[[#This Row],[DEBE]]-tbal[[#This Row],[HABER]],0)</f>
        <v>0</v>
      </c>
      <c r="H372" s="18">
        <f>IF(tbal[[#This Row],[HABER]]-tbal[[#This Row],[DEBE]]&gt;0,tbal[[#This Row],[HABER]]-tbal[[#This Row],[DEBE]],0)</f>
        <v>0</v>
      </c>
      <c r="I372" s="16">
        <f>IF((OR(tbal[[#This Row],[X]]=1,tbal[[#This Row],[X]]=2)),tbal[[#This Row],[DEUDOR]],0)</f>
        <v>0</v>
      </c>
      <c r="J372" s="18">
        <f>IF((OR(tbal[[#This Row],[X]]=2,tbal[[#This Row],[X]]=3)),tbal[[#This Row],[ACREEDOR]],0)</f>
        <v>0</v>
      </c>
      <c r="K372" s="16">
        <f>IF((OR(tbal[[#This Row],[X]]=3,tbal[[#This Row],[X]]=5)),tbal[[#This Row],[DEUDOR]],0)</f>
        <v>0</v>
      </c>
      <c r="L372" s="18">
        <f>IF((OR(tbal[[#This Row],[X]]=3,tbal[[#This Row],[X]]=4)),tbal[[#This Row],[ACREEDOR]],0)</f>
        <v>0</v>
      </c>
      <c r="M372" s="16">
        <f>IF((OR(tbal[[#This Row],[X]]=0,tbal[[#This Row],[X]]=6)),tbal[[#This Row],[DEUDOR]],0)</f>
        <v>0</v>
      </c>
      <c r="N372" s="18">
        <f>IF((OR(tbal[[#This Row],[X]]=0,tbal[[#This Row],[X]]=5)),tbal[[#This Row],[ACREEDOR]],0)</f>
        <v>0</v>
      </c>
    </row>
    <row r="373" spans="1:14" hidden="1" x14ac:dyDescent="0.3">
      <c r="A373" s="14">
        <f>+'PLAN DE CUENTAS'!A373</f>
        <v>0</v>
      </c>
      <c r="B373" s="13">
        <f>+'PLAN DE CUENTAS'!B373</f>
        <v>0</v>
      </c>
      <c r="C373" s="13">
        <f>+'PLAN DE CUENTAS'!C373</f>
        <v>0</v>
      </c>
      <c r="D373" t="str">
        <f>IF(tbal[[#This Row],[DEBE]]+tbal[[#This Row],[HABER]]=0,"","X")</f>
        <v/>
      </c>
      <c r="E373" s="16">
        <f>SUMIF(tdiario[CUENTA],tbal[[#This Row],[CUENTA]],tdiario[DEBE])</f>
        <v>0</v>
      </c>
      <c r="F373" s="17">
        <f>SUMIF(tdiario[CUENTA],tbal[[#This Row],[CUENTA]],tdiario[HABER])</f>
        <v>0</v>
      </c>
      <c r="G373" s="16">
        <f>IF(tbal[[#This Row],[DEBE]]-tbal[[#This Row],[HABER]]&gt;0,tbal[[#This Row],[DEBE]]-tbal[[#This Row],[HABER]],0)</f>
        <v>0</v>
      </c>
      <c r="H373" s="18">
        <f>IF(tbal[[#This Row],[HABER]]-tbal[[#This Row],[DEBE]]&gt;0,tbal[[#This Row],[HABER]]-tbal[[#This Row],[DEBE]],0)</f>
        <v>0</v>
      </c>
      <c r="I373" s="16">
        <f>IF((OR(tbal[[#This Row],[X]]=1,tbal[[#This Row],[X]]=2)),tbal[[#This Row],[DEUDOR]],0)</f>
        <v>0</v>
      </c>
      <c r="J373" s="18">
        <f>IF((OR(tbal[[#This Row],[X]]=2,tbal[[#This Row],[X]]=3)),tbal[[#This Row],[ACREEDOR]],0)</f>
        <v>0</v>
      </c>
      <c r="K373" s="16">
        <f>IF((OR(tbal[[#This Row],[X]]=3,tbal[[#This Row],[X]]=5)),tbal[[#This Row],[DEUDOR]],0)</f>
        <v>0</v>
      </c>
      <c r="L373" s="18">
        <f>IF((OR(tbal[[#This Row],[X]]=3,tbal[[#This Row],[X]]=4)),tbal[[#This Row],[ACREEDOR]],0)</f>
        <v>0</v>
      </c>
      <c r="M373" s="16">
        <f>IF((OR(tbal[[#This Row],[X]]=0,tbal[[#This Row],[X]]=6)),tbal[[#This Row],[DEUDOR]],0)</f>
        <v>0</v>
      </c>
      <c r="N373" s="18">
        <f>IF((OR(tbal[[#This Row],[X]]=0,tbal[[#This Row],[X]]=5)),tbal[[#This Row],[ACREEDOR]],0)</f>
        <v>0</v>
      </c>
    </row>
    <row r="374" spans="1:14" hidden="1" x14ac:dyDescent="0.3">
      <c r="A374" s="14">
        <f>+'PLAN DE CUENTAS'!A374</f>
        <v>0</v>
      </c>
      <c r="B374" s="13">
        <f>+'PLAN DE CUENTAS'!B374</f>
        <v>0</v>
      </c>
      <c r="C374" s="13">
        <f>+'PLAN DE CUENTAS'!C374</f>
        <v>0</v>
      </c>
      <c r="D374" t="str">
        <f>IF(tbal[[#This Row],[DEBE]]+tbal[[#This Row],[HABER]]=0,"","X")</f>
        <v/>
      </c>
      <c r="E374" s="16">
        <f>SUMIF(tdiario[CUENTA],tbal[[#This Row],[CUENTA]],tdiario[DEBE])</f>
        <v>0</v>
      </c>
      <c r="F374" s="17">
        <f>SUMIF(tdiario[CUENTA],tbal[[#This Row],[CUENTA]],tdiario[HABER])</f>
        <v>0</v>
      </c>
      <c r="G374" s="16">
        <f>IF(tbal[[#This Row],[DEBE]]-tbal[[#This Row],[HABER]]&gt;0,tbal[[#This Row],[DEBE]]-tbal[[#This Row],[HABER]],0)</f>
        <v>0</v>
      </c>
      <c r="H374" s="18">
        <f>IF(tbal[[#This Row],[HABER]]-tbal[[#This Row],[DEBE]]&gt;0,tbal[[#This Row],[HABER]]-tbal[[#This Row],[DEBE]],0)</f>
        <v>0</v>
      </c>
      <c r="I374" s="16">
        <f>IF((OR(tbal[[#This Row],[X]]=1,tbal[[#This Row],[X]]=2)),tbal[[#This Row],[DEUDOR]],0)</f>
        <v>0</v>
      </c>
      <c r="J374" s="18">
        <f>IF((OR(tbal[[#This Row],[X]]=2,tbal[[#This Row],[X]]=3)),tbal[[#This Row],[ACREEDOR]],0)</f>
        <v>0</v>
      </c>
      <c r="K374" s="16">
        <f>IF((OR(tbal[[#This Row],[X]]=3,tbal[[#This Row],[X]]=5)),tbal[[#This Row],[DEUDOR]],0)</f>
        <v>0</v>
      </c>
      <c r="L374" s="18">
        <f>IF((OR(tbal[[#This Row],[X]]=3,tbal[[#This Row],[X]]=4)),tbal[[#This Row],[ACREEDOR]],0)</f>
        <v>0</v>
      </c>
      <c r="M374" s="16">
        <f>IF((OR(tbal[[#This Row],[X]]=0,tbal[[#This Row],[X]]=6)),tbal[[#This Row],[DEUDOR]],0)</f>
        <v>0</v>
      </c>
      <c r="N374" s="18">
        <f>IF((OR(tbal[[#This Row],[X]]=0,tbal[[#This Row],[X]]=5)),tbal[[#This Row],[ACREEDOR]],0)</f>
        <v>0</v>
      </c>
    </row>
    <row r="375" spans="1:14" hidden="1" x14ac:dyDescent="0.3">
      <c r="A375" s="14">
        <f>+'PLAN DE CUENTAS'!A375</f>
        <v>0</v>
      </c>
      <c r="B375" s="13">
        <f>+'PLAN DE CUENTAS'!B375</f>
        <v>0</v>
      </c>
      <c r="C375" s="13">
        <f>+'PLAN DE CUENTAS'!C375</f>
        <v>0</v>
      </c>
      <c r="D375" t="str">
        <f>IF(tbal[[#This Row],[DEBE]]+tbal[[#This Row],[HABER]]=0,"","X")</f>
        <v/>
      </c>
      <c r="E375" s="16">
        <f>SUMIF(tdiario[CUENTA],tbal[[#This Row],[CUENTA]],tdiario[DEBE])</f>
        <v>0</v>
      </c>
      <c r="F375" s="17">
        <f>SUMIF(tdiario[CUENTA],tbal[[#This Row],[CUENTA]],tdiario[HABER])</f>
        <v>0</v>
      </c>
      <c r="G375" s="16">
        <f>IF(tbal[[#This Row],[DEBE]]-tbal[[#This Row],[HABER]]&gt;0,tbal[[#This Row],[DEBE]]-tbal[[#This Row],[HABER]],0)</f>
        <v>0</v>
      </c>
      <c r="H375" s="18">
        <f>IF(tbal[[#This Row],[HABER]]-tbal[[#This Row],[DEBE]]&gt;0,tbal[[#This Row],[HABER]]-tbal[[#This Row],[DEBE]],0)</f>
        <v>0</v>
      </c>
      <c r="I375" s="16">
        <f>IF((OR(tbal[[#This Row],[X]]=1,tbal[[#This Row],[X]]=2)),tbal[[#This Row],[DEUDOR]],0)</f>
        <v>0</v>
      </c>
      <c r="J375" s="18">
        <f>IF((OR(tbal[[#This Row],[X]]=2,tbal[[#This Row],[X]]=3)),tbal[[#This Row],[ACREEDOR]],0)</f>
        <v>0</v>
      </c>
      <c r="K375" s="16">
        <f>IF((OR(tbal[[#This Row],[X]]=3,tbal[[#This Row],[X]]=5)),tbal[[#This Row],[DEUDOR]],0)</f>
        <v>0</v>
      </c>
      <c r="L375" s="18">
        <f>IF((OR(tbal[[#This Row],[X]]=3,tbal[[#This Row],[X]]=4)),tbal[[#This Row],[ACREEDOR]],0)</f>
        <v>0</v>
      </c>
      <c r="M375" s="16">
        <f>IF((OR(tbal[[#This Row],[X]]=0,tbal[[#This Row],[X]]=6)),tbal[[#This Row],[DEUDOR]],0)</f>
        <v>0</v>
      </c>
      <c r="N375" s="18">
        <f>IF((OR(tbal[[#This Row],[X]]=0,tbal[[#This Row],[X]]=5)),tbal[[#This Row],[ACREEDOR]],0)</f>
        <v>0</v>
      </c>
    </row>
    <row r="376" spans="1:14" hidden="1" x14ac:dyDescent="0.3">
      <c r="A376" s="14">
        <f>+'PLAN DE CUENTAS'!A376</f>
        <v>0</v>
      </c>
      <c r="B376" s="13">
        <f>+'PLAN DE CUENTAS'!B376</f>
        <v>0</v>
      </c>
      <c r="C376" s="13">
        <f>+'PLAN DE CUENTAS'!C376</f>
        <v>0</v>
      </c>
      <c r="D376" t="str">
        <f>IF(tbal[[#This Row],[DEBE]]+tbal[[#This Row],[HABER]]=0,"","X")</f>
        <v/>
      </c>
      <c r="E376" s="16">
        <f>SUMIF(tdiario[CUENTA],tbal[[#This Row],[CUENTA]],tdiario[DEBE])</f>
        <v>0</v>
      </c>
      <c r="F376" s="17">
        <f>SUMIF(tdiario[CUENTA],tbal[[#This Row],[CUENTA]],tdiario[HABER])</f>
        <v>0</v>
      </c>
      <c r="G376" s="16">
        <f>IF(tbal[[#This Row],[DEBE]]-tbal[[#This Row],[HABER]]&gt;0,tbal[[#This Row],[DEBE]]-tbal[[#This Row],[HABER]],0)</f>
        <v>0</v>
      </c>
      <c r="H376" s="18">
        <f>IF(tbal[[#This Row],[HABER]]-tbal[[#This Row],[DEBE]]&gt;0,tbal[[#This Row],[HABER]]-tbal[[#This Row],[DEBE]],0)</f>
        <v>0</v>
      </c>
      <c r="I376" s="16">
        <f>IF((OR(tbal[[#This Row],[X]]=1,tbal[[#This Row],[X]]=2)),tbal[[#This Row],[DEUDOR]],0)</f>
        <v>0</v>
      </c>
      <c r="J376" s="18">
        <f>IF((OR(tbal[[#This Row],[X]]=2,tbal[[#This Row],[X]]=3)),tbal[[#This Row],[ACREEDOR]],0)</f>
        <v>0</v>
      </c>
      <c r="K376" s="16">
        <f>IF((OR(tbal[[#This Row],[X]]=3,tbal[[#This Row],[X]]=5)),tbal[[#This Row],[DEUDOR]],0)</f>
        <v>0</v>
      </c>
      <c r="L376" s="18">
        <f>IF((OR(tbal[[#This Row],[X]]=3,tbal[[#This Row],[X]]=4)),tbal[[#This Row],[ACREEDOR]],0)</f>
        <v>0</v>
      </c>
      <c r="M376" s="16">
        <f>IF((OR(tbal[[#This Row],[X]]=0,tbal[[#This Row],[X]]=6)),tbal[[#This Row],[DEUDOR]],0)</f>
        <v>0</v>
      </c>
      <c r="N376" s="18">
        <f>IF((OR(tbal[[#This Row],[X]]=0,tbal[[#This Row],[X]]=5)),tbal[[#This Row],[ACREEDOR]],0)</f>
        <v>0</v>
      </c>
    </row>
    <row r="377" spans="1:14" hidden="1" x14ac:dyDescent="0.3">
      <c r="A377" s="14">
        <f>+'PLAN DE CUENTAS'!A377</f>
        <v>0</v>
      </c>
      <c r="B377" s="13">
        <f>+'PLAN DE CUENTAS'!B377</f>
        <v>0</v>
      </c>
      <c r="C377" s="13">
        <f>+'PLAN DE CUENTAS'!C377</f>
        <v>0</v>
      </c>
      <c r="D377" t="str">
        <f>IF(tbal[[#This Row],[DEBE]]+tbal[[#This Row],[HABER]]=0,"","X")</f>
        <v/>
      </c>
      <c r="E377" s="16">
        <f>SUMIF(tdiario[CUENTA],tbal[[#This Row],[CUENTA]],tdiario[DEBE])</f>
        <v>0</v>
      </c>
      <c r="F377" s="17">
        <f>SUMIF(tdiario[CUENTA],tbal[[#This Row],[CUENTA]],tdiario[HABER])</f>
        <v>0</v>
      </c>
      <c r="G377" s="16">
        <f>IF(tbal[[#This Row],[DEBE]]-tbal[[#This Row],[HABER]]&gt;0,tbal[[#This Row],[DEBE]]-tbal[[#This Row],[HABER]],0)</f>
        <v>0</v>
      </c>
      <c r="H377" s="18">
        <f>IF(tbal[[#This Row],[HABER]]-tbal[[#This Row],[DEBE]]&gt;0,tbal[[#This Row],[HABER]]-tbal[[#This Row],[DEBE]],0)</f>
        <v>0</v>
      </c>
      <c r="I377" s="16">
        <f>IF((OR(tbal[[#This Row],[X]]=1,tbal[[#This Row],[X]]=2)),tbal[[#This Row],[DEUDOR]],0)</f>
        <v>0</v>
      </c>
      <c r="J377" s="18">
        <f>IF((OR(tbal[[#This Row],[X]]=2,tbal[[#This Row],[X]]=3)),tbal[[#This Row],[ACREEDOR]],0)</f>
        <v>0</v>
      </c>
      <c r="K377" s="16">
        <f>IF((OR(tbal[[#This Row],[X]]=3,tbal[[#This Row],[X]]=5)),tbal[[#This Row],[DEUDOR]],0)</f>
        <v>0</v>
      </c>
      <c r="L377" s="18">
        <f>IF((OR(tbal[[#This Row],[X]]=3,tbal[[#This Row],[X]]=4)),tbal[[#This Row],[ACREEDOR]],0)</f>
        <v>0</v>
      </c>
      <c r="M377" s="16">
        <f>IF((OR(tbal[[#This Row],[X]]=0,tbal[[#This Row],[X]]=6)),tbal[[#This Row],[DEUDOR]],0)</f>
        <v>0</v>
      </c>
      <c r="N377" s="18">
        <f>IF((OR(tbal[[#This Row],[X]]=0,tbal[[#This Row],[X]]=5)),tbal[[#This Row],[ACREEDOR]],0)</f>
        <v>0</v>
      </c>
    </row>
    <row r="378" spans="1:14" hidden="1" x14ac:dyDescent="0.3">
      <c r="A378" s="14">
        <f>+'PLAN DE CUENTAS'!A378</f>
        <v>0</v>
      </c>
      <c r="B378" s="13">
        <f>+'PLAN DE CUENTAS'!B378</f>
        <v>0</v>
      </c>
      <c r="C378" s="13">
        <f>+'PLAN DE CUENTAS'!C378</f>
        <v>0</v>
      </c>
      <c r="D378" t="str">
        <f>IF(tbal[[#This Row],[DEBE]]+tbal[[#This Row],[HABER]]=0,"","X")</f>
        <v/>
      </c>
      <c r="E378" s="16">
        <f>SUMIF(tdiario[CUENTA],tbal[[#This Row],[CUENTA]],tdiario[DEBE])</f>
        <v>0</v>
      </c>
      <c r="F378" s="17">
        <f>SUMIF(tdiario[CUENTA],tbal[[#This Row],[CUENTA]],tdiario[HABER])</f>
        <v>0</v>
      </c>
      <c r="G378" s="16">
        <f>IF(tbal[[#This Row],[DEBE]]-tbal[[#This Row],[HABER]]&gt;0,tbal[[#This Row],[DEBE]]-tbal[[#This Row],[HABER]],0)</f>
        <v>0</v>
      </c>
      <c r="H378" s="18">
        <f>IF(tbal[[#This Row],[HABER]]-tbal[[#This Row],[DEBE]]&gt;0,tbal[[#This Row],[HABER]]-tbal[[#This Row],[DEBE]],0)</f>
        <v>0</v>
      </c>
      <c r="I378" s="16">
        <f>IF((OR(tbal[[#This Row],[X]]=1,tbal[[#This Row],[X]]=2)),tbal[[#This Row],[DEUDOR]],0)</f>
        <v>0</v>
      </c>
      <c r="J378" s="18">
        <f>IF((OR(tbal[[#This Row],[X]]=2,tbal[[#This Row],[X]]=3)),tbal[[#This Row],[ACREEDOR]],0)</f>
        <v>0</v>
      </c>
      <c r="K378" s="16">
        <f>IF((OR(tbal[[#This Row],[X]]=3,tbal[[#This Row],[X]]=5)),tbal[[#This Row],[DEUDOR]],0)</f>
        <v>0</v>
      </c>
      <c r="L378" s="18">
        <f>IF((OR(tbal[[#This Row],[X]]=3,tbal[[#This Row],[X]]=4)),tbal[[#This Row],[ACREEDOR]],0)</f>
        <v>0</v>
      </c>
      <c r="M378" s="16">
        <f>IF((OR(tbal[[#This Row],[X]]=0,tbal[[#This Row],[X]]=6)),tbal[[#This Row],[DEUDOR]],0)</f>
        <v>0</v>
      </c>
      <c r="N378" s="18">
        <f>IF((OR(tbal[[#This Row],[X]]=0,tbal[[#This Row],[X]]=5)),tbal[[#This Row],[ACREEDOR]],0)</f>
        <v>0</v>
      </c>
    </row>
    <row r="379" spans="1:14" hidden="1" x14ac:dyDescent="0.3">
      <c r="A379" s="14">
        <f>+'PLAN DE CUENTAS'!A379</f>
        <v>0</v>
      </c>
      <c r="B379" s="13">
        <f>+'PLAN DE CUENTAS'!B379</f>
        <v>0</v>
      </c>
      <c r="C379" s="13">
        <f>+'PLAN DE CUENTAS'!C379</f>
        <v>0</v>
      </c>
      <c r="D379" t="str">
        <f>IF(tbal[[#This Row],[DEBE]]+tbal[[#This Row],[HABER]]=0,"","X")</f>
        <v/>
      </c>
      <c r="E379" s="16">
        <f>SUMIF(tdiario[CUENTA],tbal[[#This Row],[CUENTA]],tdiario[DEBE])</f>
        <v>0</v>
      </c>
      <c r="F379" s="17">
        <f>SUMIF(tdiario[CUENTA],tbal[[#This Row],[CUENTA]],tdiario[HABER])</f>
        <v>0</v>
      </c>
      <c r="G379" s="16">
        <f>IF(tbal[[#This Row],[DEBE]]-tbal[[#This Row],[HABER]]&gt;0,tbal[[#This Row],[DEBE]]-tbal[[#This Row],[HABER]],0)</f>
        <v>0</v>
      </c>
      <c r="H379" s="18">
        <f>IF(tbal[[#This Row],[HABER]]-tbal[[#This Row],[DEBE]]&gt;0,tbal[[#This Row],[HABER]]-tbal[[#This Row],[DEBE]],0)</f>
        <v>0</v>
      </c>
      <c r="I379" s="16">
        <f>IF((OR(tbal[[#This Row],[X]]=1,tbal[[#This Row],[X]]=2)),tbal[[#This Row],[DEUDOR]],0)</f>
        <v>0</v>
      </c>
      <c r="J379" s="18">
        <f>IF((OR(tbal[[#This Row],[X]]=2,tbal[[#This Row],[X]]=3)),tbal[[#This Row],[ACREEDOR]],0)</f>
        <v>0</v>
      </c>
      <c r="K379" s="16">
        <f>IF((OR(tbal[[#This Row],[X]]=3,tbal[[#This Row],[X]]=5)),tbal[[#This Row],[DEUDOR]],0)</f>
        <v>0</v>
      </c>
      <c r="L379" s="18">
        <f>IF((OR(tbal[[#This Row],[X]]=3,tbal[[#This Row],[X]]=4)),tbal[[#This Row],[ACREEDOR]],0)</f>
        <v>0</v>
      </c>
      <c r="M379" s="16">
        <f>IF((OR(tbal[[#This Row],[X]]=0,tbal[[#This Row],[X]]=6)),tbal[[#This Row],[DEUDOR]],0)</f>
        <v>0</v>
      </c>
      <c r="N379" s="18">
        <f>IF((OR(tbal[[#This Row],[X]]=0,tbal[[#This Row],[X]]=5)),tbal[[#This Row],[ACREEDOR]],0)</f>
        <v>0</v>
      </c>
    </row>
    <row r="380" spans="1:14" hidden="1" x14ac:dyDescent="0.3">
      <c r="A380" s="14">
        <f>+'PLAN DE CUENTAS'!A380</f>
        <v>0</v>
      </c>
      <c r="B380" s="13">
        <f>+'PLAN DE CUENTAS'!B380</f>
        <v>0</v>
      </c>
      <c r="C380" s="13">
        <f>+'PLAN DE CUENTAS'!C380</f>
        <v>0</v>
      </c>
      <c r="D380" t="str">
        <f>IF(tbal[[#This Row],[DEBE]]+tbal[[#This Row],[HABER]]=0,"","X")</f>
        <v/>
      </c>
      <c r="E380" s="16">
        <f>SUMIF(tdiario[CUENTA],tbal[[#This Row],[CUENTA]],tdiario[DEBE])</f>
        <v>0</v>
      </c>
      <c r="F380" s="17">
        <f>SUMIF(tdiario[CUENTA],tbal[[#This Row],[CUENTA]],tdiario[HABER])</f>
        <v>0</v>
      </c>
      <c r="G380" s="16">
        <f>IF(tbal[[#This Row],[DEBE]]-tbal[[#This Row],[HABER]]&gt;0,tbal[[#This Row],[DEBE]]-tbal[[#This Row],[HABER]],0)</f>
        <v>0</v>
      </c>
      <c r="H380" s="18">
        <f>IF(tbal[[#This Row],[HABER]]-tbal[[#This Row],[DEBE]]&gt;0,tbal[[#This Row],[HABER]]-tbal[[#This Row],[DEBE]],0)</f>
        <v>0</v>
      </c>
      <c r="I380" s="16">
        <f>IF((OR(tbal[[#This Row],[X]]=1,tbal[[#This Row],[X]]=2)),tbal[[#This Row],[DEUDOR]],0)</f>
        <v>0</v>
      </c>
      <c r="J380" s="18">
        <f>IF((OR(tbal[[#This Row],[X]]=2,tbal[[#This Row],[X]]=3)),tbal[[#This Row],[ACREEDOR]],0)</f>
        <v>0</v>
      </c>
      <c r="K380" s="16">
        <f>IF((OR(tbal[[#This Row],[X]]=3,tbal[[#This Row],[X]]=5)),tbal[[#This Row],[DEUDOR]],0)</f>
        <v>0</v>
      </c>
      <c r="L380" s="18">
        <f>IF((OR(tbal[[#This Row],[X]]=3,tbal[[#This Row],[X]]=4)),tbal[[#This Row],[ACREEDOR]],0)</f>
        <v>0</v>
      </c>
      <c r="M380" s="16">
        <f>IF((OR(tbal[[#This Row],[X]]=0,tbal[[#This Row],[X]]=6)),tbal[[#This Row],[DEUDOR]],0)</f>
        <v>0</v>
      </c>
      <c r="N380" s="18">
        <f>IF((OR(tbal[[#This Row],[X]]=0,tbal[[#This Row],[X]]=5)),tbal[[#This Row],[ACREEDOR]],0)</f>
        <v>0</v>
      </c>
    </row>
    <row r="381" spans="1:14" hidden="1" x14ac:dyDescent="0.3">
      <c r="A381" s="14">
        <f>+'PLAN DE CUENTAS'!A381</f>
        <v>0</v>
      </c>
      <c r="B381" s="13">
        <f>+'PLAN DE CUENTAS'!B381</f>
        <v>0</v>
      </c>
      <c r="C381" s="13">
        <f>+'PLAN DE CUENTAS'!C381</f>
        <v>0</v>
      </c>
      <c r="D381" t="str">
        <f>IF(tbal[[#This Row],[DEBE]]+tbal[[#This Row],[HABER]]=0,"","X")</f>
        <v/>
      </c>
      <c r="E381" s="16">
        <f>SUMIF(tdiario[CUENTA],tbal[[#This Row],[CUENTA]],tdiario[DEBE])</f>
        <v>0</v>
      </c>
      <c r="F381" s="17">
        <f>SUMIF(tdiario[CUENTA],tbal[[#This Row],[CUENTA]],tdiario[HABER])</f>
        <v>0</v>
      </c>
      <c r="G381" s="16">
        <f>IF(tbal[[#This Row],[DEBE]]-tbal[[#This Row],[HABER]]&gt;0,tbal[[#This Row],[DEBE]]-tbal[[#This Row],[HABER]],0)</f>
        <v>0</v>
      </c>
      <c r="H381" s="18">
        <f>IF(tbal[[#This Row],[HABER]]-tbal[[#This Row],[DEBE]]&gt;0,tbal[[#This Row],[HABER]]-tbal[[#This Row],[DEBE]],0)</f>
        <v>0</v>
      </c>
      <c r="I381" s="16">
        <f>IF((OR(tbal[[#This Row],[X]]=1,tbal[[#This Row],[X]]=2)),tbal[[#This Row],[DEUDOR]],0)</f>
        <v>0</v>
      </c>
      <c r="J381" s="18">
        <f>IF((OR(tbal[[#This Row],[X]]=2,tbal[[#This Row],[X]]=3)),tbal[[#This Row],[ACREEDOR]],0)</f>
        <v>0</v>
      </c>
      <c r="K381" s="16">
        <f>IF((OR(tbal[[#This Row],[X]]=3,tbal[[#This Row],[X]]=5)),tbal[[#This Row],[DEUDOR]],0)</f>
        <v>0</v>
      </c>
      <c r="L381" s="18">
        <f>IF((OR(tbal[[#This Row],[X]]=3,tbal[[#This Row],[X]]=4)),tbal[[#This Row],[ACREEDOR]],0)</f>
        <v>0</v>
      </c>
      <c r="M381" s="16">
        <f>IF((OR(tbal[[#This Row],[X]]=0,tbal[[#This Row],[X]]=6)),tbal[[#This Row],[DEUDOR]],0)</f>
        <v>0</v>
      </c>
      <c r="N381" s="18">
        <f>IF((OR(tbal[[#This Row],[X]]=0,tbal[[#This Row],[X]]=5)),tbal[[#This Row],[ACREEDOR]],0)</f>
        <v>0</v>
      </c>
    </row>
    <row r="382" spans="1:14" hidden="1" x14ac:dyDescent="0.3">
      <c r="A382" s="14">
        <f>+'PLAN DE CUENTAS'!A382</f>
        <v>0</v>
      </c>
      <c r="B382" s="13">
        <f>+'PLAN DE CUENTAS'!B382</f>
        <v>0</v>
      </c>
      <c r="C382" s="13">
        <f>+'PLAN DE CUENTAS'!C382</f>
        <v>0</v>
      </c>
      <c r="D382" t="str">
        <f>IF(tbal[[#This Row],[DEBE]]+tbal[[#This Row],[HABER]]=0,"","X")</f>
        <v/>
      </c>
      <c r="E382" s="16">
        <f>SUMIF(tdiario[CUENTA],tbal[[#This Row],[CUENTA]],tdiario[DEBE])</f>
        <v>0</v>
      </c>
      <c r="F382" s="17">
        <f>SUMIF(tdiario[CUENTA],tbal[[#This Row],[CUENTA]],tdiario[HABER])</f>
        <v>0</v>
      </c>
      <c r="G382" s="16">
        <f>IF(tbal[[#This Row],[DEBE]]-tbal[[#This Row],[HABER]]&gt;0,tbal[[#This Row],[DEBE]]-tbal[[#This Row],[HABER]],0)</f>
        <v>0</v>
      </c>
      <c r="H382" s="18">
        <f>IF(tbal[[#This Row],[HABER]]-tbal[[#This Row],[DEBE]]&gt;0,tbal[[#This Row],[HABER]]-tbal[[#This Row],[DEBE]],0)</f>
        <v>0</v>
      </c>
      <c r="I382" s="16">
        <f>IF((OR(tbal[[#This Row],[X]]=1,tbal[[#This Row],[X]]=2)),tbal[[#This Row],[DEUDOR]],0)</f>
        <v>0</v>
      </c>
      <c r="J382" s="18">
        <f>IF((OR(tbal[[#This Row],[X]]=2,tbal[[#This Row],[X]]=3)),tbal[[#This Row],[ACREEDOR]],0)</f>
        <v>0</v>
      </c>
      <c r="K382" s="16">
        <f>IF((OR(tbal[[#This Row],[X]]=3,tbal[[#This Row],[X]]=5)),tbal[[#This Row],[DEUDOR]],0)</f>
        <v>0</v>
      </c>
      <c r="L382" s="18">
        <f>IF((OR(tbal[[#This Row],[X]]=3,tbal[[#This Row],[X]]=4)),tbal[[#This Row],[ACREEDOR]],0)</f>
        <v>0</v>
      </c>
      <c r="M382" s="16">
        <f>IF((OR(tbal[[#This Row],[X]]=0,tbal[[#This Row],[X]]=6)),tbal[[#This Row],[DEUDOR]],0)</f>
        <v>0</v>
      </c>
      <c r="N382" s="18">
        <f>IF((OR(tbal[[#This Row],[X]]=0,tbal[[#This Row],[X]]=5)),tbal[[#This Row],[ACREEDOR]],0)</f>
        <v>0</v>
      </c>
    </row>
    <row r="383" spans="1:14" hidden="1" x14ac:dyDescent="0.3">
      <c r="A383" s="14">
        <f>+'PLAN DE CUENTAS'!A383</f>
        <v>0</v>
      </c>
      <c r="B383" s="13">
        <f>+'PLAN DE CUENTAS'!B383</f>
        <v>0</v>
      </c>
      <c r="C383" s="13">
        <f>+'PLAN DE CUENTAS'!C383</f>
        <v>0</v>
      </c>
      <c r="D383" t="str">
        <f>IF(tbal[[#This Row],[DEBE]]+tbal[[#This Row],[HABER]]=0,"","X")</f>
        <v/>
      </c>
      <c r="E383" s="16">
        <f>SUMIF(tdiario[CUENTA],tbal[[#This Row],[CUENTA]],tdiario[DEBE])</f>
        <v>0</v>
      </c>
      <c r="F383" s="17">
        <f>SUMIF(tdiario[CUENTA],tbal[[#This Row],[CUENTA]],tdiario[HABER])</f>
        <v>0</v>
      </c>
      <c r="G383" s="16">
        <f>IF(tbal[[#This Row],[DEBE]]-tbal[[#This Row],[HABER]]&gt;0,tbal[[#This Row],[DEBE]]-tbal[[#This Row],[HABER]],0)</f>
        <v>0</v>
      </c>
      <c r="H383" s="18">
        <f>IF(tbal[[#This Row],[HABER]]-tbal[[#This Row],[DEBE]]&gt;0,tbal[[#This Row],[HABER]]-tbal[[#This Row],[DEBE]],0)</f>
        <v>0</v>
      </c>
      <c r="I383" s="16">
        <f>IF((OR(tbal[[#This Row],[X]]=1,tbal[[#This Row],[X]]=2)),tbal[[#This Row],[DEUDOR]],0)</f>
        <v>0</v>
      </c>
      <c r="J383" s="18">
        <f>IF((OR(tbal[[#This Row],[X]]=2,tbal[[#This Row],[X]]=3)),tbal[[#This Row],[ACREEDOR]],0)</f>
        <v>0</v>
      </c>
      <c r="K383" s="16">
        <f>IF((OR(tbal[[#This Row],[X]]=3,tbal[[#This Row],[X]]=5)),tbal[[#This Row],[DEUDOR]],0)</f>
        <v>0</v>
      </c>
      <c r="L383" s="18">
        <f>IF((OR(tbal[[#This Row],[X]]=3,tbal[[#This Row],[X]]=4)),tbal[[#This Row],[ACREEDOR]],0)</f>
        <v>0</v>
      </c>
      <c r="M383" s="16">
        <f>IF((OR(tbal[[#This Row],[X]]=0,tbal[[#This Row],[X]]=6)),tbal[[#This Row],[DEUDOR]],0)</f>
        <v>0</v>
      </c>
      <c r="N383" s="18">
        <f>IF((OR(tbal[[#This Row],[X]]=0,tbal[[#This Row],[X]]=5)),tbal[[#This Row],[ACREEDOR]],0)</f>
        <v>0</v>
      </c>
    </row>
    <row r="384" spans="1:14" hidden="1" x14ac:dyDescent="0.3">
      <c r="A384" s="14">
        <f>+'PLAN DE CUENTAS'!A384</f>
        <v>0</v>
      </c>
      <c r="B384" s="13">
        <f>+'PLAN DE CUENTAS'!B384</f>
        <v>0</v>
      </c>
      <c r="C384" s="13">
        <f>+'PLAN DE CUENTAS'!C384</f>
        <v>0</v>
      </c>
      <c r="D384" t="str">
        <f>IF(tbal[[#This Row],[DEBE]]+tbal[[#This Row],[HABER]]=0,"","X")</f>
        <v/>
      </c>
      <c r="E384" s="16">
        <f>SUMIF(tdiario[CUENTA],tbal[[#This Row],[CUENTA]],tdiario[DEBE])</f>
        <v>0</v>
      </c>
      <c r="F384" s="17">
        <f>SUMIF(tdiario[CUENTA],tbal[[#This Row],[CUENTA]],tdiario[HABER])</f>
        <v>0</v>
      </c>
      <c r="G384" s="16">
        <f>IF(tbal[[#This Row],[DEBE]]-tbal[[#This Row],[HABER]]&gt;0,tbal[[#This Row],[DEBE]]-tbal[[#This Row],[HABER]],0)</f>
        <v>0</v>
      </c>
      <c r="H384" s="18">
        <f>IF(tbal[[#This Row],[HABER]]-tbal[[#This Row],[DEBE]]&gt;0,tbal[[#This Row],[HABER]]-tbal[[#This Row],[DEBE]],0)</f>
        <v>0</v>
      </c>
      <c r="I384" s="16">
        <f>IF((OR(tbal[[#This Row],[X]]=1,tbal[[#This Row],[X]]=2)),tbal[[#This Row],[DEUDOR]],0)</f>
        <v>0</v>
      </c>
      <c r="J384" s="18">
        <f>IF((OR(tbal[[#This Row],[X]]=2,tbal[[#This Row],[X]]=3)),tbal[[#This Row],[ACREEDOR]],0)</f>
        <v>0</v>
      </c>
      <c r="K384" s="16">
        <f>IF((OR(tbal[[#This Row],[X]]=3,tbal[[#This Row],[X]]=5)),tbal[[#This Row],[DEUDOR]],0)</f>
        <v>0</v>
      </c>
      <c r="L384" s="18">
        <f>IF((OR(tbal[[#This Row],[X]]=3,tbal[[#This Row],[X]]=4)),tbal[[#This Row],[ACREEDOR]],0)</f>
        <v>0</v>
      </c>
      <c r="M384" s="16">
        <f>IF((OR(tbal[[#This Row],[X]]=0,tbal[[#This Row],[X]]=6)),tbal[[#This Row],[DEUDOR]],0)</f>
        <v>0</v>
      </c>
      <c r="N384" s="18">
        <f>IF((OR(tbal[[#This Row],[X]]=0,tbal[[#This Row],[X]]=5)),tbal[[#This Row],[ACREEDOR]],0)</f>
        <v>0</v>
      </c>
    </row>
    <row r="385" spans="1:14" hidden="1" x14ac:dyDescent="0.3">
      <c r="A385" s="14">
        <f>+'PLAN DE CUENTAS'!A385</f>
        <v>0</v>
      </c>
      <c r="B385" s="13">
        <f>+'PLAN DE CUENTAS'!B385</f>
        <v>0</v>
      </c>
      <c r="C385" s="13">
        <f>+'PLAN DE CUENTAS'!C385</f>
        <v>0</v>
      </c>
      <c r="D385" t="str">
        <f>IF(tbal[[#This Row],[DEBE]]+tbal[[#This Row],[HABER]]=0,"","X")</f>
        <v/>
      </c>
      <c r="E385" s="16">
        <f>SUMIF(tdiario[CUENTA],tbal[[#This Row],[CUENTA]],tdiario[DEBE])</f>
        <v>0</v>
      </c>
      <c r="F385" s="17">
        <f>SUMIF(tdiario[CUENTA],tbal[[#This Row],[CUENTA]],tdiario[HABER])</f>
        <v>0</v>
      </c>
      <c r="G385" s="16">
        <f>IF(tbal[[#This Row],[DEBE]]-tbal[[#This Row],[HABER]]&gt;0,tbal[[#This Row],[DEBE]]-tbal[[#This Row],[HABER]],0)</f>
        <v>0</v>
      </c>
      <c r="H385" s="18">
        <f>IF(tbal[[#This Row],[HABER]]-tbal[[#This Row],[DEBE]]&gt;0,tbal[[#This Row],[HABER]]-tbal[[#This Row],[DEBE]],0)</f>
        <v>0</v>
      </c>
      <c r="I385" s="16">
        <f>IF((OR(tbal[[#This Row],[X]]=1,tbal[[#This Row],[X]]=2)),tbal[[#This Row],[DEUDOR]],0)</f>
        <v>0</v>
      </c>
      <c r="J385" s="18">
        <f>IF((OR(tbal[[#This Row],[X]]=2,tbal[[#This Row],[X]]=3)),tbal[[#This Row],[ACREEDOR]],0)</f>
        <v>0</v>
      </c>
      <c r="K385" s="16">
        <f>IF((OR(tbal[[#This Row],[X]]=3,tbal[[#This Row],[X]]=5)),tbal[[#This Row],[DEUDOR]],0)</f>
        <v>0</v>
      </c>
      <c r="L385" s="18">
        <f>IF((OR(tbal[[#This Row],[X]]=3,tbal[[#This Row],[X]]=4)),tbal[[#This Row],[ACREEDOR]],0)</f>
        <v>0</v>
      </c>
      <c r="M385" s="16">
        <f>IF((OR(tbal[[#This Row],[X]]=0,tbal[[#This Row],[X]]=6)),tbal[[#This Row],[DEUDOR]],0)</f>
        <v>0</v>
      </c>
      <c r="N385" s="18">
        <f>IF((OR(tbal[[#This Row],[X]]=0,tbal[[#This Row],[X]]=5)),tbal[[#This Row],[ACREEDOR]],0)</f>
        <v>0</v>
      </c>
    </row>
    <row r="386" spans="1:14" hidden="1" x14ac:dyDescent="0.3">
      <c r="A386" s="14">
        <f>+'PLAN DE CUENTAS'!A386</f>
        <v>0</v>
      </c>
      <c r="B386" s="13">
        <f>+'PLAN DE CUENTAS'!B386</f>
        <v>0</v>
      </c>
      <c r="C386" s="13">
        <f>+'PLAN DE CUENTAS'!C386</f>
        <v>0</v>
      </c>
      <c r="D386" t="str">
        <f>IF(tbal[[#This Row],[DEBE]]+tbal[[#This Row],[HABER]]=0,"","X")</f>
        <v/>
      </c>
      <c r="E386" s="16">
        <f>SUMIF(tdiario[CUENTA],tbal[[#This Row],[CUENTA]],tdiario[DEBE])</f>
        <v>0</v>
      </c>
      <c r="F386" s="17">
        <f>SUMIF(tdiario[CUENTA],tbal[[#This Row],[CUENTA]],tdiario[HABER])</f>
        <v>0</v>
      </c>
      <c r="G386" s="16">
        <f>IF(tbal[[#This Row],[DEBE]]-tbal[[#This Row],[HABER]]&gt;0,tbal[[#This Row],[DEBE]]-tbal[[#This Row],[HABER]],0)</f>
        <v>0</v>
      </c>
      <c r="H386" s="18">
        <f>IF(tbal[[#This Row],[HABER]]-tbal[[#This Row],[DEBE]]&gt;0,tbal[[#This Row],[HABER]]-tbal[[#This Row],[DEBE]],0)</f>
        <v>0</v>
      </c>
      <c r="I386" s="16">
        <f>IF((OR(tbal[[#This Row],[X]]=1,tbal[[#This Row],[X]]=2)),tbal[[#This Row],[DEUDOR]],0)</f>
        <v>0</v>
      </c>
      <c r="J386" s="18">
        <f>IF((OR(tbal[[#This Row],[X]]=2,tbal[[#This Row],[X]]=3)),tbal[[#This Row],[ACREEDOR]],0)</f>
        <v>0</v>
      </c>
      <c r="K386" s="16">
        <f>IF((OR(tbal[[#This Row],[X]]=3,tbal[[#This Row],[X]]=5)),tbal[[#This Row],[DEUDOR]],0)</f>
        <v>0</v>
      </c>
      <c r="L386" s="18">
        <f>IF((OR(tbal[[#This Row],[X]]=3,tbal[[#This Row],[X]]=4)),tbal[[#This Row],[ACREEDOR]],0)</f>
        <v>0</v>
      </c>
      <c r="M386" s="16">
        <f>IF((OR(tbal[[#This Row],[X]]=0,tbal[[#This Row],[X]]=6)),tbal[[#This Row],[DEUDOR]],0)</f>
        <v>0</v>
      </c>
      <c r="N386" s="18">
        <f>IF((OR(tbal[[#This Row],[X]]=0,tbal[[#This Row],[X]]=5)),tbal[[#This Row],[ACREEDOR]],0)</f>
        <v>0</v>
      </c>
    </row>
    <row r="387" spans="1:14" hidden="1" x14ac:dyDescent="0.3">
      <c r="A387" s="14">
        <f>+'PLAN DE CUENTAS'!A387</f>
        <v>0</v>
      </c>
      <c r="B387" s="13">
        <f>+'PLAN DE CUENTAS'!B387</f>
        <v>0</v>
      </c>
      <c r="C387" s="13">
        <f>+'PLAN DE CUENTAS'!C387</f>
        <v>0</v>
      </c>
      <c r="D387" t="str">
        <f>IF(tbal[[#This Row],[DEBE]]+tbal[[#This Row],[HABER]]=0,"","X")</f>
        <v/>
      </c>
      <c r="E387" s="16">
        <f>SUMIF(tdiario[CUENTA],tbal[[#This Row],[CUENTA]],tdiario[DEBE])</f>
        <v>0</v>
      </c>
      <c r="F387" s="17">
        <f>SUMIF(tdiario[CUENTA],tbal[[#This Row],[CUENTA]],tdiario[HABER])</f>
        <v>0</v>
      </c>
      <c r="G387" s="16">
        <f>IF(tbal[[#This Row],[DEBE]]-tbal[[#This Row],[HABER]]&gt;0,tbal[[#This Row],[DEBE]]-tbal[[#This Row],[HABER]],0)</f>
        <v>0</v>
      </c>
      <c r="H387" s="18">
        <f>IF(tbal[[#This Row],[HABER]]-tbal[[#This Row],[DEBE]]&gt;0,tbal[[#This Row],[HABER]]-tbal[[#This Row],[DEBE]],0)</f>
        <v>0</v>
      </c>
      <c r="I387" s="16">
        <f>IF((OR(tbal[[#This Row],[X]]=1,tbal[[#This Row],[X]]=2)),tbal[[#This Row],[DEUDOR]],0)</f>
        <v>0</v>
      </c>
      <c r="J387" s="18">
        <f>IF((OR(tbal[[#This Row],[X]]=2,tbal[[#This Row],[X]]=3)),tbal[[#This Row],[ACREEDOR]],0)</f>
        <v>0</v>
      </c>
      <c r="K387" s="16">
        <f>IF((OR(tbal[[#This Row],[X]]=3,tbal[[#This Row],[X]]=5)),tbal[[#This Row],[DEUDOR]],0)</f>
        <v>0</v>
      </c>
      <c r="L387" s="18">
        <f>IF((OR(tbal[[#This Row],[X]]=3,tbal[[#This Row],[X]]=4)),tbal[[#This Row],[ACREEDOR]],0)</f>
        <v>0</v>
      </c>
      <c r="M387" s="16">
        <f>IF((OR(tbal[[#This Row],[X]]=0,tbal[[#This Row],[X]]=6)),tbal[[#This Row],[DEUDOR]],0)</f>
        <v>0</v>
      </c>
      <c r="N387" s="18">
        <f>IF((OR(tbal[[#This Row],[X]]=0,tbal[[#This Row],[X]]=5)),tbal[[#This Row],[ACREEDOR]],0)</f>
        <v>0</v>
      </c>
    </row>
    <row r="388" spans="1:14" hidden="1" x14ac:dyDescent="0.3">
      <c r="A388" s="14">
        <f>+'PLAN DE CUENTAS'!A388</f>
        <v>0</v>
      </c>
      <c r="B388" s="13">
        <f>+'PLAN DE CUENTAS'!B388</f>
        <v>0</v>
      </c>
      <c r="C388" s="13">
        <f>+'PLAN DE CUENTAS'!C388</f>
        <v>0</v>
      </c>
      <c r="D388" t="str">
        <f>IF(tbal[[#This Row],[DEBE]]+tbal[[#This Row],[HABER]]=0,"","X")</f>
        <v/>
      </c>
      <c r="E388" s="16">
        <f>SUMIF(tdiario[CUENTA],tbal[[#This Row],[CUENTA]],tdiario[DEBE])</f>
        <v>0</v>
      </c>
      <c r="F388" s="17">
        <f>SUMIF(tdiario[CUENTA],tbal[[#This Row],[CUENTA]],tdiario[HABER])</f>
        <v>0</v>
      </c>
      <c r="G388" s="16">
        <f>IF(tbal[[#This Row],[DEBE]]-tbal[[#This Row],[HABER]]&gt;0,tbal[[#This Row],[DEBE]]-tbal[[#This Row],[HABER]],0)</f>
        <v>0</v>
      </c>
      <c r="H388" s="18">
        <f>IF(tbal[[#This Row],[HABER]]-tbal[[#This Row],[DEBE]]&gt;0,tbal[[#This Row],[HABER]]-tbal[[#This Row],[DEBE]],0)</f>
        <v>0</v>
      </c>
      <c r="I388" s="16">
        <f>IF((OR(tbal[[#This Row],[X]]=1,tbal[[#This Row],[X]]=2)),tbal[[#This Row],[DEUDOR]],0)</f>
        <v>0</v>
      </c>
      <c r="J388" s="18">
        <f>IF((OR(tbal[[#This Row],[X]]=2,tbal[[#This Row],[X]]=3)),tbal[[#This Row],[ACREEDOR]],0)</f>
        <v>0</v>
      </c>
      <c r="K388" s="16">
        <f>IF((OR(tbal[[#This Row],[X]]=3,tbal[[#This Row],[X]]=5)),tbal[[#This Row],[DEUDOR]],0)</f>
        <v>0</v>
      </c>
      <c r="L388" s="18">
        <f>IF((OR(tbal[[#This Row],[X]]=3,tbal[[#This Row],[X]]=4)),tbal[[#This Row],[ACREEDOR]],0)</f>
        <v>0</v>
      </c>
      <c r="M388" s="16">
        <f>IF((OR(tbal[[#This Row],[X]]=0,tbal[[#This Row],[X]]=6)),tbal[[#This Row],[DEUDOR]],0)</f>
        <v>0</v>
      </c>
      <c r="N388" s="18">
        <f>IF((OR(tbal[[#This Row],[X]]=0,tbal[[#This Row],[X]]=5)),tbal[[#This Row],[ACREEDOR]],0)</f>
        <v>0</v>
      </c>
    </row>
    <row r="389" spans="1:14" hidden="1" x14ac:dyDescent="0.3">
      <c r="A389" s="14">
        <f>+'PLAN DE CUENTAS'!A389</f>
        <v>0</v>
      </c>
      <c r="B389" s="13">
        <f>+'PLAN DE CUENTAS'!B389</f>
        <v>0</v>
      </c>
      <c r="C389" s="13">
        <f>+'PLAN DE CUENTAS'!C389</f>
        <v>0</v>
      </c>
      <c r="D389" t="str">
        <f>IF(tbal[[#This Row],[DEBE]]+tbal[[#This Row],[HABER]]=0,"","X")</f>
        <v/>
      </c>
      <c r="E389" s="16">
        <f>SUMIF(tdiario[CUENTA],tbal[[#This Row],[CUENTA]],tdiario[DEBE])</f>
        <v>0</v>
      </c>
      <c r="F389" s="17">
        <f>SUMIF(tdiario[CUENTA],tbal[[#This Row],[CUENTA]],tdiario[HABER])</f>
        <v>0</v>
      </c>
      <c r="G389" s="16">
        <f>IF(tbal[[#This Row],[DEBE]]-tbal[[#This Row],[HABER]]&gt;0,tbal[[#This Row],[DEBE]]-tbal[[#This Row],[HABER]],0)</f>
        <v>0</v>
      </c>
      <c r="H389" s="18">
        <f>IF(tbal[[#This Row],[HABER]]-tbal[[#This Row],[DEBE]]&gt;0,tbal[[#This Row],[HABER]]-tbal[[#This Row],[DEBE]],0)</f>
        <v>0</v>
      </c>
      <c r="I389" s="16">
        <f>IF((OR(tbal[[#This Row],[X]]=1,tbal[[#This Row],[X]]=2)),tbal[[#This Row],[DEUDOR]],0)</f>
        <v>0</v>
      </c>
      <c r="J389" s="18">
        <f>IF((OR(tbal[[#This Row],[X]]=2,tbal[[#This Row],[X]]=3)),tbal[[#This Row],[ACREEDOR]],0)</f>
        <v>0</v>
      </c>
      <c r="K389" s="16">
        <f>IF((OR(tbal[[#This Row],[X]]=3,tbal[[#This Row],[X]]=5)),tbal[[#This Row],[DEUDOR]],0)</f>
        <v>0</v>
      </c>
      <c r="L389" s="18">
        <f>IF((OR(tbal[[#This Row],[X]]=3,tbal[[#This Row],[X]]=4)),tbal[[#This Row],[ACREEDOR]],0)</f>
        <v>0</v>
      </c>
      <c r="M389" s="16">
        <f>IF((OR(tbal[[#This Row],[X]]=0,tbal[[#This Row],[X]]=6)),tbal[[#This Row],[DEUDOR]],0)</f>
        <v>0</v>
      </c>
      <c r="N389" s="18">
        <f>IF((OR(tbal[[#This Row],[X]]=0,tbal[[#This Row],[X]]=5)),tbal[[#This Row],[ACREEDOR]],0)</f>
        <v>0</v>
      </c>
    </row>
    <row r="390" spans="1:14" hidden="1" x14ac:dyDescent="0.3">
      <c r="A390" s="14">
        <f>+'PLAN DE CUENTAS'!A390</f>
        <v>0</v>
      </c>
      <c r="B390" s="13">
        <f>+'PLAN DE CUENTAS'!B390</f>
        <v>0</v>
      </c>
      <c r="C390" s="13">
        <f>+'PLAN DE CUENTAS'!C390</f>
        <v>0</v>
      </c>
      <c r="D390" t="str">
        <f>IF(tbal[[#This Row],[DEBE]]+tbal[[#This Row],[HABER]]=0,"","X")</f>
        <v/>
      </c>
      <c r="E390" s="16">
        <f>SUMIF(tdiario[CUENTA],tbal[[#This Row],[CUENTA]],tdiario[DEBE])</f>
        <v>0</v>
      </c>
      <c r="F390" s="17">
        <f>SUMIF(tdiario[CUENTA],tbal[[#This Row],[CUENTA]],tdiario[HABER])</f>
        <v>0</v>
      </c>
      <c r="G390" s="16">
        <f>IF(tbal[[#This Row],[DEBE]]-tbal[[#This Row],[HABER]]&gt;0,tbal[[#This Row],[DEBE]]-tbal[[#This Row],[HABER]],0)</f>
        <v>0</v>
      </c>
      <c r="H390" s="18">
        <f>IF(tbal[[#This Row],[HABER]]-tbal[[#This Row],[DEBE]]&gt;0,tbal[[#This Row],[HABER]]-tbal[[#This Row],[DEBE]],0)</f>
        <v>0</v>
      </c>
      <c r="I390" s="16">
        <f>IF((OR(tbal[[#This Row],[X]]=1,tbal[[#This Row],[X]]=2)),tbal[[#This Row],[DEUDOR]],0)</f>
        <v>0</v>
      </c>
      <c r="J390" s="18">
        <f>IF((OR(tbal[[#This Row],[X]]=2,tbal[[#This Row],[X]]=3)),tbal[[#This Row],[ACREEDOR]],0)</f>
        <v>0</v>
      </c>
      <c r="K390" s="16">
        <f>IF((OR(tbal[[#This Row],[X]]=3,tbal[[#This Row],[X]]=5)),tbal[[#This Row],[DEUDOR]],0)</f>
        <v>0</v>
      </c>
      <c r="L390" s="18">
        <f>IF((OR(tbal[[#This Row],[X]]=3,tbal[[#This Row],[X]]=4)),tbal[[#This Row],[ACREEDOR]],0)</f>
        <v>0</v>
      </c>
      <c r="M390" s="16">
        <f>IF((OR(tbal[[#This Row],[X]]=0,tbal[[#This Row],[X]]=6)),tbal[[#This Row],[DEUDOR]],0)</f>
        <v>0</v>
      </c>
      <c r="N390" s="18">
        <f>IF((OR(tbal[[#This Row],[X]]=0,tbal[[#This Row],[X]]=5)),tbal[[#This Row],[ACREEDOR]],0)</f>
        <v>0</v>
      </c>
    </row>
    <row r="391" spans="1:14" hidden="1" x14ac:dyDescent="0.3">
      <c r="A391" s="14">
        <f>+'PLAN DE CUENTAS'!A391</f>
        <v>0</v>
      </c>
      <c r="B391" s="13">
        <f>+'PLAN DE CUENTAS'!B391</f>
        <v>0</v>
      </c>
      <c r="C391" s="13">
        <f>+'PLAN DE CUENTAS'!C391</f>
        <v>0</v>
      </c>
      <c r="D391" t="str">
        <f>IF(tbal[[#This Row],[DEBE]]+tbal[[#This Row],[HABER]]=0,"","X")</f>
        <v/>
      </c>
      <c r="E391" s="16">
        <f>SUMIF(tdiario[CUENTA],tbal[[#This Row],[CUENTA]],tdiario[DEBE])</f>
        <v>0</v>
      </c>
      <c r="F391" s="17">
        <f>SUMIF(tdiario[CUENTA],tbal[[#This Row],[CUENTA]],tdiario[HABER])</f>
        <v>0</v>
      </c>
      <c r="G391" s="16">
        <f>IF(tbal[[#This Row],[DEBE]]-tbal[[#This Row],[HABER]]&gt;0,tbal[[#This Row],[DEBE]]-tbal[[#This Row],[HABER]],0)</f>
        <v>0</v>
      </c>
      <c r="H391" s="18">
        <f>IF(tbal[[#This Row],[HABER]]-tbal[[#This Row],[DEBE]]&gt;0,tbal[[#This Row],[HABER]]-tbal[[#This Row],[DEBE]],0)</f>
        <v>0</v>
      </c>
      <c r="I391" s="16">
        <f>IF((OR(tbal[[#This Row],[X]]=1,tbal[[#This Row],[X]]=2)),tbal[[#This Row],[DEUDOR]],0)</f>
        <v>0</v>
      </c>
      <c r="J391" s="18">
        <f>IF((OR(tbal[[#This Row],[X]]=2,tbal[[#This Row],[X]]=3)),tbal[[#This Row],[ACREEDOR]],0)</f>
        <v>0</v>
      </c>
      <c r="K391" s="16">
        <f>IF((OR(tbal[[#This Row],[X]]=3,tbal[[#This Row],[X]]=5)),tbal[[#This Row],[DEUDOR]],0)</f>
        <v>0</v>
      </c>
      <c r="L391" s="18">
        <f>IF((OR(tbal[[#This Row],[X]]=3,tbal[[#This Row],[X]]=4)),tbal[[#This Row],[ACREEDOR]],0)</f>
        <v>0</v>
      </c>
      <c r="M391" s="16">
        <f>IF((OR(tbal[[#This Row],[X]]=0,tbal[[#This Row],[X]]=6)),tbal[[#This Row],[DEUDOR]],0)</f>
        <v>0</v>
      </c>
      <c r="N391" s="18">
        <f>IF((OR(tbal[[#This Row],[X]]=0,tbal[[#This Row],[X]]=5)),tbal[[#This Row],[ACREEDOR]],0)</f>
        <v>0</v>
      </c>
    </row>
    <row r="392" spans="1:14" hidden="1" x14ac:dyDescent="0.3">
      <c r="A392" s="14">
        <f>+'PLAN DE CUENTAS'!A392</f>
        <v>0</v>
      </c>
      <c r="B392" s="13">
        <f>+'PLAN DE CUENTAS'!B392</f>
        <v>0</v>
      </c>
      <c r="C392" s="13">
        <f>+'PLAN DE CUENTAS'!C392</f>
        <v>0</v>
      </c>
      <c r="D392" t="str">
        <f>IF(tbal[[#This Row],[DEBE]]+tbal[[#This Row],[HABER]]=0,"","X")</f>
        <v/>
      </c>
      <c r="E392" s="16">
        <f>SUMIF(tdiario[CUENTA],tbal[[#This Row],[CUENTA]],tdiario[DEBE])</f>
        <v>0</v>
      </c>
      <c r="F392" s="17">
        <f>SUMIF(tdiario[CUENTA],tbal[[#This Row],[CUENTA]],tdiario[HABER])</f>
        <v>0</v>
      </c>
      <c r="G392" s="16">
        <f>IF(tbal[[#This Row],[DEBE]]-tbal[[#This Row],[HABER]]&gt;0,tbal[[#This Row],[DEBE]]-tbal[[#This Row],[HABER]],0)</f>
        <v>0</v>
      </c>
      <c r="H392" s="18">
        <f>IF(tbal[[#This Row],[HABER]]-tbal[[#This Row],[DEBE]]&gt;0,tbal[[#This Row],[HABER]]-tbal[[#This Row],[DEBE]],0)</f>
        <v>0</v>
      </c>
      <c r="I392" s="16">
        <f>IF((OR(tbal[[#This Row],[X]]=1,tbal[[#This Row],[X]]=2)),tbal[[#This Row],[DEUDOR]],0)</f>
        <v>0</v>
      </c>
      <c r="J392" s="18">
        <f>IF((OR(tbal[[#This Row],[X]]=2,tbal[[#This Row],[X]]=3)),tbal[[#This Row],[ACREEDOR]],0)</f>
        <v>0</v>
      </c>
      <c r="K392" s="16">
        <f>IF((OR(tbal[[#This Row],[X]]=3,tbal[[#This Row],[X]]=5)),tbal[[#This Row],[DEUDOR]],0)</f>
        <v>0</v>
      </c>
      <c r="L392" s="18">
        <f>IF((OR(tbal[[#This Row],[X]]=3,tbal[[#This Row],[X]]=4)),tbal[[#This Row],[ACREEDOR]],0)</f>
        <v>0</v>
      </c>
      <c r="M392" s="16">
        <f>IF((OR(tbal[[#This Row],[X]]=0,tbal[[#This Row],[X]]=6)),tbal[[#This Row],[DEUDOR]],0)</f>
        <v>0</v>
      </c>
      <c r="N392" s="18">
        <f>IF((OR(tbal[[#This Row],[X]]=0,tbal[[#This Row],[X]]=5)),tbal[[#This Row],[ACREEDOR]],0)</f>
        <v>0</v>
      </c>
    </row>
    <row r="393" spans="1:14" hidden="1" x14ac:dyDescent="0.3">
      <c r="A393" s="14">
        <f>+'PLAN DE CUENTAS'!A393</f>
        <v>0</v>
      </c>
      <c r="B393" s="13">
        <f>+'PLAN DE CUENTAS'!B393</f>
        <v>0</v>
      </c>
      <c r="C393" s="13">
        <f>+'PLAN DE CUENTAS'!C393</f>
        <v>0</v>
      </c>
      <c r="D393" t="str">
        <f>IF(tbal[[#This Row],[DEBE]]+tbal[[#This Row],[HABER]]=0,"","X")</f>
        <v/>
      </c>
      <c r="E393" s="16">
        <f>SUMIF(tdiario[CUENTA],tbal[[#This Row],[CUENTA]],tdiario[DEBE])</f>
        <v>0</v>
      </c>
      <c r="F393" s="17">
        <f>SUMIF(tdiario[CUENTA],tbal[[#This Row],[CUENTA]],tdiario[HABER])</f>
        <v>0</v>
      </c>
      <c r="G393" s="16">
        <f>IF(tbal[[#This Row],[DEBE]]-tbal[[#This Row],[HABER]]&gt;0,tbal[[#This Row],[DEBE]]-tbal[[#This Row],[HABER]],0)</f>
        <v>0</v>
      </c>
      <c r="H393" s="18">
        <f>IF(tbal[[#This Row],[HABER]]-tbal[[#This Row],[DEBE]]&gt;0,tbal[[#This Row],[HABER]]-tbal[[#This Row],[DEBE]],0)</f>
        <v>0</v>
      </c>
      <c r="I393" s="16">
        <f>IF((OR(tbal[[#This Row],[X]]=1,tbal[[#This Row],[X]]=2)),tbal[[#This Row],[DEUDOR]],0)</f>
        <v>0</v>
      </c>
      <c r="J393" s="18">
        <f>IF((OR(tbal[[#This Row],[X]]=2,tbal[[#This Row],[X]]=3)),tbal[[#This Row],[ACREEDOR]],0)</f>
        <v>0</v>
      </c>
      <c r="K393" s="16">
        <f>IF((OR(tbal[[#This Row],[X]]=3,tbal[[#This Row],[X]]=5)),tbal[[#This Row],[DEUDOR]],0)</f>
        <v>0</v>
      </c>
      <c r="L393" s="18">
        <f>IF((OR(tbal[[#This Row],[X]]=3,tbal[[#This Row],[X]]=4)),tbal[[#This Row],[ACREEDOR]],0)</f>
        <v>0</v>
      </c>
      <c r="M393" s="16">
        <f>IF((OR(tbal[[#This Row],[X]]=0,tbal[[#This Row],[X]]=6)),tbal[[#This Row],[DEUDOR]],0)</f>
        <v>0</v>
      </c>
      <c r="N393" s="18">
        <f>IF((OR(tbal[[#This Row],[X]]=0,tbal[[#This Row],[X]]=5)),tbal[[#This Row],[ACREEDOR]],0)</f>
        <v>0</v>
      </c>
    </row>
    <row r="394" spans="1:14" hidden="1" x14ac:dyDescent="0.3">
      <c r="A394" s="14">
        <f>+'PLAN DE CUENTAS'!A394</f>
        <v>0</v>
      </c>
      <c r="B394" s="13">
        <f>+'PLAN DE CUENTAS'!B394</f>
        <v>0</v>
      </c>
      <c r="C394" s="13">
        <f>+'PLAN DE CUENTAS'!C394</f>
        <v>0</v>
      </c>
      <c r="D394" t="str">
        <f>IF(tbal[[#This Row],[DEBE]]+tbal[[#This Row],[HABER]]=0,"","X")</f>
        <v/>
      </c>
      <c r="E394" s="16">
        <f>SUMIF(tdiario[CUENTA],tbal[[#This Row],[CUENTA]],tdiario[DEBE])</f>
        <v>0</v>
      </c>
      <c r="F394" s="17">
        <f>SUMIF(tdiario[CUENTA],tbal[[#This Row],[CUENTA]],tdiario[HABER])</f>
        <v>0</v>
      </c>
      <c r="G394" s="16">
        <f>IF(tbal[[#This Row],[DEBE]]-tbal[[#This Row],[HABER]]&gt;0,tbal[[#This Row],[DEBE]]-tbal[[#This Row],[HABER]],0)</f>
        <v>0</v>
      </c>
      <c r="H394" s="18">
        <f>IF(tbal[[#This Row],[HABER]]-tbal[[#This Row],[DEBE]]&gt;0,tbal[[#This Row],[HABER]]-tbal[[#This Row],[DEBE]],0)</f>
        <v>0</v>
      </c>
      <c r="I394" s="16">
        <f>IF((OR(tbal[[#This Row],[X]]=1,tbal[[#This Row],[X]]=2)),tbal[[#This Row],[DEUDOR]],0)</f>
        <v>0</v>
      </c>
      <c r="J394" s="18">
        <f>IF((OR(tbal[[#This Row],[X]]=2,tbal[[#This Row],[X]]=3)),tbal[[#This Row],[ACREEDOR]],0)</f>
        <v>0</v>
      </c>
      <c r="K394" s="16">
        <f>IF((OR(tbal[[#This Row],[X]]=3,tbal[[#This Row],[X]]=5)),tbal[[#This Row],[DEUDOR]],0)</f>
        <v>0</v>
      </c>
      <c r="L394" s="18">
        <f>IF((OR(tbal[[#This Row],[X]]=3,tbal[[#This Row],[X]]=4)),tbal[[#This Row],[ACREEDOR]],0)</f>
        <v>0</v>
      </c>
      <c r="M394" s="16">
        <f>IF((OR(tbal[[#This Row],[X]]=0,tbal[[#This Row],[X]]=6)),tbal[[#This Row],[DEUDOR]],0)</f>
        <v>0</v>
      </c>
      <c r="N394" s="18">
        <f>IF((OR(tbal[[#This Row],[X]]=0,tbal[[#This Row],[X]]=5)),tbal[[#This Row],[ACREEDOR]],0)</f>
        <v>0</v>
      </c>
    </row>
    <row r="395" spans="1:14" hidden="1" x14ac:dyDescent="0.3">
      <c r="A395" s="14">
        <f>+'PLAN DE CUENTAS'!A395</f>
        <v>0</v>
      </c>
      <c r="B395" s="13">
        <f>+'PLAN DE CUENTAS'!B395</f>
        <v>0</v>
      </c>
      <c r="C395" s="13">
        <f>+'PLAN DE CUENTAS'!C395</f>
        <v>0</v>
      </c>
      <c r="D395" t="str">
        <f>IF(tbal[[#This Row],[DEBE]]+tbal[[#This Row],[HABER]]=0,"","X")</f>
        <v/>
      </c>
      <c r="E395" s="16">
        <f>SUMIF(tdiario[CUENTA],tbal[[#This Row],[CUENTA]],tdiario[DEBE])</f>
        <v>0</v>
      </c>
      <c r="F395" s="17">
        <f>SUMIF(tdiario[CUENTA],tbal[[#This Row],[CUENTA]],tdiario[HABER])</f>
        <v>0</v>
      </c>
      <c r="G395" s="16">
        <f>IF(tbal[[#This Row],[DEBE]]-tbal[[#This Row],[HABER]]&gt;0,tbal[[#This Row],[DEBE]]-tbal[[#This Row],[HABER]],0)</f>
        <v>0</v>
      </c>
      <c r="H395" s="18">
        <f>IF(tbal[[#This Row],[HABER]]-tbal[[#This Row],[DEBE]]&gt;0,tbal[[#This Row],[HABER]]-tbal[[#This Row],[DEBE]],0)</f>
        <v>0</v>
      </c>
      <c r="I395" s="16">
        <f>IF((OR(tbal[[#This Row],[X]]=1,tbal[[#This Row],[X]]=2)),tbal[[#This Row],[DEUDOR]],0)</f>
        <v>0</v>
      </c>
      <c r="J395" s="18">
        <f>IF((OR(tbal[[#This Row],[X]]=2,tbal[[#This Row],[X]]=3)),tbal[[#This Row],[ACREEDOR]],0)</f>
        <v>0</v>
      </c>
      <c r="K395" s="16">
        <f>IF((OR(tbal[[#This Row],[X]]=3,tbal[[#This Row],[X]]=5)),tbal[[#This Row],[DEUDOR]],0)</f>
        <v>0</v>
      </c>
      <c r="L395" s="18">
        <f>IF((OR(tbal[[#This Row],[X]]=3,tbal[[#This Row],[X]]=4)),tbal[[#This Row],[ACREEDOR]],0)</f>
        <v>0</v>
      </c>
      <c r="M395" s="16">
        <f>IF((OR(tbal[[#This Row],[X]]=0,tbal[[#This Row],[X]]=6)),tbal[[#This Row],[DEUDOR]],0)</f>
        <v>0</v>
      </c>
      <c r="N395" s="18">
        <f>IF((OR(tbal[[#This Row],[X]]=0,tbal[[#This Row],[X]]=5)),tbal[[#This Row],[ACREEDOR]],0)</f>
        <v>0</v>
      </c>
    </row>
    <row r="396" spans="1:14" hidden="1" x14ac:dyDescent="0.3">
      <c r="A396" s="14">
        <f>+'PLAN DE CUENTAS'!A396</f>
        <v>0</v>
      </c>
      <c r="B396" s="13">
        <f>+'PLAN DE CUENTAS'!B396</f>
        <v>0</v>
      </c>
      <c r="C396" s="13">
        <f>+'PLAN DE CUENTAS'!C396</f>
        <v>0</v>
      </c>
      <c r="D396" t="str">
        <f>IF(tbal[[#This Row],[DEBE]]+tbal[[#This Row],[HABER]]=0,"","X")</f>
        <v/>
      </c>
      <c r="E396" s="16">
        <f>SUMIF(tdiario[CUENTA],tbal[[#This Row],[CUENTA]],tdiario[DEBE])</f>
        <v>0</v>
      </c>
      <c r="F396" s="17">
        <f>SUMIF(tdiario[CUENTA],tbal[[#This Row],[CUENTA]],tdiario[HABER])</f>
        <v>0</v>
      </c>
      <c r="G396" s="16">
        <f>IF(tbal[[#This Row],[DEBE]]-tbal[[#This Row],[HABER]]&gt;0,tbal[[#This Row],[DEBE]]-tbal[[#This Row],[HABER]],0)</f>
        <v>0</v>
      </c>
      <c r="H396" s="18">
        <f>IF(tbal[[#This Row],[HABER]]-tbal[[#This Row],[DEBE]]&gt;0,tbal[[#This Row],[HABER]]-tbal[[#This Row],[DEBE]],0)</f>
        <v>0</v>
      </c>
      <c r="I396" s="16">
        <f>IF((OR(tbal[[#This Row],[X]]=1,tbal[[#This Row],[X]]=2)),tbal[[#This Row],[DEUDOR]],0)</f>
        <v>0</v>
      </c>
      <c r="J396" s="18">
        <f>IF((OR(tbal[[#This Row],[X]]=2,tbal[[#This Row],[X]]=3)),tbal[[#This Row],[ACREEDOR]],0)</f>
        <v>0</v>
      </c>
      <c r="K396" s="16">
        <f>IF((OR(tbal[[#This Row],[X]]=3,tbal[[#This Row],[X]]=5)),tbal[[#This Row],[DEUDOR]],0)</f>
        <v>0</v>
      </c>
      <c r="L396" s="18">
        <f>IF((OR(tbal[[#This Row],[X]]=3,tbal[[#This Row],[X]]=4)),tbal[[#This Row],[ACREEDOR]],0)</f>
        <v>0</v>
      </c>
      <c r="M396" s="16">
        <f>IF((OR(tbal[[#This Row],[X]]=0,tbal[[#This Row],[X]]=6)),tbal[[#This Row],[DEUDOR]],0)</f>
        <v>0</v>
      </c>
      <c r="N396" s="18">
        <f>IF((OR(tbal[[#This Row],[X]]=0,tbal[[#This Row],[X]]=5)),tbal[[#This Row],[ACREEDOR]],0)</f>
        <v>0</v>
      </c>
    </row>
    <row r="397" spans="1:14" hidden="1" x14ac:dyDescent="0.3">
      <c r="A397" s="14">
        <f>+'PLAN DE CUENTAS'!A397</f>
        <v>0</v>
      </c>
      <c r="B397" s="13">
        <f>+'PLAN DE CUENTAS'!B397</f>
        <v>0</v>
      </c>
      <c r="C397" s="13">
        <f>+'PLAN DE CUENTAS'!C397</f>
        <v>0</v>
      </c>
      <c r="D397" t="str">
        <f>IF(tbal[[#This Row],[DEBE]]+tbal[[#This Row],[HABER]]=0,"","X")</f>
        <v/>
      </c>
      <c r="E397" s="16">
        <f>SUMIF(tdiario[CUENTA],tbal[[#This Row],[CUENTA]],tdiario[DEBE])</f>
        <v>0</v>
      </c>
      <c r="F397" s="17">
        <f>SUMIF(tdiario[CUENTA],tbal[[#This Row],[CUENTA]],tdiario[HABER])</f>
        <v>0</v>
      </c>
      <c r="G397" s="16">
        <f>IF(tbal[[#This Row],[DEBE]]-tbal[[#This Row],[HABER]]&gt;0,tbal[[#This Row],[DEBE]]-tbal[[#This Row],[HABER]],0)</f>
        <v>0</v>
      </c>
      <c r="H397" s="18">
        <f>IF(tbal[[#This Row],[HABER]]-tbal[[#This Row],[DEBE]]&gt;0,tbal[[#This Row],[HABER]]-tbal[[#This Row],[DEBE]],0)</f>
        <v>0</v>
      </c>
      <c r="I397" s="16">
        <f>IF((OR(tbal[[#This Row],[X]]=1,tbal[[#This Row],[X]]=2)),tbal[[#This Row],[DEUDOR]],0)</f>
        <v>0</v>
      </c>
      <c r="J397" s="18">
        <f>IF((OR(tbal[[#This Row],[X]]=2,tbal[[#This Row],[X]]=3)),tbal[[#This Row],[ACREEDOR]],0)</f>
        <v>0</v>
      </c>
      <c r="K397" s="16">
        <f>IF((OR(tbal[[#This Row],[X]]=3,tbal[[#This Row],[X]]=5)),tbal[[#This Row],[DEUDOR]],0)</f>
        <v>0</v>
      </c>
      <c r="L397" s="18">
        <f>IF((OR(tbal[[#This Row],[X]]=3,tbal[[#This Row],[X]]=4)),tbal[[#This Row],[ACREEDOR]],0)</f>
        <v>0</v>
      </c>
      <c r="M397" s="16">
        <f>IF((OR(tbal[[#This Row],[X]]=0,tbal[[#This Row],[X]]=6)),tbal[[#This Row],[DEUDOR]],0)</f>
        <v>0</v>
      </c>
      <c r="N397" s="18">
        <f>IF((OR(tbal[[#This Row],[X]]=0,tbal[[#This Row],[X]]=5)),tbal[[#This Row],[ACREEDOR]],0)</f>
        <v>0</v>
      </c>
    </row>
    <row r="398" spans="1:14" hidden="1" x14ac:dyDescent="0.3">
      <c r="A398" s="14">
        <f>+'PLAN DE CUENTAS'!A398</f>
        <v>0</v>
      </c>
      <c r="B398" s="13">
        <f>+'PLAN DE CUENTAS'!B398</f>
        <v>0</v>
      </c>
      <c r="C398" s="13">
        <f>+'PLAN DE CUENTAS'!C398</f>
        <v>0</v>
      </c>
      <c r="D398" t="str">
        <f>IF(tbal[[#This Row],[DEBE]]+tbal[[#This Row],[HABER]]=0,"","X")</f>
        <v/>
      </c>
      <c r="E398" s="16">
        <f>SUMIF(tdiario[CUENTA],tbal[[#This Row],[CUENTA]],tdiario[DEBE])</f>
        <v>0</v>
      </c>
      <c r="F398" s="17">
        <f>SUMIF(tdiario[CUENTA],tbal[[#This Row],[CUENTA]],tdiario[HABER])</f>
        <v>0</v>
      </c>
      <c r="G398" s="16">
        <f>IF(tbal[[#This Row],[DEBE]]-tbal[[#This Row],[HABER]]&gt;0,tbal[[#This Row],[DEBE]]-tbal[[#This Row],[HABER]],0)</f>
        <v>0</v>
      </c>
      <c r="H398" s="18">
        <f>IF(tbal[[#This Row],[HABER]]-tbal[[#This Row],[DEBE]]&gt;0,tbal[[#This Row],[HABER]]-tbal[[#This Row],[DEBE]],0)</f>
        <v>0</v>
      </c>
      <c r="I398" s="16">
        <f>IF((OR(tbal[[#This Row],[X]]=1,tbal[[#This Row],[X]]=2)),tbal[[#This Row],[DEUDOR]],0)</f>
        <v>0</v>
      </c>
      <c r="J398" s="18">
        <f>IF((OR(tbal[[#This Row],[X]]=2,tbal[[#This Row],[X]]=3)),tbal[[#This Row],[ACREEDOR]],0)</f>
        <v>0</v>
      </c>
      <c r="K398" s="16">
        <f>IF((OR(tbal[[#This Row],[X]]=3,tbal[[#This Row],[X]]=5)),tbal[[#This Row],[DEUDOR]],0)</f>
        <v>0</v>
      </c>
      <c r="L398" s="18">
        <f>IF((OR(tbal[[#This Row],[X]]=3,tbal[[#This Row],[X]]=4)),tbal[[#This Row],[ACREEDOR]],0)</f>
        <v>0</v>
      </c>
      <c r="M398" s="16">
        <f>IF((OR(tbal[[#This Row],[X]]=0,tbal[[#This Row],[X]]=6)),tbal[[#This Row],[DEUDOR]],0)</f>
        <v>0</v>
      </c>
      <c r="N398" s="18">
        <f>IF((OR(tbal[[#This Row],[X]]=0,tbal[[#This Row],[X]]=5)),tbal[[#This Row],[ACREEDOR]],0)</f>
        <v>0</v>
      </c>
    </row>
    <row r="399" spans="1:14" hidden="1" x14ac:dyDescent="0.3">
      <c r="A399" s="14">
        <f>+'PLAN DE CUENTAS'!A399</f>
        <v>0</v>
      </c>
      <c r="B399" s="13">
        <f>+'PLAN DE CUENTAS'!B399</f>
        <v>0</v>
      </c>
      <c r="C399" s="13">
        <f>+'PLAN DE CUENTAS'!C399</f>
        <v>0</v>
      </c>
      <c r="D399" t="str">
        <f>IF(tbal[[#This Row],[DEBE]]+tbal[[#This Row],[HABER]]=0,"","X")</f>
        <v/>
      </c>
      <c r="E399" s="16">
        <f>SUMIF(tdiario[CUENTA],tbal[[#This Row],[CUENTA]],tdiario[DEBE])</f>
        <v>0</v>
      </c>
      <c r="F399" s="17">
        <f>SUMIF(tdiario[CUENTA],tbal[[#This Row],[CUENTA]],tdiario[HABER])</f>
        <v>0</v>
      </c>
      <c r="G399" s="16">
        <f>IF(tbal[[#This Row],[DEBE]]-tbal[[#This Row],[HABER]]&gt;0,tbal[[#This Row],[DEBE]]-tbal[[#This Row],[HABER]],0)</f>
        <v>0</v>
      </c>
      <c r="H399" s="18">
        <f>IF(tbal[[#This Row],[HABER]]-tbal[[#This Row],[DEBE]]&gt;0,tbal[[#This Row],[HABER]]-tbal[[#This Row],[DEBE]],0)</f>
        <v>0</v>
      </c>
      <c r="I399" s="16">
        <f>IF((OR(tbal[[#This Row],[X]]=1,tbal[[#This Row],[X]]=2)),tbal[[#This Row],[DEUDOR]],0)</f>
        <v>0</v>
      </c>
      <c r="J399" s="18">
        <f>IF((OR(tbal[[#This Row],[X]]=2,tbal[[#This Row],[X]]=3)),tbal[[#This Row],[ACREEDOR]],0)</f>
        <v>0</v>
      </c>
      <c r="K399" s="16">
        <f>IF((OR(tbal[[#This Row],[X]]=3,tbal[[#This Row],[X]]=5)),tbal[[#This Row],[DEUDOR]],0)</f>
        <v>0</v>
      </c>
      <c r="L399" s="18">
        <f>IF((OR(tbal[[#This Row],[X]]=3,tbal[[#This Row],[X]]=4)),tbal[[#This Row],[ACREEDOR]],0)</f>
        <v>0</v>
      </c>
      <c r="M399" s="16">
        <f>IF((OR(tbal[[#This Row],[X]]=0,tbal[[#This Row],[X]]=6)),tbal[[#This Row],[DEUDOR]],0)</f>
        <v>0</v>
      </c>
      <c r="N399" s="18">
        <f>IF((OR(tbal[[#This Row],[X]]=0,tbal[[#This Row],[X]]=5)),tbal[[#This Row],[ACREEDOR]],0)</f>
        <v>0</v>
      </c>
    </row>
    <row r="400" spans="1:14" hidden="1" x14ac:dyDescent="0.3">
      <c r="A400" s="14">
        <f>+'PLAN DE CUENTAS'!A400</f>
        <v>0</v>
      </c>
      <c r="B400" s="13">
        <f>+'PLAN DE CUENTAS'!B400</f>
        <v>0</v>
      </c>
      <c r="C400" s="13">
        <f>+'PLAN DE CUENTAS'!C400</f>
        <v>0</v>
      </c>
      <c r="D400" t="str">
        <f>IF(tbal[[#This Row],[DEBE]]+tbal[[#This Row],[HABER]]=0,"","X")</f>
        <v/>
      </c>
      <c r="E400" s="16">
        <f>SUMIF(tdiario[CUENTA],tbal[[#This Row],[CUENTA]],tdiario[DEBE])</f>
        <v>0</v>
      </c>
      <c r="F400" s="17">
        <f>SUMIF(tdiario[CUENTA],tbal[[#This Row],[CUENTA]],tdiario[HABER])</f>
        <v>0</v>
      </c>
      <c r="G400" s="16">
        <f>IF(tbal[[#This Row],[DEBE]]-tbal[[#This Row],[HABER]]&gt;0,tbal[[#This Row],[DEBE]]-tbal[[#This Row],[HABER]],0)</f>
        <v>0</v>
      </c>
      <c r="H400" s="18">
        <f>IF(tbal[[#This Row],[HABER]]-tbal[[#This Row],[DEBE]]&gt;0,tbal[[#This Row],[HABER]]-tbal[[#This Row],[DEBE]],0)</f>
        <v>0</v>
      </c>
      <c r="I400" s="16">
        <f>IF((OR(tbal[[#This Row],[X]]=1,tbal[[#This Row],[X]]=2)),tbal[[#This Row],[DEUDOR]],0)</f>
        <v>0</v>
      </c>
      <c r="J400" s="18">
        <f>IF((OR(tbal[[#This Row],[X]]=2,tbal[[#This Row],[X]]=3)),tbal[[#This Row],[ACREEDOR]],0)</f>
        <v>0</v>
      </c>
      <c r="K400" s="16">
        <f>IF((OR(tbal[[#This Row],[X]]=3,tbal[[#This Row],[X]]=5)),tbal[[#This Row],[DEUDOR]],0)</f>
        <v>0</v>
      </c>
      <c r="L400" s="18">
        <f>IF((OR(tbal[[#This Row],[X]]=3,tbal[[#This Row],[X]]=4)),tbal[[#This Row],[ACREEDOR]],0)</f>
        <v>0</v>
      </c>
      <c r="M400" s="16">
        <f>IF((OR(tbal[[#This Row],[X]]=0,tbal[[#This Row],[X]]=6)),tbal[[#This Row],[DEUDOR]],0)</f>
        <v>0</v>
      </c>
      <c r="N400" s="18">
        <f>IF((OR(tbal[[#This Row],[X]]=0,tbal[[#This Row],[X]]=5)),tbal[[#This Row],[ACREEDOR]],0)</f>
        <v>0</v>
      </c>
    </row>
    <row r="401" spans="1:14" hidden="1" x14ac:dyDescent="0.3">
      <c r="A401" s="14">
        <f>+'PLAN DE CUENTAS'!A401</f>
        <v>0</v>
      </c>
      <c r="B401" s="13">
        <f>+'PLAN DE CUENTAS'!B401</f>
        <v>0</v>
      </c>
      <c r="C401" s="13">
        <f>+'PLAN DE CUENTAS'!C401</f>
        <v>0</v>
      </c>
      <c r="D401" t="str">
        <f>IF(tbal[[#This Row],[DEBE]]+tbal[[#This Row],[HABER]]=0,"","X")</f>
        <v/>
      </c>
      <c r="E401" s="16">
        <f>SUMIF(tdiario[CUENTA],tbal[[#This Row],[CUENTA]],tdiario[DEBE])</f>
        <v>0</v>
      </c>
      <c r="F401" s="17">
        <f>SUMIF(tdiario[CUENTA],tbal[[#This Row],[CUENTA]],tdiario[HABER])</f>
        <v>0</v>
      </c>
      <c r="G401" s="16">
        <f>IF(tbal[[#This Row],[DEBE]]-tbal[[#This Row],[HABER]]&gt;0,tbal[[#This Row],[DEBE]]-tbal[[#This Row],[HABER]],0)</f>
        <v>0</v>
      </c>
      <c r="H401" s="18">
        <f>IF(tbal[[#This Row],[HABER]]-tbal[[#This Row],[DEBE]]&gt;0,tbal[[#This Row],[HABER]]-tbal[[#This Row],[DEBE]],0)</f>
        <v>0</v>
      </c>
      <c r="I401" s="16">
        <f>IF((OR(tbal[[#This Row],[X]]=1,tbal[[#This Row],[X]]=2)),tbal[[#This Row],[DEUDOR]],0)</f>
        <v>0</v>
      </c>
      <c r="J401" s="18">
        <f>IF((OR(tbal[[#This Row],[X]]=2,tbal[[#This Row],[X]]=3)),tbal[[#This Row],[ACREEDOR]],0)</f>
        <v>0</v>
      </c>
      <c r="K401" s="16">
        <f>IF((OR(tbal[[#This Row],[X]]=3,tbal[[#This Row],[X]]=5)),tbal[[#This Row],[DEUDOR]],0)</f>
        <v>0</v>
      </c>
      <c r="L401" s="18">
        <f>IF((OR(tbal[[#This Row],[X]]=3,tbal[[#This Row],[X]]=4)),tbal[[#This Row],[ACREEDOR]],0)</f>
        <v>0</v>
      </c>
      <c r="M401" s="16">
        <f>IF((OR(tbal[[#This Row],[X]]=0,tbal[[#This Row],[X]]=6)),tbal[[#This Row],[DEUDOR]],0)</f>
        <v>0</v>
      </c>
      <c r="N401" s="18">
        <f>IF((OR(tbal[[#This Row],[X]]=0,tbal[[#This Row],[X]]=5)),tbal[[#This Row],[ACREEDOR]],0)</f>
        <v>0</v>
      </c>
    </row>
    <row r="402" spans="1:14" hidden="1" x14ac:dyDescent="0.3">
      <c r="A402" s="14">
        <f>+'PLAN DE CUENTAS'!A402</f>
        <v>0</v>
      </c>
      <c r="B402" s="13">
        <f>+'PLAN DE CUENTAS'!B402</f>
        <v>0</v>
      </c>
      <c r="C402" s="13">
        <f>+'PLAN DE CUENTAS'!C402</f>
        <v>0</v>
      </c>
      <c r="D402" t="str">
        <f>IF(tbal[[#This Row],[DEBE]]+tbal[[#This Row],[HABER]]=0,"","X")</f>
        <v/>
      </c>
      <c r="E402" s="16">
        <f>SUMIF(tdiario[CUENTA],tbal[[#This Row],[CUENTA]],tdiario[DEBE])</f>
        <v>0</v>
      </c>
      <c r="F402" s="17">
        <f>SUMIF(tdiario[CUENTA],tbal[[#This Row],[CUENTA]],tdiario[HABER])</f>
        <v>0</v>
      </c>
      <c r="G402" s="16">
        <f>IF(tbal[[#This Row],[DEBE]]-tbal[[#This Row],[HABER]]&gt;0,tbal[[#This Row],[DEBE]]-tbal[[#This Row],[HABER]],0)</f>
        <v>0</v>
      </c>
      <c r="H402" s="18">
        <f>IF(tbal[[#This Row],[HABER]]-tbal[[#This Row],[DEBE]]&gt;0,tbal[[#This Row],[HABER]]-tbal[[#This Row],[DEBE]],0)</f>
        <v>0</v>
      </c>
      <c r="I402" s="16">
        <f>IF((OR(tbal[[#This Row],[X]]=1,tbal[[#This Row],[X]]=2)),tbal[[#This Row],[DEUDOR]],0)</f>
        <v>0</v>
      </c>
      <c r="J402" s="18">
        <f>IF((OR(tbal[[#This Row],[X]]=2,tbal[[#This Row],[X]]=3)),tbal[[#This Row],[ACREEDOR]],0)</f>
        <v>0</v>
      </c>
      <c r="K402" s="16">
        <f>IF((OR(tbal[[#This Row],[X]]=3,tbal[[#This Row],[X]]=5)),tbal[[#This Row],[DEUDOR]],0)</f>
        <v>0</v>
      </c>
      <c r="L402" s="18">
        <f>IF((OR(tbal[[#This Row],[X]]=3,tbal[[#This Row],[X]]=4)),tbal[[#This Row],[ACREEDOR]],0)</f>
        <v>0</v>
      </c>
      <c r="M402" s="16">
        <f>IF((OR(tbal[[#This Row],[X]]=0,tbal[[#This Row],[X]]=6)),tbal[[#This Row],[DEUDOR]],0)</f>
        <v>0</v>
      </c>
      <c r="N402" s="18">
        <f>IF((OR(tbal[[#This Row],[X]]=0,tbal[[#This Row],[X]]=5)),tbal[[#This Row],[ACREEDOR]],0)</f>
        <v>0</v>
      </c>
    </row>
    <row r="403" spans="1:14" hidden="1" x14ac:dyDescent="0.3">
      <c r="A403" s="14">
        <f>+'PLAN DE CUENTAS'!A403</f>
        <v>0</v>
      </c>
      <c r="B403" s="13">
        <f>+'PLAN DE CUENTAS'!B403</f>
        <v>0</v>
      </c>
      <c r="C403" s="13">
        <f>+'PLAN DE CUENTAS'!C403</f>
        <v>0</v>
      </c>
      <c r="D403" t="str">
        <f>IF(tbal[[#This Row],[DEBE]]+tbal[[#This Row],[HABER]]=0,"","X")</f>
        <v/>
      </c>
      <c r="E403" s="16">
        <f>SUMIF(tdiario[CUENTA],tbal[[#This Row],[CUENTA]],tdiario[DEBE])</f>
        <v>0</v>
      </c>
      <c r="F403" s="17">
        <f>SUMIF(tdiario[CUENTA],tbal[[#This Row],[CUENTA]],tdiario[HABER])</f>
        <v>0</v>
      </c>
      <c r="G403" s="16">
        <f>IF(tbal[[#This Row],[DEBE]]-tbal[[#This Row],[HABER]]&gt;0,tbal[[#This Row],[DEBE]]-tbal[[#This Row],[HABER]],0)</f>
        <v>0</v>
      </c>
      <c r="H403" s="18">
        <f>IF(tbal[[#This Row],[HABER]]-tbal[[#This Row],[DEBE]]&gt;0,tbal[[#This Row],[HABER]]-tbal[[#This Row],[DEBE]],0)</f>
        <v>0</v>
      </c>
      <c r="I403" s="16">
        <f>IF((OR(tbal[[#This Row],[X]]=1,tbal[[#This Row],[X]]=2)),tbal[[#This Row],[DEUDOR]],0)</f>
        <v>0</v>
      </c>
      <c r="J403" s="18">
        <f>IF((OR(tbal[[#This Row],[X]]=2,tbal[[#This Row],[X]]=3)),tbal[[#This Row],[ACREEDOR]],0)</f>
        <v>0</v>
      </c>
      <c r="K403" s="16">
        <f>IF((OR(tbal[[#This Row],[X]]=3,tbal[[#This Row],[X]]=5)),tbal[[#This Row],[DEUDOR]],0)</f>
        <v>0</v>
      </c>
      <c r="L403" s="18">
        <f>IF((OR(tbal[[#This Row],[X]]=3,tbal[[#This Row],[X]]=4)),tbal[[#This Row],[ACREEDOR]],0)</f>
        <v>0</v>
      </c>
      <c r="M403" s="16">
        <f>IF((OR(tbal[[#This Row],[X]]=0,tbal[[#This Row],[X]]=6)),tbal[[#This Row],[DEUDOR]],0)</f>
        <v>0</v>
      </c>
      <c r="N403" s="18">
        <f>IF((OR(tbal[[#This Row],[X]]=0,tbal[[#This Row],[X]]=5)),tbal[[#This Row],[ACREEDOR]],0)</f>
        <v>0</v>
      </c>
    </row>
    <row r="404" spans="1:14" hidden="1" x14ac:dyDescent="0.3">
      <c r="A404" s="14">
        <f>+'PLAN DE CUENTAS'!A404</f>
        <v>0</v>
      </c>
      <c r="B404" s="13">
        <f>+'PLAN DE CUENTAS'!B404</f>
        <v>0</v>
      </c>
      <c r="C404" s="13">
        <f>+'PLAN DE CUENTAS'!C404</f>
        <v>0</v>
      </c>
      <c r="D404" t="str">
        <f>IF(tbal[[#This Row],[DEBE]]+tbal[[#This Row],[HABER]]=0,"","X")</f>
        <v/>
      </c>
      <c r="E404" s="16">
        <f>SUMIF(tdiario[CUENTA],tbal[[#This Row],[CUENTA]],tdiario[DEBE])</f>
        <v>0</v>
      </c>
      <c r="F404" s="17">
        <f>SUMIF(tdiario[CUENTA],tbal[[#This Row],[CUENTA]],tdiario[HABER])</f>
        <v>0</v>
      </c>
      <c r="G404" s="16">
        <f>IF(tbal[[#This Row],[DEBE]]-tbal[[#This Row],[HABER]]&gt;0,tbal[[#This Row],[DEBE]]-tbal[[#This Row],[HABER]],0)</f>
        <v>0</v>
      </c>
      <c r="H404" s="18">
        <f>IF(tbal[[#This Row],[HABER]]-tbal[[#This Row],[DEBE]]&gt;0,tbal[[#This Row],[HABER]]-tbal[[#This Row],[DEBE]],0)</f>
        <v>0</v>
      </c>
      <c r="I404" s="16">
        <f>IF((OR(tbal[[#This Row],[X]]=1,tbal[[#This Row],[X]]=2)),tbal[[#This Row],[DEUDOR]],0)</f>
        <v>0</v>
      </c>
      <c r="J404" s="18">
        <f>IF((OR(tbal[[#This Row],[X]]=2,tbal[[#This Row],[X]]=3)),tbal[[#This Row],[ACREEDOR]],0)</f>
        <v>0</v>
      </c>
      <c r="K404" s="16">
        <f>IF((OR(tbal[[#This Row],[X]]=3,tbal[[#This Row],[X]]=5)),tbal[[#This Row],[DEUDOR]],0)</f>
        <v>0</v>
      </c>
      <c r="L404" s="18">
        <f>IF((OR(tbal[[#This Row],[X]]=3,tbal[[#This Row],[X]]=4)),tbal[[#This Row],[ACREEDOR]],0)</f>
        <v>0</v>
      </c>
      <c r="M404" s="16">
        <f>IF((OR(tbal[[#This Row],[X]]=0,tbal[[#This Row],[X]]=6)),tbal[[#This Row],[DEUDOR]],0)</f>
        <v>0</v>
      </c>
      <c r="N404" s="18">
        <f>IF((OR(tbal[[#This Row],[X]]=0,tbal[[#This Row],[X]]=5)),tbal[[#This Row],[ACREEDOR]],0)</f>
        <v>0</v>
      </c>
    </row>
    <row r="405" spans="1:14" hidden="1" x14ac:dyDescent="0.3">
      <c r="A405" s="14">
        <f>+'PLAN DE CUENTAS'!A405</f>
        <v>0</v>
      </c>
      <c r="B405" s="13">
        <f>+'PLAN DE CUENTAS'!B405</f>
        <v>0</v>
      </c>
      <c r="C405" s="13">
        <f>+'PLAN DE CUENTAS'!C405</f>
        <v>0</v>
      </c>
      <c r="D405" t="str">
        <f>IF(tbal[[#This Row],[DEBE]]+tbal[[#This Row],[HABER]]=0,"","X")</f>
        <v/>
      </c>
      <c r="E405" s="16">
        <f>SUMIF(tdiario[CUENTA],tbal[[#This Row],[CUENTA]],tdiario[DEBE])</f>
        <v>0</v>
      </c>
      <c r="F405" s="17">
        <f>SUMIF(tdiario[CUENTA],tbal[[#This Row],[CUENTA]],tdiario[HABER])</f>
        <v>0</v>
      </c>
      <c r="G405" s="16">
        <f>IF(tbal[[#This Row],[DEBE]]-tbal[[#This Row],[HABER]]&gt;0,tbal[[#This Row],[DEBE]]-tbal[[#This Row],[HABER]],0)</f>
        <v>0</v>
      </c>
      <c r="H405" s="18">
        <f>IF(tbal[[#This Row],[HABER]]-tbal[[#This Row],[DEBE]]&gt;0,tbal[[#This Row],[HABER]]-tbal[[#This Row],[DEBE]],0)</f>
        <v>0</v>
      </c>
      <c r="I405" s="16">
        <f>IF((OR(tbal[[#This Row],[X]]=1,tbal[[#This Row],[X]]=2)),tbal[[#This Row],[DEUDOR]],0)</f>
        <v>0</v>
      </c>
      <c r="J405" s="18">
        <f>IF((OR(tbal[[#This Row],[X]]=2,tbal[[#This Row],[X]]=3)),tbal[[#This Row],[ACREEDOR]],0)</f>
        <v>0</v>
      </c>
      <c r="K405" s="16">
        <f>IF((OR(tbal[[#This Row],[X]]=3,tbal[[#This Row],[X]]=5)),tbal[[#This Row],[DEUDOR]],0)</f>
        <v>0</v>
      </c>
      <c r="L405" s="18">
        <f>IF((OR(tbal[[#This Row],[X]]=3,tbal[[#This Row],[X]]=4)),tbal[[#This Row],[ACREEDOR]],0)</f>
        <v>0</v>
      </c>
      <c r="M405" s="16">
        <f>IF((OR(tbal[[#This Row],[X]]=0,tbal[[#This Row],[X]]=6)),tbal[[#This Row],[DEUDOR]],0)</f>
        <v>0</v>
      </c>
      <c r="N405" s="18">
        <f>IF((OR(tbal[[#This Row],[X]]=0,tbal[[#This Row],[X]]=5)),tbal[[#This Row],[ACREEDOR]],0)</f>
        <v>0</v>
      </c>
    </row>
    <row r="406" spans="1:14" hidden="1" x14ac:dyDescent="0.3">
      <c r="A406" s="14">
        <f>+'PLAN DE CUENTAS'!A406</f>
        <v>0</v>
      </c>
      <c r="B406" s="13">
        <f>+'PLAN DE CUENTAS'!B406</f>
        <v>0</v>
      </c>
      <c r="C406" s="13">
        <f>+'PLAN DE CUENTAS'!C406</f>
        <v>0</v>
      </c>
      <c r="D406" t="str">
        <f>IF(tbal[[#This Row],[DEBE]]+tbal[[#This Row],[HABER]]=0,"","X")</f>
        <v/>
      </c>
      <c r="E406" s="16">
        <f>SUMIF(tdiario[CUENTA],tbal[[#This Row],[CUENTA]],tdiario[DEBE])</f>
        <v>0</v>
      </c>
      <c r="F406" s="17">
        <f>SUMIF(tdiario[CUENTA],tbal[[#This Row],[CUENTA]],tdiario[HABER])</f>
        <v>0</v>
      </c>
      <c r="G406" s="16">
        <f>IF(tbal[[#This Row],[DEBE]]-tbal[[#This Row],[HABER]]&gt;0,tbal[[#This Row],[DEBE]]-tbal[[#This Row],[HABER]],0)</f>
        <v>0</v>
      </c>
      <c r="H406" s="18">
        <f>IF(tbal[[#This Row],[HABER]]-tbal[[#This Row],[DEBE]]&gt;0,tbal[[#This Row],[HABER]]-tbal[[#This Row],[DEBE]],0)</f>
        <v>0</v>
      </c>
      <c r="I406" s="16">
        <f>IF((OR(tbal[[#This Row],[X]]=1,tbal[[#This Row],[X]]=2)),tbal[[#This Row],[DEUDOR]],0)</f>
        <v>0</v>
      </c>
      <c r="J406" s="18">
        <f>IF((OR(tbal[[#This Row],[X]]=2,tbal[[#This Row],[X]]=3)),tbal[[#This Row],[ACREEDOR]],0)</f>
        <v>0</v>
      </c>
      <c r="K406" s="16">
        <f>IF((OR(tbal[[#This Row],[X]]=3,tbal[[#This Row],[X]]=5)),tbal[[#This Row],[DEUDOR]],0)</f>
        <v>0</v>
      </c>
      <c r="L406" s="18">
        <f>IF((OR(tbal[[#This Row],[X]]=3,tbal[[#This Row],[X]]=4)),tbal[[#This Row],[ACREEDOR]],0)</f>
        <v>0</v>
      </c>
      <c r="M406" s="16">
        <f>IF((OR(tbal[[#This Row],[X]]=0,tbal[[#This Row],[X]]=6)),tbal[[#This Row],[DEUDOR]],0)</f>
        <v>0</v>
      </c>
      <c r="N406" s="18">
        <f>IF((OR(tbal[[#This Row],[X]]=0,tbal[[#This Row],[X]]=5)),tbal[[#This Row],[ACREEDOR]],0)</f>
        <v>0</v>
      </c>
    </row>
    <row r="407" spans="1:14" hidden="1" x14ac:dyDescent="0.3">
      <c r="A407" s="14">
        <f>+'PLAN DE CUENTAS'!A407</f>
        <v>0</v>
      </c>
      <c r="B407" s="13">
        <f>+'PLAN DE CUENTAS'!B407</f>
        <v>0</v>
      </c>
      <c r="C407" s="13">
        <f>+'PLAN DE CUENTAS'!C407</f>
        <v>0</v>
      </c>
      <c r="D407" t="str">
        <f>IF(tbal[[#This Row],[DEBE]]+tbal[[#This Row],[HABER]]=0,"","X")</f>
        <v/>
      </c>
      <c r="E407" s="16">
        <f>SUMIF(tdiario[CUENTA],tbal[[#This Row],[CUENTA]],tdiario[DEBE])</f>
        <v>0</v>
      </c>
      <c r="F407" s="17">
        <f>SUMIF(tdiario[CUENTA],tbal[[#This Row],[CUENTA]],tdiario[HABER])</f>
        <v>0</v>
      </c>
      <c r="G407" s="16">
        <f>IF(tbal[[#This Row],[DEBE]]-tbal[[#This Row],[HABER]]&gt;0,tbal[[#This Row],[DEBE]]-tbal[[#This Row],[HABER]],0)</f>
        <v>0</v>
      </c>
      <c r="H407" s="18">
        <f>IF(tbal[[#This Row],[HABER]]-tbal[[#This Row],[DEBE]]&gt;0,tbal[[#This Row],[HABER]]-tbal[[#This Row],[DEBE]],0)</f>
        <v>0</v>
      </c>
      <c r="I407" s="16">
        <f>IF((OR(tbal[[#This Row],[X]]=1,tbal[[#This Row],[X]]=2)),tbal[[#This Row],[DEUDOR]],0)</f>
        <v>0</v>
      </c>
      <c r="J407" s="18">
        <f>IF((OR(tbal[[#This Row],[X]]=2,tbal[[#This Row],[X]]=3)),tbal[[#This Row],[ACREEDOR]],0)</f>
        <v>0</v>
      </c>
      <c r="K407" s="16">
        <f>IF((OR(tbal[[#This Row],[X]]=3,tbal[[#This Row],[X]]=5)),tbal[[#This Row],[DEUDOR]],0)</f>
        <v>0</v>
      </c>
      <c r="L407" s="18">
        <f>IF((OR(tbal[[#This Row],[X]]=3,tbal[[#This Row],[X]]=4)),tbal[[#This Row],[ACREEDOR]],0)</f>
        <v>0</v>
      </c>
      <c r="M407" s="16">
        <f>IF((OR(tbal[[#This Row],[X]]=0,tbal[[#This Row],[X]]=6)),tbal[[#This Row],[DEUDOR]],0)</f>
        <v>0</v>
      </c>
      <c r="N407" s="18">
        <f>IF((OR(tbal[[#This Row],[X]]=0,tbal[[#This Row],[X]]=5)),tbal[[#This Row],[ACREEDOR]],0)</f>
        <v>0</v>
      </c>
    </row>
    <row r="408" spans="1:14" hidden="1" x14ac:dyDescent="0.3">
      <c r="A408" s="14">
        <f>+'PLAN DE CUENTAS'!A408</f>
        <v>0</v>
      </c>
      <c r="B408" s="13">
        <f>+'PLAN DE CUENTAS'!B408</f>
        <v>0</v>
      </c>
      <c r="C408" s="13">
        <f>+'PLAN DE CUENTAS'!C408</f>
        <v>0</v>
      </c>
      <c r="D408" t="str">
        <f>IF(tbal[[#This Row],[DEBE]]+tbal[[#This Row],[HABER]]=0,"","X")</f>
        <v/>
      </c>
      <c r="E408" s="16">
        <f>SUMIF(tdiario[CUENTA],tbal[[#This Row],[CUENTA]],tdiario[DEBE])</f>
        <v>0</v>
      </c>
      <c r="F408" s="17">
        <f>SUMIF(tdiario[CUENTA],tbal[[#This Row],[CUENTA]],tdiario[HABER])</f>
        <v>0</v>
      </c>
      <c r="G408" s="16">
        <f>IF(tbal[[#This Row],[DEBE]]-tbal[[#This Row],[HABER]]&gt;0,tbal[[#This Row],[DEBE]]-tbal[[#This Row],[HABER]],0)</f>
        <v>0</v>
      </c>
      <c r="H408" s="18">
        <f>IF(tbal[[#This Row],[HABER]]-tbal[[#This Row],[DEBE]]&gt;0,tbal[[#This Row],[HABER]]-tbal[[#This Row],[DEBE]],0)</f>
        <v>0</v>
      </c>
      <c r="I408" s="16">
        <f>IF((OR(tbal[[#This Row],[X]]=1,tbal[[#This Row],[X]]=2)),tbal[[#This Row],[DEUDOR]],0)</f>
        <v>0</v>
      </c>
      <c r="J408" s="18">
        <f>IF((OR(tbal[[#This Row],[X]]=2,tbal[[#This Row],[X]]=3)),tbal[[#This Row],[ACREEDOR]],0)</f>
        <v>0</v>
      </c>
      <c r="K408" s="16">
        <f>IF((OR(tbal[[#This Row],[X]]=3,tbal[[#This Row],[X]]=5)),tbal[[#This Row],[DEUDOR]],0)</f>
        <v>0</v>
      </c>
      <c r="L408" s="18">
        <f>IF((OR(tbal[[#This Row],[X]]=3,tbal[[#This Row],[X]]=4)),tbal[[#This Row],[ACREEDOR]],0)</f>
        <v>0</v>
      </c>
      <c r="M408" s="16">
        <f>IF((OR(tbal[[#This Row],[X]]=0,tbal[[#This Row],[X]]=6)),tbal[[#This Row],[DEUDOR]],0)</f>
        <v>0</v>
      </c>
      <c r="N408" s="18">
        <f>IF((OR(tbal[[#This Row],[X]]=0,tbal[[#This Row],[X]]=5)),tbal[[#This Row],[ACREEDOR]],0)</f>
        <v>0</v>
      </c>
    </row>
    <row r="409" spans="1:14" hidden="1" x14ac:dyDescent="0.3">
      <c r="A409" s="14">
        <f>+'PLAN DE CUENTAS'!A409</f>
        <v>0</v>
      </c>
      <c r="B409" s="13">
        <f>+'PLAN DE CUENTAS'!B409</f>
        <v>0</v>
      </c>
      <c r="C409" s="13">
        <f>+'PLAN DE CUENTAS'!C409</f>
        <v>0</v>
      </c>
      <c r="D409" t="str">
        <f>IF(tbal[[#This Row],[DEBE]]+tbal[[#This Row],[HABER]]=0,"","X")</f>
        <v/>
      </c>
      <c r="E409" s="16">
        <f>SUMIF(tdiario[CUENTA],tbal[[#This Row],[CUENTA]],tdiario[DEBE])</f>
        <v>0</v>
      </c>
      <c r="F409" s="17">
        <f>SUMIF(tdiario[CUENTA],tbal[[#This Row],[CUENTA]],tdiario[HABER])</f>
        <v>0</v>
      </c>
      <c r="G409" s="16">
        <f>IF(tbal[[#This Row],[DEBE]]-tbal[[#This Row],[HABER]]&gt;0,tbal[[#This Row],[DEBE]]-tbal[[#This Row],[HABER]],0)</f>
        <v>0</v>
      </c>
      <c r="H409" s="18">
        <f>IF(tbal[[#This Row],[HABER]]-tbal[[#This Row],[DEBE]]&gt;0,tbal[[#This Row],[HABER]]-tbal[[#This Row],[DEBE]],0)</f>
        <v>0</v>
      </c>
      <c r="I409" s="16">
        <f>IF((OR(tbal[[#This Row],[X]]=1,tbal[[#This Row],[X]]=2)),tbal[[#This Row],[DEUDOR]],0)</f>
        <v>0</v>
      </c>
      <c r="J409" s="18">
        <f>IF((OR(tbal[[#This Row],[X]]=2,tbal[[#This Row],[X]]=3)),tbal[[#This Row],[ACREEDOR]],0)</f>
        <v>0</v>
      </c>
      <c r="K409" s="16">
        <f>IF((OR(tbal[[#This Row],[X]]=3,tbal[[#This Row],[X]]=5)),tbal[[#This Row],[DEUDOR]],0)</f>
        <v>0</v>
      </c>
      <c r="L409" s="18">
        <f>IF((OR(tbal[[#This Row],[X]]=3,tbal[[#This Row],[X]]=4)),tbal[[#This Row],[ACREEDOR]],0)</f>
        <v>0</v>
      </c>
      <c r="M409" s="16">
        <f>IF((OR(tbal[[#This Row],[X]]=0,tbal[[#This Row],[X]]=6)),tbal[[#This Row],[DEUDOR]],0)</f>
        <v>0</v>
      </c>
      <c r="N409" s="18">
        <f>IF((OR(tbal[[#This Row],[X]]=0,tbal[[#This Row],[X]]=5)),tbal[[#This Row],[ACREEDOR]],0)</f>
        <v>0</v>
      </c>
    </row>
    <row r="410" spans="1:14" hidden="1" x14ac:dyDescent="0.3">
      <c r="A410" s="14">
        <f>+'PLAN DE CUENTAS'!A410</f>
        <v>0</v>
      </c>
      <c r="B410" s="13">
        <f>+'PLAN DE CUENTAS'!B410</f>
        <v>0</v>
      </c>
      <c r="C410" s="13">
        <f>+'PLAN DE CUENTAS'!C410</f>
        <v>0</v>
      </c>
      <c r="D410" t="str">
        <f>IF(tbal[[#This Row],[DEBE]]+tbal[[#This Row],[HABER]]=0,"","X")</f>
        <v/>
      </c>
      <c r="E410" s="16">
        <f>SUMIF(tdiario[CUENTA],tbal[[#This Row],[CUENTA]],tdiario[DEBE])</f>
        <v>0</v>
      </c>
      <c r="F410" s="17">
        <f>SUMIF(tdiario[CUENTA],tbal[[#This Row],[CUENTA]],tdiario[HABER])</f>
        <v>0</v>
      </c>
      <c r="G410" s="16">
        <f>IF(tbal[[#This Row],[DEBE]]-tbal[[#This Row],[HABER]]&gt;0,tbal[[#This Row],[DEBE]]-tbal[[#This Row],[HABER]],0)</f>
        <v>0</v>
      </c>
      <c r="H410" s="18">
        <f>IF(tbal[[#This Row],[HABER]]-tbal[[#This Row],[DEBE]]&gt;0,tbal[[#This Row],[HABER]]-tbal[[#This Row],[DEBE]],0)</f>
        <v>0</v>
      </c>
      <c r="I410" s="16">
        <f>IF((OR(tbal[[#This Row],[X]]=1,tbal[[#This Row],[X]]=2)),tbal[[#This Row],[DEUDOR]],0)</f>
        <v>0</v>
      </c>
      <c r="J410" s="18">
        <f>IF((OR(tbal[[#This Row],[X]]=2,tbal[[#This Row],[X]]=3)),tbal[[#This Row],[ACREEDOR]],0)</f>
        <v>0</v>
      </c>
      <c r="K410" s="16">
        <f>IF((OR(tbal[[#This Row],[X]]=3,tbal[[#This Row],[X]]=5)),tbal[[#This Row],[DEUDOR]],0)</f>
        <v>0</v>
      </c>
      <c r="L410" s="18">
        <f>IF((OR(tbal[[#This Row],[X]]=3,tbal[[#This Row],[X]]=4)),tbal[[#This Row],[ACREEDOR]],0)</f>
        <v>0</v>
      </c>
      <c r="M410" s="16">
        <f>IF((OR(tbal[[#This Row],[X]]=0,tbal[[#This Row],[X]]=6)),tbal[[#This Row],[DEUDOR]],0)</f>
        <v>0</v>
      </c>
      <c r="N410" s="18">
        <f>IF((OR(tbal[[#This Row],[X]]=0,tbal[[#This Row],[X]]=5)),tbal[[#This Row],[ACREEDOR]],0)</f>
        <v>0</v>
      </c>
    </row>
    <row r="411" spans="1:14" hidden="1" x14ac:dyDescent="0.3">
      <c r="A411" s="14">
        <f>+'PLAN DE CUENTAS'!A411</f>
        <v>0</v>
      </c>
      <c r="B411" s="13">
        <f>+'PLAN DE CUENTAS'!B411</f>
        <v>0</v>
      </c>
      <c r="C411" s="13">
        <f>+'PLAN DE CUENTAS'!C411</f>
        <v>0</v>
      </c>
      <c r="D411" t="str">
        <f>IF(tbal[[#This Row],[DEBE]]+tbal[[#This Row],[HABER]]=0,"","X")</f>
        <v/>
      </c>
      <c r="E411" s="16">
        <f>SUMIF(tdiario[CUENTA],tbal[[#This Row],[CUENTA]],tdiario[DEBE])</f>
        <v>0</v>
      </c>
      <c r="F411" s="17">
        <f>SUMIF(tdiario[CUENTA],tbal[[#This Row],[CUENTA]],tdiario[HABER])</f>
        <v>0</v>
      </c>
      <c r="G411" s="16">
        <f>IF(tbal[[#This Row],[DEBE]]-tbal[[#This Row],[HABER]]&gt;0,tbal[[#This Row],[DEBE]]-tbal[[#This Row],[HABER]],0)</f>
        <v>0</v>
      </c>
      <c r="H411" s="18">
        <f>IF(tbal[[#This Row],[HABER]]-tbal[[#This Row],[DEBE]]&gt;0,tbal[[#This Row],[HABER]]-tbal[[#This Row],[DEBE]],0)</f>
        <v>0</v>
      </c>
      <c r="I411" s="16">
        <f>IF((OR(tbal[[#This Row],[X]]=1,tbal[[#This Row],[X]]=2)),tbal[[#This Row],[DEUDOR]],0)</f>
        <v>0</v>
      </c>
      <c r="J411" s="18">
        <f>IF((OR(tbal[[#This Row],[X]]=2,tbal[[#This Row],[X]]=3)),tbal[[#This Row],[ACREEDOR]],0)</f>
        <v>0</v>
      </c>
      <c r="K411" s="16">
        <f>IF((OR(tbal[[#This Row],[X]]=3,tbal[[#This Row],[X]]=5)),tbal[[#This Row],[DEUDOR]],0)</f>
        <v>0</v>
      </c>
      <c r="L411" s="18">
        <f>IF((OR(tbal[[#This Row],[X]]=3,tbal[[#This Row],[X]]=4)),tbal[[#This Row],[ACREEDOR]],0)</f>
        <v>0</v>
      </c>
      <c r="M411" s="16">
        <f>IF((OR(tbal[[#This Row],[X]]=0,tbal[[#This Row],[X]]=6)),tbal[[#This Row],[DEUDOR]],0)</f>
        <v>0</v>
      </c>
      <c r="N411" s="18">
        <f>IF((OR(tbal[[#This Row],[X]]=0,tbal[[#This Row],[X]]=5)),tbal[[#This Row],[ACREEDOR]],0)</f>
        <v>0</v>
      </c>
    </row>
    <row r="412" spans="1:14" hidden="1" x14ac:dyDescent="0.3">
      <c r="A412" s="14">
        <f>+'PLAN DE CUENTAS'!A412</f>
        <v>0</v>
      </c>
      <c r="B412" s="13">
        <f>+'PLAN DE CUENTAS'!B412</f>
        <v>0</v>
      </c>
      <c r="C412" s="13">
        <f>+'PLAN DE CUENTAS'!C412</f>
        <v>0</v>
      </c>
      <c r="D412" t="str">
        <f>IF(tbal[[#This Row],[DEBE]]+tbal[[#This Row],[HABER]]=0,"","X")</f>
        <v/>
      </c>
      <c r="E412" s="16">
        <f>SUMIF(tdiario[CUENTA],tbal[[#This Row],[CUENTA]],tdiario[DEBE])</f>
        <v>0</v>
      </c>
      <c r="F412" s="17">
        <f>SUMIF(tdiario[CUENTA],tbal[[#This Row],[CUENTA]],tdiario[HABER])</f>
        <v>0</v>
      </c>
      <c r="G412" s="16">
        <f>IF(tbal[[#This Row],[DEBE]]-tbal[[#This Row],[HABER]]&gt;0,tbal[[#This Row],[DEBE]]-tbal[[#This Row],[HABER]],0)</f>
        <v>0</v>
      </c>
      <c r="H412" s="18">
        <f>IF(tbal[[#This Row],[HABER]]-tbal[[#This Row],[DEBE]]&gt;0,tbal[[#This Row],[HABER]]-tbal[[#This Row],[DEBE]],0)</f>
        <v>0</v>
      </c>
      <c r="I412" s="16">
        <f>IF((OR(tbal[[#This Row],[X]]=1,tbal[[#This Row],[X]]=2)),tbal[[#This Row],[DEUDOR]],0)</f>
        <v>0</v>
      </c>
      <c r="J412" s="18">
        <f>IF((OR(tbal[[#This Row],[X]]=2,tbal[[#This Row],[X]]=3)),tbal[[#This Row],[ACREEDOR]],0)</f>
        <v>0</v>
      </c>
      <c r="K412" s="16">
        <f>IF((OR(tbal[[#This Row],[X]]=3,tbal[[#This Row],[X]]=5)),tbal[[#This Row],[DEUDOR]],0)</f>
        <v>0</v>
      </c>
      <c r="L412" s="18">
        <f>IF((OR(tbal[[#This Row],[X]]=3,tbal[[#This Row],[X]]=4)),tbal[[#This Row],[ACREEDOR]],0)</f>
        <v>0</v>
      </c>
      <c r="M412" s="16">
        <f>IF((OR(tbal[[#This Row],[X]]=0,tbal[[#This Row],[X]]=6)),tbal[[#This Row],[DEUDOR]],0)</f>
        <v>0</v>
      </c>
      <c r="N412" s="18">
        <f>IF((OR(tbal[[#This Row],[X]]=0,tbal[[#This Row],[X]]=5)),tbal[[#This Row],[ACREEDOR]],0)</f>
        <v>0</v>
      </c>
    </row>
    <row r="413" spans="1:14" hidden="1" x14ac:dyDescent="0.3">
      <c r="A413" s="14">
        <f>+'PLAN DE CUENTAS'!A413</f>
        <v>0</v>
      </c>
      <c r="B413" s="13">
        <f>+'PLAN DE CUENTAS'!B413</f>
        <v>0</v>
      </c>
      <c r="C413" s="13">
        <f>+'PLAN DE CUENTAS'!C413</f>
        <v>0</v>
      </c>
      <c r="D413" t="str">
        <f>IF(tbal[[#This Row],[DEBE]]+tbal[[#This Row],[HABER]]=0,"","X")</f>
        <v/>
      </c>
      <c r="E413" s="16">
        <f>SUMIF(tdiario[CUENTA],tbal[[#This Row],[CUENTA]],tdiario[DEBE])</f>
        <v>0</v>
      </c>
      <c r="F413" s="17">
        <f>SUMIF(tdiario[CUENTA],tbal[[#This Row],[CUENTA]],tdiario[HABER])</f>
        <v>0</v>
      </c>
      <c r="G413" s="16">
        <f>IF(tbal[[#This Row],[DEBE]]-tbal[[#This Row],[HABER]]&gt;0,tbal[[#This Row],[DEBE]]-tbal[[#This Row],[HABER]],0)</f>
        <v>0</v>
      </c>
      <c r="H413" s="18">
        <f>IF(tbal[[#This Row],[HABER]]-tbal[[#This Row],[DEBE]]&gt;0,tbal[[#This Row],[HABER]]-tbal[[#This Row],[DEBE]],0)</f>
        <v>0</v>
      </c>
      <c r="I413" s="16">
        <f>IF((OR(tbal[[#This Row],[X]]=1,tbal[[#This Row],[X]]=2)),tbal[[#This Row],[DEUDOR]],0)</f>
        <v>0</v>
      </c>
      <c r="J413" s="18">
        <f>IF((OR(tbal[[#This Row],[X]]=2,tbal[[#This Row],[X]]=3)),tbal[[#This Row],[ACREEDOR]],0)</f>
        <v>0</v>
      </c>
      <c r="K413" s="16">
        <f>IF((OR(tbal[[#This Row],[X]]=3,tbal[[#This Row],[X]]=5)),tbal[[#This Row],[DEUDOR]],0)</f>
        <v>0</v>
      </c>
      <c r="L413" s="18">
        <f>IF((OR(tbal[[#This Row],[X]]=3,tbal[[#This Row],[X]]=4)),tbal[[#This Row],[ACREEDOR]],0)</f>
        <v>0</v>
      </c>
      <c r="M413" s="16">
        <f>IF((OR(tbal[[#This Row],[X]]=0,tbal[[#This Row],[X]]=6)),tbal[[#This Row],[DEUDOR]],0)</f>
        <v>0</v>
      </c>
      <c r="N413" s="18">
        <f>IF((OR(tbal[[#This Row],[X]]=0,tbal[[#This Row],[X]]=5)),tbal[[#This Row],[ACREEDOR]],0)</f>
        <v>0</v>
      </c>
    </row>
    <row r="414" spans="1:14" hidden="1" x14ac:dyDescent="0.3">
      <c r="A414" s="14">
        <f>+'PLAN DE CUENTAS'!A414</f>
        <v>0</v>
      </c>
      <c r="B414" s="13">
        <f>+'PLAN DE CUENTAS'!B414</f>
        <v>0</v>
      </c>
      <c r="C414" s="13">
        <f>+'PLAN DE CUENTAS'!C414</f>
        <v>0</v>
      </c>
      <c r="D414" t="str">
        <f>IF(tbal[[#This Row],[DEBE]]+tbal[[#This Row],[HABER]]=0,"","X")</f>
        <v/>
      </c>
      <c r="E414" s="16">
        <f>SUMIF(tdiario[CUENTA],tbal[[#This Row],[CUENTA]],tdiario[DEBE])</f>
        <v>0</v>
      </c>
      <c r="F414" s="17">
        <f>SUMIF(tdiario[CUENTA],tbal[[#This Row],[CUENTA]],tdiario[HABER])</f>
        <v>0</v>
      </c>
      <c r="G414" s="16">
        <f>IF(tbal[[#This Row],[DEBE]]-tbal[[#This Row],[HABER]]&gt;0,tbal[[#This Row],[DEBE]]-tbal[[#This Row],[HABER]],0)</f>
        <v>0</v>
      </c>
      <c r="H414" s="18">
        <f>IF(tbal[[#This Row],[HABER]]-tbal[[#This Row],[DEBE]]&gt;0,tbal[[#This Row],[HABER]]-tbal[[#This Row],[DEBE]],0)</f>
        <v>0</v>
      </c>
      <c r="I414" s="16">
        <f>IF((OR(tbal[[#This Row],[X]]=1,tbal[[#This Row],[X]]=2)),tbal[[#This Row],[DEUDOR]],0)</f>
        <v>0</v>
      </c>
      <c r="J414" s="18">
        <f>IF((OR(tbal[[#This Row],[X]]=2,tbal[[#This Row],[X]]=3)),tbal[[#This Row],[ACREEDOR]],0)</f>
        <v>0</v>
      </c>
      <c r="K414" s="16">
        <f>IF((OR(tbal[[#This Row],[X]]=3,tbal[[#This Row],[X]]=5)),tbal[[#This Row],[DEUDOR]],0)</f>
        <v>0</v>
      </c>
      <c r="L414" s="18">
        <f>IF((OR(tbal[[#This Row],[X]]=3,tbal[[#This Row],[X]]=4)),tbal[[#This Row],[ACREEDOR]],0)</f>
        <v>0</v>
      </c>
      <c r="M414" s="16">
        <f>IF((OR(tbal[[#This Row],[X]]=0,tbal[[#This Row],[X]]=6)),tbal[[#This Row],[DEUDOR]],0)</f>
        <v>0</v>
      </c>
      <c r="N414" s="18">
        <f>IF((OR(tbal[[#This Row],[X]]=0,tbal[[#This Row],[X]]=5)),tbal[[#This Row],[ACREEDOR]],0)</f>
        <v>0</v>
      </c>
    </row>
    <row r="415" spans="1:14" hidden="1" x14ac:dyDescent="0.3">
      <c r="A415" s="14">
        <f>+'PLAN DE CUENTAS'!A415</f>
        <v>0</v>
      </c>
      <c r="B415" s="13">
        <f>+'PLAN DE CUENTAS'!B415</f>
        <v>0</v>
      </c>
      <c r="C415" s="13">
        <f>+'PLAN DE CUENTAS'!C415</f>
        <v>0</v>
      </c>
      <c r="D415" t="str">
        <f>IF(tbal[[#This Row],[DEBE]]+tbal[[#This Row],[HABER]]=0,"","X")</f>
        <v/>
      </c>
      <c r="E415" s="16">
        <f>SUMIF(tdiario[CUENTA],tbal[[#This Row],[CUENTA]],tdiario[DEBE])</f>
        <v>0</v>
      </c>
      <c r="F415" s="17">
        <f>SUMIF(tdiario[CUENTA],tbal[[#This Row],[CUENTA]],tdiario[HABER])</f>
        <v>0</v>
      </c>
      <c r="G415" s="16">
        <f>IF(tbal[[#This Row],[DEBE]]-tbal[[#This Row],[HABER]]&gt;0,tbal[[#This Row],[DEBE]]-tbal[[#This Row],[HABER]],0)</f>
        <v>0</v>
      </c>
      <c r="H415" s="18">
        <f>IF(tbal[[#This Row],[HABER]]-tbal[[#This Row],[DEBE]]&gt;0,tbal[[#This Row],[HABER]]-tbal[[#This Row],[DEBE]],0)</f>
        <v>0</v>
      </c>
      <c r="I415" s="16">
        <f>IF((OR(tbal[[#This Row],[X]]=1,tbal[[#This Row],[X]]=2)),tbal[[#This Row],[DEUDOR]],0)</f>
        <v>0</v>
      </c>
      <c r="J415" s="18">
        <f>IF((OR(tbal[[#This Row],[X]]=2,tbal[[#This Row],[X]]=3)),tbal[[#This Row],[ACREEDOR]],0)</f>
        <v>0</v>
      </c>
      <c r="K415" s="16">
        <f>IF((OR(tbal[[#This Row],[X]]=3,tbal[[#This Row],[X]]=5)),tbal[[#This Row],[DEUDOR]],0)</f>
        <v>0</v>
      </c>
      <c r="L415" s="18">
        <f>IF((OR(tbal[[#This Row],[X]]=3,tbal[[#This Row],[X]]=4)),tbal[[#This Row],[ACREEDOR]],0)</f>
        <v>0</v>
      </c>
      <c r="M415" s="16">
        <f>IF((OR(tbal[[#This Row],[X]]=0,tbal[[#This Row],[X]]=6)),tbal[[#This Row],[DEUDOR]],0)</f>
        <v>0</v>
      </c>
      <c r="N415" s="18">
        <f>IF((OR(tbal[[#This Row],[X]]=0,tbal[[#This Row],[X]]=5)),tbal[[#This Row],[ACREEDOR]],0)</f>
        <v>0</v>
      </c>
    </row>
    <row r="416" spans="1:14" hidden="1" x14ac:dyDescent="0.3">
      <c r="A416" s="14">
        <f>+'PLAN DE CUENTAS'!A416</f>
        <v>0</v>
      </c>
      <c r="B416" s="13">
        <f>+'PLAN DE CUENTAS'!B416</f>
        <v>0</v>
      </c>
      <c r="C416" s="13">
        <f>+'PLAN DE CUENTAS'!C416</f>
        <v>0</v>
      </c>
      <c r="D416" t="str">
        <f>IF(tbal[[#This Row],[DEBE]]+tbal[[#This Row],[HABER]]=0,"","X")</f>
        <v/>
      </c>
      <c r="E416" s="16">
        <f>SUMIF(tdiario[CUENTA],tbal[[#This Row],[CUENTA]],tdiario[DEBE])</f>
        <v>0</v>
      </c>
      <c r="F416" s="17">
        <f>SUMIF(tdiario[CUENTA],tbal[[#This Row],[CUENTA]],tdiario[HABER])</f>
        <v>0</v>
      </c>
      <c r="G416" s="16">
        <f>IF(tbal[[#This Row],[DEBE]]-tbal[[#This Row],[HABER]]&gt;0,tbal[[#This Row],[DEBE]]-tbal[[#This Row],[HABER]],0)</f>
        <v>0</v>
      </c>
      <c r="H416" s="18">
        <f>IF(tbal[[#This Row],[HABER]]-tbal[[#This Row],[DEBE]]&gt;0,tbal[[#This Row],[HABER]]-tbal[[#This Row],[DEBE]],0)</f>
        <v>0</v>
      </c>
      <c r="I416" s="16">
        <f>IF((OR(tbal[[#This Row],[X]]=1,tbal[[#This Row],[X]]=2)),tbal[[#This Row],[DEUDOR]],0)</f>
        <v>0</v>
      </c>
      <c r="J416" s="18">
        <f>IF((OR(tbal[[#This Row],[X]]=2,tbal[[#This Row],[X]]=3)),tbal[[#This Row],[ACREEDOR]],0)</f>
        <v>0</v>
      </c>
      <c r="K416" s="16">
        <f>IF((OR(tbal[[#This Row],[X]]=3,tbal[[#This Row],[X]]=5)),tbal[[#This Row],[DEUDOR]],0)</f>
        <v>0</v>
      </c>
      <c r="L416" s="18">
        <f>IF((OR(tbal[[#This Row],[X]]=3,tbal[[#This Row],[X]]=4)),tbal[[#This Row],[ACREEDOR]],0)</f>
        <v>0</v>
      </c>
      <c r="M416" s="16">
        <f>IF((OR(tbal[[#This Row],[X]]=0,tbal[[#This Row],[X]]=6)),tbal[[#This Row],[DEUDOR]],0)</f>
        <v>0</v>
      </c>
      <c r="N416" s="18">
        <f>IF((OR(tbal[[#This Row],[X]]=0,tbal[[#This Row],[X]]=5)),tbal[[#This Row],[ACREEDOR]],0)</f>
        <v>0</v>
      </c>
    </row>
    <row r="417" spans="1:14" hidden="1" x14ac:dyDescent="0.3">
      <c r="A417" s="14">
        <f>+'PLAN DE CUENTAS'!A417</f>
        <v>0</v>
      </c>
      <c r="B417" s="13">
        <f>+'PLAN DE CUENTAS'!B417</f>
        <v>0</v>
      </c>
      <c r="C417" s="13">
        <f>+'PLAN DE CUENTAS'!C417</f>
        <v>0</v>
      </c>
      <c r="D417" t="str">
        <f>IF(tbal[[#This Row],[DEBE]]+tbal[[#This Row],[HABER]]=0,"","X")</f>
        <v/>
      </c>
      <c r="E417" s="16">
        <f>SUMIF(tdiario[CUENTA],tbal[[#This Row],[CUENTA]],tdiario[DEBE])</f>
        <v>0</v>
      </c>
      <c r="F417" s="17">
        <f>SUMIF(tdiario[CUENTA],tbal[[#This Row],[CUENTA]],tdiario[HABER])</f>
        <v>0</v>
      </c>
      <c r="G417" s="16">
        <f>IF(tbal[[#This Row],[DEBE]]-tbal[[#This Row],[HABER]]&gt;0,tbal[[#This Row],[DEBE]]-tbal[[#This Row],[HABER]],0)</f>
        <v>0</v>
      </c>
      <c r="H417" s="18">
        <f>IF(tbal[[#This Row],[HABER]]-tbal[[#This Row],[DEBE]]&gt;0,tbal[[#This Row],[HABER]]-tbal[[#This Row],[DEBE]],0)</f>
        <v>0</v>
      </c>
      <c r="I417" s="16">
        <f>IF((OR(tbal[[#This Row],[X]]=1,tbal[[#This Row],[X]]=2)),tbal[[#This Row],[DEUDOR]],0)</f>
        <v>0</v>
      </c>
      <c r="J417" s="18">
        <f>IF((OR(tbal[[#This Row],[X]]=2,tbal[[#This Row],[X]]=3)),tbal[[#This Row],[ACREEDOR]],0)</f>
        <v>0</v>
      </c>
      <c r="K417" s="16">
        <f>IF((OR(tbal[[#This Row],[X]]=3,tbal[[#This Row],[X]]=5)),tbal[[#This Row],[DEUDOR]],0)</f>
        <v>0</v>
      </c>
      <c r="L417" s="18">
        <f>IF((OR(tbal[[#This Row],[X]]=3,tbal[[#This Row],[X]]=4)),tbal[[#This Row],[ACREEDOR]],0)</f>
        <v>0</v>
      </c>
      <c r="M417" s="16">
        <f>IF((OR(tbal[[#This Row],[X]]=0,tbal[[#This Row],[X]]=6)),tbal[[#This Row],[DEUDOR]],0)</f>
        <v>0</v>
      </c>
      <c r="N417" s="18">
        <f>IF((OR(tbal[[#This Row],[X]]=0,tbal[[#This Row],[X]]=5)),tbal[[#This Row],[ACREEDOR]],0)</f>
        <v>0</v>
      </c>
    </row>
    <row r="418" spans="1:14" hidden="1" x14ac:dyDescent="0.3">
      <c r="A418" s="14">
        <f>+'PLAN DE CUENTAS'!A418</f>
        <v>0</v>
      </c>
      <c r="B418" s="13">
        <f>+'PLAN DE CUENTAS'!B418</f>
        <v>0</v>
      </c>
      <c r="C418" s="13">
        <f>+'PLAN DE CUENTAS'!C418</f>
        <v>0</v>
      </c>
      <c r="D418" t="str">
        <f>IF(tbal[[#This Row],[DEBE]]+tbal[[#This Row],[HABER]]=0,"","X")</f>
        <v/>
      </c>
      <c r="E418" s="16">
        <f>SUMIF(tdiario[CUENTA],tbal[[#This Row],[CUENTA]],tdiario[DEBE])</f>
        <v>0</v>
      </c>
      <c r="F418" s="17">
        <f>SUMIF(tdiario[CUENTA],tbal[[#This Row],[CUENTA]],tdiario[HABER])</f>
        <v>0</v>
      </c>
      <c r="G418" s="16">
        <f>IF(tbal[[#This Row],[DEBE]]-tbal[[#This Row],[HABER]]&gt;0,tbal[[#This Row],[DEBE]]-tbal[[#This Row],[HABER]],0)</f>
        <v>0</v>
      </c>
      <c r="H418" s="18">
        <f>IF(tbal[[#This Row],[HABER]]-tbal[[#This Row],[DEBE]]&gt;0,tbal[[#This Row],[HABER]]-tbal[[#This Row],[DEBE]],0)</f>
        <v>0</v>
      </c>
      <c r="I418" s="16">
        <f>IF((OR(tbal[[#This Row],[X]]=1,tbal[[#This Row],[X]]=2)),tbal[[#This Row],[DEUDOR]],0)</f>
        <v>0</v>
      </c>
      <c r="J418" s="18">
        <f>IF((OR(tbal[[#This Row],[X]]=2,tbal[[#This Row],[X]]=3)),tbal[[#This Row],[ACREEDOR]],0)</f>
        <v>0</v>
      </c>
      <c r="K418" s="16">
        <f>IF((OR(tbal[[#This Row],[X]]=3,tbal[[#This Row],[X]]=5)),tbal[[#This Row],[DEUDOR]],0)</f>
        <v>0</v>
      </c>
      <c r="L418" s="18">
        <f>IF((OR(tbal[[#This Row],[X]]=3,tbal[[#This Row],[X]]=4)),tbal[[#This Row],[ACREEDOR]],0)</f>
        <v>0</v>
      </c>
      <c r="M418" s="16">
        <f>IF((OR(tbal[[#This Row],[X]]=0,tbal[[#This Row],[X]]=6)),tbal[[#This Row],[DEUDOR]],0)</f>
        <v>0</v>
      </c>
      <c r="N418" s="18">
        <f>IF((OR(tbal[[#This Row],[X]]=0,tbal[[#This Row],[X]]=5)),tbal[[#This Row],[ACREEDOR]],0)</f>
        <v>0</v>
      </c>
    </row>
    <row r="419" spans="1:14" hidden="1" x14ac:dyDescent="0.3">
      <c r="A419" s="14">
        <f>+'PLAN DE CUENTAS'!A419</f>
        <v>0</v>
      </c>
      <c r="B419" s="13">
        <f>+'PLAN DE CUENTAS'!B419</f>
        <v>0</v>
      </c>
      <c r="C419" s="13">
        <f>+'PLAN DE CUENTAS'!C419</f>
        <v>0</v>
      </c>
      <c r="D419" t="str">
        <f>IF(tbal[[#This Row],[DEBE]]+tbal[[#This Row],[HABER]]=0,"","X")</f>
        <v/>
      </c>
      <c r="E419" s="16">
        <f>SUMIF(tdiario[CUENTA],tbal[[#This Row],[CUENTA]],tdiario[DEBE])</f>
        <v>0</v>
      </c>
      <c r="F419" s="17">
        <f>SUMIF(tdiario[CUENTA],tbal[[#This Row],[CUENTA]],tdiario[HABER])</f>
        <v>0</v>
      </c>
      <c r="G419" s="16">
        <f>IF(tbal[[#This Row],[DEBE]]-tbal[[#This Row],[HABER]]&gt;0,tbal[[#This Row],[DEBE]]-tbal[[#This Row],[HABER]],0)</f>
        <v>0</v>
      </c>
      <c r="H419" s="18">
        <f>IF(tbal[[#This Row],[HABER]]-tbal[[#This Row],[DEBE]]&gt;0,tbal[[#This Row],[HABER]]-tbal[[#This Row],[DEBE]],0)</f>
        <v>0</v>
      </c>
      <c r="I419" s="16">
        <f>IF((OR(tbal[[#This Row],[X]]=1,tbal[[#This Row],[X]]=2)),tbal[[#This Row],[DEUDOR]],0)</f>
        <v>0</v>
      </c>
      <c r="J419" s="18">
        <f>IF((OR(tbal[[#This Row],[X]]=2,tbal[[#This Row],[X]]=3)),tbal[[#This Row],[ACREEDOR]],0)</f>
        <v>0</v>
      </c>
      <c r="K419" s="16">
        <f>IF((OR(tbal[[#This Row],[X]]=3,tbal[[#This Row],[X]]=5)),tbal[[#This Row],[DEUDOR]],0)</f>
        <v>0</v>
      </c>
      <c r="L419" s="18">
        <f>IF((OR(tbal[[#This Row],[X]]=3,tbal[[#This Row],[X]]=4)),tbal[[#This Row],[ACREEDOR]],0)</f>
        <v>0</v>
      </c>
      <c r="M419" s="16">
        <f>IF((OR(tbal[[#This Row],[X]]=0,tbal[[#This Row],[X]]=6)),tbal[[#This Row],[DEUDOR]],0)</f>
        <v>0</v>
      </c>
      <c r="N419" s="18">
        <f>IF((OR(tbal[[#This Row],[X]]=0,tbal[[#This Row],[X]]=5)),tbal[[#This Row],[ACREEDOR]],0)</f>
        <v>0</v>
      </c>
    </row>
    <row r="420" spans="1:14" hidden="1" x14ac:dyDescent="0.3">
      <c r="A420" s="14">
        <f>+'PLAN DE CUENTAS'!A420</f>
        <v>0</v>
      </c>
      <c r="B420" s="13">
        <f>+'PLAN DE CUENTAS'!B420</f>
        <v>0</v>
      </c>
      <c r="C420" s="13">
        <f>+'PLAN DE CUENTAS'!C420</f>
        <v>0</v>
      </c>
      <c r="D420" t="str">
        <f>IF(tbal[[#This Row],[DEBE]]+tbal[[#This Row],[HABER]]=0,"","X")</f>
        <v/>
      </c>
      <c r="E420" s="16">
        <f>SUMIF(tdiario[CUENTA],tbal[[#This Row],[CUENTA]],tdiario[DEBE])</f>
        <v>0</v>
      </c>
      <c r="F420" s="17">
        <f>SUMIF(tdiario[CUENTA],tbal[[#This Row],[CUENTA]],tdiario[HABER])</f>
        <v>0</v>
      </c>
      <c r="G420" s="16">
        <f>IF(tbal[[#This Row],[DEBE]]-tbal[[#This Row],[HABER]]&gt;0,tbal[[#This Row],[DEBE]]-tbal[[#This Row],[HABER]],0)</f>
        <v>0</v>
      </c>
      <c r="H420" s="18">
        <f>IF(tbal[[#This Row],[HABER]]-tbal[[#This Row],[DEBE]]&gt;0,tbal[[#This Row],[HABER]]-tbal[[#This Row],[DEBE]],0)</f>
        <v>0</v>
      </c>
      <c r="I420" s="16">
        <f>IF((OR(tbal[[#This Row],[X]]=1,tbal[[#This Row],[X]]=2)),tbal[[#This Row],[DEUDOR]],0)</f>
        <v>0</v>
      </c>
      <c r="J420" s="18">
        <f>IF((OR(tbal[[#This Row],[X]]=2,tbal[[#This Row],[X]]=3)),tbal[[#This Row],[ACREEDOR]],0)</f>
        <v>0</v>
      </c>
      <c r="K420" s="16">
        <f>IF((OR(tbal[[#This Row],[X]]=3,tbal[[#This Row],[X]]=5)),tbal[[#This Row],[DEUDOR]],0)</f>
        <v>0</v>
      </c>
      <c r="L420" s="18">
        <f>IF((OR(tbal[[#This Row],[X]]=3,tbal[[#This Row],[X]]=4)),tbal[[#This Row],[ACREEDOR]],0)</f>
        <v>0</v>
      </c>
      <c r="M420" s="16">
        <f>IF((OR(tbal[[#This Row],[X]]=0,tbal[[#This Row],[X]]=6)),tbal[[#This Row],[DEUDOR]],0)</f>
        <v>0</v>
      </c>
      <c r="N420" s="18">
        <f>IF((OR(tbal[[#This Row],[X]]=0,tbal[[#This Row],[X]]=5)),tbal[[#This Row],[ACREEDOR]],0)</f>
        <v>0</v>
      </c>
    </row>
    <row r="421" spans="1:14" hidden="1" x14ac:dyDescent="0.3">
      <c r="A421" s="14">
        <f>+'PLAN DE CUENTAS'!A421</f>
        <v>0</v>
      </c>
      <c r="B421" s="13">
        <f>+'PLAN DE CUENTAS'!B421</f>
        <v>0</v>
      </c>
      <c r="C421" s="13">
        <f>+'PLAN DE CUENTAS'!C421</f>
        <v>0</v>
      </c>
      <c r="D421" t="str">
        <f>IF(tbal[[#This Row],[DEBE]]+tbal[[#This Row],[HABER]]=0,"","X")</f>
        <v/>
      </c>
      <c r="E421" s="16">
        <f>SUMIF(tdiario[CUENTA],tbal[[#This Row],[CUENTA]],tdiario[DEBE])</f>
        <v>0</v>
      </c>
      <c r="F421" s="17">
        <f>SUMIF(tdiario[CUENTA],tbal[[#This Row],[CUENTA]],tdiario[HABER])</f>
        <v>0</v>
      </c>
      <c r="G421" s="16">
        <f>IF(tbal[[#This Row],[DEBE]]-tbal[[#This Row],[HABER]]&gt;0,tbal[[#This Row],[DEBE]]-tbal[[#This Row],[HABER]],0)</f>
        <v>0</v>
      </c>
      <c r="H421" s="18">
        <f>IF(tbal[[#This Row],[HABER]]-tbal[[#This Row],[DEBE]]&gt;0,tbal[[#This Row],[HABER]]-tbal[[#This Row],[DEBE]],0)</f>
        <v>0</v>
      </c>
      <c r="I421" s="16">
        <f>IF((OR(tbal[[#This Row],[X]]=1,tbal[[#This Row],[X]]=2)),tbal[[#This Row],[DEUDOR]],0)</f>
        <v>0</v>
      </c>
      <c r="J421" s="18">
        <f>IF((OR(tbal[[#This Row],[X]]=2,tbal[[#This Row],[X]]=3)),tbal[[#This Row],[ACREEDOR]],0)</f>
        <v>0</v>
      </c>
      <c r="K421" s="16">
        <f>IF((OR(tbal[[#This Row],[X]]=3,tbal[[#This Row],[X]]=5)),tbal[[#This Row],[DEUDOR]],0)</f>
        <v>0</v>
      </c>
      <c r="L421" s="18">
        <f>IF((OR(tbal[[#This Row],[X]]=3,tbal[[#This Row],[X]]=4)),tbal[[#This Row],[ACREEDOR]],0)</f>
        <v>0</v>
      </c>
      <c r="M421" s="16">
        <f>IF((OR(tbal[[#This Row],[X]]=0,tbal[[#This Row],[X]]=6)),tbal[[#This Row],[DEUDOR]],0)</f>
        <v>0</v>
      </c>
      <c r="N421" s="18">
        <f>IF((OR(tbal[[#This Row],[X]]=0,tbal[[#This Row],[X]]=5)),tbal[[#This Row],[ACREEDOR]],0)</f>
        <v>0</v>
      </c>
    </row>
    <row r="422" spans="1:14" hidden="1" x14ac:dyDescent="0.3">
      <c r="A422" s="14">
        <f>+'PLAN DE CUENTAS'!A422</f>
        <v>0</v>
      </c>
      <c r="B422" s="13">
        <f>+'PLAN DE CUENTAS'!B422</f>
        <v>0</v>
      </c>
      <c r="C422" s="13">
        <f>+'PLAN DE CUENTAS'!C422</f>
        <v>0</v>
      </c>
      <c r="D422" t="str">
        <f>IF(tbal[[#This Row],[DEBE]]+tbal[[#This Row],[HABER]]=0,"","X")</f>
        <v/>
      </c>
      <c r="E422" s="16">
        <f>SUMIF(tdiario[CUENTA],tbal[[#This Row],[CUENTA]],tdiario[DEBE])</f>
        <v>0</v>
      </c>
      <c r="F422" s="17">
        <f>SUMIF(tdiario[CUENTA],tbal[[#This Row],[CUENTA]],tdiario[HABER])</f>
        <v>0</v>
      </c>
      <c r="G422" s="16">
        <f>IF(tbal[[#This Row],[DEBE]]-tbal[[#This Row],[HABER]]&gt;0,tbal[[#This Row],[DEBE]]-tbal[[#This Row],[HABER]],0)</f>
        <v>0</v>
      </c>
      <c r="H422" s="18">
        <f>IF(tbal[[#This Row],[HABER]]-tbal[[#This Row],[DEBE]]&gt;0,tbal[[#This Row],[HABER]]-tbal[[#This Row],[DEBE]],0)</f>
        <v>0</v>
      </c>
      <c r="I422" s="16">
        <f>IF((OR(tbal[[#This Row],[X]]=1,tbal[[#This Row],[X]]=2)),tbal[[#This Row],[DEUDOR]],0)</f>
        <v>0</v>
      </c>
      <c r="J422" s="18">
        <f>IF((OR(tbal[[#This Row],[X]]=2,tbal[[#This Row],[X]]=3)),tbal[[#This Row],[ACREEDOR]],0)</f>
        <v>0</v>
      </c>
      <c r="K422" s="16">
        <f>IF((OR(tbal[[#This Row],[X]]=3,tbal[[#This Row],[X]]=5)),tbal[[#This Row],[DEUDOR]],0)</f>
        <v>0</v>
      </c>
      <c r="L422" s="18">
        <f>IF((OR(tbal[[#This Row],[X]]=3,tbal[[#This Row],[X]]=4)),tbal[[#This Row],[ACREEDOR]],0)</f>
        <v>0</v>
      </c>
      <c r="M422" s="16">
        <f>IF((OR(tbal[[#This Row],[X]]=0,tbal[[#This Row],[X]]=6)),tbal[[#This Row],[DEUDOR]],0)</f>
        <v>0</v>
      </c>
      <c r="N422" s="18">
        <f>IF((OR(tbal[[#This Row],[X]]=0,tbal[[#This Row],[X]]=5)),tbal[[#This Row],[ACREEDOR]],0)</f>
        <v>0</v>
      </c>
    </row>
    <row r="423" spans="1:14" hidden="1" x14ac:dyDescent="0.3">
      <c r="A423" s="14">
        <f>+'PLAN DE CUENTAS'!A423</f>
        <v>0</v>
      </c>
      <c r="B423" s="13">
        <f>+'PLAN DE CUENTAS'!B423</f>
        <v>0</v>
      </c>
      <c r="C423" s="13">
        <f>+'PLAN DE CUENTAS'!C423</f>
        <v>0</v>
      </c>
      <c r="D423" t="str">
        <f>IF(tbal[[#This Row],[DEBE]]+tbal[[#This Row],[HABER]]=0,"","X")</f>
        <v/>
      </c>
      <c r="E423" s="16">
        <f>SUMIF(tdiario[CUENTA],tbal[[#This Row],[CUENTA]],tdiario[DEBE])</f>
        <v>0</v>
      </c>
      <c r="F423" s="17">
        <f>SUMIF(tdiario[CUENTA],tbal[[#This Row],[CUENTA]],tdiario[HABER])</f>
        <v>0</v>
      </c>
      <c r="G423" s="16">
        <f>IF(tbal[[#This Row],[DEBE]]-tbal[[#This Row],[HABER]]&gt;0,tbal[[#This Row],[DEBE]]-tbal[[#This Row],[HABER]],0)</f>
        <v>0</v>
      </c>
      <c r="H423" s="18">
        <f>IF(tbal[[#This Row],[HABER]]-tbal[[#This Row],[DEBE]]&gt;0,tbal[[#This Row],[HABER]]-tbal[[#This Row],[DEBE]],0)</f>
        <v>0</v>
      </c>
      <c r="I423" s="16">
        <f>IF((OR(tbal[[#This Row],[X]]=1,tbal[[#This Row],[X]]=2)),tbal[[#This Row],[DEUDOR]],0)</f>
        <v>0</v>
      </c>
      <c r="J423" s="18">
        <f>IF((OR(tbal[[#This Row],[X]]=2,tbal[[#This Row],[X]]=3)),tbal[[#This Row],[ACREEDOR]],0)</f>
        <v>0</v>
      </c>
      <c r="K423" s="16">
        <f>IF((OR(tbal[[#This Row],[X]]=3,tbal[[#This Row],[X]]=5)),tbal[[#This Row],[DEUDOR]],0)</f>
        <v>0</v>
      </c>
      <c r="L423" s="18">
        <f>IF((OR(tbal[[#This Row],[X]]=3,tbal[[#This Row],[X]]=4)),tbal[[#This Row],[ACREEDOR]],0)</f>
        <v>0</v>
      </c>
      <c r="M423" s="16">
        <f>IF((OR(tbal[[#This Row],[X]]=0,tbal[[#This Row],[X]]=6)),tbal[[#This Row],[DEUDOR]],0)</f>
        <v>0</v>
      </c>
      <c r="N423" s="18">
        <f>IF((OR(tbal[[#This Row],[X]]=0,tbal[[#This Row],[X]]=5)),tbal[[#This Row],[ACREEDOR]],0)</f>
        <v>0</v>
      </c>
    </row>
    <row r="424" spans="1:14" hidden="1" x14ac:dyDescent="0.3">
      <c r="A424" s="14">
        <f>+'PLAN DE CUENTAS'!A424</f>
        <v>0</v>
      </c>
      <c r="B424" s="13">
        <f>+'PLAN DE CUENTAS'!B424</f>
        <v>0</v>
      </c>
      <c r="C424" s="13">
        <f>+'PLAN DE CUENTAS'!C424</f>
        <v>0</v>
      </c>
      <c r="D424" t="str">
        <f>IF(tbal[[#This Row],[DEBE]]+tbal[[#This Row],[HABER]]=0,"","X")</f>
        <v/>
      </c>
      <c r="E424" s="16">
        <f>SUMIF(tdiario[CUENTA],tbal[[#This Row],[CUENTA]],tdiario[DEBE])</f>
        <v>0</v>
      </c>
      <c r="F424" s="17">
        <f>SUMIF(tdiario[CUENTA],tbal[[#This Row],[CUENTA]],tdiario[HABER])</f>
        <v>0</v>
      </c>
      <c r="G424" s="16">
        <f>IF(tbal[[#This Row],[DEBE]]-tbal[[#This Row],[HABER]]&gt;0,tbal[[#This Row],[DEBE]]-tbal[[#This Row],[HABER]],0)</f>
        <v>0</v>
      </c>
      <c r="H424" s="18">
        <f>IF(tbal[[#This Row],[HABER]]-tbal[[#This Row],[DEBE]]&gt;0,tbal[[#This Row],[HABER]]-tbal[[#This Row],[DEBE]],0)</f>
        <v>0</v>
      </c>
      <c r="I424" s="16">
        <f>IF((OR(tbal[[#This Row],[X]]=1,tbal[[#This Row],[X]]=2)),tbal[[#This Row],[DEUDOR]],0)</f>
        <v>0</v>
      </c>
      <c r="J424" s="18">
        <f>IF((OR(tbal[[#This Row],[X]]=2,tbal[[#This Row],[X]]=3)),tbal[[#This Row],[ACREEDOR]],0)</f>
        <v>0</v>
      </c>
      <c r="K424" s="16">
        <f>IF((OR(tbal[[#This Row],[X]]=3,tbal[[#This Row],[X]]=5)),tbal[[#This Row],[DEUDOR]],0)</f>
        <v>0</v>
      </c>
      <c r="L424" s="18">
        <f>IF((OR(tbal[[#This Row],[X]]=3,tbal[[#This Row],[X]]=4)),tbal[[#This Row],[ACREEDOR]],0)</f>
        <v>0</v>
      </c>
      <c r="M424" s="16">
        <f>IF((OR(tbal[[#This Row],[X]]=0,tbal[[#This Row],[X]]=6)),tbal[[#This Row],[DEUDOR]],0)</f>
        <v>0</v>
      </c>
      <c r="N424" s="18">
        <f>IF((OR(tbal[[#This Row],[X]]=0,tbal[[#This Row],[X]]=5)),tbal[[#This Row],[ACREEDOR]],0)</f>
        <v>0</v>
      </c>
    </row>
    <row r="425" spans="1:14" hidden="1" x14ac:dyDescent="0.3">
      <c r="A425" s="14">
        <f>+'PLAN DE CUENTAS'!A425</f>
        <v>0</v>
      </c>
      <c r="B425" s="13">
        <f>+'PLAN DE CUENTAS'!B425</f>
        <v>0</v>
      </c>
      <c r="C425" s="13">
        <f>+'PLAN DE CUENTAS'!C425</f>
        <v>0</v>
      </c>
      <c r="D425" t="str">
        <f>IF(tbal[[#This Row],[DEBE]]+tbal[[#This Row],[HABER]]=0,"","X")</f>
        <v/>
      </c>
      <c r="E425" s="16">
        <f>SUMIF(tdiario[CUENTA],tbal[[#This Row],[CUENTA]],tdiario[DEBE])</f>
        <v>0</v>
      </c>
      <c r="F425" s="17">
        <f>SUMIF(tdiario[CUENTA],tbal[[#This Row],[CUENTA]],tdiario[HABER])</f>
        <v>0</v>
      </c>
      <c r="G425" s="16">
        <f>IF(tbal[[#This Row],[DEBE]]-tbal[[#This Row],[HABER]]&gt;0,tbal[[#This Row],[DEBE]]-tbal[[#This Row],[HABER]],0)</f>
        <v>0</v>
      </c>
      <c r="H425" s="18">
        <f>IF(tbal[[#This Row],[HABER]]-tbal[[#This Row],[DEBE]]&gt;0,tbal[[#This Row],[HABER]]-tbal[[#This Row],[DEBE]],0)</f>
        <v>0</v>
      </c>
      <c r="I425" s="16">
        <f>IF((OR(tbal[[#This Row],[X]]=1,tbal[[#This Row],[X]]=2)),tbal[[#This Row],[DEUDOR]],0)</f>
        <v>0</v>
      </c>
      <c r="J425" s="18">
        <f>IF((OR(tbal[[#This Row],[X]]=2,tbal[[#This Row],[X]]=3)),tbal[[#This Row],[ACREEDOR]],0)</f>
        <v>0</v>
      </c>
      <c r="K425" s="16">
        <f>IF((OR(tbal[[#This Row],[X]]=3,tbal[[#This Row],[X]]=5)),tbal[[#This Row],[DEUDOR]],0)</f>
        <v>0</v>
      </c>
      <c r="L425" s="18">
        <f>IF((OR(tbal[[#This Row],[X]]=3,tbal[[#This Row],[X]]=4)),tbal[[#This Row],[ACREEDOR]],0)</f>
        <v>0</v>
      </c>
      <c r="M425" s="16">
        <f>IF((OR(tbal[[#This Row],[X]]=0,tbal[[#This Row],[X]]=6)),tbal[[#This Row],[DEUDOR]],0)</f>
        <v>0</v>
      </c>
      <c r="N425" s="18">
        <f>IF((OR(tbal[[#This Row],[X]]=0,tbal[[#This Row],[X]]=5)),tbal[[#This Row],[ACREEDOR]],0)</f>
        <v>0</v>
      </c>
    </row>
    <row r="426" spans="1:14" hidden="1" x14ac:dyDescent="0.3">
      <c r="A426" s="14">
        <f>+'PLAN DE CUENTAS'!A426</f>
        <v>0</v>
      </c>
      <c r="B426" s="13">
        <f>+'PLAN DE CUENTAS'!B426</f>
        <v>0</v>
      </c>
      <c r="C426" s="13">
        <f>+'PLAN DE CUENTAS'!C426</f>
        <v>0</v>
      </c>
      <c r="D426" t="str">
        <f>IF(tbal[[#This Row],[DEBE]]+tbal[[#This Row],[HABER]]=0,"","X")</f>
        <v/>
      </c>
      <c r="E426" s="16">
        <f>SUMIF(tdiario[CUENTA],tbal[[#This Row],[CUENTA]],tdiario[DEBE])</f>
        <v>0</v>
      </c>
      <c r="F426" s="17">
        <f>SUMIF(tdiario[CUENTA],tbal[[#This Row],[CUENTA]],tdiario[HABER])</f>
        <v>0</v>
      </c>
      <c r="G426" s="16">
        <f>IF(tbal[[#This Row],[DEBE]]-tbal[[#This Row],[HABER]]&gt;0,tbal[[#This Row],[DEBE]]-tbal[[#This Row],[HABER]],0)</f>
        <v>0</v>
      </c>
      <c r="H426" s="18">
        <f>IF(tbal[[#This Row],[HABER]]-tbal[[#This Row],[DEBE]]&gt;0,tbal[[#This Row],[HABER]]-tbal[[#This Row],[DEBE]],0)</f>
        <v>0</v>
      </c>
      <c r="I426" s="16">
        <f>IF((OR(tbal[[#This Row],[X]]=1,tbal[[#This Row],[X]]=2)),tbal[[#This Row],[DEUDOR]],0)</f>
        <v>0</v>
      </c>
      <c r="J426" s="18">
        <f>IF((OR(tbal[[#This Row],[X]]=2,tbal[[#This Row],[X]]=3)),tbal[[#This Row],[ACREEDOR]],0)</f>
        <v>0</v>
      </c>
      <c r="K426" s="16">
        <f>IF((OR(tbal[[#This Row],[X]]=3,tbal[[#This Row],[X]]=5)),tbal[[#This Row],[DEUDOR]],0)</f>
        <v>0</v>
      </c>
      <c r="L426" s="18">
        <f>IF((OR(tbal[[#This Row],[X]]=3,tbal[[#This Row],[X]]=4)),tbal[[#This Row],[ACREEDOR]],0)</f>
        <v>0</v>
      </c>
      <c r="M426" s="16">
        <f>IF((OR(tbal[[#This Row],[X]]=0,tbal[[#This Row],[X]]=6)),tbal[[#This Row],[DEUDOR]],0)</f>
        <v>0</v>
      </c>
      <c r="N426" s="18">
        <f>IF((OR(tbal[[#This Row],[X]]=0,tbal[[#This Row],[X]]=5)),tbal[[#This Row],[ACREEDOR]],0)</f>
        <v>0</v>
      </c>
    </row>
    <row r="427" spans="1:14" hidden="1" x14ac:dyDescent="0.3">
      <c r="A427" s="14">
        <f>+'PLAN DE CUENTAS'!A427</f>
        <v>0</v>
      </c>
      <c r="B427" s="13">
        <f>+'PLAN DE CUENTAS'!B427</f>
        <v>0</v>
      </c>
      <c r="C427" s="13">
        <f>+'PLAN DE CUENTAS'!C427</f>
        <v>0</v>
      </c>
      <c r="D427" t="str">
        <f>IF(tbal[[#This Row],[DEBE]]+tbal[[#This Row],[HABER]]=0,"","X")</f>
        <v/>
      </c>
      <c r="E427" s="16">
        <f>SUMIF(tdiario[CUENTA],tbal[[#This Row],[CUENTA]],tdiario[DEBE])</f>
        <v>0</v>
      </c>
      <c r="F427" s="17">
        <f>SUMIF(tdiario[CUENTA],tbal[[#This Row],[CUENTA]],tdiario[HABER])</f>
        <v>0</v>
      </c>
      <c r="G427" s="16">
        <f>IF(tbal[[#This Row],[DEBE]]-tbal[[#This Row],[HABER]]&gt;0,tbal[[#This Row],[DEBE]]-tbal[[#This Row],[HABER]],0)</f>
        <v>0</v>
      </c>
      <c r="H427" s="18">
        <f>IF(tbal[[#This Row],[HABER]]-tbal[[#This Row],[DEBE]]&gt;0,tbal[[#This Row],[HABER]]-tbal[[#This Row],[DEBE]],0)</f>
        <v>0</v>
      </c>
      <c r="I427" s="16">
        <f>IF((OR(tbal[[#This Row],[X]]=1,tbal[[#This Row],[X]]=2)),tbal[[#This Row],[DEUDOR]],0)</f>
        <v>0</v>
      </c>
      <c r="J427" s="18">
        <f>IF((OR(tbal[[#This Row],[X]]=2,tbal[[#This Row],[X]]=3)),tbal[[#This Row],[ACREEDOR]],0)</f>
        <v>0</v>
      </c>
      <c r="K427" s="16">
        <f>IF((OR(tbal[[#This Row],[X]]=3,tbal[[#This Row],[X]]=5)),tbal[[#This Row],[DEUDOR]],0)</f>
        <v>0</v>
      </c>
      <c r="L427" s="18">
        <f>IF((OR(tbal[[#This Row],[X]]=3,tbal[[#This Row],[X]]=4)),tbal[[#This Row],[ACREEDOR]],0)</f>
        <v>0</v>
      </c>
      <c r="M427" s="16">
        <f>IF((OR(tbal[[#This Row],[X]]=0,tbal[[#This Row],[X]]=6)),tbal[[#This Row],[DEUDOR]],0)</f>
        <v>0</v>
      </c>
      <c r="N427" s="18">
        <f>IF((OR(tbal[[#This Row],[X]]=0,tbal[[#This Row],[X]]=5)),tbal[[#This Row],[ACREEDOR]],0)</f>
        <v>0</v>
      </c>
    </row>
    <row r="428" spans="1:14" hidden="1" x14ac:dyDescent="0.3">
      <c r="A428" s="14">
        <f>+'PLAN DE CUENTAS'!A428</f>
        <v>0</v>
      </c>
      <c r="B428" s="13">
        <f>+'PLAN DE CUENTAS'!B428</f>
        <v>0</v>
      </c>
      <c r="C428" s="13">
        <f>+'PLAN DE CUENTAS'!C428</f>
        <v>0</v>
      </c>
      <c r="D428" t="str">
        <f>IF(tbal[[#This Row],[DEBE]]+tbal[[#This Row],[HABER]]=0,"","X")</f>
        <v/>
      </c>
      <c r="E428" s="16">
        <f>SUMIF(tdiario[CUENTA],tbal[[#This Row],[CUENTA]],tdiario[DEBE])</f>
        <v>0</v>
      </c>
      <c r="F428" s="17">
        <f>SUMIF(tdiario[CUENTA],tbal[[#This Row],[CUENTA]],tdiario[HABER])</f>
        <v>0</v>
      </c>
      <c r="G428" s="16">
        <f>IF(tbal[[#This Row],[DEBE]]-tbal[[#This Row],[HABER]]&gt;0,tbal[[#This Row],[DEBE]]-tbal[[#This Row],[HABER]],0)</f>
        <v>0</v>
      </c>
      <c r="H428" s="18">
        <f>IF(tbal[[#This Row],[HABER]]-tbal[[#This Row],[DEBE]]&gt;0,tbal[[#This Row],[HABER]]-tbal[[#This Row],[DEBE]],0)</f>
        <v>0</v>
      </c>
      <c r="I428" s="16">
        <f>IF((OR(tbal[[#This Row],[X]]=1,tbal[[#This Row],[X]]=2)),tbal[[#This Row],[DEUDOR]],0)</f>
        <v>0</v>
      </c>
      <c r="J428" s="18">
        <f>IF((OR(tbal[[#This Row],[X]]=2,tbal[[#This Row],[X]]=3)),tbal[[#This Row],[ACREEDOR]],0)</f>
        <v>0</v>
      </c>
      <c r="K428" s="16">
        <f>IF((OR(tbal[[#This Row],[X]]=3,tbal[[#This Row],[X]]=5)),tbal[[#This Row],[DEUDOR]],0)</f>
        <v>0</v>
      </c>
      <c r="L428" s="18">
        <f>IF((OR(tbal[[#This Row],[X]]=3,tbal[[#This Row],[X]]=4)),tbal[[#This Row],[ACREEDOR]],0)</f>
        <v>0</v>
      </c>
      <c r="M428" s="16">
        <f>IF((OR(tbal[[#This Row],[X]]=0,tbal[[#This Row],[X]]=6)),tbal[[#This Row],[DEUDOR]],0)</f>
        <v>0</v>
      </c>
      <c r="N428" s="18">
        <f>IF((OR(tbal[[#This Row],[X]]=0,tbal[[#This Row],[X]]=5)),tbal[[#This Row],[ACREEDOR]],0)</f>
        <v>0</v>
      </c>
    </row>
    <row r="429" spans="1:14" hidden="1" x14ac:dyDescent="0.3">
      <c r="A429" s="14">
        <f>+'PLAN DE CUENTAS'!A429</f>
        <v>0</v>
      </c>
      <c r="B429" s="13">
        <f>+'PLAN DE CUENTAS'!B429</f>
        <v>0</v>
      </c>
      <c r="C429" s="13">
        <f>+'PLAN DE CUENTAS'!C429</f>
        <v>0</v>
      </c>
      <c r="D429" t="str">
        <f>IF(tbal[[#This Row],[DEBE]]+tbal[[#This Row],[HABER]]=0,"","X")</f>
        <v/>
      </c>
      <c r="E429" s="16">
        <f>SUMIF(tdiario[CUENTA],tbal[[#This Row],[CUENTA]],tdiario[DEBE])</f>
        <v>0</v>
      </c>
      <c r="F429" s="17">
        <f>SUMIF(tdiario[CUENTA],tbal[[#This Row],[CUENTA]],tdiario[HABER])</f>
        <v>0</v>
      </c>
      <c r="G429" s="16">
        <f>IF(tbal[[#This Row],[DEBE]]-tbal[[#This Row],[HABER]]&gt;0,tbal[[#This Row],[DEBE]]-tbal[[#This Row],[HABER]],0)</f>
        <v>0</v>
      </c>
      <c r="H429" s="18">
        <f>IF(tbal[[#This Row],[HABER]]-tbal[[#This Row],[DEBE]]&gt;0,tbal[[#This Row],[HABER]]-tbal[[#This Row],[DEBE]],0)</f>
        <v>0</v>
      </c>
      <c r="I429" s="16">
        <f>IF((OR(tbal[[#This Row],[X]]=1,tbal[[#This Row],[X]]=2)),tbal[[#This Row],[DEUDOR]],0)</f>
        <v>0</v>
      </c>
      <c r="J429" s="18">
        <f>IF((OR(tbal[[#This Row],[X]]=2,tbal[[#This Row],[X]]=3)),tbal[[#This Row],[ACREEDOR]],0)</f>
        <v>0</v>
      </c>
      <c r="K429" s="16">
        <f>IF((OR(tbal[[#This Row],[X]]=3,tbal[[#This Row],[X]]=5)),tbal[[#This Row],[DEUDOR]],0)</f>
        <v>0</v>
      </c>
      <c r="L429" s="18">
        <f>IF((OR(tbal[[#This Row],[X]]=3,tbal[[#This Row],[X]]=4)),tbal[[#This Row],[ACREEDOR]],0)</f>
        <v>0</v>
      </c>
      <c r="M429" s="16">
        <f>IF((OR(tbal[[#This Row],[X]]=0,tbal[[#This Row],[X]]=6)),tbal[[#This Row],[DEUDOR]],0)</f>
        <v>0</v>
      </c>
      <c r="N429" s="18">
        <f>IF((OR(tbal[[#This Row],[X]]=0,tbal[[#This Row],[X]]=5)),tbal[[#This Row],[ACREEDOR]],0)</f>
        <v>0</v>
      </c>
    </row>
    <row r="430" spans="1:14" hidden="1" x14ac:dyDescent="0.3">
      <c r="A430" s="14">
        <f>+'PLAN DE CUENTAS'!A430</f>
        <v>0</v>
      </c>
      <c r="B430" s="13">
        <f>+'PLAN DE CUENTAS'!B430</f>
        <v>0</v>
      </c>
      <c r="C430" s="13">
        <f>+'PLAN DE CUENTAS'!C430</f>
        <v>0</v>
      </c>
      <c r="D430" t="str">
        <f>IF(tbal[[#This Row],[DEBE]]+tbal[[#This Row],[HABER]]=0,"","X")</f>
        <v/>
      </c>
      <c r="E430" s="16">
        <f>SUMIF(tdiario[CUENTA],tbal[[#This Row],[CUENTA]],tdiario[DEBE])</f>
        <v>0</v>
      </c>
      <c r="F430" s="17">
        <f>SUMIF(tdiario[CUENTA],tbal[[#This Row],[CUENTA]],tdiario[HABER])</f>
        <v>0</v>
      </c>
      <c r="G430" s="16">
        <f>IF(tbal[[#This Row],[DEBE]]-tbal[[#This Row],[HABER]]&gt;0,tbal[[#This Row],[DEBE]]-tbal[[#This Row],[HABER]],0)</f>
        <v>0</v>
      </c>
      <c r="H430" s="18">
        <f>IF(tbal[[#This Row],[HABER]]-tbal[[#This Row],[DEBE]]&gt;0,tbal[[#This Row],[HABER]]-tbal[[#This Row],[DEBE]],0)</f>
        <v>0</v>
      </c>
      <c r="I430" s="16">
        <f>IF((OR(tbal[[#This Row],[X]]=1,tbal[[#This Row],[X]]=2)),tbal[[#This Row],[DEUDOR]],0)</f>
        <v>0</v>
      </c>
      <c r="J430" s="18">
        <f>IF((OR(tbal[[#This Row],[X]]=2,tbal[[#This Row],[X]]=3)),tbal[[#This Row],[ACREEDOR]],0)</f>
        <v>0</v>
      </c>
      <c r="K430" s="16">
        <f>IF((OR(tbal[[#This Row],[X]]=3,tbal[[#This Row],[X]]=5)),tbal[[#This Row],[DEUDOR]],0)</f>
        <v>0</v>
      </c>
      <c r="L430" s="18">
        <f>IF((OR(tbal[[#This Row],[X]]=3,tbal[[#This Row],[X]]=4)),tbal[[#This Row],[ACREEDOR]],0)</f>
        <v>0</v>
      </c>
      <c r="M430" s="16">
        <f>IF((OR(tbal[[#This Row],[X]]=0,tbal[[#This Row],[X]]=6)),tbal[[#This Row],[DEUDOR]],0)</f>
        <v>0</v>
      </c>
      <c r="N430" s="18">
        <f>IF((OR(tbal[[#This Row],[X]]=0,tbal[[#This Row],[X]]=5)),tbal[[#This Row],[ACREEDOR]],0)</f>
        <v>0</v>
      </c>
    </row>
    <row r="431" spans="1:14" hidden="1" x14ac:dyDescent="0.3">
      <c r="A431" s="14">
        <f>+'PLAN DE CUENTAS'!A431</f>
        <v>0</v>
      </c>
      <c r="B431" s="13">
        <f>+'PLAN DE CUENTAS'!B431</f>
        <v>0</v>
      </c>
      <c r="C431" s="13">
        <f>+'PLAN DE CUENTAS'!C431</f>
        <v>0</v>
      </c>
      <c r="D431" t="str">
        <f>IF(tbal[[#This Row],[DEBE]]+tbal[[#This Row],[HABER]]=0,"","X")</f>
        <v/>
      </c>
      <c r="E431" s="16">
        <f>SUMIF(tdiario[CUENTA],tbal[[#This Row],[CUENTA]],tdiario[DEBE])</f>
        <v>0</v>
      </c>
      <c r="F431" s="17">
        <f>SUMIF(tdiario[CUENTA],tbal[[#This Row],[CUENTA]],tdiario[HABER])</f>
        <v>0</v>
      </c>
      <c r="G431" s="16">
        <f>IF(tbal[[#This Row],[DEBE]]-tbal[[#This Row],[HABER]]&gt;0,tbal[[#This Row],[DEBE]]-tbal[[#This Row],[HABER]],0)</f>
        <v>0</v>
      </c>
      <c r="H431" s="18">
        <f>IF(tbal[[#This Row],[HABER]]-tbal[[#This Row],[DEBE]]&gt;0,tbal[[#This Row],[HABER]]-tbal[[#This Row],[DEBE]],0)</f>
        <v>0</v>
      </c>
      <c r="I431" s="16">
        <f>IF((OR(tbal[[#This Row],[X]]=1,tbal[[#This Row],[X]]=2)),tbal[[#This Row],[DEUDOR]],0)</f>
        <v>0</v>
      </c>
      <c r="J431" s="18">
        <f>IF((OR(tbal[[#This Row],[X]]=2,tbal[[#This Row],[X]]=3)),tbal[[#This Row],[ACREEDOR]],0)</f>
        <v>0</v>
      </c>
      <c r="K431" s="16">
        <f>IF((OR(tbal[[#This Row],[X]]=3,tbal[[#This Row],[X]]=5)),tbal[[#This Row],[DEUDOR]],0)</f>
        <v>0</v>
      </c>
      <c r="L431" s="18">
        <f>IF((OR(tbal[[#This Row],[X]]=3,tbal[[#This Row],[X]]=4)),tbal[[#This Row],[ACREEDOR]],0)</f>
        <v>0</v>
      </c>
      <c r="M431" s="16">
        <f>IF((OR(tbal[[#This Row],[X]]=0,tbal[[#This Row],[X]]=6)),tbal[[#This Row],[DEUDOR]],0)</f>
        <v>0</v>
      </c>
      <c r="N431" s="18">
        <f>IF((OR(tbal[[#This Row],[X]]=0,tbal[[#This Row],[X]]=5)),tbal[[#This Row],[ACREEDOR]],0)</f>
        <v>0</v>
      </c>
    </row>
    <row r="432" spans="1:14" hidden="1" x14ac:dyDescent="0.3">
      <c r="A432" s="14">
        <f>+'PLAN DE CUENTAS'!A432</f>
        <v>0</v>
      </c>
      <c r="B432" s="13">
        <f>+'PLAN DE CUENTAS'!B432</f>
        <v>0</v>
      </c>
      <c r="C432" s="13">
        <f>+'PLAN DE CUENTAS'!C432</f>
        <v>0</v>
      </c>
      <c r="D432" t="str">
        <f>IF(tbal[[#This Row],[DEBE]]+tbal[[#This Row],[HABER]]=0,"","X")</f>
        <v/>
      </c>
      <c r="E432" s="16">
        <f>SUMIF(tdiario[CUENTA],tbal[[#This Row],[CUENTA]],tdiario[DEBE])</f>
        <v>0</v>
      </c>
      <c r="F432" s="17">
        <f>SUMIF(tdiario[CUENTA],tbal[[#This Row],[CUENTA]],tdiario[HABER])</f>
        <v>0</v>
      </c>
      <c r="G432" s="16">
        <f>IF(tbal[[#This Row],[DEBE]]-tbal[[#This Row],[HABER]]&gt;0,tbal[[#This Row],[DEBE]]-tbal[[#This Row],[HABER]],0)</f>
        <v>0</v>
      </c>
      <c r="H432" s="18">
        <f>IF(tbal[[#This Row],[HABER]]-tbal[[#This Row],[DEBE]]&gt;0,tbal[[#This Row],[HABER]]-tbal[[#This Row],[DEBE]],0)</f>
        <v>0</v>
      </c>
      <c r="I432" s="16">
        <f>IF((OR(tbal[[#This Row],[X]]=1,tbal[[#This Row],[X]]=2)),tbal[[#This Row],[DEUDOR]],0)</f>
        <v>0</v>
      </c>
      <c r="J432" s="18">
        <f>IF((OR(tbal[[#This Row],[X]]=2,tbal[[#This Row],[X]]=3)),tbal[[#This Row],[ACREEDOR]],0)</f>
        <v>0</v>
      </c>
      <c r="K432" s="16">
        <f>IF((OR(tbal[[#This Row],[X]]=3,tbal[[#This Row],[X]]=5)),tbal[[#This Row],[DEUDOR]],0)</f>
        <v>0</v>
      </c>
      <c r="L432" s="18">
        <f>IF((OR(tbal[[#This Row],[X]]=3,tbal[[#This Row],[X]]=4)),tbal[[#This Row],[ACREEDOR]],0)</f>
        <v>0</v>
      </c>
      <c r="M432" s="16">
        <f>IF((OR(tbal[[#This Row],[X]]=0,tbal[[#This Row],[X]]=6)),tbal[[#This Row],[DEUDOR]],0)</f>
        <v>0</v>
      </c>
      <c r="N432" s="18">
        <f>IF((OR(tbal[[#This Row],[X]]=0,tbal[[#This Row],[X]]=5)),tbal[[#This Row],[ACREEDOR]],0)</f>
        <v>0</v>
      </c>
    </row>
    <row r="433" spans="1:14" hidden="1" x14ac:dyDescent="0.3">
      <c r="A433" s="14">
        <f>+'PLAN DE CUENTAS'!A433</f>
        <v>0</v>
      </c>
      <c r="B433" s="13">
        <f>+'PLAN DE CUENTAS'!B433</f>
        <v>0</v>
      </c>
      <c r="C433" s="13">
        <f>+'PLAN DE CUENTAS'!C433</f>
        <v>0</v>
      </c>
      <c r="D433" t="str">
        <f>IF(tbal[[#This Row],[DEBE]]+tbal[[#This Row],[HABER]]=0,"","X")</f>
        <v/>
      </c>
      <c r="E433" s="16">
        <f>SUMIF(tdiario[CUENTA],tbal[[#This Row],[CUENTA]],tdiario[DEBE])</f>
        <v>0</v>
      </c>
      <c r="F433" s="17">
        <f>SUMIF(tdiario[CUENTA],tbal[[#This Row],[CUENTA]],tdiario[HABER])</f>
        <v>0</v>
      </c>
      <c r="G433" s="16">
        <f>IF(tbal[[#This Row],[DEBE]]-tbal[[#This Row],[HABER]]&gt;0,tbal[[#This Row],[DEBE]]-tbal[[#This Row],[HABER]],0)</f>
        <v>0</v>
      </c>
      <c r="H433" s="18">
        <f>IF(tbal[[#This Row],[HABER]]-tbal[[#This Row],[DEBE]]&gt;0,tbal[[#This Row],[HABER]]-tbal[[#This Row],[DEBE]],0)</f>
        <v>0</v>
      </c>
      <c r="I433" s="16">
        <f>IF((OR(tbal[[#This Row],[X]]=1,tbal[[#This Row],[X]]=2)),tbal[[#This Row],[DEUDOR]],0)</f>
        <v>0</v>
      </c>
      <c r="J433" s="18">
        <f>IF((OR(tbal[[#This Row],[X]]=2,tbal[[#This Row],[X]]=3)),tbal[[#This Row],[ACREEDOR]],0)</f>
        <v>0</v>
      </c>
      <c r="K433" s="16">
        <f>IF((OR(tbal[[#This Row],[X]]=3,tbal[[#This Row],[X]]=5)),tbal[[#This Row],[DEUDOR]],0)</f>
        <v>0</v>
      </c>
      <c r="L433" s="18">
        <f>IF((OR(tbal[[#This Row],[X]]=3,tbal[[#This Row],[X]]=4)),tbal[[#This Row],[ACREEDOR]],0)</f>
        <v>0</v>
      </c>
      <c r="M433" s="16">
        <f>IF((OR(tbal[[#This Row],[X]]=0,tbal[[#This Row],[X]]=6)),tbal[[#This Row],[DEUDOR]],0)</f>
        <v>0</v>
      </c>
      <c r="N433" s="18">
        <f>IF((OR(tbal[[#This Row],[X]]=0,tbal[[#This Row],[X]]=5)),tbal[[#This Row],[ACREEDOR]],0)</f>
        <v>0</v>
      </c>
    </row>
    <row r="434" spans="1:14" hidden="1" x14ac:dyDescent="0.3">
      <c r="A434" s="14">
        <f>+'PLAN DE CUENTAS'!A434</f>
        <v>0</v>
      </c>
      <c r="B434" s="13">
        <f>+'PLAN DE CUENTAS'!B434</f>
        <v>0</v>
      </c>
      <c r="C434" s="13">
        <f>+'PLAN DE CUENTAS'!C434</f>
        <v>0</v>
      </c>
      <c r="D434" t="str">
        <f>IF(tbal[[#This Row],[DEBE]]+tbal[[#This Row],[HABER]]=0,"","X")</f>
        <v/>
      </c>
      <c r="E434" s="16">
        <f>SUMIF(tdiario[CUENTA],tbal[[#This Row],[CUENTA]],tdiario[DEBE])</f>
        <v>0</v>
      </c>
      <c r="F434" s="17">
        <f>SUMIF(tdiario[CUENTA],tbal[[#This Row],[CUENTA]],tdiario[HABER])</f>
        <v>0</v>
      </c>
      <c r="G434" s="16">
        <f>IF(tbal[[#This Row],[DEBE]]-tbal[[#This Row],[HABER]]&gt;0,tbal[[#This Row],[DEBE]]-tbal[[#This Row],[HABER]],0)</f>
        <v>0</v>
      </c>
      <c r="H434" s="18">
        <f>IF(tbal[[#This Row],[HABER]]-tbal[[#This Row],[DEBE]]&gt;0,tbal[[#This Row],[HABER]]-tbal[[#This Row],[DEBE]],0)</f>
        <v>0</v>
      </c>
      <c r="I434" s="16">
        <f>IF((OR(tbal[[#This Row],[X]]=1,tbal[[#This Row],[X]]=2)),tbal[[#This Row],[DEUDOR]],0)</f>
        <v>0</v>
      </c>
      <c r="J434" s="18">
        <f>IF((OR(tbal[[#This Row],[X]]=2,tbal[[#This Row],[X]]=3)),tbal[[#This Row],[ACREEDOR]],0)</f>
        <v>0</v>
      </c>
      <c r="K434" s="16">
        <f>IF((OR(tbal[[#This Row],[X]]=3,tbal[[#This Row],[X]]=5)),tbal[[#This Row],[DEUDOR]],0)</f>
        <v>0</v>
      </c>
      <c r="L434" s="18">
        <f>IF((OR(tbal[[#This Row],[X]]=3,tbal[[#This Row],[X]]=4)),tbal[[#This Row],[ACREEDOR]],0)</f>
        <v>0</v>
      </c>
      <c r="M434" s="16">
        <f>IF((OR(tbal[[#This Row],[X]]=0,tbal[[#This Row],[X]]=6)),tbal[[#This Row],[DEUDOR]],0)</f>
        <v>0</v>
      </c>
      <c r="N434" s="18">
        <f>IF((OR(tbal[[#This Row],[X]]=0,tbal[[#This Row],[X]]=5)),tbal[[#This Row],[ACREEDOR]],0)</f>
        <v>0</v>
      </c>
    </row>
    <row r="435" spans="1:14" hidden="1" x14ac:dyDescent="0.3">
      <c r="A435" s="14">
        <f>+'PLAN DE CUENTAS'!A435</f>
        <v>0</v>
      </c>
      <c r="B435" s="13">
        <f>+'PLAN DE CUENTAS'!B435</f>
        <v>0</v>
      </c>
      <c r="C435" s="13">
        <f>+'PLAN DE CUENTAS'!C435</f>
        <v>0</v>
      </c>
      <c r="D435" t="str">
        <f>IF(tbal[[#This Row],[DEBE]]+tbal[[#This Row],[HABER]]=0,"","X")</f>
        <v/>
      </c>
      <c r="E435" s="16">
        <f>SUMIF(tdiario[CUENTA],tbal[[#This Row],[CUENTA]],tdiario[DEBE])</f>
        <v>0</v>
      </c>
      <c r="F435" s="17">
        <f>SUMIF(tdiario[CUENTA],tbal[[#This Row],[CUENTA]],tdiario[HABER])</f>
        <v>0</v>
      </c>
      <c r="G435" s="16">
        <f>IF(tbal[[#This Row],[DEBE]]-tbal[[#This Row],[HABER]]&gt;0,tbal[[#This Row],[DEBE]]-tbal[[#This Row],[HABER]],0)</f>
        <v>0</v>
      </c>
      <c r="H435" s="18">
        <f>IF(tbal[[#This Row],[HABER]]-tbal[[#This Row],[DEBE]]&gt;0,tbal[[#This Row],[HABER]]-tbal[[#This Row],[DEBE]],0)</f>
        <v>0</v>
      </c>
      <c r="I435" s="16">
        <f>IF((OR(tbal[[#This Row],[X]]=1,tbal[[#This Row],[X]]=2)),tbal[[#This Row],[DEUDOR]],0)</f>
        <v>0</v>
      </c>
      <c r="J435" s="18">
        <f>IF((OR(tbal[[#This Row],[X]]=2,tbal[[#This Row],[X]]=3)),tbal[[#This Row],[ACREEDOR]],0)</f>
        <v>0</v>
      </c>
      <c r="K435" s="16">
        <f>IF((OR(tbal[[#This Row],[X]]=3,tbal[[#This Row],[X]]=5)),tbal[[#This Row],[DEUDOR]],0)</f>
        <v>0</v>
      </c>
      <c r="L435" s="18">
        <f>IF((OR(tbal[[#This Row],[X]]=3,tbal[[#This Row],[X]]=4)),tbal[[#This Row],[ACREEDOR]],0)</f>
        <v>0</v>
      </c>
      <c r="M435" s="16">
        <f>IF((OR(tbal[[#This Row],[X]]=0,tbal[[#This Row],[X]]=6)),tbal[[#This Row],[DEUDOR]],0)</f>
        <v>0</v>
      </c>
      <c r="N435" s="18">
        <f>IF((OR(tbal[[#This Row],[X]]=0,tbal[[#This Row],[X]]=5)),tbal[[#This Row],[ACREEDOR]],0)</f>
        <v>0</v>
      </c>
    </row>
    <row r="436" spans="1:14" hidden="1" x14ac:dyDescent="0.3">
      <c r="A436" s="14">
        <f>+'PLAN DE CUENTAS'!A436</f>
        <v>0</v>
      </c>
      <c r="B436" s="13">
        <f>+'PLAN DE CUENTAS'!B436</f>
        <v>0</v>
      </c>
      <c r="C436" s="13">
        <f>+'PLAN DE CUENTAS'!C436</f>
        <v>0</v>
      </c>
      <c r="D436" t="str">
        <f>IF(tbal[[#This Row],[DEBE]]+tbal[[#This Row],[HABER]]=0,"","X")</f>
        <v/>
      </c>
      <c r="E436" s="16">
        <f>SUMIF(tdiario[CUENTA],tbal[[#This Row],[CUENTA]],tdiario[DEBE])</f>
        <v>0</v>
      </c>
      <c r="F436" s="17">
        <f>SUMIF(tdiario[CUENTA],tbal[[#This Row],[CUENTA]],tdiario[HABER])</f>
        <v>0</v>
      </c>
      <c r="G436" s="16">
        <f>IF(tbal[[#This Row],[DEBE]]-tbal[[#This Row],[HABER]]&gt;0,tbal[[#This Row],[DEBE]]-tbal[[#This Row],[HABER]],0)</f>
        <v>0</v>
      </c>
      <c r="H436" s="18">
        <f>IF(tbal[[#This Row],[HABER]]-tbal[[#This Row],[DEBE]]&gt;0,tbal[[#This Row],[HABER]]-tbal[[#This Row],[DEBE]],0)</f>
        <v>0</v>
      </c>
      <c r="I436" s="16">
        <f>IF((OR(tbal[[#This Row],[X]]=1,tbal[[#This Row],[X]]=2)),tbal[[#This Row],[DEUDOR]],0)</f>
        <v>0</v>
      </c>
      <c r="J436" s="18">
        <f>IF((OR(tbal[[#This Row],[X]]=2,tbal[[#This Row],[X]]=3)),tbal[[#This Row],[ACREEDOR]],0)</f>
        <v>0</v>
      </c>
      <c r="K436" s="16">
        <f>IF((OR(tbal[[#This Row],[X]]=3,tbal[[#This Row],[X]]=5)),tbal[[#This Row],[DEUDOR]],0)</f>
        <v>0</v>
      </c>
      <c r="L436" s="18">
        <f>IF((OR(tbal[[#This Row],[X]]=3,tbal[[#This Row],[X]]=4)),tbal[[#This Row],[ACREEDOR]],0)</f>
        <v>0</v>
      </c>
      <c r="M436" s="16">
        <f>IF((OR(tbal[[#This Row],[X]]=0,tbal[[#This Row],[X]]=6)),tbal[[#This Row],[DEUDOR]],0)</f>
        <v>0</v>
      </c>
      <c r="N436" s="18">
        <f>IF((OR(tbal[[#This Row],[X]]=0,tbal[[#This Row],[X]]=5)),tbal[[#This Row],[ACREEDOR]],0)</f>
        <v>0</v>
      </c>
    </row>
    <row r="437" spans="1:14" hidden="1" x14ac:dyDescent="0.3">
      <c r="A437" s="14">
        <f>+'PLAN DE CUENTAS'!A437</f>
        <v>0</v>
      </c>
      <c r="B437" s="13">
        <f>+'PLAN DE CUENTAS'!B437</f>
        <v>0</v>
      </c>
      <c r="C437" s="13">
        <f>+'PLAN DE CUENTAS'!C437</f>
        <v>0</v>
      </c>
      <c r="D437" t="str">
        <f>IF(tbal[[#This Row],[DEBE]]+tbal[[#This Row],[HABER]]=0,"","X")</f>
        <v/>
      </c>
      <c r="E437" s="16">
        <f>SUMIF(tdiario[CUENTA],tbal[[#This Row],[CUENTA]],tdiario[DEBE])</f>
        <v>0</v>
      </c>
      <c r="F437" s="17">
        <f>SUMIF(tdiario[CUENTA],tbal[[#This Row],[CUENTA]],tdiario[HABER])</f>
        <v>0</v>
      </c>
      <c r="G437" s="16">
        <f>IF(tbal[[#This Row],[DEBE]]-tbal[[#This Row],[HABER]]&gt;0,tbal[[#This Row],[DEBE]]-tbal[[#This Row],[HABER]],0)</f>
        <v>0</v>
      </c>
      <c r="H437" s="18">
        <f>IF(tbal[[#This Row],[HABER]]-tbal[[#This Row],[DEBE]]&gt;0,tbal[[#This Row],[HABER]]-tbal[[#This Row],[DEBE]],0)</f>
        <v>0</v>
      </c>
      <c r="I437" s="16">
        <f>IF((OR(tbal[[#This Row],[X]]=1,tbal[[#This Row],[X]]=2)),tbal[[#This Row],[DEUDOR]],0)</f>
        <v>0</v>
      </c>
      <c r="J437" s="18">
        <f>IF((OR(tbal[[#This Row],[X]]=2,tbal[[#This Row],[X]]=3)),tbal[[#This Row],[ACREEDOR]],0)</f>
        <v>0</v>
      </c>
      <c r="K437" s="16">
        <f>IF((OR(tbal[[#This Row],[X]]=3,tbal[[#This Row],[X]]=5)),tbal[[#This Row],[DEUDOR]],0)</f>
        <v>0</v>
      </c>
      <c r="L437" s="18">
        <f>IF((OR(tbal[[#This Row],[X]]=3,tbal[[#This Row],[X]]=4)),tbal[[#This Row],[ACREEDOR]],0)</f>
        <v>0</v>
      </c>
      <c r="M437" s="16">
        <f>IF((OR(tbal[[#This Row],[X]]=0,tbal[[#This Row],[X]]=6)),tbal[[#This Row],[DEUDOR]],0)</f>
        <v>0</v>
      </c>
      <c r="N437" s="18">
        <f>IF((OR(tbal[[#This Row],[X]]=0,tbal[[#This Row],[X]]=5)),tbal[[#This Row],[ACREEDOR]],0)</f>
        <v>0</v>
      </c>
    </row>
    <row r="438" spans="1:14" hidden="1" x14ac:dyDescent="0.3">
      <c r="A438" s="14">
        <f>+'PLAN DE CUENTAS'!A438</f>
        <v>0</v>
      </c>
      <c r="B438" s="13">
        <f>+'PLAN DE CUENTAS'!B438</f>
        <v>0</v>
      </c>
      <c r="C438" s="13">
        <f>+'PLAN DE CUENTAS'!C438</f>
        <v>0</v>
      </c>
      <c r="D438" t="str">
        <f>IF(tbal[[#This Row],[DEBE]]+tbal[[#This Row],[HABER]]=0,"","X")</f>
        <v/>
      </c>
      <c r="E438" s="16">
        <f>SUMIF(tdiario[CUENTA],tbal[[#This Row],[CUENTA]],tdiario[DEBE])</f>
        <v>0</v>
      </c>
      <c r="F438" s="17">
        <f>SUMIF(tdiario[CUENTA],tbal[[#This Row],[CUENTA]],tdiario[HABER])</f>
        <v>0</v>
      </c>
      <c r="G438" s="16">
        <f>IF(tbal[[#This Row],[DEBE]]-tbal[[#This Row],[HABER]]&gt;0,tbal[[#This Row],[DEBE]]-tbal[[#This Row],[HABER]],0)</f>
        <v>0</v>
      </c>
      <c r="H438" s="18">
        <f>IF(tbal[[#This Row],[HABER]]-tbal[[#This Row],[DEBE]]&gt;0,tbal[[#This Row],[HABER]]-tbal[[#This Row],[DEBE]],0)</f>
        <v>0</v>
      </c>
      <c r="I438" s="16">
        <f>IF((OR(tbal[[#This Row],[X]]=1,tbal[[#This Row],[X]]=2)),tbal[[#This Row],[DEUDOR]],0)</f>
        <v>0</v>
      </c>
      <c r="J438" s="18">
        <f>IF((OR(tbal[[#This Row],[X]]=2,tbal[[#This Row],[X]]=3)),tbal[[#This Row],[ACREEDOR]],0)</f>
        <v>0</v>
      </c>
      <c r="K438" s="16">
        <f>IF((OR(tbal[[#This Row],[X]]=3,tbal[[#This Row],[X]]=5)),tbal[[#This Row],[DEUDOR]],0)</f>
        <v>0</v>
      </c>
      <c r="L438" s="18">
        <f>IF((OR(tbal[[#This Row],[X]]=3,tbal[[#This Row],[X]]=4)),tbal[[#This Row],[ACREEDOR]],0)</f>
        <v>0</v>
      </c>
      <c r="M438" s="16">
        <f>IF((OR(tbal[[#This Row],[X]]=0,tbal[[#This Row],[X]]=6)),tbal[[#This Row],[DEUDOR]],0)</f>
        <v>0</v>
      </c>
      <c r="N438" s="18">
        <f>IF((OR(tbal[[#This Row],[X]]=0,tbal[[#This Row],[X]]=5)),tbal[[#This Row],[ACREEDOR]],0)</f>
        <v>0</v>
      </c>
    </row>
    <row r="439" spans="1:14" hidden="1" x14ac:dyDescent="0.3">
      <c r="A439" s="14">
        <f>+'PLAN DE CUENTAS'!A439</f>
        <v>0</v>
      </c>
      <c r="B439" s="13">
        <f>+'PLAN DE CUENTAS'!B439</f>
        <v>0</v>
      </c>
      <c r="C439" s="13">
        <f>+'PLAN DE CUENTAS'!C439</f>
        <v>0</v>
      </c>
      <c r="D439" t="str">
        <f>IF(tbal[[#This Row],[DEBE]]+tbal[[#This Row],[HABER]]=0,"","X")</f>
        <v/>
      </c>
      <c r="E439" s="16">
        <f>SUMIF(tdiario[CUENTA],tbal[[#This Row],[CUENTA]],tdiario[DEBE])</f>
        <v>0</v>
      </c>
      <c r="F439" s="17">
        <f>SUMIF(tdiario[CUENTA],tbal[[#This Row],[CUENTA]],tdiario[HABER])</f>
        <v>0</v>
      </c>
      <c r="G439" s="16">
        <f>IF(tbal[[#This Row],[DEBE]]-tbal[[#This Row],[HABER]]&gt;0,tbal[[#This Row],[DEBE]]-tbal[[#This Row],[HABER]],0)</f>
        <v>0</v>
      </c>
      <c r="H439" s="18">
        <f>IF(tbal[[#This Row],[HABER]]-tbal[[#This Row],[DEBE]]&gt;0,tbal[[#This Row],[HABER]]-tbal[[#This Row],[DEBE]],0)</f>
        <v>0</v>
      </c>
      <c r="I439" s="16">
        <f>IF((OR(tbal[[#This Row],[X]]=1,tbal[[#This Row],[X]]=2)),tbal[[#This Row],[DEUDOR]],0)</f>
        <v>0</v>
      </c>
      <c r="J439" s="18">
        <f>IF((OR(tbal[[#This Row],[X]]=2,tbal[[#This Row],[X]]=3)),tbal[[#This Row],[ACREEDOR]],0)</f>
        <v>0</v>
      </c>
      <c r="K439" s="16">
        <f>IF((OR(tbal[[#This Row],[X]]=3,tbal[[#This Row],[X]]=5)),tbal[[#This Row],[DEUDOR]],0)</f>
        <v>0</v>
      </c>
      <c r="L439" s="18">
        <f>IF((OR(tbal[[#This Row],[X]]=3,tbal[[#This Row],[X]]=4)),tbal[[#This Row],[ACREEDOR]],0)</f>
        <v>0</v>
      </c>
      <c r="M439" s="16">
        <f>IF((OR(tbal[[#This Row],[X]]=0,tbal[[#This Row],[X]]=6)),tbal[[#This Row],[DEUDOR]],0)</f>
        <v>0</v>
      </c>
      <c r="N439" s="18">
        <f>IF((OR(tbal[[#This Row],[X]]=0,tbal[[#This Row],[X]]=5)),tbal[[#This Row],[ACREEDOR]],0)</f>
        <v>0</v>
      </c>
    </row>
    <row r="440" spans="1:14" hidden="1" x14ac:dyDescent="0.3">
      <c r="A440" s="14">
        <f>+'PLAN DE CUENTAS'!A440</f>
        <v>0</v>
      </c>
      <c r="B440" s="13">
        <f>+'PLAN DE CUENTAS'!B440</f>
        <v>0</v>
      </c>
      <c r="C440" s="13">
        <f>+'PLAN DE CUENTAS'!C440</f>
        <v>0</v>
      </c>
      <c r="D440" t="str">
        <f>IF(tbal[[#This Row],[DEBE]]+tbal[[#This Row],[HABER]]=0,"","X")</f>
        <v/>
      </c>
      <c r="E440" s="16">
        <f>SUMIF(tdiario[CUENTA],tbal[[#This Row],[CUENTA]],tdiario[DEBE])</f>
        <v>0</v>
      </c>
      <c r="F440" s="17">
        <f>SUMIF(tdiario[CUENTA],tbal[[#This Row],[CUENTA]],tdiario[HABER])</f>
        <v>0</v>
      </c>
      <c r="G440" s="16">
        <f>IF(tbal[[#This Row],[DEBE]]-tbal[[#This Row],[HABER]]&gt;0,tbal[[#This Row],[DEBE]]-tbal[[#This Row],[HABER]],0)</f>
        <v>0</v>
      </c>
      <c r="H440" s="18">
        <f>IF(tbal[[#This Row],[HABER]]-tbal[[#This Row],[DEBE]]&gt;0,tbal[[#This Row],[HABER]]-tbal[[#This Row],[DEBE]],0)</f>
        <v>0</v>
      </c>
      <c r="I440" s="16">
        <f>IF((OR(tbal[[#This Row],[X]]=1,tbal[[#This Row],[X]]=2)),tbal[[#This Row],[DEUDOR]],0)</f>
        <v>0</v>
      </c>
      <c r="J440" s="18">
        <f>IF((OR(tbal[[#This Row],[X]]=2,tbal[[#This Row],[X]]=3)),tbal[[#This Row],[ACREEDOR]],0)</f>
        <v>0</v>
      </c>
      <c r="K440" s="16">
        <f>IF((OR(tbal[[#This Row],[X]]=3,tbal[[#This Row],[X]]=5)),tbal[[#This Row],[DEUDOR]],0)</f>
        <v>0</v>
      </c>
      <c r="L440" s="18">
        <f>IF((OR(tbal[[#This Row],[X]]=3,tbal[[#This Row],[X]]=4)),tbal[[#This Row],[ACREEDOR]],0)</f>
        <v>0</v>
      </c>
      <c r="M440" s="16">
        <f>IF((OR(tbal[[#This Row],[X]]=0,tbal[[#This Row],[X]]=6)),tbal[[#This Row],[DEUDOR]],0)</f>
        <v>0</v>
      </c>
      <c r="N440" s="18">
        <f>IF((OR(tbal[[#This Row],[X]]=0,tbal[[#This Row],[X]]=5)),tbal[[#This Row],[ACREEDOR]],0)</f>
        <v>0</v>
      </c>
    </row>
    <row r="441" spans="1:14" hidden="1" x14ac:dyDescent="0.3">
      <c r="A441" s="14">
        <f>+'PLAN DE CUENTAS'!A441</f>
        <v>0</v>
      </c>
      <c r="B441" s="13">
        <f>+'PLAN DE CUENTAS'!B441</f>
        <v>0</v>
      </c>
      <c r="C441" s="13">
        <f>+'PLAN DE CUENTAS'!C441</f>
        <v>0</v>
      </c>
      <c r="D441" t="str">
        <f>IF(tbal[[#This Row],[DEBE]]+tbal[[#This Row],[HABER]]=0,"","X")</f>
        <v/>
      </c>
      <c r="E441" s="16">
        <f>SUMIF(tdiario[CUENTA],tbal[[#This Row],[CUENTA]],tdiario[DEBE])</f>
        <v>0</v>
      </c>
      <c r="F441" s="17">
        <f>SUMIF(tdiario[CUENTA],tbal[[#This Row],[CUENTA]],tdiario[HABER])</f>
        <v>0</v>
      </c>
      <c r="G441" s="16">
        <f>IF(tbal[[#This Row],[DEBE]]-tbal[[#This Row],[HABER]]&gt;0,tbal[[#This Row],[DEBE]]-tbal[[#This Row],[HABER]],0)</f>
        <v>0</v>
      </c>
      <c r="H441" s="18">
        <f>IF(tbal[[#This Row],[HABER]]-tbal[[#This Row],[DEBE]]&gt;0,tbal[[#This Row],[HABER]]-tbal[[#This Row],[DEBE]],0)</f>
        <v>0</v>
      </c>
      <c r="I441" s="16">
        <f>IF((OR(tbal[[#This Row],[X]]=1,tbal[[#This Row],[X]]=2)),tbal[[#This Row],[DEUDOR]],0)</f>
        <v>0</v>
      </c>
      <c r="J441" s="18">
        <f>IF((OR(tbal[[#This Row],[X]]=2,tbal[[#This Row],[X]]=3)),tbal[[#This Row],[ACREEDOR]],0)</f>
        <v>0</v>
      </c>
      <c r="K441" s="16">
        <f>IF((OR(tbal[[#This Row],[X]]=3,tbal[[#This Row],[X]]=5)),tbal[[#This Row],[DEUDOR]],0)</f>
        <v>0</v>
      </c>
      <c r="L441" s="18">
        <f>IF((OR(tbal[[#This Row],[X]]=3,tbal[[#This Row],[X]]=4)),tbal[[#This Row],[ACREEDOR]],0)</f>
        <v>0</v>
      </c>
      <c r="M441" s="16">
        <f>IF((OR(tbal[[#This Row],[X]]=0,tbal[[#This Row],[X]]=6)),tbal[[#This Row],[DEUDOR]],0)</f>
        <v>0</v>
      </c>
      <c r="N441" s="18">
        <f>IF((OR(tbal[[#This Row],[X]]=0,tbal[[#This Row],[X]]=5)),tbal[[#This Row],[ACREEDOR]],0)</f>
        <v>0</v>
      </c>
    </row>
    <row r="442" spans="1:14" hidden="1" x14ac:dyDescent="0.3">
      <c r="A442" s="14">
        <f>+'PLAN DE CUENTAS'!A442</f>
        <v>0</v>
      </c>
      <c r="B442" s="13">
        <f>+'PLAN DE CUENTAS'!B442</f>
        <v>0</v>
      </c>
      <c r="C442" s="13">
        <f>+'PLAN DE CUENTAS'!C442</f>
        <v>0</v>
      </c>
      <c r="D442" t="str">
        <f>IF(tbal[[#This Row],[DEBE]]+tbal[[#This Row],[HABER]]=0,"","X")</f>
        <v/>
      </c>
      <c r="E442" s="16">
        <f>SUMIF(tdiario[CUENTA],tbal[[#This Row],[CUENTA]],tdiario[DEBE])</f>
        <v>0</v>
      </c>
      <c r="F442" s="17">
        <f>SUMIF(tdiario[CUENTA],tbal[[#This Row],[CUENTA]],tdiario[HABER])</f>
        <v>0</v>
      </c>
      <c r="G442" s="16">
        <f>IF(tbal[[#This Row],[DEBE]]-tbal[[#This Row],[HABER]]&gt;0,tbal[[#This Row],[DEBE]]-tbal[[#This Row],[HABER]],0)</f>
        <v>0</v>
      </c>
      <c r="H442" s="18">
        <f>IF(tbal[[#This Row],[HABER]]-tbal[[#This Row],[DEBE]]&gt;0,tbal[[#This Row],[HABER]]-tbal[[#This Row],[DEBE]],0)</f>
        <v>0</v>
      </c>
      <c r="I442" s="16">
        <f>IF((OR(tbal[[#This Row],[X]]=1,tbal[[#This Row],[X]]=2)),tbal[[#This Row],[DEUDOR]],0)</f>
        <v>0</v>
      </c>
      <c r="J442" s="18">
        <f>IF((OR(tbal[[#This Row],[X]]=2,tbal[[#This Row],[X]]=3)),tbal[[#This Row],[ACREEDOR]],0)</f>
        <v>0</v>
      </c>
      <c r="K442" s="16">
        <f>IF((OR(tbal[[#This Row],[X]]=3,tbal[[#This Row],[X]]=5)),tbal[[#This Row],[DEUDOR]],0)</f>
        <v>0</v>
      </c>
      <c r="L442" s="18">
        <f>IF((OR(tbal[[#This Row],[X]]=3,tbal[[#This Row],[X]]=4)),tbal[[#This Row],[ACREEDOR]],0)</f>
        <v>0</v>
      </c>
      <c r="M442" s="16">
        <f>IF((OR(tbal[[#This Row],[X]]=0,tbal[[#This Row],[X]]=6)),tbal[[#This Row],[DEUDOR]],0)</f>
        <v>0</v>
      </c>
      <c r="N442" s="18">
        <f>IF((OR(tbal[[#This Row],[X]]=0,tbal[[#This Row],[X]]=5)),tbal[[#This Row],[ACREEDOR]],0)</f>
        <v>0</v>
      </c>
    </row>
    <row r="443" spans="1:14" hidden="1" x14ac:dyDescent="0.3">
      <c r="A443" s="14">
        <f>+'PLAN DE CUENTAS'!A443</f>
        <v>0</v>
      </c>
      <c r="B443" s="13">
        <f>+'PLAN DE CUENTAS'!B443</f>
        <v>0</v>
      </c>
      <c r="C443" s="13">
        <f>+'PLAN DE CUENTAS'!C443</f>
        <v>0</v>
      </c>
      <c r="D443" t="str">
        <f>IF(tbal[[#This Row],[DEBE]]+tbal[[#This Row],[HABER]]=0,"","X")</f>
        <v/>
      </c>
      <c r="E443" s="16">
        <f>SUMIF(tdiario[CUENTA],tbal[[#This Row],[CUENTA]],tdiario[DEBE])</f>
        <v>0</v>
      </c>
      <c r="F443" s="17">
        <f>SUMIF(tdiario[CUENTA],tbal[[#This Row],[CUENTA]],tdiario[HABER])</f>
        <v>0</v>
      </c>
      <c r="G443" s="16">
        <f>IF(tbal[[#This Row],[DEBE]]-tbal[[#This Row],[HABER]]&gt;0,tbal[[#This Row],[DEBE]]-tbal[[#This Row],[HABER]],0)</f>
        <v>0</v>
      </c>
      <c r="H443" s="18">
        <f>IF(tbal[[#This Row],[HABER]]-tbal[[#This Row],[DEBE]]&gt;0,tbal[[#This Row],[HABER]]-tbal[[#This Row],[DEBE]],0)</f>
        <v>0</v>
      </c>
      <c r="I443" s="16">
        <f>IF((OR(tbal[[#This Row],[X]]=1,tbal[[#This Row],[X]]=2)),tbal[[#This Row],[DEUDOR]],0)</f>
        <v>0</v>
      </c>
      <c r="J443" s="18">
        <f>IF((OR(tbal[[#This Row],[X]]=2,tbal[[#This Row],[X]]=3)),tbal[[#This Row],[ACREEDOR]],0)</f>
        <v>0</v>
      </c>
      <c r="K443" s="16">
        <f>IF((OR(tbal[[#This Row],[X]]=3,tbal[[#This Row],[X]]=5)),tbal[[#This Row],[DEUDOR]],0)</f>
        <v>0</v>
      </c>
      <c r="L443" s="18">
        <f>IF((OR(tbal[[#This Row],[X]]=3,tbal[[#This Row],[X]]=4)),tbal[[#This Row],[ACREEDOR]],0)</f>
        <v>0</v>
      </c>
      <c r="M443" s="16">
        <f>IF((OR(tbal[[#This Row],[X]]=0,tbal[[#This Row],[X]]=6)),tbal[[#This Row],[DEUDOR]],0)</f>
        <v>0</v>
      </c>
      <c r="N443" s="18">
        <f>IF((OR(tbal[[#This Row],[X]]=0,tbal[[#This Row],[X]]=5)),tbal[[#This Row],[ACREEDOR]],0)</f>
        <v>0</v>
      </c>
    </row>
    <row r="444" spans="1:14" hidden="1" x14ac:dyDescent="0.3">
      <c r="A444" s="14">
        <f>+'PLAN DE CUENTAS'!A444</f>
        <v>0</v>
      </c>
      <c r="B444" s="13">
        <f>+'PLAN DE CUENTAS'!B444</f>
        <v>0</v>
      </c>
      <c r="C444" s="13">
        <f>+'PLAN DE CUENTAS'!C444</f>
        <v>0</v>
      </c>
      <c r="D444" t="str">
        <f>IF(tbal[[#This Row],[DEBE]]+tbal[[#This Row],[HABER]]=0,"","X")</f>
        <v/>
      </c>
      <c r="E444" s="16">
        <f>SUMIF(tdiario[CUENTA],tbal[[#This Row],[CUENTA]],tdiario[DEBE])</f>
        <v>0</v>
      </c>
      <c r="F444" s="17">
        <f>SUMIF(tdiario[CUENTA],tbal[[#This Row],[CUENTA]],tdiario[HABER])</f>
        <v>0</v>
      </c>
      <c r="G444" s="16">
        <f>IF(tbal[[#This Row],[DEBE]]-tbal[[#This Row],[HABER]]&gt;0,tbal[[#This Row],[DEBE]]-tbal[[#This Row],[HABER]],0)</f>
        <v>0</v>
      </c>
      <c r="H444" s="18">
        <f>IF(tbal[[#This Row],[HABER]]-tbal[[#This Row],[DEBE]]&gt;0,tbal[[#This Row],[HABER]]-tbal[[#This Row],[DEBE]],0)</f>
        <v>0</v>
      </c>
      <c r="I444" s="16">
        <f>IF((OR(tbal[[#This Row],[X]]=1,tbal[[#This Row],[X]]=2)),tbal[[#This Row],[DEUDOR]],0)</f>
        <v>0</v>
      </c>
      <c r="J444" s="18">
        <f>IF((OR(tbal[[#This Row],[X]]=2,tbal[[#This Row],[X]]=3)),tbal[[#This Row],[ACREEDOR]],0)</f>
        <v>0</v>
      </c>
      <c r="K444" s="16">
        <f>IF((OR(tbal[[#This Row],[X]]=3,tbal[[#This Row],[X]]=5)),tbal[[#This Row],[DEUDOR]],0)</f>
        <v>0</v>
      </c>
      <c r="L444" s="18">
        <f>IF((OR(tbal[[#This Row],[X]]=3,tbal[[#This Row],[X]]=4)),tbal[[#This Row],[ACREEDOR]],0)</f>
        <v>0</v>
      </c>
      <c r="M444" s="16">
        <f>IF((OR(tbal[[#This Row],[X]]=0,tbal[[#This Row],[X]]=6)),tbal[[#This Row],[DEUDOR]],0)</f>
        <v>0</v>
      </c>
      <c r="N444" s="18">
        <f>IF((OR(tbal[[#This Row],[X]]=0,tbal[[#This Row],[X]]=5)),tbal[[#This Row],[ACREEDOR]],0)</f>
        <v>0</v>
      </c>
    </row>
    <row r="445" spans="1:14" hidden="1" x14ac:dyDescent="0.3">
      <c r="A445" s="14">
        <f>+'PLAN DE CUENTAS'!A445</f>
        <v>0</v>
      </c>
      <c r="B445" s="13">
        <f>+'PLAN DE CUENTAS'!B445</f>
        <v>0</v>
      </c>
      <c r="C445" s="13">
        <f>+'PLAN DE CUENTAS'!C445</f>
        <v>0</v>
      </c>
      <c r="D445" t="str">
        <f>IF(tbal[[#This Row],[DEBE]]+tbal[[#This Row],[HABER]]=0,"","X")</f>
        <v/>
      </c>
      <c r="E445" s="16">
        <f>SUMIF(tdiario[CUENTA],tbal[[#This Row],[CUENTA]],tdiario[DEBE])</f>
        <v>0</v>
      </c>
      <c r="F445" s="17">
        <f>SUMIF(tdiario[CUENTA],tbal[[#This Row],[CUENTA]],tdiario[HABER])</f>
        <v>0</v>
      </c>
      <c r="G445" s="16">
        <f>IF(tbal[[#This Row],[DEBE]]-tbal[[#This Row],[HABER]]&gt;0,tbal[[#This Row],[DEBE]]-tbal[[#This Row],[HABER]],0)</f>
        <v>0</v>
      </c>
      <c r="H445" s="18">
        <f>IF(tbal[[#This Row],[HABER]]-tbal[[#This Row],[DEBE]]&gt;0,tbal[[#This Row],[HABER]]-tbal[[#This Row],[DEBE]],0)</f>
        <v>0</v>
      </c>
      <c r="I445" s="16">
        <f>IF((OR(tbal[[#This Row],[X]]=1,tbal[[#This Row],[X]]=2)),tbal[[#This Row],[DEUDOR]],0)</f>
        <v>0</v>
      </c>
      <c r="J445" s="18">
        <f>IF((OR(tbal[[#This Row],[X]]=2,tbal[[#This Row],[X]]=3)),tbal[[#This Row],[ACREEDOR]],0)</f>
        <v>0</v>
      </c>
      <c r="K445" s="16">
        <f>IF((OR(tbal[[#This Row],[X]]=3,tbal[[#This Row],[X]]=5)),tbal[[#This Row],[DEUDOR]],0)</f>
        <v>0</v>
      </c>
      <c r="L445" s="18">
        <f>IF((OR(tbal[[#This Row],[X]]=3,tbal[[#This Row],[X]]=4)),tbal[[#This Row],[ACREEDOR]],0)</f>
        <v>0</v>
      </c>
      <c r="M445" s="16">
        <f>IF((OR(tbal[[#This Row],[X]]=0,tbal[[#This Row],[X]]=6)),tbal[[#This Row],[DEUDOR]],0)</f>
        <v>0</v>
      </c>
      <c r="N445" s="18">
        <f>IF((OR(tbal[[#This Row],[X]]=0,tbal[[#This Row],[X]]=5)),tbal[[#This Row],[ACREEDOR]],0)</f>
        <v>0</v>
      </c>
    </row>
    <row r="446" spans="1:14" hidden="1" x14ac:dyDescent="0.3">
      <c r="A446" s="14">
        <f>+'PLAN DE CUENTAS'!A446</f>
        <v>0</v>
      </c>
      <c r="B446" s="13">
        <f>+'PLAN DE CUENTAS'!B446</f>
        <v>0</v>
      </c>
      <c r="C446" s="13">
        <f>+'PLAN DE CUENTAS'!C446</f>
        <v>0</v>
      </c>
      <c r="D446" t="str">
        <f>IF(tbal[[#This Row],[DEBE]]+tbal[[#This Row],[HABER]]=0,"","X")</f>
        <v/>
      </c>
      <c r="E446" s="16">
        <f>SUMIF(tdiario[CUENTA],tbal[[#This Row],[CUENTA]],tdiario[DEBE])</f>
        <v>0</v>
      </c>
      <c r="F446" s="17">
        <f>SUMIF(tdiario[CUENTA],tbal[[#This Row],[CUENTA]],tdiario[HABER])</f>
        <v>0</v>
      </c>
      <c r="G446" s="16">
        <f>IF(tbal[[#This Row],[DEBE]]-tbal[[#This Row],[HABER]]&gt;0,tbal[[#This Row],[DEBE]]-tbal[[#This Row],[HABER]],0)</f>
        <v>0</v>
      </c>
      <c r="H446" s="18">
        <f>IF(tbal[[#This Row],[HABER]]-tbal[[#This Row],[DEBE]]&gt;0,tbal[[#This Row],[HABER]]-tbal[[#This Row],[DEBE]],0)</f>
        <v>0</v>
      </c>
      <c r="I446" s="16">
        <f>IF((OR(tbal[[#This Row],[X]]=1,tbal[[#This Row],[X]]=2)),tbal[[#This Row],[DEUDOR]],0)</f>
        <v>0</v>
      </c>
      <c r="J446" s="18">
        <f>IF((OR(tbal[[#This Row],[X]]=2,tbal[[#This Row],[X]]=3)),tbal[[#This Row],[ACREEDOR]],0)</f>
        <v>0</v>
      </c>
      <c r="K446" s="16">
        <f>IF((OR(tbal[[#This Row],[X]]=3,tbal[[#This Row],[X]]=5)),tbal[[#This Row],[DEUDOR]],0)</f>
        <v>0</v>
      </c>
      <c r="L446" s="18">
        <f>IF((OR(tbal[[#This Row],[X]]=3,tbal[[#This Row],[X]]=4)),tbal[[#This Row],[ACREEDOR]],0)</f>
        <v>0</v>
      </c>
      <c r="M446" s="16">
        <f>IF((OR(tbal[[#This Row],[X]]=0,tbal[[#This Row],[X]]=6)),tbal[[#This Row],[DEUDOR]],0)</f>
        <v>0</v>
      </c>
      <c r="N446" s="18">
        <f>IF((OR(tbal[[#This Row],[X]]=0,tbal[[#This Row],[X]]=5)),tbal[[#This Row],[ACREEDOR]],0)</f>
        <v>0</v>
      </c>
    </row>
    <row r="447" spans="1:14" hidden="1" x14ac:dyDescent="0.3">
      <c r="A447" s="14">
        <f>+'PLAN DE CUENTAS'!A447</f>
        <v>0</v>
      </c>
      <c r="B447" s="13">
        <f>+'PLAN DE CUENTAS'!B447</f>
        <v>0</v>
      </c>
      <c r="C447" s="13">
        <f>+'PLAN DE CUENTAS'!C447</f>
        <v>0</v>
      </c>
      <c r="D447" t="str">
        <f>IF(tbal[[#This Row],[DEBE]]+tbal[[#This Row],[HABER]]=0,"","X")</f>
        <v/>
      </c>
      <c r="E447" s="16">
        <f>SUMIF(tdiario[CUENTA],tbal[[#This Row],[CUENTA]],tdiario[DEBE])</f>
        <v>0</v>
      </c>
      <c r="F447" s="17">
        <f>SUMIF(tdiario[CUENTA],tbal[[#This Row],[CUENTA]],tdiario[HABER])</f>
        <v>0</v>
      </c>
      <c r="G447" s="16">
        <f>IF(tbal[[#This Row],[DEBE]]-tbal[[#This Row],[HABER]]&gt;0,tbal[[#This Row],[DEBE]]-tbal[[#This Row],[HABER]],0)</f>
        <v>0</v>
      </c>
      <c r="H447" s="18">
        <f>IF(tbal[[#This Row],[HABER]]-tbal[[#This Row],[DEBE]]&gt;0,tbal[[#This Row],[HABER]]-tbal[[#This Row],[DEBE]],0)</f>
        <v>0</v>
      </c>
      <c r="I447" s="16">
        <f>IF((OR(tbal[[#This Row],[X]]=1,tbal[[#This Row],[X]]=2)),tbal[[#This Row],[DEUDOR]],0)</f>
        <v>0</v>
      </c>
      <c r="J447" s="18">
        <f>IF((OR(tbal[[#This Row],[X]]=2,tbal[[#This Row],[X]]=3)),tbal[[#This Row],[ACREEDOR]],0)</f>
        <v>0</v>
      </c>
      <c r="K447" s="16">
        <f>IF((OR(tbal[[#This Row],[X]]=3,tbal[[#This Row],[X]]=5)),tbal[[#This Row],[DEUDOR]],0)</f>
        <v>0</v>
      </c>
      <c r="L447" s="18">
        <f>IF((OR(tbal[[#This Row],[X]]=3,tbal[[#This Row],[X]]=4)),tbal[[#This Row],[ACREEDOR]],0)</f>
        <v>0</v>
      </c>
      <c r="M447" s="16">
        <f>IF((OR(tbal[[#This Row],[X]]=0,tbal[[#This Row],[X]]=6)),tbal[[#This Row],[DEUDOR]],0)</f>
        <v>0</v>
      </c>
      <c r="N447" s="18">
        <f>IF((OR(tbal[[#This Row],[X]]=0,tbal[[#This Row],[X]]=5)),tbal[[#This Row],[ACREEDOR]],0)</f>
        <v>0</v>
      </c>
    </row>
    <row r="448" spans="1:14" hidden="1" x14ac:dyDescent="0.3">
      <c r="A448" s="14">
        <f>+'PLAN DE CUENTAS'!A448</f>
        <v>0</v>
      </c>
      <c r="B448" s="13">
        <f>+'PLAN DE CUENTAS'!B448</f>
        <v>0</v>
      </c>
      <c r="C448" s="13">
        <f>+'PLAN DE CUENTAS'!C448</f>
        <v>0</v>
      </c>
      <c r="D448" t="str">
        <f>IF(tbal[[#This Row],[DEBE]]+tbal[[#This Row],[HABER]]=0,"","X")</f>
        <v/>
      </c>
      <c r="E448" s="16">
        <f>SUMIF(tdiario[CUENTA],tbal[[#This Row],[CUENTA]],tdiario[DEBE])</f>
        <v>0</v>
      </c>
      <c r="F448" s="17">
        <f>SUMIF(tdiario[CUENTA],tbal[[#This Row],[CUENTA]],tdiario[HABER])</f>
        <v>0</v>
      </c>
      <c r="G448" s="16">
        <f>IF(tbal[[#This Row],[DEBE]]-tbal[[#This Row],[HABER]]&gt;0,tbal[[#This Row],[DEBE]]-tbal[[#This Row],[HABER]],0)</f>
        <v>0</v>
      </c>
      <c r="H448" s="18">
        <f>IF(tbal[[#This Row],[HABER]]-tbal[[#This Row],[DEBE]]&gt;0,tbal[[#This Row],[HABER]]-tbal[[#This Row],[DEBE]],0)</f>
        <v>0</v>
      </c>
      <c r="I448" s="16">
        <f>IF((OR(tbal[[#This Row],[X]]=1,tbal[[#This Row],[X]]=2)),tbal[[#This Row],[DEUDOR]],0)</f>
        <v>0</v>
      </c>
      <c r="J448" s="18">
        <f>IF((OR(tbal[[#This Row],[X]]=2,tbal[[#This Row],[X]]=3)),tbal[[#This Row],[ACREEDOR]],0)</f>
        <v>0</v>
      </c>
      <c r="K448" s="16">
        <f>IF((OR(tbal[[#This Row],[X]]=3,tbal[[#This Row],[X]]=5)),tbal[[#This Row],[DEUDOR]],0)</f>
        <v>0</v>
      </c>
      <c r="L448" s="18">
        <f>IF((OR(tbal[[#This Row],[X]]=3,tbal[[#This Row],[X]]=4)),tbal[[#This Row],[ACREEDOR]],0)</f>
        <v>0</v>
      </c>
      <c r="M448" s="16">
        <f>IF((OR(tbal[[#This Row],[X]]=0,tbal[[#This Row],[X]]=6)),tbal[[#This Row],[DEUDOR]],0)</f>
        <v>0</v>
      </c>
      <c r="N448" s="18">
        <f>IF((OR(tbal[[#This Row],[X]]=0,tbal[[#This Row],[X]]=5)),tbal[[#This Row],[ACREEDOR]],0)</f>
        <v>0</v>
      </c>
    </row>
    <row r="449" spans="1:14" hidden="1" x14ac:dyDescent="0.3">
      <c r="A449" s="14">
        <f>+'PLAN DE CUENTAS'!A449</f>
        <v>0</v>
      </c>
      <c r="B449" s="13">
        <f>+'PLAN DE CUENTAS'!B449</f>
        <v>0</v>
      </c>
      <c r="C449" s="13">
        <f>+'PLAN DE CUENTAS'!C449</f>
        <v>0</v>
      </c>
      <c r="D449" t="str">
        <f>IF(tbal[[#This Row],[DEBE]]+tbal[[#This Row],[HABER]]=0,"","X")</f>
        <v/>
      </c>
      <c r="E449" s="16">
        <f>SUMIF(tdiario[CUENTA],tbal[[#This Row],[CUENTA]],tdiario[DEBE])</f>
        <v>0</v>
      </c>
      <c r="F449" s="17">
        <f>SUMIF(tdiario[CUENTA],tbal[[#This Row],[CUENTA]],tdiario[HABER])</f>
        <v>0</v>
      </c>
      <c r="G449" s="16">
        <f>IF(tbal[[#This Row],[DEBE]]-tbal[[#This Row],[HABER]]&gt;0,tbal[[#This Row],[DEBE]]-tbal[[#This Row],[HABER]],0)</f>
        <v>0</v>
      </c>
      <c r="H449" s="18">
        <f>IF(tbal[[#This Row],[HABER]]-tbal[[#This Row],[DEBE]]&gt;0,tbal[[#This Row],[HABER]]-tbal[[#This Row],[DEBE]],0)</f>
        <v>0</v>
      </c>
      <c r="I449" s="16">
        <f>IF((OR(tbal[[#This Row],[X]]=1,tbal[[#This Row],[X]]=2)),tbal[[#This Row],[DEUDOR]],0)</f>
        <v>0</v>
      </c>
      <c r="J449" s="18">
        <f>IF((OR(tbal[[#This Row],[X]]=2,tbal[[#This Row],[X]]=3)),tbal[[#This Row],[ACREEDOR]],0)</f>
        <v>0</v>
      </c>
      <c r="K449" s="16">
        <f>IF((OR(tbal[[#This Row],[X]]=3,tbal[[#This Row],[X]]=5)),tbal[[#This Row],[DEUDOR]],0)</f>
        <v>0</v>
      </c>
      <c r="L449" s="18">
        <f>IF((OR(tbal[[#This Row],[X]]=3,tbal[[#This Row],[X]]=4)),tbal[[#This Row],[ACREEDOR]],0)</f>
        <v>0</v>
      </c>
      <c r="M449" s="16">
        <f>IF((OR(tbal[[#This Row],[X]]=0,tbal[[#This Row],[X]]=6)),tbal[[#This Row],[DEUDOR]],0)</f>
        <v>0</v>
      </c>
      <c r="N449" s="18">
        <f>IF((OR(tbal[[#This Row],[X]]=0,tbal[[#This Row],[X]]=5)),tbal[[#This Row],[ACREEDOR]],0)</f>
        <v>0</v>
      </c>
    </row>
    <row r="450" spans="1:14" hidden="1" x14ac:dyDescent="0.3">
      <c r="A450" s="14">
        <f>+'PLAN DE CUENTAS'!A450</f>
        <v>0</v>
      </c>
      <c r="B450" s="13">
        <f>+'PLAN DE CUENTAS'!B450</f>
        <v>0</v>
      </c>
      <c r="C450" s="13">
        <f>+'PLAN DE CUENTAS'!C450</f>
        <v>0</v>
      </c>
      <c r="D450" t="str">
        <f>IF(tbal[[#This Row],[DEBE]]+tbal[[#This Row],[HABER]]=0,"","X")</f>
        <v/>
      </c>
      <c r="E450" s="16">
        <f>SUMIF(tdiario[CUENTA],tbal[[#This Row],[CUENTA]],tdiario[DEBE])</f>
        <v>0</v>
      </c>
      <c r="F450" s="17">
        <f>SUMIF(tdiario[CUENTA],tbal[[#This Row],[CUENTA]],tdiario[HABER])</f>
        <v>0</v>
      </c>
      <c r="G450" s="16">
        <f>IF(tbal[[#This Row],[DEBE]]-tbal[[#This Row],[HABER]]&gt;0,tbal[[#This Row],[DEBE]]-tbal[[#This Row],[HABER]],0)</f>
        <v>0</v>
      </c>
      <c r="H450" s="18">
        <f>IF(tbal[[#This Row],[HABER]]-tbal[[#This Row],[DEBE]]&gt;0,tbal[[#This Row],[HABER]]-tbal[[#This Row],[DEBE]],0)</f>
        <v>0</v>
      </c>
      <c r="I450" s="16">
        <f>IF((OR(tbal[[#This Row],[X]]=1,tbal[[#This Row],[X]]=2)),tbal[[#This Row],[DEUDOR]],0)</f>
        <v>0</v>
      </c>
      <c r="J450" s="18">
        <f>IF((OR(tbal[[#This Row],[X]]=2,tbal[[#This Row],[X]]=3)),tbal[[#This Row],[ACREEDOR]],0)</f>
        <v>0</v>
      </c>
      <c r="K450" s="16">
        <f>IF((OR(tbal[[#This Row],[X]]=3,tbal[[#This Row],[X]]=5)),tbal[[#This Row],[DEUDOR]],0)</f>
        <v>0</v>
      </c>
      <c r="L450" s="18">
        <f>IF((OR(tbal[[#This Row],[X]]=3,tbal[[#This Row],[X]]=4)),tbal[[#This Row],[ACREEDOR]],0)</f>
        <v>0</v>
      </c>
      <c r="M450" s="16">
        <f>IF((OR(tbal[[#This Row],[X]]=0,tbal[[#This Row],[X]]=6)),tbal[[#This Row],[DEUDOR]],0)</f>
        <v>0</v>
      </c>
      <c r="N450" s="18">
        <f>IF((OR(tbal[[#This Row],[X]]=0,tbal[[#This Row],[X]]=5)),tbal[[#This Row],[ACREEDOR]],0)</f>
        <v>0</v>
      </c>
    </row>
    <row r="451" spans="1:14" hidden="1" x14ac:dyDescent="0.3">
      <c r="A451" s="14">
        <f>+'PLAN DE CUENTAS'!A451</f>
        <v>0</v>
      </c>
      <c r="B451" s="13">
        <f>+'PLAN DE CUENTAS'!B451</f>
        <v>0</v>
      </c>
      <c r="C451" s="13">
        <f>+'PLAN DE CUENTAS'!C451</f>
        <v>0</v>
      </c>
      <c r="D451" t="str">
        <f>IF(tbal[[#This Row],[DEBE]]+tbal[[#This Row],[HABER]]=0,"","X")</f>
        <v/>
      </c>
      <c r="E451" s="16">
        <f>SUMIF(tdiario[CUENTA],tbal[[#This Row],[CUENTA]],tdiario[DEBE])</f>
        <v>0</v>
      </c>
      <c r="F451" s="17">
        <f>SUMIF(tdiario[CUENTA],tbal[[#This Row],[CUENTA]],tdiario[HABER])</f>
        <v>0</v>
      </c>
      <c r="G451" s="16">
        <f>IF(tbal[[#This Row],[DEBE]]-tbal[[#This Row],[HABER]]&gt;0,tbal[[#This Row],[DEBE]]-tbal[[#This Row],[HABER]],0)</f>
        <v>0</v>
      </c>
      <c r="H451" s="18">
        <f>IF(tbal[[#This Row],[HABER]]-tbal[[#This Row],[DEBE]]&gt;0,tbal[[#This Row],[HABER]]-tbal[[#This Row],[DEBE]],0)</f>
        <v>0</v>
      </c>
      <c r="I451" s="16">
        <f>IF((OR(tbal[[#This Row],[X]]=1,tbal[[#This Row],[X]]=2)),tbal[[#This Row],[DEUDOR]],0)</f>
        <v>0</v>
      </c>
      <c r="J451" s="18">
        <f>IF((OR(tbal[[#This Row],[X]]=2,tbal[[#This Row],[X]]=3)),tbal[[#This Row],[ACREEDOR]],0)</f>
        <v>0</v>
      </c>
      <c r="K451" s="16">
        <f>IF((OR(tbal[[#This Row],[X]]=3,tbal[[#This Row],[X]]=5)),tbal[[#This Row],[DEUDOR]],0)</f>
        <v>0</v>
      </c>
      <c r="L451" s="18">
        <f>IF((OR(tbal[[#This Row],[X]]=3,tbal[[#This Row],[X]]=4)),tbal[[#This Row],[ACREEDOR]],0)</f>
        <v>0</v>
      </c>
      <c r="M451" s="16">
        <f>IF((OR(tbal[[#This Row],[X]]=0,tbal[[#This Row],[X]]=6)),tbal[[#This Row],[DEUDOR]],0)</f>
        <v>0</v>
      </c>
      <c r="N451" s="18">
        <f>IF((OR(tbal[[#This Row],[X]]=0,tbal[[#This Row],[X]]=5)),tbal[[#This Row],[ACREEDOR]],0)</f>
        <v>0</v>
      </c>
    </row>
    <row r="452" spans="1:14" hidden="1" x14ac:dyDescent="0.3">
      <c r="A452" s="14">
        <f>+'PLAN DE CUENTAS'!A452</f>
        <v>0</v>
      </c>
      <c r="B452" s="13">
        <f>+'PLAN DE CUENTAS'!B452</f>
        <v>0</v>
      </c>
      <c r="C452" s="13">
        <f>+'PLAN DE CUENTAS'!C452</f>
        <v>0</v>
      </c>
      <c r="D452" t="str">
        <f>IF(tbal[[#This Row],[DEBE]]+tbal[[#This Row],[HABER]]=0,"","X")</f>
        <v/>
      </c>
      <c r="E452" s="16">
        <f>SUMIF(tdiario[CUENTA],tbal[[#This Row],[CUENTA]],tdiario[DEBE])</f>
        <v>0</v>
      </c>
      <c r="F452" s="17">
        <f>SUMIF(tdiario[CUENTA],tbal[[#This Row],[CUENTA]],tdiario[HABER])</f>
        <v>0</v>
      </c>
      <c r="G452" s="16">
        <f>IF(tbal[[#This Row],[DEBE]]-tbal[[#This Row],[HABER]]&gt;0,tbal[[#This Row],[DEBE]]-tbal[[#This Row],[HABER]],0)</f>
        <v>0</v>
      </c>
      <c r="H452" s="18">
        <f>IF(tbal[[#This Row],[HABER]]-tbal[[#This Row],[DEBE]]&gt;0,tbal[[#This Row],[HABER]]-tbal[[#This Row],[DEBE]],0)</f>
        <v>0</v>
      </c>
      <c r="I452" s="16">
        <f>IF((OR(tbal[[#This Row],[X]]=1,tbal[[#This Row],[X]]=2)),tbal[[#This Row],[DEUDOR]],0)</f>
        <v>0</v>
      </c>
      <c r="J452" s="18">
        <f>IF((OR(tbal[[#This Row],[X]]=2,tbal[[#This Row],[X]]=3)),tbal[[#This Row],[ACREEDOR]],0)</f>
        <v>0</v>
      </c>
      <c r="K452" s="16">
        <f>IF((OR(tbal[[#This Row],[X]]=3,tbal[[#This Row],[X]]=5)),tbal[[#This Row],[DEUDOR]],0)</f>
        <v>0</v>
      </c>
      <c r="L452" s="18">
        <f>IF((OR(tbal[[#This Row],[X]]=3,tbal[[#This Row],[X]]=4)),tbal[[#This Row],[ACREEDOR]],0)</f>
        <v>0</v>
      </c>
      <c r="M452" s="16">
        <f>IF((OR(tbal[[#This Row],[X]]=0,tbal[[#This Row],[X]]=6)),tbal[[#This Row],[DEUDOR]],0)</f>
        <v>0</v>
      </c>
      <c r="N452" s="18">
        <f>IF((OR(tbal[[#This Row],[X]]=0,tbal[[#This Row],[X]]=5)),tbal[[#This Row],[ACREEDOR]],0)</f>
        <v>0</v>
      </c>
    </row>
    <row r="453" spans="1:14" hidden="1" x14ac:dyDescent="0.3">
      <c r="A453" s="14">
        <f>+'PLAN DE CUENTAS'!A453</f>
        <v>0</v>
      </c>
      <c r="B453" s="13">
        <f>+'PLAN DE CUENTAS'!B453</f>
        <v>0</v>
      </c>
      <c r="C453" s="13">
        <f>+'PLAN DE CUENTAS'!C453</f>
        <v>0</v>
      </c>
      <c r="D453" t="str">
        <f>IF(tbal[[#This Row],[DEBE]]+tbal[[#This Row],[HABER]]=0,"","X")</f>
        <v/>
      </c>
      <c r="E453" s="16">
        <f>SUMIF(tdiario[CUENTA],tbal[[#This Row],[CUENTA]],tdiario[DEBE])</f>
        <v>0</v>
      </c>
      <c r="F453" s="17">
        <f>SUMIF(tdiario[CUENTA],tbal[[#This Row],[CUENTA]],tdiario[HABER])</f>
        <v>0</v>
      </c>
      <c r="G453" s="16">
        <f>IF(tbal[[#This Row],[DEBE]]-tbal[[#This Row],[HABER]]&gt;0,tbal[[#This Row],[DEBE]]-tbal[[#This Row],[HABER]],0)</f>
        <v>0</v>
      </c>
      <c r="H453" s="18">
        <f>IF(tbal[[#This Row],[HABER]]-tbal[[#This Row],[DEBE]]&gt;0,tbal[[#This Row],[HABER]]-tbal[[#This Row],[DEBE]],0)</f>
        <v>0</v>
      </c>
      <c r="I453" s="16">
        <f>IF((OR(tbal[[#This Row],[X]]=1,tbal[[#This Row],[X]]=2)),tbal[[#This Row],[DEUDOR]],0)</f>
        <v>0</v>
      </c>
      <c r="J453" s="18">
        <f>IF((OR(tbal[[#This Row],[X]]=2,tbal[[#This Row],[X]]=3)),tbal[[#This Row],[ACREEDOR]],0)</f>
        <v>0</v>
      </c>
      <c r="K453" s="16">
        <f>IF((OR(tbal[[#This Row],[X]]=3,tbal[[#This Row],[X]]=5)),tbal[[#This Row],[DEUDOR]],0)</f>
        <v>0</v>
      </c>
      <c r="L453" s="18">
        <f>IF((OR(tbal[[#This Row],[X]]=3,tbal[[#This Row],[X]]=4)),tbal[[#This Row],[ACREEDOR]],0)</f>
        <v>0</v>
      </c>
      <c r="M453" s="16">
        <f>IF((OR(tbal[[#This Row],[X]]=0,tbal[[#This Row],[X]]=6)),tbal[[#This Row],[DEUDOR]],0)</f>
        <v>0</v>
      </c>
      <c r="N453" s="18">
        <f>IF((OR(tbal[[#This Row],[X]]=0,tbal[[#This Row],[X]]=5)),tbal[[#This Row],[ACREEDOR]],0)</f>
        <v>0</v>
      </c>
    </row>
    <row r="454" spans="1:14" hidden="1" x14ac:dyDescent="0.3">
      <c r="A454" s="14">
        <f>+'PLAN DE CUENTAS'!A454</f>
        <v>0</v>
      </c>
      <c r="B454" s="13">
        <f>+'PLAN DE CUENTAS'!B454</f>
        <v>0</v>
      </c>
      <c r="C454" s="13">
        <f>+'PLAN DE CUENTAS'!C454</f>
        <v>0</v>
      </c>
      <c r="D454" t="str">
        <f>IF(tbal[[#This Row],[DEBE]]+tbal[[#This Row],[HABER]]=0,"","X")</f>
        <v/>
      </c>
      <c r="E454" s="16">
        <f>SUMIF(tdiario[CUENTA],tbal[[#This Row],[CUENTA]],tdiario[DEBE])</f>
        <v>0</v>
      </c>
      <c r="F454" s="17">
        <f>SUMIF(tdiario[CUENTA],tbal[[#This Row],[CUENTA]],tdiario[HABER])</f>
        <v>0</v>
      </c>
      <c r="G454" s="16">
        <f>IF(tbal[[#This Row],[DEBE]]-tbal[[#This Row],[HABER]]&gt;0,tbal[[#This Row],[DEBE]]-tbal[[#This Row],[HABER]],0)</f>
        <v>0</v>
      </c>
      <c r="H454" s="18">
        <f>IF(tbal[[#This Row],[HABER]]-tbal[[#This Row],[DEBE]]&gt;0,tbal[[#This Row],[HABER]]-tbal[[#This Row],[DEBE]],0)</f>
        <v>0</v>
      </c>
      <c r="I454" s="16">
        <f>IF((OR(tbal[[#This Row],[X]]=1,tbal[[#This Row],[X]]=2)),tbal[[#This Row],[DEUDOR]],0)</f>
        <v>0</v>
      </c>
      <c r="J454" s="18">
        <f>IF((OR(tbal[[#This Row],[X]]=2,tbal[[#This Row],[X]]=3)),tbal[[#This Row],[ACREEDOR]],0)</f>
        <v>0</v>
      </c>
      <c r="K454" s="16">
        <f>IF((OR(tbal[[#This Row],[X]]=3,tbal[[#This Row],[X]]=5)),tbal[[#This Row],[DEUDOR]],0)</f>
        <v>0</v>
      </c>
      <c r="L454" s="18">
        <f>IF((OR(tbal[[#This Row],[X]]=3,tbal[[#This Row],[X]]=4)),tbal[[#This Row],[ACREEDOR]],0)</f>
        <v>0</v>
      </c>
      <c r="M454" s="16">
        <f>IF((OR(tbal[[#This Row],[X]]=0,tbal[[#This Row],[X]]=6)),tbal[[#This Row],[DEUDOR]],0)</f>
        <v>0</v>
      </c>
      <c r="N454" s="18">
        <f>IF((OR(tbal[[#This Row],[X]]=0,tbal[[#This Row],[X]]=5)),tbal[[#This Row],[ACREEDOR]],0)</f>
        <v>0</v>
      </c>
    </row>
    <row r="455" spans="1:14" hidden="1" x14ac:dyDescent="0.3">
      <c r="A455" s="14">
        <f>+'PLAN DE CUENTAS'!A455</f>
        <v>0</v>
      </c>
      <c r="B455" s="13">
        <f>+'PLAN DE CUENTAS'!B455</f>
        <v>0</v>
      </c>
      <c r="C455" s="13">
        <f>+'PLAN DE CUENTAS'!C455</f>
        <v>0</v>
      </c>
      <c r="D455" t="str">
        <f>IF(tbal[[#This Row],[DEBE]]+tbal[[#This Row],[HABER]]=0,"","X")</f>
        <v/>
      </c>
      <c r="E455" s="16">
        <f>SUMIF(tdiario[CUENTA],tbal[[#This Row],[CUENTA]],tdiario[DEBE])</f>
        <v>0</v>
      </c>
      <c r="F455" s="17">
        <f>SUMIF(tdiario[CUENTA],tbal[[#This Row],[CUENTA]],tdiario[HABER])</f>
        <v>0</v>
      </c>
      <c r="G455" s="16">
        <f>IF(tbal[[#This Row],[DEBE]]-tbal[[#This Row],[HABER]]&gt;0,tbal[[#This Row],[DEBE]]-tbal[[#This Row],[HABER]],0)</f>
        <v>0</v>
      </c>
      <c r="H455" s="18">
        <f>IF(tbal[[#This Row],[HABER]]-tbal[[#This Row],[DEBE]]&gt;0,tbal[[#This Row],[HABER]]-tbal[[#This Row],[DEBE]],0)</f>
        <v>0</v>
      </c>
      <c r="I455" s="16">
        <f>IF((OR(tbal[[#This Row],[X]]=1,tbal[[#This Row],[X]]=2)),tbal[[#This Row],[DEUDOR]],0)</f>
        <v>0</v>
      </c>
      <c r="J455" s="18">
        <f>IF((OR(tbal[[#This Row],[X]]=2,tbal[[#This Row],[X]]=3)),tbal[[#This Row],[ACREEDOR]],0)</f>
        <v>0</v>
      </c>
      <c r="K455" s="16">
        <f>IF((OR(tbal[[#This Row],[X]]=3,tbal[[#This Row],[X]]=5)),tbal[[#This Row],[DEUDOR]],0)</f>
        <v>0</v>
      </c>
      <c r="L455" s="18">
        <f>IF((OR(tbal[[#This Row],[X]]=3,tbal[[#This Row],[X]]=4)),tbal[[#This Row],[ACREEDOR]],0)</f>
        <v>0</v>
      </c>
      <c r="M455" s="16">
        <f>IF((OR(tbal[[#This Row],[X]]=0,tbal[[#This Row],[X]]=6)),tbal[[#This Row],[DEUDOR]],0)</f>
        <v>0</v>
      </c>
      <c r="N455" s="18">
        <f>IF((OR(tbal[[#This Row],[X]]=0,tbal[[#This Row],[X]]=5)),tbal[[#This Row],[ACREEDOR]],0)</f>
        <v>0</v>
      </c>
    </row>
    <row r="456" spans="1:14" hidden="1" x14ac:dyDescent="0.3">
      <c r="A456" s="14">
        <f>+'PLAN DE CUENTAS'!A456</f>
        <v>0</v>
      </c>
      <c r="B456" s="13">
        <f>+'PLAN DE CUENTAS'!B456</f>
        <v>0</v>
      </c>
      <c r="C456" s="13">
        <f>+'PLAN DE CUENTAS'!C456</f>
        <v>0</v>
      </c>
      <c r="D456" t="str">
        <f>IF(tbal[[#This Row],[DEBE]]+tbal[[#This Row],[HABER]]=0,"","X")</f>
        <v/>
      </c>
      <c r="E456" s="16">
        <f>SUMIF(tdiario[CUENTA],tbal[[#This Row],[CUENTA]],tdiario[DEBE])</f>
        <v>0</v>
      </c>
      <c r="F456" s="17">
        <f>SUMIF(tdiario[CUENTA],tbal[[#This Row],[CUENTA]],tdiario[HABER])</f>
        <v>0</v>
      </c>
      <c r="G456" s="16">
        <f>IF(tbal[[#This Row],[DEBE]]-tbal[[#This Row],[HABER]]&gt;0,tbal[[#This Row],[DEBE]]-tbal[[#This Row],[HABER]],0)</f>
        <v>0</v>
      </c>
      <c r="H456" s="18">
        <f>IF(tbal[[#This Row],[HABER]]-tbal[[#This Row],[DEBE]]&gt;0,tbal[[#This Row],[HABER]]-tbal[[#This Row],[DEBE]],0)</f>
        <v>0</v>
      </c>
      <c r="I456" s="16">
        <f>IF((OR(tbal[[#This Row],[X]]=1,tbal[[#This Row],[X]]=2)),tbal[[#This Row],[DEUDOR]],0)</f>
        <v>0</v>
      </c>
      <c r="J456" s="18">
        <f>IF((OR(tbal[[#This Row],[X]]=2,tbal[[#This Row],[X]]=3)),tbal[[#This Row],[ACREEDOR]],0)</f>
        <v>0</v>
      </c>
      <c r="K456" s="16">
        <f>IF((OR(tbal[[#This Row],[X]]=3,tbal[[#This Row],[X]]=5)),tbal[[#This Row],[DEUDOR]],0)</f>
        <v>0</v>
      </c>
      <c r="L456" s="18">
        <f>IF((OR(tbal[[#This Row],[X]]=3,tbal[[#This Row],[X]]=4)),tbal[[#This Row],[ACREEDOR]],0)</f>
        <v>0</v>
      </c>
      <c r="M456" s="16">
        <f>IF((OR(tbal[[#This Row],[X]]=0,tbal[[#This Row],[X]]=6)),tbal[[#This Row],[DEUDOR]],0)</f>
        <v>0</v>
      </c>
      <c r="N456" s="18">
        <f>IF((OR(tbal[[#This Row],[X]]=0,tbal[[#This Row],[X]]=5)),tbal[[#This Row],[ACREEDOR]],0)</f>
        <v>0</v>
      </c>
    </row>
    <row r="457" spans="1:14" hidden="1" x14ac:dyDescent="0.3">
      <c r="A457" s="14">
        <f>+'PLAN DE CUENTAS'!A457</f>
        <v>0</v>
      </c>
      <c r="B457" s="13">
        <f>+'PLAN DE CUENTAS'!B457</f>
        <v>0</v>
      </c>
      <c r="C457" s="13">
        <f>+'PLAN DE CUENTAS'!C457</f>
        <v>0</v>
      </c>
      <c r="D457" t="str">
        <f>IF(tbal[[#This Row],[DEBE]]+tbal[[#This Row],[HABER]]=0,"","X")</f>
        <v/>
      </c>
      <c r="E457" s="16">
        <f>SUMIF(tdiario[CUENTA],tbal[[#This Row],[CUENTA]],tdiario[DEBE])</f>
        <v>0</v>
      </c>
      <c r="F457" s="17">
        <f>SUMIF(tdiario[CUENTA],tbal[[#This Row],[CUENTA]],tdiario[HABER])</f>
        <v>0</v>
      </c>
      <c r="G457" s="16">
        <f>IF(tbal[[#This Row],[DEBE]]-tbal[[#This Row],[HABER]]&gt;0,tbal[[#This Row],[DEBE]]-tbal[[#This Row],[HABER]],0)</f>
        <v>0</v>
      </c>
      <c r="H457" s="18">
        <f>IF(tbal[[#This Row],[HABER]]-tbal[[#This Row],[DEBE]]&gt;0,tbal[[#This Row],[HABER]]-tbal[[#This Row],[DEBE]],0)</f>
        <v>0</v>
      </c>
      <c r="I457" s="16">
        <f>IF((OR(tbal[[#This Row],[X]]=1,tbal[[#This Row],[X]]=2)),tbal[[#This Row],[DEUDOR]],0)</f>
        <v>0</v>
      </c>
      <c r="J457" s="18">
        <f>IF((OR(tbal[[#This Row],[X]]=2,tbal[[#This Row],[X]]=3)),tbal[[#This Row],[ACREEDOR]],0)</f>
        <v>0</v>
      </c>
      <c r="K457" s="16">
        <f>IF((OR(tbal[[#This Row],[X]]=3,tbal[[#This Row],[X]]=5)),tbal[[#This Row],[DEUDOR]],0)</f>
        <v>0</v>
      </c>
      <c r="L457" s="18">
        <f>IF((OR(tbal[[#This Row],[X]]=3,tbal[[#This Row],[X]]=4)),tbal[[#This Row],[ACREEDOR]],0)</f>
        <v>0</v>
      </c>
      <c r="M457" s="16">
        <f>IF((OR(tbal[[#This Row],[X]]=0,tbal[[#This Row],[X]]=6)),tbal[[#This Row],[DEUDOR]],0)</f>
        <v>0</v>
      </c>
      <c r="N457" s="18">
        <f>IF((OR(tbal[[#This Row],[X]]=0,tbal[[#This Row],[X]]=5)),tbal[[#This Row],[ACREEDOR]],0)</f>
        <v>0</v>
      </c>
    </row>
    <row r="458" spans="1:14" hidden="1" x14ac:dyDescent="0.3">
      <c r="A458" s="14">
        <f>+'PLAN DE CUENTAS'!A458</f>
        <v>0</v>
      </c>
      <c r="B458" s="13">
        <f>+'PLAN DE CUENTAS'!B458</f>
        <v>0</v>
      </c>
      <c r="C458" s="13">
        <f>+'PLAN DE CUENTAS'!C458</f>
        <v>0</v>
      </c>
      <c r="D458" t="str">
        <f>IF(tbal[[#This Row],[DEBE]]+tbal[[#This Row],[HABER]]=0,"","X")</f>
        <v/>
      </c>
      <c r="E458" s="16">
        <f>SUMIF(tdiario[CUENTA],tbal[[#This Row],[CUENTA]],tdiario[DEBE])</f>
        <v>0</v>
      </c>
      <c r="F458" s="17">
        <f>SUMIF(tdiario[CUENTA],tbal[[#This Row],[CUENTA]],tdiario[HABER])</f>
        <v>0</v>
      </c>
      <c r="G458" s="16">
        <f>IF(tbal[[#This Row],[DEBE]]-tbal[[#This Row],[HABER]]&gt;0,tbal[[#This Row],[DEBE]]-tbal[[#This Row],[HABER]],0)</f>
        <v>0</v>
      </c>
      <c r="H458" s="18">
        <f>IF(tbal[[#This Row],[HABER]]-tbal[[#This Row],[DEBE]]&gt;0,tbal[[#This Row],[HABER]]-tbal[[#This Row],[DEBE]],0)</f>
        <v>0</v>
      </c>
      <c r="I458" s="16">
        <f>IF((OR(tbal[[#This Row],[X]]=1,tbal[[#This Row],[X]]=2)),tbal[[#This Row],[DEUDOR]],0)</f>
        <v>0</v>
      </c>
      <c r="J458" s="18">
        <f>IF((OR(tbal[[#This Row],[X]]=2,tbal[[#This Row],[X]]=3)),tbal[[#This Row],[ACREEDOR]],0)</f>
        <v>0</v>
      </c>
      <c r="K458" s="16">
        <f>IF((OR(tbal[[#This Row],[X]]=3,tbal[[#This Row],[X]]=5)),tbal[[#This Row],[DEUDOR]],0)</f>
        <v>0</v>
      </c>
      <c r="L458" s="18">
        <f>IF((OR(tbal[[#This Row],[X]]=3,tbal[[#This Row],[X]]=4)),tbal[[#This Row],[ACREEDOR]],0)</f>
        <v>0</v>
      </c>
      <c r="M458" s="16">
        <f>IF((OR(tbal[[#This Row],[X]]=0,tbal[[#This Row],[X]]=6)),tbal[[#This Row],[DEUDOR]],0)</f>
        <v>0</v>
      </c>
      <c r="N458" s="18">
        <f>IF((OR(tbal[[#This Row],[X]]=0,tbal[[#This Row],[X]]=5)),tbal[[#This Row],[ACREEDOR]],0)</f>
        <v>0</v>
      </c>
    </row>
    <row r="459" spans="1:14" hidden="1" x14ac:dyDescent="0.3">
      <c r="A459" s="14">
        <f>+'PLAN DE CUENTAS'!A459</f>
        <v>0</v>
      </c>
      <c r="B459" s="13">
        <f>+'PLAN DE CUENTAS'!B459</f>
        <v>0</v>
      </c>
      <c r="C459" s="13">
        <f>+'PLAN DE CUENTAS'!C459</f>
        <v>0</v>
      </c>
      <c r="D459" t="str">
        <f>IF(tbal[[#This Row],[DEBE]]+tbal[[#This Row],[HABER]]=0,"","X")</f>
        <v/>
      </c>
      <c r="E459" s="16">
        <f>SUMIF(tdiario[CUENTA],tbal[[#This Row],[CUENTA]],tdiario[DEBE])</f>
        <v>0</v>
      </c>
      <c r="F459" s="17">
        <f>SUMIF(tdiario[CUENTA],tbal[[#This Row],[CUENTA]],tdiario[HABER])</f>
        <v>0</v>
      </c>
      <c r="G459" s="16">
        <f>IF(tbal[[#This Row],[DEBE]]-tbal[[#This Row],[HABER]]&gt;0,tbal[[#This Row],[DEBE]]-tbal[[#This Row],[HABER]],0)</f>
        <v>0</v>
      </c>
      <c r="H459" s="18">
        <f>IF(tbal[[#This Row],[HABER]]-tbal[[#This Row],[DEBE]]&gt;0,tbal[[#This Row],[HABER]]-tbal[[#This Row],[DEBE]],0)</f>
        <v>0</v>
      </c>
      <c r="I459" s="16">
        <f>IF((OR(tbal[[#This Row],[X]]=1,tbal[[#This Row],[X]]=2)),tbal[[#This Row],[DEUDOR]],0)</f>
        <v>0</v>
      </c>
      <c r="J459" s="18">
        <f>IF((OR(tbal[[#This Row],[X]]=2,tbal[[#This Row],[X]]=3)),tbal[[#This Row],[ACREEDOR]],0)</f>
        <v>0</v>
      </c>
      <c r="K459" s="16">
        <f>IF((OR(tbal[[#This Row],[X]]=3,tbal[[#This Row],[X]]=5)),tbal[[#This Row],[DEUDOR]],0)</f>
        <v>0</v>
      </c>
      <c r="L459" s="18">
        <f>IF((OR(tbal[[#This Row],[X]]=3,tbal[[#This Row],[X]]=4)),tbal[[#This Row],[ACREEDOR]],0)</f>
        <v>0</v>
      </c>
      <c r="M459" s="16">
        <f>IF((OR(tbal[[#This Row],[X]]=0,tbal[[#This Row],[X]]=6)),tbal[[#This Row],[DEUDOR]],0)</f>
        <v>0</v>
      </c>
      <c r="N459" s="18">
        <f>IF((OR(tbal[[#This Row],[X]]=0,tbal[[#This Row],[X]]=5)),tbal[[#This Row],[ACREEDOR]],0)</f>
        <v>0</v>
      </c>
    </row>
    <row r="460" spans="1:14" hidden="1" x14ac:dyDescent="0.3">
      <c r="A460" s="14">
        <f>+'PLAN DE CUENTAS'!A460</f>
        <v>0</v>
      </c>
      <c r="B460" s="13">
        <f>+'PLAN DE CUENTAS'!B460</f>
        <v>0</v>
      </c>
      <c r="C460" s="13">
        <f>+'PLAN DE CUENTAS'!C460</f>
        <v>0</v>
      </c>
      <c r="D460" t="str">
        <f>IF(tbal[[#This Row],[DEBE]]+tbal[[#This Row],[HABER]]=0,"","X")</f>
        <v/>
      </c>
      <c r="E460" s="16">
        <f>SUMIF(tdiario[CUENTA],tbal[[#This Row],[CUENTA]],tdiario[DEBE])</f>
        <v>0</v>
      </c>
      <c r="F460" s="17">
        <f>SUMIF(tdiario[CUENTA],tbal[[#This Row],[CUENTA]],tdiario[HABER])</f>
        <v>0</v>
      </c>
      <c r="G460" s="16">
        <f>IF(tbal[[#This Row],[DEBE]]-tbal[[#This Row],[HABER]]&gt;0,tbal[[#This Row],[DEBE]]-tbal[[#This Row],[HABER]],0)</f>
        <v>0</v>
      </c>
      <c r="H460" s="18">
        <f>IF(tbal[[#This Row],[HABER]]-tbal[[#This Row],[DEBE]]&gt;0,tbal[[#This Row],[HABER]]-tbal[[#This Row],[DEBE]],0)</f>
        <v>0</v>
      </c>
      <c r="I460" s="16">
        <f>IF((OR(tbal[[#This Row],[X]]=1,tbal[[#This Row],[X]]=2)),tbal[[#This Row],[DEUDOR]],0)</f>
        <v>0</v>
      </c>
      <c r="J460" s="18">
        <f>IF((OR(tbal[[#This Row],[X]]=2,tbal[[#This Row],[X]]=3)),tbal[[#This Row],[ACREEDOR]],0)</f>
        <v>0</v>
      </c>
      <c r="K460" s="16">
        <f>IF((OR(tbal[[#This Row],[X]]=3,tbal[[#This Row],[X]]=5)),tbal[[#This Row],[DEUDOR]],0)</f>
        <v>0</v>
      </c>
      <c r="L460" s="18">
        <f>IF((OR(tbal[[#This Row],[X]]=3,tbal[[#This Row],[X]]=4)),tbal[[#This Row],[ACREEDOR]],0)</f>
        <v>0</v>
      </c>
      <c r="M460" s="16">
        <f>IF((OR(tbal[[#This Row],[X]]=0,tbal[[#This Row],[X]]=6)),tbal[[#This Row],[DEUDOR]],0)</f>
        <v>0</v>
      </c>
      <c r="N460" s="18">
        <f>IF((OR(tbal[[#This Row],[X]]=0,tbal[[#This Row],[X]]=5)),tbal[[#This Row],[ACREEDOR]],0)</f>
        <v>0</v>
      </c>
    </row>
    <row r="461" spans="1:14" hidden="1" x14ac:dyDescent="0.3">
      <c r="A461" s="14">
        <f>+'PLAN DE CUENTAS'!A461</f>
        <v>0</v>
      </c>
      <c r="B461" s="13">
        <f>+'PLAN DE CUENTAS'!B461</f>
        <v>0</v>
      </c>
      <c r="C461" s="13">
        <f>+'PLAN DE CUENTAS'!C461</f>
        <v>0</v>
      </c>
      <c r="D461" t="str">
        <f>IF(tbal[[#This Row],[DEBE]]+tbal[[#This Row],[HABER]]=0,"","X")</f>
        <v/>
      </c>
      <c r="E461" s="16">
        <f>SUMIF(tdiario[CUENTA],tbal[[#This Row],[CUENTA]],tdiario[DEBE])</f>
        <v>0</v>
      </c>
      <c r="F461" s="17">
        <f>SUMIF(tdiario[CUENTA],tbal[[#This Row],[CUENTA]],tdiario[HABER])</f>
        <v>0</v>
      </c>
      <c r="G461" s="16">
        <f>IF(tbal[[#This Row],[DEBE]]-tbal[[#This Row],[HABER]]&gt;0,tbal[[#This Row],[DEBE]]-tbal[[#This Row],[HABER]],0)</f>
        <v>0</v>
      </c>
      <c r="H461" s="18">
        <f>IF(tbal[[#This Row],[HABER]]-tbal[[#This Row],[DEBE]]&gt;0,tbal[[#This Row],[HABER]]-tbal[[#This Row],[DEBE]],0)</f>
        <v>0</v>
      </c>
      <c r="I461" s="16">
        <f>IF((OR(tbal[[#This Row],[X]]=1,tbal[[#This Row],[X]]=2)),tbal[[#This Row],[DEUDOR]],0)</f>
        <v>0</v>
      </c>
      <c r="J461" s="18">
        <f>IF((OR(tbal[[#This Row],[X]]=2,tbal[[#This Row],[X]]=3)),tbal[[#This Row],[ACREEDOR]],0)</f>
        <v>0</v>
      </c>
      <c r="K461" s="16">
        <f>IF((OR(tbal[[#This Row],[X]]=3,tbal[[#This Row],[X]]=5)),tbal[[#This Row],[DEUDOR]],0)</f>
        <v>0</v>
      </c>
      <c r="L461" s="18">
        <f>IF((OR(tbal[[#This Row],[X]]=3,tbal[[#This Row],[X]]=4)),tbal[[#This Row],[ACREEDOR]],0)</f>
        <v>0</v>
      </c>
      <c r="M461" s="16">
        <f>IF((OR(tbal[[#This Row],[X]]=0,tbal[[#This Row],[X]]=6)),tbal[[#This Row],[DEUDOR]],0)</f>
        <v>0</v>
      </c>
      <c r="N461" s="18">
        <f>IF((OR(tbal[[#This Row],[X]]=0,tbal[[#This Row],[X]]=5)),tbal[[#This Row],[ACREEDOR]],0)</f>
        <v>0</v>
      </c>
    </row>
    <row r="462" spans="1:14" hidden="1" x14ac:dyDescent="0.3">
      <c r="A462" s="14">
        <f>+'PLAN DE CUENTAS'!A462</f>
        <v>0</v>
      </c>
      <c r="B462" s="13">
        <f>+'PLAN DE CUENTAS'!B462</f>
        <v>0</v>
      </c>
      <c r="C462" s="13">
        <f>+'PLAN DE CUENTAS'!C462</f>
        <v>0</v>
      </c>
      <c r="D462" t="str">
        <f>IF(tbal[[#This Row],[DEBE]]+tbal[[#This Row],[HABER]]=0,"","X")</f>
        <v/>
      </c>
      <c r="E462" s="16">
        <f>SUMIF(tdiario[CUENTA],tbal[[#This Row],[CUENTA]],tdiario[DEBE])</f>
        <v>0</v>
      </c>
      <c r="F462" s="17">
        <f>SUMIF(tdiario[CUENTA],tbal[[#This Row],[CUENTA]],tdiario[HABER])</f>
        <v>0</v>
      </c>
      <c r="G462" s="16">
        <f>IF(tbal[[#This Row],[DEBE]]-tbal[[#This Row],[HABER]]&gt;0,tbal[[#This Row],[DEBE]]-tbal[[#This Row],[HABER]],0)</f>
        <v>0</v>
      </c>
      <c r="H462" s="18">
        <f>IF(tbal[[#This Row],[HABER]]-tbal[[#This Row],[DEBE]]&gt;0,tbal[[#This Row],[HABER]]-tbal[[#This Row],[DEBE]],0)</f>
        <v>0</v>
      </c>
      <c r="I462" s="16">
        <f>IF((OR(tbal[[#This Row],[X]]=1,tbal[[#This Row],[X]]=2)),tbal[[#This Row],[DEUDOR]],0)</f>
        <v>0</v>
      </c>
      <c r="J462" s="18">
        <f>IF((OR(tbal[[#This Row],[X]]=2,tbal[[#This Row],[X]]=3)),tbal[[#This Row],[ACREEDOR]],0)</f>
        <v>0</v>
      </c>
      <c r="K462" s="16">
        <f>IF((OR(tbal[[#This Row],[X]]=3,tbal[[#This Row],[X]]=5)),tbal[[#This Row],[DEUDOR]],0)</f>
        <v>0</v>
      </c>
      <c r="L462" s="18">
        <f>IF((OR(tbal[[#This Row],[X]]=3,tbal[[#This Row],[X]]=4)),tbal[[#This Row],[ACREEDOR]],0)</f>
        <v>0</v>
      </c>
      <c r="M462" s="16">
        <f>IF((OR(tbal[[#This Row],[X]]=0,tbal[[#This Row],[X]]=6)),tbal[[#This Row],[DEUDOR]],0)</f>
        <v>0</v>
      </c>
      <c r="N462" s="18">
        <f>IF((OR(tbal[[#This Row],[X]]=0,tbal[[#This Row],[X]]=5)),tbal[[#This Row],[ACREEDOR]],0)</f>
        <v>0</v>
      </c>
    </row>
    <row r="463" spans="1:14" hidden="1" x14ac:dyDescent="0.3">
      <c r="A463" s="14">
        <f>+'PLAN DE CUENTAS'!A463</f>
        <v>0</v>
      </c>
      <c r="B463" s="13">
        <f>+'PLAN DE CUENTAS'!B463</f>
        <v>0</v>
      </c>
      <c r="C463" s="13">
        <f>+'PLAN DE CUENTAS'!C463</f>
        <v>0</v>
      </c>
      <c r="D463" t="str">
        <f>IF(tbal[[#This Row],[DEBE]]+tbal[[#This Row],[HABER]]=0,"","X")</f>
        <v/>
      </c>
      <c r="E463" s="16">
        <f>SUMIF(tdiario[CUENTA],tbal[[#This Row],[CUENTA]],tdiario[DEBE])</f>
        <v>0</v>
      </c>
      <c r="F463" s="17">
        <f>SUMIF(tdiario[CUENTA],tbal[[#This Row],[CUENTA]],tdiario[HABER])</f>
        <v>0</v>
      </c>
      <c r="G463" s="16">
        <f>IF(tbal[[#This Row],[DEBE]]-tbal[[#This Row],[HABER]]&gt;0,tbal[[#This Row],[DEBE]]-tbal[[#This Row],[HABER]],0)</f>
        <v>0</v>
      </c>
      <c r="H463" s="18">
        <f>IF(tbal[[#This Row],[HABER]]-tbal[[#This Row],[DEBE]]&gt;0,tbal[[#This Row],[HABER]]-tbal[[#This Row],[DEBE]],0)</f>
        <v>0</v>
      </c>
      <c r="I463" s="16">
        <f>IF((OR(tbal[[#This Row],[X]]=1,tbal[[#This Row],[X]]=2)),tbal[[#This Row],[DEUDOR]],0)</f>
        <v>0</v>
      </c>
      <c r="J463" s="18">
        <f>IF((OR(tbal[[#This Row],[X]]=2,tbal[[#This Row],[X]]=3)),tbal[[#This Row],[ACREEDOR]],0)</f>
        <v>0</v>
      </c>
      <c r="K463" s="16">
        <f>IF((OR(tbal[[#This Row],[X]]=3,tbal[[#This Row],[X]]=5)),tbal[[#This Row],[DEUDOR]],0)</f>
        <v>0</v>
      </c>
      <c r="L463" s="18">
        <f>IF((OR(tbal[[#This Row],[X]]=3,tbal[[#This Row],[X]]=4)),tbal[[#This Row],[ACREEDOR]],0)</f>
        <v>0</v>
      </c>
      <c r="M463" s="16">
        <f>IF((OR(tbal[[#This Row],[X]]=0,tbal[[#This Row],[X]]=6)),tbal[[#This Row],[DEUDOR]],0)</f>
        <v>0</v>
      </c>
      <c r="N463" s="18">
        <f>IF((OR(tbal[[#This Row],[X]]=0,tbal[[#This Row],[X]]=5)),tbal[[#This Row],[ACREEDOR]],0)</f>
        <v>0</v>
      </c>
    </row>
    <row r="464" spans="1:14" hidden="1" x14ac:dyDescent="0.3">
      <c r="A464" s="14">
        <f>+'PLAN DE CUENTAS'!A464</f>
        <v>0</v>
      </c>
      <c r="B464" s="13">
        <f>+'PLAN DE CUENTAS'!B464</f>
        <v>0</v>
      </c>
      <c r="C464" s="13">
        <f>+'PLAN DE CUENTAS'!C464</f>
        <v>0</v>
      </c>
      <c r="D464" t="str">
        <f>IF(tbal[[#This Row],[DEBE]]+tbal[[#This Row],[HABER]]=0,"","X")</f>
        <v/>
      </c>
      <c r="E464" s="16">
        <f>SUMIF(tdiario[CUENTA],tbal[[#This Row],[CUENTA]],tdiario[DEBE])</f>
        <v>0</v>
      </c>
      <c r="F464" s="17">
        <f>SUMIF(tdiario[CUENTA],tbal[[#This Row],[CUENTA]],tdiario[HABER])</f>
        <v>0</v>
      </c>
      <c r="G464" s="16">
        <f>IF(tbal[[#This Row],[DEBE]]-tbal[[#This Row],[HABER]]&gt;0,tbal[[#This Row],[DEBE]]-tbal[[#This Row],[HABER]],0)</f>
        <v>0</v>
      </c>
      <c r="H464" s="18">
        <f>IF(tbal[[#This Row],[HABER]]-tbal[[#This Row],[DEBE]]&gt;0,tbal[[#This Row],[HABER]]-tbal[[#This Row],[DEBE]],0)</f>
        <v>0</v>
      </c>
      <c r="I464" s="16">
        <f>IF((OR(tbal[[#This Row],[X]]=1,tbal[[#This Row],[X]]=2)),tbal[[#This Row],[DEUDOR]],0)</f>
        <v>0</v>
      </c>
      <c r="J464" s="18">
        <f>IF((OR(tbal[[#This Row],[X]]=2,tbal[[#This Row],[X]]=3)),tbal[[#This Row],[ACREEDOR]],0)</f>
        <v>0</v>
      </c>
      <c r="K464" s="16">
        <f>IF((OR(tbal[[#This Row],[X]]=3,tbal[[#This Row],[X]]=5)),tbal[[#This Row],[DEUDOR]],0)</f>
        <v>0</v>
      </c>
      <c r="L464" s="18">
        <f>IF((OR(tbal[[#This Row],[X]]=3,tbal[[#This Row],[X]]=4)),tbal[[#This Row],[ACREEDOR]],0)</f>
        <v>0</v>
      </c>
      <c r="M464" s="16">
        <f>IF((OR(tbal[[#This Row],[X]]=0,tbal[[#This Row],[X]]=6)),tbal[[#This Row],[DEUDOR]],0)</f>
        <v>0</v>
      </c>
      <c r="N464" s="18">
        <f>IF((OR(tbal[[#This Row],[X]]=0,tbal[[#This Row],[X]]=5)),tbal[[#This Row],[ACREEDOR]],0)</f>
        <v>0</v>
      </c>
    </row>
    <row r="465" spans="1:14" hidden="1" x14ac:dyDescent="0.3">
      <c r="A465" s="14">
        <f>+'PLAN DE CUENTAS'!A465</f>
        <v>0</v>
      </c>
      <c r="B465" s="13">
        <f>+'PLAN DE CUENTAS'!B465</f>
        <v>0</v>
      </c>
      <c r="C465" s="13">
        <f>+'PLAN DE CUENTAS'!C465</f>
        <v>0</v>
      </c>
      <c r="D465" t="str">
        <f>IF(tbal[[#This Row],[DEBE]]+tbal[[#This Row],[HABER]]=0,"","X")</f>
        <v/>
      </c>
      <c r="E465" s="16">
        <f>SUMIF(tdiario[CUENTA],tbal[[#This Row],[CUENTA]],tdiario[DEBE])</f>
        <v>0</v>
      </c>
      <c r="F465" s="17">
        <f>SUMIF(tdiario[CUENTA],tbal[[#This Row],[CUENTA]],tdiario[HABER])</f>
        <v>0</v>
      </c>
      <c r="G465" s="16">
        <f>IF(tbal[[#This Row],[DEBE]]-tbal[[#This Row],[HABER]]&gt;0,tbal[[#This Row],[DEBE]]-tbal[[#This Row],[HABER]],0)</f>
        <v>0</v>
      </c>
      <c r="H465" s="18">
        <f>IF(tbal[[#This Row],[HABER]]-tbal[[#This Row],[DEBE]]&gt;0,tbal[[#This Row],[HABER]]-tbal[[#This Row],[DEBE]],0)</f>
        <v>0</v>
      </c>
      <c r="I465" s="16">
        <f>IF((OR(tbal[[#This Row],[X]]=1,tbal[[#This Row],[X]]=2)),tbal[[#This Row],[DEUDOR]],0)</f>
        <v>0</v>
      </c>
      <c r="J465" s="18">
        <f>IF((OR(tbal[[#This Row],[X]]=2,tbal[[#This Row],[X]]=3)),tbal[[#This Row],[ACREEDOR]],0)</f>
        <v>0</v>
      </c>
      <c r="K465" s="16">
        <f>IF((OR(tbal[[#This Row],[X]]=3,tbal[[#This Row],[X]]=5)),tbal[[#This Row],[DEUDOR]],0)</f>
        <v>0</v>
      </c>
      <c r="L465" s="18">
        <f>IF((OR(tbal[[#This Row],[X]]=3,tbal[[#This Row],[X]]=4)),tbal[[#This Row],[ACREEDOR]],0)</f>
        <v>0</v>
      </c>
      <c r="M465" s="16">
        <f>IF((OR(tbal[[#This Row],[X]]=0,tbal[[#This Row],[X]]=6)),tbal[[#This Row],[DEUDOR]],0)</f>
        <v>0</v>
      </c>
      <c r="N465" s="18">
        <f>IF((OR(tbal[[#This Row],[X]]=0,tbal[[#This Row],[X]]=5)),tbal[[#This Row],[ACREEDOR]],0)</f>
        <v>0</v>
      </c>
    </row>
    <row r="466" spans="1:14" hidden="1" x14ac:dyDescent="0.3">
      <c r="A466" s="14">
        <f>+'PLAN DE CUENTAS'!A466</f>
        <v>0</v>
      </c>
      <c r="B466" s="13">
        <f>+'PLAN DE CUENTAS'!B466</f>
        <v>0</v>
      </c>
      <c r="C466" s="13">
        <f>+'PLAN DE CUENTAS'!C466</f>
        <v>0</v>
      </c>
      <c r="D466" t="str">
        <f>IF(tbal[[#This Row],[DEBE]]+tbal[[#This Row],[HABER]]=0,"","X")</f>
        <v/>
      </c>
      <c r="E466" s="16">
        <f>SUMIF(tdiario[CUENTA],tbal[[#This Row],[CUENTA]],tdiario[DEBE])</f>
        <v>0</v>
      </c>
      <c r="F466" s="17">
        <f>SUMIF(tdiario[CUENTA],tbal[[#This Row],[CUENTA]],tdiario[HABER])</f>
        <v>0</v>
      </c>
      <c r="G466" s="16">
        <f>IF(tbal[[#This Row],[DEBE]]-tbal[[#This Row],[HABER]]&gt;0,tbal[[#This Row],[DEBE]]-tbal[[#This Row],[HABER]],0)</f>
        <v>0</v>
      </c>
      <c r="H466" s="18">
        <f>IF(tbal[[#This Row],[HABER]]-tbal[[#This Row],[DEBE]]&gt;0,tbal[[#This Row],[HABER]]-tbal[[#This Row],[DEBE]],0)</f>
        <v>0</v>
      </c>
      <c r="I466" s="16">
        <f>IF((OR(tbal[[#This Row],[X]]=1,tbal[[#This Row],[X]]=2)),tbal[[#This Row],[DEUDOR]],0)</f>
        <v>0</v>
      </c>
      <c r="J466" s="18">
        <f>IF((OR(tbal[[#This Row],[X]]=2,tbal[[#This Row],[X]]=3)),tbal[[#This Row],[ACREEDOR]],0)</f>
        <v>0</v>
      </c>
      <c r="K466" s="16">
        <f>IF((OR(tbal[[#This Row],[X]]=3,tbal[[#This Row],[X]]=5)),tbal[[#This Row],[DEUDOR]],0)</f>
        <v>0</v>
      </c>
      <c r="L466" s="18">
        <f>IF((OR(tbal[[#This Row],[X]]=3,tbal[[#This Row],[X]]=4)),tbal[[#This Row],[ACREEDOR]],0)</f>
        <v>0</v>
      </c>
      <c r="M466" s="16">
        <f>IF((OR(tbal[[#This Row],[X]]=0,tbal[[#This Row],[X]]=6)),tbal[[#This Row],[DEUDOR]],0)</f>
        <v>0</v>
      </c>
      <c r="N466" s="18">
        <f>IF((OR(tbal[[#This Row],[X]]=0,tbal[[#This Row],[X]]=5)),tbal[[#This Row],[ACREEDOR]],0)</f>
        <v>0</v>
      </c>
    </row>
    <row r="467" spans="1:14" hidden="1" x14ac:dyDescent="0.3">
      <c r="A467" s="14">
        <f>+'PLAN DE CUENTAS'!A467</f>
        <v>0</v>
      </c>
      <c r="B467" s="13">
        <f>+'PLAN DE CUENTAS'!B467</f>
        <v>0</v>
      </c>
      <c r="C467" s="13">
        <f>+'PLAN DE CUENTAS'!C467</f>
        <v>0</v>
      </c>
      <c r="D467" t="str">
        <f>IF(tbal[[#This Row],[DEBE]]+tbal[[#This Row],[HABER]]=0,"","X")</f>
        <v/>
      </c>
      <c r="E467" s="16">
        <f>SUMIF(tdiario[CUENTA],tbal[[#This Row],[CUENTA]],tdiario[DEBE])</f>
        <v>0</v>
      </c>
      <c r="F467" s="17">
        <f>SUMIF(tdiario[CUENTA],tbal[[#This Row],[CUENTA]],tdiario[HABER])</f>
        <v>0</v>
      </c>
      <c r="G467" s="16">
        <f>IF(tbal[[#This Row],[DEBE]]-tbal[[#This Row],[HABER]]&gt;0,tbal[[#This Row],[DEBE]]-tbal[[#This Row],[HABER]],0)</f>
        <v>0</v>
      </c>
      <c r="H467" s="18">
        <f>IF(tbal[[#This Row],[HABER]]-tbal[[#This Row],[DEBE]]&gt;0,tbal[[#This Row],[HABER]]-tbal[[#This Row],[DEBE]],0)</f>
        <v>0</v>
      </c>
      <c r="I467" s="16">
        <f>IF((OR(tbal[[#This Row],[X]]=1,tbal[[#This Row],[X]]=2)),tbal[[#This Row],[DEUDOR]],0)</f>
        <v>0</v>
      </c>
      <c r="J467" s="18">
        <f>IF((OR(tbal[[#This Row],[X]]=2,tbal[[#This Row],[X]]=3)),tbal[[#This Row],[ACREEDOR]],0)</f>
        <v>0</v>
      </c>
      <c r="K467" s="16">
        <f>IF((OR(tbal[[#This Row],[X]]=3,tbal[[#This Row],[X]]=5)),tbal[[#This Row],[DEUDOR]],0)</f>
        <v>0</v>
      </c>
      <c r="L467" s="18">
        <f>IF((OR(tbal[[#This Row],[X]]=3,tbal[[#This Row],[X]]=4)),tbal[[#This Row],[ACREEDOR]],0)</f>
        <v>0</v>
      </c>
      <c r="M467" s="16">
        <f>IF((OR(tbal[[#This Row],[X]]=0,tbal[[#This Row],[X]]=6)),tbal[[#This Row],[DEUDOR]],0)</f>
        <v>0</v>
      </c>
      <c r="N467" s="18">
        <f>IF((OR(tbal[[#This Row],[X]]=0,tbal[[#This Row],[X]]=5)),tbal[[#This Row],[ACREEDOR]],0)</f>
        <v>0</v>
      </c>
    </row>
    <row r="468" spans="1:14" hidden="1" x14ac:dyDescent="0.3">
      <c r="A468" s="14">
        <f>+'PLAN DE CUENTAS'!A468</f>
        <v>0</v>
      </c>
      <c r="B468" s="13">
        <f>+'PLAN DE CUENTAS'!B468</f>
        <v>0</v>
      </c>
      <c r="C468" s="13">
        <f>+'PLAN DE CUENTAS'!C468</f>
        <v>0</v>
      </c>
      <c r="D468" t="str">
        <f>IF(tbal[[#This Row],[DEBE]]+tbal[[#This Row],[HABER]]=0,"","X")</f>
        <v/>
      </c>
      <c r="E468" s="16">
        <f>SUMIF(tdiario[CUENTA],tbal[[#This Row],[CUENTA]],tdiario[DEBE])</f>
        <v>0</v>
      </c>
      <c r="F468" s="17">
        <f>SUMIF(tdiario[CUENTA],tbal[[#This Row],[CUENTA]],tdiario[HABER])</f>
        <v>0</v>
      </c>
      <c r="G468" s="16">
        <f>IF(tbal[[#This Row],[DEBE]]-tbal[[#This Row],[HABER]]&gt;0,tbal[[#This Row],[DEBE]]-tbal[[#This Row],[HABER]],0)</f>
        <v>0</v>
      </c>
      <c r="H468" s="18">
        <f>IF(tbal[[#This Row],[HABER]]-tbal[[#This Row],[DEBE]]&gt;0,tbal[[#This Row],[HABER]]-tbal[[#This Row],[DEBE]],0)</f>
        <v>0</v>
      </c>
      <c r="I468" s="16">
        <f>IF((OR(tbal[[#This Row],[X]]=1,tbal[[#This Row],[X]]=2)),tbal[[#This Row],[DEUDOR]],0)</f>
        <v>0</v>
      </c>
      <c r="J468" s="18">
        <f>IF((OR(tbal[[#This Row],[X]]=2,tbal[[#This Row],[X]]=3)),tbal[[#This Row],[ACREEDOR]],0)</f>
        <v>0</v>
      </c>
      <c r="K468" s="16">
        <f>IF((OR(tbal[[#This Row],[X]]=3,tbal[[#This Row],[X]]=5)),tbal[[#This Row],[DEUDOR]],0)</f>
        <v>0</v>
      </c>
      <c r="L468" s="18">
        <f>IF((OR(tbal[[#This Row],[X]]=3,tbal[[#This Row],[X]]=4)),tbal[[#This Row],[ACREEDOR]],0)</f>
        <v>0</v>
      </c>
      <c r="M468" s="16">
        <f>IF((OR(tbal[[#This Row],[X]]=0,tbal[[#This Row],[X]]=6)),tbal[[#This Row],[DEUDOR]],0)</f>
        <v>0</v>
      </c>
      <c r="N468" s="18">
        <f>IF((OR(tbal[[#This Row],[X]]=0,tbal[[#This Row],[X]]=5)),tbal[[#This Row],[ACREEDOR]],0)</f>
        <v>0</v>
      </c>
    </row>
    <row r="469" spans="1:14" hidden="1" x14ac:dyDescent="0.3">
      <c r="A469" s="14">
        <f>+'PLAN DE CUENTAS'!A469</f>
        <v>0</v>
      </c>
      <c r="B469" s="13">
        <f>+'PLAN DE CUENTAS'!B469</f>
        <v>0</v>
      </c>
      <c r="C469" s="13">
        <f>+'PLAN DE CUENTAS'!C469</f>
        <v>0</v>
      </c>
      <c r="D469" t="str">
        <f>IF(tbal[[#This Row],[DEBE]]+tbal[[#This Row],[HABER]]=0,"","X")</f>
        <v/>
      </c>
      <c r="E469" s="16">
        <f>SUMIF(tdiario[CUENTA],tbal[[#This Row],[CUENTA]],tdiario[DEBE])</f>
        <v>0</v>
      </c>
      <c r="F469" s="17">
        <f>SUMIF(tdiario[CUENTA],tbal[[#This Row],[CUENTA]],tdiario[HABER])</f>
        <v>0</v>
      </c>
      <c r="G469" s="16">
        <f>IF(tbal[[#This Row],[DEBE]]-tbal[[#This Row],[HABER]]&gt;0,tbal[[#This Row],[DEBE]]-tbal[[#This Row],[HABER]],0)</f>
        <v>0</v>
      </c>
      <c r="H469" s="18">
        <f>IF(tbal[[#This Row],[HABER]]-tbal[[#This Row],[DEBE]]&gt;0,tbal[[#This Row],[HABER]]-tbal[[#This Row],[DEBE]],0)</f>
        <v>0</v>
      </c>
      <c r="I469" s="16">
        <f>IF((OR(tbal[[#This Row],[X]]=1,tbal[[#This Row],[X]]=2)),tbal[[#This Row],[DEUDOR]],0)</f>
        <v>0</v>
      </c>
      <c r="J469" s="18">
        <f>IF((OR(tbal[[#This Row],[X]]=2,tbal[[#This Row],[X]]=3)),tbal[[#This Row],[ACREEDOR]],0)</f>
        <v>0</v>
      </c>
      <c r="K469" s="16">
        <f>IF((OR(tbal[[#This Row],[X]]=3,tbal[[#This Row],[X]]=5)),tbal[[#This Row],[DEUDOR]],0)</f>
        <v>0</v>
      </c>
      <c r="L469" s="18">
        <f>IF((OR(tbal[[#This Row],[X]]=3,tbal[[#This Row],[X]]=4)),tbal[[#This Row],[ACREEDOR]],0)</f>
        <v>0</v>
      </c>
      <c r="M469" s="16">
        <f>IF((OR(tbal[[#This Row],[X]]=0,tbal[[#This Row],[X]]=6)),tbal[[#This Row],[DEUDOR]],0)</f>
        <v>0</v>
      </c>
      <c r="N469" s="18">
        <f>IF((OR(tbal[[#This Row],[X]]=0,tbal[[#This Row],[X]]=5)),tbal[[#This Row],[ACREEDOR]],0)</f>
        <v>0</v>
      </c>
    </row>
    <row r="470" spans="1:14" hidden="1" x14ac:dyDescent="0.3">
      <c r="A470" s="14">
        <f>+'PLAN DE CUENTAS'!A470</f>
        <v>0</v>
      </c>
      <c r="B470" s="13">
        <f>+'PLAN DE CUENTAS'!B470</f>
        <v>0</v>
      </c>
      <c r="C470" s="13">
        <f>+'PLAN DE CUENTAS'!C470</f>
        <v>0</v>
      </c>
      <c r="D470" t="str">
        <f>IF(tbal[[#This Row],[DEBE]]+tbal[[#This Row],[HABER]]=0,"","X")</f>
        <v/>
      </c>
      <c r="E470" s="16">
        <f>SUMIF(tdiario[CUENTA],tbal[[#This Row],[CUENTA]],tdiario[DEBE])</f>
        <v>0</v>
      </c>
      <c r="F470" s="17">
        <f>SUMIF(tdiario[CUENTA],tbal[[#This Row],[CUENTA]],tdiario[HABER])</f>
        <v>0</v>
      </c>
      <c r="G470" s="16">
        <f>IF(tbal[[#This Row],[DEBE]]-tbal[[#This Row],[HABER]]&gt;0,tbal[[#This Row],[DEBE]]-tbal[[#This Row],[HABER]],0)</f>
        <v>0</v>
      </c>
      <c r="H470" s="18">
        <f>IF(tbal[[#This Row],[HABER]]-tbal[[#This Row],[DEBE]]&gt;0,tbal[[#This Row],[HABER]]-tbal[[#This Row],[DEBE]],0)</f>
        <v>0</v>
      </c>
      <c r="I470" s="16">
        <f>IF((OR(tbal[[#This Row],[X]]=1,tbal[[#This Row],[X]]=2)),tbal[[#This Row],[DEUDOR]],0)</f>
        <v>0</v>
      </c>
      <c r="J470" s="18">
        <f>IF((OR(tbal[[#This Row],[X]]=2,tbal[[#This Row],[X]]=3)),tbal[[#This Row],[ACREEDOR]],0)</f>
        <v>0</v>
      </c>
      <c r="K470" s="16">
        <f>IF((OR(tbal[[#This Row],[X]]=3,tbal[[#This Row],[X]]=5)),tbal[[#This Row],[DEUDOR]],0)</f>
        <v>0</v>
      </c>
      <c r="L470" s="18">
        <f>IF((OR(tbal[[#This Row],[X]]=3,tbal[[#This Row],[X]]=4)),tbal[[#This Row],[ACREEDOR]],0)</f>
        <v>0</v>
      </c>
      <c r="M470" s="16">
        <f>IF((OR(tbal[[#This Row],[X]]=0,tbal[[#This Row],[X]]=6)),tbal[[#This Row],[DEUDOR]],0)</f>
        <v>0</v>
      </c>
      <c r="N470" s="18">
        <f>IF((OR(tbal[[#This Row],[X]]=0,tbal[[#This Row],[X]]=5)),tbal[[#This Row],[ACREEDOR]],0)</f>
        <v>0</v>
      </c>
    </row>
    <row r="471" spans="1:14" hidden="1" x14ac:dyDescent="0.3">
      <c r="A471" s="14">
        <f>+'PLAN DE CUENTAS'!A471</f>
        <v>0</v>
      </c>
      <c r="B471" s="13">
        <f>+'PLAN DE CUENTAS'!B471</f>
        <v>0</v>
      </c>
      <c r="C471" s="13">
        <f>+'PLAN DE CUENTAS'!C471</f>
        <v>0</v>
      </c>
      <c r="D471" t="str">
        <f>IF(tbal[[#This Row],[DEBE]]+tbal[[#This Row],[HABER]]=0,"","X")</f>
        <v/>
      </c>
      <c r="E471" s="16">
        <f>SUMIF(tdiario[CUENTA],tbal[[#This Row],[CUENTA]],tdiario[DEBE])</f>
        <v>0</v>
      </c>
      <c r="F471" s="17">
        <f>SUMIF(tdiario[CUENTA],tbal[[#This Row],[CUENTA]],tdiario[HABER])</f>
        <v>0</v>
      </c>
      <c r="G471" s="16">
        <f>IF(tbal[[#This Row],[DEBE]]-tbal[[#This Row],[HABER]]&gt;0,tbal[[#This Row],[DEBE]]-tbal[[#This Row],[HABER]],0)</f>
        <v>0</v>
      </c>
      <c r="H471" s="18">
        <f>IF(tbal[[#This Row],[HABER]]-tbal[[#This Row],[DEBE]]&gt;0,tbal[[#This Row],[HABER]]-tbal[[#This Row],[DEBE]],0)</f>
        <v>0</v>
      </c>
      <c r="I471" s="16">
        <f>IF((OR(tbal[[#This Row],[X]]=1,tbal[[#This Row],[X]]=2)),tbal[[#This Row],[DEUDOR]],0)</f>
        <v>0</v>
      </c>
      <c r="J471" s="18">
        <f>IF((OR(tbal[[#This Row],[X]]=2,tbal[[#This Row],[X]]=3)),tbal[[#This Row],[ACREEDOR]],0)</f>
        <v>0</v>
      </c>
      <c r="K471" s="16">
        <f>IF((OR(tbal[[#This Row],[X]]=3,tbal[[#This Row],[X]]=5)),tbal[[#This Row],[DEUDOR]],0)</f>
        <v>0</v>
      </c>
      <c r="L471" s="18">
        <f>IF((OR(tbal[[#This Row],[X]]=3,tbal[[#This Row],[X]]=4)),tbal[[#This Row],[ACREEDOR]],0)</f>
        <v>0</v>
      </c>
      <c r="M471" s="16">
        <f>IF((OR(tbal[[#This Row],[X]]=0,tbal[[#This Row],[X]]=6)),tbal[[#This Row],[DEUDOR]],0)</f>
        <v>0</v>
      </c>
      <c r="N471" s="18">
        <f>IF((OR(tbal[[#This Row],[X]]=0,tbal[[#This Row],[X]]=5)),tbal[[#This Row],[ACREEDOR]],0)</f>
        <v>0</v>
      </c>
    </row>
    <row r="472" spans="1:14" hidden="1" x14ac:dyDescent="0.3">
      <c r="A472" s="14">
        <f>+'PLAN DE CUENTAS'!A472</f>
        <v>0</v>
      </c>
      <c r="B472" s="13">
        <f>+'PLAN DE CUENTAS'!B472</f>
        <v>0</v>
      </c>
      <c r="C472" s="13">
        <f>+'PLAN DE CUENTAS'!C472</f>
        <v>0</v>
      </c>
      <c r="D472" t="str">
        <f>IF(tbal[[#This Row],[DEBE]]+tbal[[#This Row],[HABER]]=0,"","X")</f>
        <v/>
      </c>
      <c r="E472" s="16">
        <f>SUMIF(tdiario[CUENTA],tbal[[#This Row],[CUENTA]],tdiario[DEBE])</f>
        <v>0</v>
      </c>
      <c r="F472" s="17">
        <f>SUMIF(tdiario[CUENTA],tbal[[#This Row],[CUENTA]],tdiario[HABER])</f>
        <v>0</v>
      </c>
      <c r="G472" s="16">
        <f>IF(tbal[[#This Row],[DEBE]]-tbal[[#This Row],[HABER]]&gt;0,tbal[[#This Row],[DEBE]]-tbal[[#This Row],[HABER]],0)</f>
        <v>0</v>
      </c>
      <c r="H472" s="18">
        <f>IF(tbal[[#This Row],[HABER]]-tbal[[#This Row],[DEBE]]&gt;0,tbal[[#This Row],[HABER]]-tbal[[#This Row],[DEBE]],0)</f>
        <v>0</v>
      </c>
      <c r="I472" s="16">
        <f>IF((OR(tbal[[#This Row],[X]]=1,tbal[[#This Row],[X]]=2)),tbal[[#This Row],[DEUDOR]],0)</f>
        <v>0</v>
      </c>
      <c r="J472" s="18">
        <f>IF((OR(tbal[[#This Row],[X]]=2,tbal[[#This Row],[X]]=3)),tbal[[#This Row],[ACREEDOR]],0)</f>
        <v>0</v>
      </c>
      <c r="K472" s="16">
        <f>IF((OR(tbal[[#This Row],[X]]=3,tbal[[#This Row],[X]]=5)),tbal[[#This Row],[DEUDOR]],0)</f>
        <v>0</v>
      </c>
      <c r="L472" s="18">
        <f>IF((OR(tbal[[#This Row],[X]]=3,tbal[[#This Row],[X]]=4)),tbal[[#This Row],[ACREEDOR]],0)</f>
        <v>0</v>
      </c>
      <c r="M472" s="16">
        <f>IF((OR(tbal[[#This Row],[X]]=0,tbal[[#This Row],[X]]=6)),tbal[[#This Row],[DEUDOR]],0)</f>
        <v>0</v>
      </c>
      <c r="N472" s="18">
        <f>IF((OR(tbal[[#This Row],[X]]=0,tbal[[#This Row],[X]]=5)),tbal[[#This Row],[ACREEDOR]],0)</f>
        <v>0</v>
      </c>
    </row>
    <row r="473" spans="1:14" hidden="1" x14ac:dyDescent="0.3">
      <c r="A473" s="14">
        <f>+'PLAN DE CUENTAS'!A473</f>
        <v>0</v>
      </c>
      <c r="B473" s="13">
        <f>+'PLAN DE CUENTAS'!B473</f>
        <v>0</v>
      </c>
      <c r="C473" s="13">
        <f>+'PLAN DE CUENTAS'!C473</f>
        <v>0</v>
      </c>
      <c r="D473" t="str">
        <f>IF(tbal[[#This Row],[DEBE]]+tbal[[#This Row],[HABER]]=0,"","X")</f>
        <v/>
      </c>
      <c r="E473" s="16">
        <f>SUMIF(tdiario[CUENTA],tbal[[#This Row],[CUENTA]],tdiario[DEBE])</f>
        <v>0</v>
      </c>
      <c r="F473" s="17">
        <f>SUMIF(tdiario[CUENTA],tbal[[#This Row],[CUENTA]],tdiario[HABER])</f>
        <v>0</v>
      </c>
      <c r="G473" s="16">
        <f>IF(tbal[[#This Row],[DEBE]]-tbal[[#This Row],[HABER]]&gt;0,tbal[[#This Row],[DEBE]]-tbal[[#This Row],[HABER]],0)</f>
        <v>0</v>
      </c>
      <c r="H473" s="18">
        <f>IF(tbal[[#This Row],[HABER]]-tbal[[#This Row],[DEBE]]&gt;0,tbal[[#This Row],[HABER]]-tbal[[#This Row],[DEBE]],0)</f>
        <v>0</v>
      </c>
      <c r="I473" s="16">
        <f>IF((OR(tbal[[#This Row],[X]]=1,tbal[[#This Row],[X]]=2)),tbal[[#This Row],[DEUDOR]],0)</f>
        <v>0</v>
      </c>
      <c r="J473" s="18">
        <f>IF((OR(tbal[[#This Row],[X]]=2,tbal[[#This Row],[X]]=3)),tbal[[#This Row],[ACREEDOR]],0)</f>
        <v>0</v>
      </c>
      <c r="K473" s="16">
        <f>IF((OR(tbal[[#This Row],[X]]=3,tbal[[#This Row],[X]]=5)),tbal[[#This Row],[DEUDOR]],0)</f>
        <v>0</v>
      </c>
      <c r="L473" s="18">
        <f>IF((OR(tbal[[#This Row],[X]]=3,tbal[[#This Row],[X]]=4)),tbal[[#This Row],[ACREEDOR]],0)</f>
        <v>0</v>
      </c>
      <c r="M473" s="16">
        <f>IF((OR(tbal[[#This Row],[X]]=0,tbal[[#This Row],[X]]=6)),tbal[[#This Row],[DEUDOR]],0)</f>
        <v>0</v>
      </c>
      <c r="N473" s="18">
        <f>IF((OR(tbal[[#This Row],[X]]=0,tbal[[#This Row],[X]]=5)),tbal[[#This Row],[ACREEDOR]],0)</f>
        <v>0</v>
      </c>
    </row>
    <row r="474" spans="1:14" hidden="1" x14ac:dyDescent="0.3">
      <c r="A474" s="14">
        <f>+'PLAN DE CUENTAS'!A474</f>
        <v>0</v>
      </c>
      <c r="B474" s="13">
        <f>+'PLAN DE CUENTAS'!B474</f>
        <v>0</v>
      </c>
      <c r="C474" s="13">
        <f>+'PLAN DE CUENTAS'!C474</f>
        <v>0</v>
      </c>
      <c r="D474" t="str">
        <f>IF(tbal[[#This Row],[DEBE]]+tbal[[#This Row],[HABER]]=0,"","X")</f>
        <v/>
      </c>
      <c r="E474" s="16">
        <f>SUMIF(tdiario[CUENTA],tbal[[#This Row],[CUENTA]],tdiario[DEBE])</f>
        <v>0</v>
      </c>
      <c r="F474" s="17">
        <f>SUMIF(tdiario[CUENTA],tbal[[#This Row],[CUENTA]],tdiario[HABER])</f>
        <v>0</v>
      </c>
      <c r="G474" s="16">
        <f>IF(tbal[[#This Row],[DEBE]]-tbal[[#This Row],[HABER]]&gt;0,tbal[[#This Row],[DEBE]]-tbal[[#This Row],[HABER]],0)</f>
        <v>0</v>
      </c>
      <c r="H474" s="18">
        <f>IF(tbal[[#This Row],[HABER]]-tbal[[#This Row],[DEBE]]&gt;0,tbal[[#This Row],[HABER]]-tbal[[#This Row],[DEBE]],0)</f>
        <v>0</v>
      </c>
      <c r="I474" s="16">
        <f>IF((OR(tbal[[#This Row],[X]]=1,tbal[[#This Row],[X]]=2)),tbal[[#This Row],[DEUDOR]],0)</f>
        <v>0</v>
      </c>
      <c r="J474" s="18">
        <f>IF((OR(tbal[[#This Row],[X]]=2,tbal[[#This Row],[X]]=3)),tbal[[#This Row],[ACREEDOR]],0)</f>
        <v>0</v>
      </c>
      <c r="K474" s="16">
        <f>IF((OR(tbal[[#This Row],[X]]=3,tbal[[#This Row],[X]]=5)),tbal[[#This Row],[DEUDOR]],0)</f>
        <v>0</v>
      </c>
      <c r="L474" s="18">
        <f>IF((OR(tbal[[#This Row],[X]]=3,tbal[[#This Row],[X]]=4)),tbal[[#This Row],[ACREEDOR]],0)</f>
        <v>0</v>
      </c>
      <c r="M474" s="16">
        <f>IF((OR(tbal[[#This Row],[X]]=0,tbal[[#This Row],[X]]=6)),tbal[[#This Row],[DEUDOR]],0)</f>
        <v>0</v>
      </c>
      <c r="N474" s="18">
        <f>IF((OR(tbal[[#This Row],[X]]=0,tbal[[#This Row],[X]]=5)),tbal[[#This Row],[ACREEDOR]],0)</f>
        <v>0</v>
      </c>
    </row>
    <row r="475" spans="1:14" hidden="1" x14ac:dyDescent="0.3">
      <c r="A475" s="14">
        <f>+'PLAN DE CUENTAS'!A475</f>
        <v>0</v>
      </c>
      <c r="B475" s="13">
        <f>+'PLAN DE CUENTAS'!B475</f>
        <v>0</v>
      </c>
      <c r="C475" s="13">
        <f>+'PLAN DE CUENTAS'!C475</f>
        <v>0</v>
      </c>
      <c r="D475" t="str">
        <f>IF(tbal[[#This Row],[DEBE]]+tbal[[#This Row],[HABER]]=0,"","X")</f>
        <v/>
      </c>
      <c r="E475" s="16">
        <f>SUMIF(tdiario[CUENTA],tbal[[#This Row],[CUENTA]],tdiario[DEBE])</f>
        <v>0</v>
      </c>
      <c r="F475" s="17">
        <f>SUMIF(tdiario[CUENTA],tbal[[#This Row],[CUENTA]],tdiario[HABER])</f>
        <v>0</v>
      </c>
      <c r="G475" s="16">
        <f>IF(tbal[[#This Row],[DEBE]]-tbal[[#This Row],[HABER]]&gt;0,tbal[[#This Row],[DEBE]]-tbal[[#This Row],[HABER]],0)</f>
        <v>0</v>
      </c>
      <c r="H475" s="18">
        <f>IF(tbal[[#This Row],[HABER]]-tbal[[#This Row],[DEBE]]&gt;0,tbal[[#This Row],[HABER]]-tbal[[#This Row],[DEBE]],0)</f>
        <v>0</v>
      </c>
      <c r="I475" s="16">
        <f>IF((OR(tbal[[#This Row],[X]]=1,tbal[[#This Row],[X]]=2)),tbal[[#This Row],[DEUDOR]],0)</f>
        <v>0</v>
      </c>
      <c r="J475" s="18">
        <f>IF((OR(tbal[[#This Row],[X]]=2,tbal[[#This Row],[X]]=3)),tbal[[#This Row],[ACREEDOR]],0)</f>
        <v>0</v>
      </c>
      <c r="K475" s="16">
        <f>IF((OR(tbal[[#This Row],[X]]=3,tbal[[#This Row],[X]]=5)),tbal[[#This Row],[DEUDOR]],0)</f>
        <v>0</v>
      </c>
      <c r="L475" s="18">
        <f>IF((OR(tbal[[#This Row],[X]]=3,tbal[[#This Row],[X]]=4)),tbal[[#This Row],[ACREEDOR]],0)</f>
        <v>0</v>
      </c>
      <c r="M475" s="16">
        <f>IF((OR(tbal[[#This Row],[X]]=0,tbal[[#This Row],[X]]=6)),tbal[[#This Row],[DEUDOR]],0)</f>
        <v>0</v>
      </c>
      <c r="N475" s="18">
        <f>IF((OR(tbal[[#This Row],[X]]=0,tbal[[#This Row],[X]]=5)),tbal[[#This Row],[ACREEDOR]],0)</f>
        <v>0</v>
      </c>
    </row>
    <row r="476" spans="1:14" hidden="1" x14ac:dyDescent="0.3">
      <c r="A476" s="14">
        <f>+'PLAN DE CUENTAS'!A476</f>
        <v>0</v>
      </c>
      <c r="B476" s="13">
        <f>+'PLAN DE CUENTAS'!B476</f>
        <v>0</v>
      </c>
      <c r="C476" s="13">
        <f>+'PLAN DE CUENTAS'!C476</f>
        <v>0</v>
      </c>
      <c r="D476" t="str">
        <f>IF(tbal[[#This Row],[DEBE]]+tbal[[#This Row],[HABER]]=0,"","X")</f>
        <v/>
      </c>
      <c r="E476" s="16">
        <f>SUMIF(tdiario[CUENTA],tbal[[#This Row],[CUENTA]],tdiario[DEBE])</f>
        <v>0</v>
      </c>
      <c r="F476" s="17">
        <f>SUMIF(tdiario[CUENTA],tbal[[#This Row],[CUENTA]],tdiario[HABER])</f>
        <v>0</v>
      </c>
      <c r="G476" s="16">
        <f>IF(tbal[[#This Row],[DEBE]]-tbal[[#This Row],[HABER]]&gt;0,tbal[[#This Row],[DEBE]]-tbal[[#This Row],[HABER]],0)</f>
        <v>0</v>
      </c>
      <c r="H476" s="18">
        <f>IF(tbal[[#This Row],[HABER]]-tbal[[#This Row],[DEBE]]&gt;0,tbal[[#This Row],[HABER]]-tbal[[#This Row],[DEBE]],0)</f>
        <v>0</v>
      </c>
      <c r="I476" s="16">
        <f>IF((OR(tbal[[#This Row],[X]]=1,tbal[[#This Row],[X]]=2)),tbal[[#This Row],[DEUDOR]],0)</f>
        <v>0</v>
      </c>
      <c r="J476" s="18">
        <f>IF((OR(tbal[[#This Row],[X]]=2,tbal[[#This Row],[X]]=3)),tbal[[#This Row],[ACREEDOR]],0)</f>
        <v>0</v>
      </c>
      <c r="K476" s="16">
        <f>IF((OR(tbal[[#This Row],[X]]=3,tbal[[#This Row],[X]]=5)),tbal[[#This Row],[DEUDOR]],0)</f>
        <v>0</v>
      </c>
      <c r="L476" s="18">
        <f>IF((OR(tbal[[#This Row],[X]]=3,tbal[[#This Row],[X]]=4)),tbal[[#This Row],[ACREEDOR]],0)</f>
        <v>0</v>
      </c>
      <c r="M476" s="16">
        <f>IF((OR(tbal[[#This Row],[X]]=0,tbal[[#This Row],[X]]=6)),tbal[[#This Row],[DEUDOR]],0)</f>
        <v>0</v>
      </c>
      <c r="N476" s="18">
        <f>IF((OR(tbal[[#This Row],[X]]=0,tbal[[#This Row],[X]]=5)),tbal[[#This Row],[ACREEDOR]],0)</f>
        <v>0</v>
      </c>
    </row>
    <row r="477" spans="1:14" hidden="1" x14ac:dyDescent="0.3">
      <c r="A477" s="14">
        <f>+'PLAN DE CUENTAS'!A477</f>
        <v>0</v>
      </c>
      <c r="B477" s="13">
        <f>+'PLAN DE CUENTAS'!B477</f>
        <v>0</v>
      </c>
      <c r="C477" s="13">
        <f>+'PLAN DE CUENTAS'!C477</f>
        <v>0</v>
      </c>
      <c r="D477" t="str">
        <f>IF(tbal[[#This Row],[DEBE]]+tbal[[#This Row],[HABER]]=0,"","X")</f>
        <v/>
      </c>
      <c r="E477" s="16">
        <f>SUMIF(tdiario[CUENTA],tbal[[#This Row],[CUENTA]],tdiario[DEBE])</f>
        <v>0</v>
      </c>
      <c r="F477" s="17">
        <f>SUMIF(tdiario[CUENTA],tbal[[#This Row],[CUENTA]],tdiario[HABER])</f>
        <v>0</v>
      </c>
      <c r="G477" s="16">
        <f>IF(tbal[[#This Row],[DEBE]]-tbal[[#This Row],[HABER]]&gt;0,tbal[[#This Row],[DEBE]]-tbal[[#This Row],[HABER]],0)</f>
        <v>0</v>
      </c>
      <c r="H477" s="18">
        <f>IF(tbal[[#This Row],[HABER]]-tbal[[#This Row],[DEBE]]&gt;0,tbal[[#This Row],[HABER]]-tbal[[#This Row],[DEBE]],0)</f>
        <v>0</v>
      </c>
      <c r="I477" s="16">
        <f>IF((OR(tbal[[#This Row],[X]]=1,tbal[[#This Row],[X]]=2)),tbal[[#This Row],[DEUDOR]],0)</f>
        <v>0</v>
      </c>
      <c r="J477" s="18">
        <f>IF((OR(tbal[[#This Row],[X]]=2,tbal[[#This Row],[X]]=3)),tbal[[#This Row],[ACREEDOR]],0)</f>
        <v>0</v>
      </c>
      <c r="K477" s="16">
        <f>IF((OR(tbal[[#This Row],[X]]=3,tbal[[#This Row],[X]]=5)),tbal[[#This Row],[DEUDOR]],0)</f>
        <v>0</v>
      </c>
      <c r="L477" s="18">
        <f>IF((OR(tbal[[#This Row],[X]]=3,tbal[[#This Row],[X]]=4)),tbal[[#This Row],[ACREEDOR]],0)</f>
        <v>0</v>
      </c>
      <c r="M477" s="16">
        <f>IF((OR(tbal[[#This Row],[X]]=0,tbal[[#This Row],[X]]=6)),tbal[[#This Row],[DEUDOR]],0)</f>
        <v>0</v>
      </c>
      <c r="N477" s="18">
        <f>IF((OR(tbal[[#This Row],[X]]=0,tbal[[#This Row],[X]]=5)),tbal[[#This Row],[ACREEDOR]],0)</f>
        <v>0</v>
      </c>
    </row>
    <row r="478" spans="1:14" hidden="1" x14ac:dyDescent="0.3">
      <c r="A478" s="14">
        <f>+'PLAN DE CUENTAS'!A478</f>
        <v>0</v>
      </c>
      <c r="B478" s="13">
        <f>+'PLAN DE CUENTAS'!B478</f>
        <v>0</v>
      </c>
      <c r="C478" s="13">
        <f>+'PLAN DE CUENTAS'!C478</f>
        <v>0</v>
      </c>
      <c r="D478" t="str">
        <f>IF(tbal[[#This Row],[DEBE]]+tbal[[#This Row],[HABER]]=0,"","X")</f>
        <v/>
      </c>
      <c r="E478" s="16">
        <f>SUMIF(tdiario[CUENTA],tbal[[#This Row],[CUENTA]],tdiario[DEBE])</f>
        <v>0</v>
      </c>
      <c r="F478" s="17">
        <f>SUMIF(tdiario[CUENTA],tbal[[#This Row],[CUENTA]],tdiario[HABER])</f>
        <v>0</v>
      </c>
      <c r="G478" s="16">
        <f>IF(tbal[[#This Row],[DEBE]]-tbal[[#This Row],[HABER]]&gt;0,tbal[[#This Row],[DEBE]]-tbal[[#This Row],[HABER]],0)</f>
        <v>0</v>
      </c>
      <c r="H478" s="18">
        <f>IF(tbal[[#This Row],[HABER]]-tbal[[#This Row],[DEBE]]&gt;0,tbal[[#This Row],[HABER]]-tbal[[#This Row],[DEBE]],0)</f>
        <v>0</v>
      </c>
      <c r="I478" s="16">
        <f>IF((OR(tbal[[#This Row],[X]]=1,tbal[[#This Row],[X]]=2)),tbal[[#This Row],[DEUDOR]],0)</f>
        <v>0</v>
      </c>
      <c r="J478" s="18">
        <f>IF((OR(tbal[[#This Row],[X]]=2,tbal[[#This Row],[X]]=3)),tbal[[#This Row],[ACREEDOR]],0)</f>
        <v>0</v>
      </c>
      <c r="K478" s="16">
        <f>IF((OR(tbal[[#This Row],[X]]=3,tbal[[#This Row],[X]]=5)),tbal[[#This Row],[DEUDOR]],0)</f>
        <v>0</v>
      </c>
      <c r="L478" s="18">
        <f>IF((OR(tbal[[#This Row],[X]]=3,tbal[[#This Row],[X]]=4)),tbal[[#This Row],[ACREEDOR]],0)</f>
        <v>0</v>
      </c>
      <c r="M478" s="16">
        <f>IF((OR(tbal[[#This Row],[X]]=0,tbal[[#This Row],[X]]=6)),tbal[[#This Row],[DEUDOR]],0)</f>
        <v>0</v>
      </c>
      <c r="N478" s="18">
        <f>IF((OR(tbal[[#This Row],[X]]=0,tbal[[#This Row],[X]]=5)),tbal[[#This Row],[ACREEDOR]],0)</f>
        <v>0</v>
      </c>
    </row>
    <row r="479" spans="1:14" hidden="1" x14ac:dyDescent="0.3">
      <c r="A479" s="14">
        <f>+'PLAN DE CUENTAS'!A479</f>
        <v>0</v>
      </c>
      <c r="B479" s="13">
        <f>+'PLAN DE CUENTAS'!B479</f>
        <v>0</v>
      </c>
      <c r="C479" s="13">
        <f>+'PLAN DE CUENTAS'!C479</f>
        <v>0</v>
      </c>
      <c r="D479" t="str">
        <f>IF(tbal[[#This Row],[DEBE]]+tbal[[#This Row],[HABER]]=0,"","X")</f>
        <v/>
      </c>
      <c r="E479" s="16">
        <f>SUMIF(tdiario[CUENTA],tbal[[#This Row],[CUENTA]],tdiario[DEBE])</f>
        <v>0</v>
      </c>
      <c r="F479" s="17">
        <f>SUMIF(tdiario[CUENTA],tbal[[#This Row],[CUENTA]],tdiario[HABER])</f>
        <v>0</v>
      </c>
      <c r="G479" s="16">
        <f>IF(tbal[[#This Row],[DEBE]]-tbal[[#This Row],[HABER]]&gt;0,tbal[[#This Row],[DEBE]]-tbal[[#This Row],[HABER]],0)</f>
        <v>0</v>
      </c>
      <c r="H479" s="18">
        <f>IF(tbal[[#This Row],[HABER]]-tbal[[#This Row],[DEBE]]&gt;0,tbal[[#This Row],[HABER]]-tbal[[#This Row],[DEBE]],0)</f>
        <v>0</v>
      </c>
      <c r="I479" s="16">
        <f>IF((OR(tbal[[#This Row],[X]]=1,tbal[[#This Row],[X]]=2)),tbal[[#This Row],[DEUDOR]],0)</f>
        <v>0</v>
      </c>
      <c r="J479" s="18">
        <f>IF((OR(tbal[[#This Row],[X]]=2,tbal[[#This Row],[X]]=3)),tbal[[#This Row],[ACREEDOR]],0)</f>
        <v>0</v>
      </c>
      <c r="K479" s="16">
        <f>IF((OR(tbal[[#This Row],[X]]=3,tbal[[#This Row],[X]]=5)),tbal[[#This Row],[DEUDOR]],0)</f>
        <v>0</v>
      </c>
      <c r="L479" s="18">
        <f>IF((OR(tbal[[#This Row],[X]]=3,tbal[[#This Row],[X]]=4)),tbal[[#This Row],[ACREEDOR]],0)</f>
        <v>0</v>
      </c>
      <c r="M479" s="16">
        <f>IF((OR(tbal[[#This Row],[X]]=0,tbal[[#This Row],[X]]=6)),tbal[[#This Row],[DEUDOR]],0)</f>
        <v>0</v>
      </c>
      <c r="N479" s="18">
        <f>IF((OR(tbal[[#This Row],[X]]=0,tbal[[#This Row],[X]]=5)),tbal[[#This Row],[ACREEDOR]],0)</f>
        <v>0</v>
      </c>
    </row>
    <row r="480" spans="1:14" hidden="1" x14ac:dyDescent="0.3">
      <c r="A480" s="14">
        <f>+'PLAN DE CUENTAS'!A480</f>
        <v>0</v>
      </c>
      <c r="B480" s="13">
        <f>+'PLAN DE CUENTAS'!B480</f>
        <v>0</v>
      </c>
      <c r="C480" s="13">
        <f>+'PLAN DE CUENTAS'!C480</f>
        <v>0</v>
      </c>
      <c r="D480" t="str">
        <f>IF(tbal[[#This Row],[DEBE]]+tbal[[#This Row],[HABER]]=0,"","X")</f>
        <v/>
      </c>
      <c r="E480" s="16">
        <f>SUMIF(tdiario[CUENTA],tbal[[#This Row],[CUENTA]],tdiario[DEBE])</f>
        <v>0</v>
      </c>
      <c r="F480" s="17">
        <f>SUMIF(tdiario[CUENTA],tbal[[#This Row],[CUENTA]],tdiario[HABER])</f>
        <v>0</v>
      </c>
      <c r="G480" s="16">
        <f>IF(tbal[[#This Row],[DEBE]]-tbal[[#This Row],[HABER]]&gt;0,tbal[[#This Row],[DEBE]]-tbal[[#This Row],[HABER]],0)</f>
        <v>0</v>
      </c>
      <c r="H480" s="18">
        <f>IF(tbal[[#This Row],[HABER]]-tbal[[#This Row],[DEBE]]&gt;0,tbal[[#This Row],[HABER]]-tbal[[#This Row],[DEBE]],0)</f>
        <v>0</v>
      </c>
      <c r="I480" s="16">
        <f>IF((OR(tbal[[#This Row],[X]]=1,tbal[[#This Row],[X]]=2)),tbal[[#This Row],[DEUDOR]],0)</f>
        <v>0</v>
      </c>
      <c r="J480" s="18">
        <f>IF((OR(tbal[[#This Row],[X]]=2,tbal[[#This Row],[X]]=3)),tbal[[#This Row],[ACREEDOR]],0)</f>
        <v>0</v>
      </c>
      <c r="K480" s="16">
        <f>IF((OR(tbal[[#This Row],[X]]=3,tbal[[#This Row],[X]]=5)),tbal[[#This Row],[DEUDOR]],0)</f>
        <v>0</v>
      </c>
      <c r="L480" s="18">
        <f>IF((OR(tbal[[#This Row],[X]]=3,tbal[[#This Row],[X]]=4)),tbal[[#This Row],[ACREEDOR]],0)</f>
        <v>0</v>
      </c>
      <c r="M480" s="16">
        <f>IF((OR(tbal[[#This Row],[X]]=0,tbal[[#This Row],[X]]=6)),tbal[[#This Row],[DEUDOR]],0)</f>
        <v>0</v>
      </c>
      <c r="N480" s="18">
        <f>IF((OR(tbal[[#This Row],[X]]=0,tbal[[#This Row],[X]]=5)),tbal[[#This Row],[ACREEDOR]],0)</f>
        <v>0</v>
      </c>
    </row>
    <row r="481" spans="1:14" hidden="1" x14ac:dyDescent="0.3">
      <c r="A481" s="14">
        <f>+'PLAN DE CUENTAS'!A481</f>
        <v>0</v>
      </c>
      <c r="B481" s="13">
        <f>+'PLAN DE CUENTAS'!B481</f>
        <v>0</v>
      </c>
      <c r="C481" s="13">
        <f>+'PLAN DE CUENTAS'!C481</f>
        <v>0</v>
      </c>
      <c r="D481" t="str">
        <f>IF(tbal[[#This Row],[DEBE]]+tbal[[#This Row],[HABER]]=0,"","X")</f>
        <v/>
      </c>
      <c r="E481" s="16">
        <f>SUMIF(tdiario[CUENTA],tbal[[#This Row],[CUENTA]],tdiario[DEBE])</f>
        <v>0</v>
      </c>
      <c r="F481" s="17">
        <f>SUMIF(tdiario[CUENTA],tbal[[#This Row],[CUENTA]],tdiario[HABER])</f>
        <v>0</v>
      </c>
      <c r="G481" s="16">
        <f>IF(tbal[[#This Row],[DEBE]]-tbal[[#This Row],[HABER]]&gt;0,tbal[[#This Row],[DEBE]]-tbal[[#This Row],[HABER]],0)</f>
        <v>0</v>
      </c>
      <c r="H481" s="18">
        <f>IF(tbal[[#This Row],[HABER]]-tbal[[#This Row],[DEBE]]&gt;0,tbal[[#This Row],[HABER]]-tbal[[#This Row],[DEBE]],0)</f>
        <v>0</v>
      </c>
      <c r="I481" s="16">
        <f>IF((OR(tbal[[#This Row],[X]]=1,tbal[[#This Row],[X]]=2)),tbal[[#This Row],[DEUDOR]],0)</f>
        <v>0</v>
      </c>
      <c r="J481" s="18">
        <f>IF((OR(tbal[[#This Row],[X]]=2,tbal[[#This Row],[X]]=3)),tbal[[#This Row],[ACREEDOR]],0)</f>
        <v>0</v>
      </c>
      <c r="K481" s="16">
        <f>IF((OR(tbal[[#This Row],[X]]=3,tbal[[#This Row],[X]]=5)),tbal[[#This Row],[DEUDOR]],0)</f>
        <v>0</v>
      </c>
      <c r="L481" s="18">
        <f>IF((OR(tbal[[#This Row],[X]]=3,tbal[[#This Row],[X]]=4)),tbal[[#This Row],[ACREEDOR]],0)</f>
        <v>0</v>
      </c>
      <c r="M481" s="16">
        <f>IF((OR(tbal[[#This Row],[X]]=0,tbal[[#This Row],[X]]=6)),tbal[[#This Row],[DEUDOR]],0)</f>
        <v>0</v>
      </c>
      <c r="N481" s="18">
        <f>IF((OR(tbal[[#This Row],[X]]=0,tbal[[#This Row],[X]]=5)),tbal[[#This Row],[ACREEDOR]],0)</f>
        <v>0</v>
      </c>
    </row>
    <row r="482" spans="1:14" hidden="1" x14ac:dyDescent="0.3">
      <c r="A482" s="14">
        <f>+'PLAN DE CUENTAS'!A482</f>
        <v>0</v>
      </c>
      <c r="B482" s="13">
        <f>+'PLAN DE CUENTAS'!B482</f>
        <v>0</v>
      </c>
      <c r="C482" s="13">
        <f>+'PLAN DE CUENTAS'!C482</f>
        <v>0</v>
      </c>
      <c r="D482" t="str">
        <f>IF(tbal[[#This Row],[DEBE]]+tbal[[#This Row],[HABER]]=0,"","X")</f>
        <v/>
      </c>
      <c r="E482" s="16">
        <f>SUMIF(tdiario[CUENTA],tbal[[#This Row],[CUENTA]],tdiario[DEBE])</f>
        <v>0</v>
      </c>
      <c r="F482" s="17">
        <f>SUMIF(tdiario[CUENTA],tbal[[#This Row],[CUENTA]],tdiario[HABER])</f>
        <v>0</v>
      </c>
      <c r="G482" s="16">
        <f>IF(tbal[[#This Row],[DEBE]]-tbal[[#This Row],[HABER]]&gt;0,tbal[[#This Row],[DEBE]]-tbal[[#This Row],[HABER]],0)</f>
        <v>0</v>
      </c>
      <c r="H482" s="18">
        <f>IF(tbal[[#This Row],[HABER]]-tbal[[#This Row],[DEBE]]&gt;0,tbal[[#This Row],[HABER]]-tbal[[#This Row],[DEBE]],0)</f>
        <v>0</v>
      </c>
      <c r="I482" s="16">
        <f>IF((OR(tbal[[#This Row],[X]]=1,tbal[[#This Row],[X]]=2)),tbal[[#This Row],[DEUDOR]],0)</f>
        <v>0</v>
      </c>
      <c r="J482" s="18">
        <f>IF((OR(tbal[[#This Row],[X]]=2,tbal[[#This Row],[X]]=3)),tbal[[#This Row],[ACREEDOR]],0)</f>
        <v>0</v>
      </c>
      <c r="K482" s="16">
        <f>IF((OR(tbal[[#This Row],[X]]=3,tbal[[#This Row],[X]]=5)),tbal[[#This Row],[DEUDOR]],0)</f>
        <v>0</v>
      </c>
      <c r="L482" s="18">
        <f>IF((OR(tbal[[#This Row],[X]]=3,tbal[[#This Row],[X]]=4)),tbal[[#This Row],[ACREEDOR]],0)</f>
        <v>0</v>
      </c>
      <c r="M482" s="16">
        <f>IF((OR(tbal[[#This Row],[X]]=0,tbal[[#This Row],[X]]=6)),tbal[[#This Row],[DEUDOR]],0)</f>
        <v>0</v>
      </c>
      <c r="N482" s="18">
        <f>IF((OR(tbal[[#This Row],[X]]=0,tbal[[#This Row],[X]]=5)),tbal[[#This Row],[ACREEDOR]],0)</f>
        <v>0</v>
      </c>
    </row>
    <row r="483" spans="1:14" hidden="1" x14ac:dyDescent="0.3">
      <c r="A483" s="14">
        <f>+'PLAN DE CUENTAS'!A483</f>
        <v>0</v>
      </c>
      <c r="B483" s="13">
        <f>+'PLAN DE CUENTAS'!B483</f>
        <v>0</v>
      </c>
      <c r="C483" s="13">
        <f>+'PLAN DE CUENTAS'!C483</f>
        <v>0</v>
      </c>
      <c r="D483" t="str">
        <f>IF(tbal[[#This Row],[DEBE]]+tbal[[#This Row],[HABER]]=0,"","X")</f>
        <v/>
      </c>
      <c r="E483" s="16">
        <f>SUMIF(tdiario[CUENTA],tbal[[#This Row],[CUENTA]],tdiario[DEBE])</f>
        <v>0</v>
      </c>
      <c r="F483" s="17">
        <f>SUMIF(tdiario[CUENTA],tbal[[#This Row],[CUENTA]],tdiario[HABER])</f>
        <v>0</v>
      </c>
      <c r="G483" s="16">
        <f>IF(tbal[[#This Row],[DEBE]]-tbal[[#This Row],[HABER]]&gt;0,tbal[[#This Row],[DEBE]]-tbal[[#This Row],[HABER]],0)</f>
        <v>0</v>
      </c>
      <c r="H483" s="18">
        <f>IF(tbal[[#This Row],[HABER]]-tbal[[#This Row],[DEBE]]&gt;0,tbal[[#This Row],[HABER]]-tbal[[#This Row],[DEBE]],0)</f>
        <v>0</v>
      </c>
      <c r="I483" s="16">
        <f>IF((OR(tbal[[#This Row],[X]]=1,tbal[[#This Row],[X]]=2)),tbal[[#This Row],[DEUDOR]],0)</f>
        <v>0</v>
      </c>
      <c r="J483" s="18">
        <f>IF((OR(tbal[[#This Row],[X]]=2,tbal[[#This Row],[X]]=3)),tbal[[#This Row],[ACREEDOR]],0)</f>
        <v>0</v>
      </c>
      <c r="K483" s="16">
        <f>IF((OR(tbal[[#This Row],[X]]=3,tbal[[#This Row],[X]]=5)),tbal[[#This Row],[DEUDOR]],0)</f>
        <v>0</v>
      </c>
      <c r="L483" s="18">
        <f>IF((OR(tbal[[#This Row],[X]]=3,tbal[[#This Row],[X]]=4)),tbal[[#This Row],[ACREEDOR]],0)</f>
        <v>0</v>
      </c>
      <c r="M483" s="16">
        <f>IF((OR(tbal[[#This Row],[X]]=0,tbal[[#This Row],[X]]=6)),tbal[[#This Row],[DEUDOR]],0)</f>
        <v>0</v>
      </c>
      <c r="N483" s="18">
        <f>IF((OR(tbal[[#This Row],[X]]=0,tbal[[#This Row],[X]]=5)),tbal[[#This Row],[ACREEDOR]],0)</f>
        <v>0</v>
      </c>
    </row>
    <row r="484" spans="1:14" hidden="1" x14ac:dyDescent="0.3">
      <c r="A484" s="14">
        <f>+'PLAN DE CUENTAS'!A484</f>
        <v>0</v>
      </c>
      <c r="B484" s="13">
        <f>+'PLAN DE CUENTAS'!B484</f>
        <v>0</v>
      </c>
      <c r="C484" s="13">
        <f>+'PLAN DE CUENTAS'!C484</f>
        <v>0</v>
      </c>
      <c r="D484" t="str">
        <f>IF(tbal[[#This Row],[DEBE]]+tbal[[#This Row],[HABER]]=0,"","X")</f>
        <v/>
      </c>
      <c r="E484" s="16">
        <f>SUMIF(tdiario[CUENTA],tbal[[#This Row],[CUENTA]],tdiario[DEBE])</f>
        <v>0</v>
      </c>
      <c r="F484" s="17">
        <f>SUMIF(tdiario[CUENTA],tbal[[#This Row],[CUENTA]],tdiario[HABER])</f>
        <v>0</v>
      </c>
      <c r="G484" s="16">
        <f>IF(tbal[[#This Row],[DEBE]]-tbal[[#This Row],[HABER]]&gt;0,tbal[[#This Row],[DEBE]]-tbal[[#This Row],[HABER]],0)</f>
        <v>0</v>
      </c>
      <c r="H484" s="18">
        <f>IF(tbal[[#This Row],[HABER]]-tbal[[#This Row],[DEBE]]&gt;0,tbal[[#This Row],[HABER]]-tbal[[#This Row],[DEBE]],0)</f>
        <v>0</v>
      </c>
      <c r="I484" s="16">
        <f>IF((OR(tbal[[#This Row],[X]]=1,tbal[[#This Row],[X]]=2)),tbal[[#This Row],[DEUDOR]],0)</f>
        <v>0</v>
      </c>
      <c r="J484" s="18">
        <f>IF((OR(tbal[[#This Row],[X]]=2,tbal[[#This Row],[X]]=3)),tbal[[#This Row],[ACREEDOR]],0)</f>
        <v>0</v>
      </c>
      <c r="K484" s="16">
        <f>IF((OR(tbal[[#This Row],[X]]=3,tbal[[#This Row],[X]]=5)),tbal[[#This Row],[DEUDOR]],0)</f>
        <v>0</v>
      </c>
      <c r="L484" s="18">
        <f>IF((OR(tbal[[#This Row],[X]]=3,tbal[[#This Row],[X]]=4)),tbal[[#This Row],[ACREEDOR]],0)</f>
        <v>0</v>
      </c>
      <c r="M484" s="16">
        <f>IF((OR(tbal[[#This Row],[X]]=0,tbal[[#This Row],[X]]=6)),tbal[[#This Row],[DEUDOR]],0)</f>
        <v>0</v>
      </c>
      <c r="N484" s="18">
        <f>IF((OR(tbal[[#This Row],[X]]=0,tbal[[#This Row],[X]]=5)),tbal[[#This Row],[ACREEDOR]],0)</f>
        <v>0</v>
      </c>
    </row>
    <row r="485" spans="1:14" hidden="1" x14ac:dyDescent="0.3">
      <c r="A485" s="14">
        <f>+'PLAN DE CUENTAS'!A485</f>
        <v>0</v>
      </c>
      <c r="B485" s="13">
        <f>+'PLAN DE CUENTAS'!B485</f>
        <v>0</v>
      </c>
      <c r="C485" s="13">
        <f>+'PLAN DE CUENTAS'!C485</f>
        <v>0</v>
      </c>
      <c r="D485" t="str">
        <f>IF(tbal[[#This Row],[DEBE]]+tbal[[#This Row],[HABER]]=0,"","X")</f>
        <v/>
      </c>
      <c r="E485" s="16">
        <f>SUMIF(tdiario[CUENTA],tbal[[#This Row],[CUENTA]],tdiario[DEBE])</f>
        <v>0</v>
      </c>
      <c r="F485" s="17">
        <f>SUMIF(tdiario[CUENTA],tbal[[#This Row],[CUENTA]],tdiario[HABER])</f>
        <v>0</v>
      </c>
      <c r="G485" s="16">
        <f>IF(tbal[[#This Row],[DEBE]]-tbal[[#This Row],[HABER]]&gt;0,tbal[[#This Row],[DEBE]]-tbal[[#This Row],[HABER]],0)</f>
        <v>0</v>
      </c>
      <c r="H485" s="18">
        <f>IF(tbal[[#This Row],[HABER]]-tbal[[#This Row],[DEBE]]&gt;0,tbal[[#This Row],[HABER]]-tbal[[#This Row],[DEBE]],0)</f>
        <v>0</v>
      </c>
      <c r="I485" s="16">
        <f>IF((OR(tbal[[#This Row],[X]]=1,tbal[[#This Row],[X]]=2)),tbal[[#This Row],[DEUDOR]],0)</f>
        <v>0</v>
      </c>
      <c r="J485" s="18">
        <f>IF((OR(tbal[[#This Row],[X]]=2,tbal[[#This Row],[X]]=3)),tbal[[#This Row],[ACREEDOR]],0)</f>
        <v>0</v>
      </c>
      <c r="K485" s="16">
        <f>IF((OR(tbal[[#This Row],[X]]=3,tbal[[#This Row],[X]]=5)),tbal[[#This Row],[DEUDOR]],0)</f>
        <v>0</v>
      </c>
      <c r="L485" s="18">
        <f>IF((OR(tbal[[#This Row],[X]]=3,tbal[[#This Row],[X]]=4)),tbal[[#This Row],[ACREEDOR]],0)</f>
        <v>0</v>
      </c>
      <c r="M485" s="16">
        <f>IF((OR(tbal[[#This Row],[X]]=0,tbal[[#This Row],[X]]=6)),tbal[[#This Row],[DEUDOR]],0)</f>
        <v>0</v>
      </c>
      <c r="N485" s="18">
        <f>IF((OR(tbal[[#This Row],[X]]=0,tbal[[#This Row],[X]]=5)),tbal[[#This Row],[ACREEDOR]],0)</f>
        <v>0</v>
      </c>
    </row>
    <row r="486" spans="1:14" hidden="1" x14ac:dyDescent="0.3">
      <c r="A486" s="14">
        <f>+'PLAN DE CUENTAS'!A486</f>
        <v>0</v>
      </c>
      <c r="B486" s="13">
        <f>+'PLAN DE CUENTAS'!B486</f>
        <v>0</v>
      </c>
      <c r="C486" s="13">
        <f>+'PLAN DE CUENTAS'!C486</f>
        <v>0</v>
      </c>
      <c r="D486" t="str">
        <f>IF(tbal[[#This Row],[DEBE]]+tbal[[#This Row],[HABER]]=0,"","X")</f>
        <v/>
      </c>
      <c r="E486" s="16">
        <f>SUMIF(tdiario[CUENTA],tbal[[#This Row],[CUENTA]],tdiario[DEBE])</f>
        <v>0</v>
      </c>
      <c r="F486" s="17">
        <f>SUMIF(tdiario[CUENTA],tbal[[#This Row],[CUENTA]],tdiario[HABER])</f>
        <v>0</v>
      </c>
      <c r="G486" s="16">
        <f>IF(tbal[[#This Row],[DEBE]]-tbal[[#This Row],[HABER]]&gt;0,tbal[[#This Row],[DEBE]]-tbal[[#This Row],[HABER]],0)</f>
        <v>0</v>
      </c>
      <c r="H486" s="18">
        <f>IF(tbal[[#This Row],[HABER]]-tbal[[#This Row],[DEBE]]&gt;0,tbal[[#This Row],[HABER]]-tbal[[#This Row],[DEBE]],0)</f>
        <v>0</v>
      </c>
      <c r="I486" s="16">
        <f>IF((OR(tbal[[#This Row],[X]]=1,tbal[[#This Row],[X]]=2)),tbal[[#This Row],[DEUDOR]],0)</f>
        <v>0</v>
      </c>
      <c r="J486" s="18">
        <f>IF((OR(tbal[[#This Row],[X]]=2,tbal[[#This Row],[X]]=3)),tbal[[#This Row],[ACREEDOR]],0)</f>
        <v>0</v>
      </c>
      <c r="K486" s="16">
        <f>IF((OR(tbal[[#This Row],[X]]=3,tbal[[#This Row],[X]]=5)),tbal[[#This Row],[DEUDOR]],0)</f>
        <v>0</v>
      </c>
      <c r="L486" s="18">
        <f>IF((OR(tbal[[#This Row],[X]]=3,tbal[[#This Row],[X]]=4)),tbal[[#This Row],[ACREEDOR]],0)</f>
        <v>0</v>
      </c>
      <c r="M486" s="16">
        <f>IF((OR(tbal[[#This Row],[X]]=0,tbal[[#This Row],[X]]=6)),tbal[[#This Row],[DEUDOR]],0)</f>
        <v>0</v>
      </c>
      <c r="N486" s="18">
        <f>IF((OR(tbal[[#This Row],[X]]=0,tbal[[#This Row],[X]]=5)),tbal[[#This Row],[ACREEDOR]],0)</f>
        <v>0</v>
      </c>
    </row>
    <row r="487" spans="1:14" hidden="1" x14ac:dyDescent="0.3">
      <c r="A487" s="14">
        <f>+'PLAN DE CUENTAS'!A487</f>
        <v>0</v>
      </c>
      <c r="B487" s="13">
        <f>+'PLAN DE CUENTAS'!B487</f>
        <v>0</v>
      </c>
      <c r="C487" s="13">
        <f>+'PLAN DE CUENTAS'!C487</f>
        <v>0</v>
      </c>
      <c r="D487" t="str">
        <f>IF(tbal[[#This Row],[DEBE]]+tbal[[#This Row],[HABER]]=0,"","X")</f>
        <v/>
      </c>
      <c r="E487" s="16">
        <f>SUMIF(tdiario[CUENTA],tbal[[#This Row],[CUENTA]],tdiario[DEBE])</f>
        <v>0</v>
      </c>
      <c r="F487" s="17">
        <f>SUMIF(tdiario[CUENTA],tbal[[#This Row],[CUENTA]],tdiario[HABER])</f>
        <v>0</v>
      </c>
      <c r="G487" s="16">
        <f>IF(tbal[[#This Row],[DEBE]]-tbal[[#This Row],[HABER]]&gt;0,tbal[[#This Row],[DEBE]]-tbal[[#This Row],[HABER]],0)</f>
        <v>0</v>
      </c>
      <c r="H487" s="18">
        <f>IF(tbal[[#This Row],[HABER]]-tbal[[#This Row],[DEBE]]&gt;0,tbal[[#This Row],[HABER]]-tbal[[#This Row],[DEBE]],0)</f>
        <v>0</v>
      </c>
      <c r="I487" s="16">
        <f>IF((OR(tbal[[#This Row],[X]]=1,tbal[[#This Row],[X]]=2)),tbal[[#This Row],[DEUDOR]],0)</f>
        <v>0</v>
      </c>
      <c r="J487" s="18">
        <f>IF((OR(tbal[[#This Row],[X]]=2,tbal[[#This Row],[X]]=3)),tbal[[#This Row],[ACREEDOR]],0)</f>
        <v>0</v>
      </c>
      <c r="K487" s="16">
        <f>IF((OR(tbal[[#This Row],[X]]=3,tbal[[#This Row],[X]]=5)),tbal[[#This Row],[DEUDOR]],0)</f>
        <v>0</v>
      </c>
      <c r="L487" s="18">
        <f>IF((OR(tbal[[#This Row],[X]]=3,tbal[[#This Row],[X]]=4)),tbal[[#This Row],[ACREEDOR]],0)</f>
        <v>0</v>
      </c>
      <c r="M487" s="16">
        <f>IF((OR(tbal[[#This Row],[X]]=0,tbal[[#This Row],[X]]=6)),tbal[[#This Row],[DEUDOR]],0)</f>
        <v>0</v>
      </c>
      <c r="N487" s="18">
        <f>IF((OR(tbal[[#This Row],[X]]=0,tbal[[#This Row],[X]]=5)),tbal[[#This Row],[ACREEDOR]],0)</f>
        <v>0</v>
      </c>
    </row>
    <row r="488" spans="1:14" hidden="1" x14ac:dyDescent="0.3">
      <c r="A488" s="14">
        <f>+'PLAN DE CUENTAS'!A488</f>
        <v>0</v>
      </c>
      <c r="B488" s="13">
        <f>+'PLAN DE CUENTAS'!B488</f>
        <v>0</v>
      </c>
      <c r="C488" s="13">
        <f>+'PLAN DE CUENTAS'!C488</f>
        <v>0</v>
      </c>
      <c r="D488" t="str">
        <f>IF(tbal[[#This Row],[DEBE]]+tbal[[#This Row],[HABER]]=0,"","X")</f>
        <v/>
      </c>
      <c r="E488" s="16">
        <f>SUMIF(tdiario[CUENTA],tbal[[#This Row],[CUENTA]],tdiario[DEBE])</f>
        <v>0</v>
      </c>
      <c r="F488" s="17">
        <f>SUMIF(tdiario[CUENTA],tbal[[#This Row],[CUENTA]],tdiario[HABER])</f>
        <v>0</v>
      </c>
      <c r="G488" s="16">
        <f>IF(tbal[[#This Row],[DEBE]]-tbal[[#This Row],[HABER]]&gt;0,tbal[[#This Row],[DEBE]]-tbal[[#This Row],[HABER]],0)</f>
        <v>0</v>
      </c>
      <c r="H488" s="18">
        <f>IF(tbal[[#This Row],[HABER]]-tbal[[#This Row],[DEBE]]&gt;0,tbal[[#This Row],[HABER]]-tbal[[#This Row],[DEBE]],0)</f>
        <v>0</v>
      </c>
      <c r="I488" s="16">
        <f>IF((OR(tbal[[#This Row],[X]]=1,tbal[[#This Row],[X]]=2)),tbal[[#This Row],[DEUDOR]],0)</f>
        <v>0</v>
      </c>
      <c r="J488" s="18">
        <f>IF((OR(tbal[[#This Row],[X]]=2,tbal[[#This Row],[X]]=3)),tbal[[#This Row],[ACREEDOR]],0)</f>
        <v>0</v>
      </c>
      <c r="K488" s="16">
        <f>IF((OR(tbal[[#This Row],[X]]=3,tbal[[#This Row],[X]]=5)),tbal[[#This Row],[DEUDOR]],0)</f>
        <v>0</v>
      </c>
      <c r="L488" s="18">
        <f>IF((OR(tbal[[#This Row],[X]]=3,tbal[[#This Row],[X]]=4)),tbal[[#This Row],[ACREEDOR]],0)</f>
        <v>0</v>
      </c>
      <c r="M488" s="16">
        <f>IF((OR(tbal[[#This Row],[X]]=0,tbal[[#This Row],[X]]=6)),tbal[[#This Row],[DEUDOR]],0)</f>
        <v>0</v>
      </c>
      <c r="N488" s="18">
        <f>IF((OR(tbal[[#This Row],[X]]=0,tbal[[#This Row],[X]]=5)),tbal[[#This Row],[ACREEDOR]],0)</f>
        <v>0</v>
      </c>
    </row>
    <row r="489" spans="1:14" hidden="1" x14ac:dyDescent="0.3">
      <c r="A489" s="14">
        <f>+'PLAN DE CUENTAS'!A489</f>
        <v>0</v>
      </c>
      <c r="B489" s="13">
        <f>+'PLAN DE CUENTAS'!B489</f>
        <v>0</v>
      </c>
      <c r="C489" s="13">
        <f>+'PLAN DE CUENTAS'!C489</f>
        <v>0</v>
      </c>
      <c r="D489" t="str">
        <f>IF(tbal[[#This Row],[DEBE]]+tbal[[#This Row],[HABER]]=0,"","X")</f>
        <v/>
      </c>
      <c r="E489" s="16">
        <f>SUMIF(tdiario[CUENTA],tbal[[#This Row],[CUENTA]],tdiario[DEBE])</f>
        <v>0</v>
      </c>
      <c r="F489" s="17">
        <f>SUMIF(tdiario[CUENTA],tbal[[#This Row],[CUENTA]],tdiario[HABER])</f>
        <v>0</v>
      </c>
      <c r="G489" s="16">
        <f>IF(tbal[[#This Row],[DEBE]]-tbal[[#This Row],[HABER]]&gt;0,tbal[[#This Row],[DEBE]]-tbal[[#This Row],[HABER]],0)</f>
        <v>0</v>
      </c>
      <c r="H489" s="18">
        <f>IF(tbal[[#This Row],[HABER]]-tbal[[#This Row],[DEBE]]&gt;0,tbal[[#This Row],[HABER]]-tbal[[#This Row],[DEBE]],0)</f>
        <v>0</v>
      </c>
      <c r="I489" s="16">
        <f>IF((OR(tbal[[#This Row],[X]]=1,tbal[[#This Row],[X]]=2)),tbal[[#This Row],[DEUDOR]],0)</f>
        <v>0</v>
      </c>
      <c r="J489" s="18">
        <f>IF((OR(tbal[[#This Row],[X]]=2,tbal[[#This Row],[X]]=3)),tbal[[#This Row],[ACREEDOR]],0)</f>
        <v>0</v>
      </c>
      <c r="K489" s="16">
        <f>IF((OR(tbal[[#This Row],[X]]=3,tbal[[#This Row],[X]]=5)),tbal[[#This Row],[DEUDOR]],0)</f>
        <v>0</v>
      </c>
      <c r="L489" s="18">
        <f>IF((OR(tbal[[#This Row],[X]]=3,tbal[[#This Row],[X]]=4)),tbal[[#This Row],[ACREEDOR]],0)</f>
        <v>0</v>
      </c>
      <c r="M489" s="16">
        <f>IF((OR(tbal[[#This Row],[X]]=0,tbal[[#This Row],[X]]=6)),tbal[[#This Row],[DEUDOR]],0)</f>
        <v>0</v>
      </c>
      <c r="N489" s="18">
        <f>IF((OR(tbal[[#This Row],[X]]=0,tbal[[#This Row],[X]]=5)),tbal[[#This Row],[ACREEDOR]],0)</f>
        <v>0</v>
      </c>
    </row>
    <row r="490" spans="1:14" hidden="1" x14ac:dyDescent="0.3">
      <c r="A490" s="14">
        <f>+'PLAN DE CUENTAS'!A490</f>
        <v>0</v>
      </c>
      <c r="B490" s="13">
        <f>+'PLAN DE CUENTAS'!B490</f>
        <v>0</v>
      </c>
      <c r="C490" s="13">
        <f>+'PLAN DE CUENTAS'!C490</f>
        <v>0</v>
      </c>
      <c r="D490" t="str">
        <f>IF(tbal[[#This Row],[DEBE]]+tbal[[#This Row],[HABER]]=0,"","X")</f>
        <v/>
      </c>
      <c r="E490" s="16">
        <f>SUMIF(tdiario[CUENTA],tbal[[#This Row],[CUENTA]],tdiario[DEBE])</f>
        <v>0</v>
      </c>
      <c r="F490" s="17">
        <f>SUMIF(tdiario[CUENTA],tbal[[#This Row],[CUENTA]],tdiario[HABER])</f>
        <v>0</v>
      </c>
      <c r="G490" s="16">
        <f>IF(tbal[[#This Row],[DEBE]]-tbal[[#This Row],[HABER]]&gt;0,tbal[[#This Row],[DEBE]]-tbal[[#This Row],[HABER]],0)</f>
        <v>0</v>
      </c>
      <c r="H490" s="18">
        <f>IF(tbal[[#This Row],[HABER]]-tbal[[#This Row],[DEBE]]&gt;0,tbal[[#This Row],[HABER]]-tbal[[#This Row],[DEBE]],0)</f>
        <v>0</v>
      </c>
      <c r="I490" s="16">
        <f>IF((OR(tbal[[#This Row],[X]]=1,tbal[[#This Row],[X]]=2)),tbal[[#This Row],[DEUDOR]],0)</f>
        <v>0</v>
      </c>
      <c r="J490" s="18">
        <f>IF((OR(tbal[[#This Row],[X]]=2,tbal[[#This Row],[X]]=3)),tbal[[#This Row],[ACREEDOR]],0)</f>
        <v>0</v>
      </c>
      <c r="K490" s="16">
        <f>IF((OR(tbal[[#This Row],[X]]=3,tbal[[#This Row],[X]]=5)),tbal[[#This Row],[DEUDOR]],0)</f>
        <v>0</v>
      </c>
      <c r="L490" s="18">
        <f>IF((OR(tbal[[#This Row],[X]]=3,tbal[[#This Row],[X]]=4)),tbal[[#This Row],[ACREEDOR]],0)</f>
        <v>0</v>
      </c>
      <c r="M490" s="16">
        <f>IF((OR(tbal[[#This Row],[X]]=0,tbal[[#This Row],[X]]=6)),tbal[[#This Row],[DEUDOR]],0)</f>
        <v>0</v>
      </c>
      <c r="N490" s="18">
        <f>IF((OR(tbal[[#This Row],[X]]=0,tbal[[#This Row],[X]]=5)),tbal[[#This Row],[ACREEDOR]],0)</f>
        <v>0</v>
      </c>
    </row>
    <row r="491" spans="1:14" hidden="1" x14ac:dyDescent="0.3">
      <c r="A491" s="14">
        <f>+'PLAN DE CUENTAS'!A491</f>
        <v>0</v>
      </c>
      <c r="B491" s="13">
        <f>+'PLAN DE CUENTAS'!B491</f>
        <v>0</v>
      </c>
      <c r="C491" s="13">
        <f>+'PLAN DE CUENTAS'!C491</f>
        <v>0</v>
      </c>
      <c r="D491" t="str">
        <f>IF(tbal[[#This Row],[DEBE]]+tbal[[#This Row],[HABER]]=0,"","X")</f>
        <v/>
      </c>
      <c r="E491" s="16">
        <f>SUMIF(tdiario[CUENTA],tbal[[#This Row],[CUENTA]],tdiario[DEBE])</f>
        <v>0</v>
      </c>
      <c r="F491" s="17">
        <f>SUMIF(tdiario[CUENTA],tbal[[#This Row],[CUENTA]],tdiario[HABER])</f>
        <v>0</v>
      </c>
      <c r="G491" s="16">
        <f>IF(tbal[[#This Row],[DEBE]]-tbal[[#This Row],[HABER]]&gt;0,tbal[[#This Row],[DEBE]]-tbal[[#This Row],[HABER]],0)</f>
        <v>0</v>
      </c>
      <c r="H491" s="18">
        <f>IF(tbal[[#This Row],[HABER]]-tbal[[#This Row],[DEBE]]&gt;0,tbal[[#This Row],[HABER]]-tbal[[#This Row],[DEBE]],0)</f>
        <v>0</v>
      </c>
      <c r="I491" s="16">
        <f>IF((OR(tbal[[#This Row],[X]]=1,tbal[[#This Row],[X]]=2)),tbal[[#This Row],[DEUDOR]],0)</f>
        <v>0</v>
      </c>
      <c r="J491" s="18">
        <f>IF((OR(tbal[[#This Row],[X]]=2,tbal[[#This Row],[X]]=3)),tbal[[#This Row],[ACREEDOR]],0)</f>
        <v>0</v>
      </c>
      <c r="K491" s="16">
        <f>IF((OR(tbal[[#This Row],[X]]=3,tbal[[#This Row],[X]]=5)),tbal[[#This Row],[DEUDOR]],0)</f>
        <v>0</v>
      </c>
      <c r="L491" s="18">
        <f>IF((OR(tbal[[#This Row],[X]]=3,tbal[[#This Row],[X]]=4)),tbal[[#This Row],[ACREEDOR]],0)</f>
        <v>0</v>
      </c>
      <c r="M491" s="16">
        <f>IF((OR(tbal[[#This Row],[X]]=0,tbal[[#This Row],[X]]=6)),tbal[[#This Row],[DEUDOR]],0)</f>
        <v>0</v>
      </c>
      <c r="N491" s="18">
        <f>IF((OR(tbal[[#This Row],[X]]=0,tbal[[#This Row],[X]]=5)),tbal[[#This Row],[ACREEDOR]],0)</f>
        <v>0</v>
      </c>
    </row>
    <row r="492" spans="1:14" hidden="1" x14ac:dyDescent="0.3">
      <c r="A492" s="14">
        <f>+'PLAN DE CUENTAS'!A492</f>
        <v>0</v>
      </c>
      <c r="B492" s="13">
        <f>+'PLAN DE CUENTAS'!B492</f>
        <v>0</v>
      </c>
      <c r="C492" s="13">
        <f>+'PLAN DE CUENTAS'!C492</f>
        <v>0</v>
      </c>
      <c r="D492" t="str">
        <f>IF(tbal[[#This Row],[DEBE]]+tbal[[#This Row],[HABER]]=0,"","X")</f>
        <v/>
      </c>
      <c r="E492" s="16">
        <f>SUMIF(tdiario[CUENTA],tbal[[#This Row],[CUENTA]],tdiario[DEBE])</f>
        <v>0</v>
      </c>
      <c r="F492" s="17">
        <f>SUMIF(tdiario[CUENTA],tbal[[#This Row],[CUENTA]],tdiario[HABER])</f>
        <v>0</v>
      </c>
      <c r="G492" s="16">
        <f>IF(tbal[[#This Row],[DEBE]]-tbal[[#This Row],[HABER]]&gt;0,tbal[[#This Row],[DEBE]]-tbal[[#This Row],[HABER]],0)</f>
        <v>0</v>
      </c>
      <c r="H492" s="18">
        <f>IF(tbal[[#This Row],[HABER]]-tbal[[#This Row],[DEBE]]&gt;0,tbal[[#This Row],[HABER]]-tbal[[#This Row],[DEBE]],0)</f>
        <v>0</v>
      </c>
      <c r="I492" s="16">
        <f>IF((OR(tbal[[#This Row],[X]]=1,tbal[[#This Row],[X]]=2)),tbal[[#This Row],[DEUDOR]],0)</f>
        <v>0</v>
      </c>
      <c r="J492" s="18">
        <f>IF((OR(tbal[[#This Row],[X]]=2,tbal[[#This Row],[X]]=3)),tbal[[#This Row],[ACREEDOR]],0)</f>
        <v>0</v>
      </c>
      <c r="K492" s="16">
        <f>IF((OR(tbal[[#This Row],[X]]=3,tbal[[#This Row],[X]]=5)),tbal[[#This Row],[DEUDOR]],0)</f>
        <v>0</v>
      </c>
      <c r="L492" s="18">
        <f>IF((OR(tbal[[#This Row],[X]]=3,tbal[[#This Row],[X]]=4)),tbal[[#This Row],[ACREEDOR]],0)</f>
        <v>0</v>
      </c>
      <c r="M492" s="16">
        <f>IF((OR(tbal[[#This Row],[X]]=0,tbal[[#This Row],[X]]=6)),tbal[[#This Row],[DEUDOR]],0)</f>
        <v>0</v>
      </c>
      <c r="N492" s="18">
        <f>IF((OR(tbal[[#This Row],[X]]=0,tbal[[#This Row],[X]]=5)),tbal[[#This Row],[ACREEDOR]],0)</f>
        <v>0</v>
      </c>
    </row>
    <row r="493" spans="1:14" hidden="1" x14ac:dyDescent="0.3">
      <c r="A493" s="14">
        <f>+'PLAN DE CUENTAS'!A493</f>
        <v>0</v>
      </c>
      <c r="B493" s="13">
        <f>+'PLAN DE CUENTAS'!B493</f>
        <v>0</v>
      </c>
      <c r="C493" s="13">
        <f>+'PLAN DE CUENTAS'!C493</f>
        <v>0</v>
      </c>
      <c r="D493" t="str">
        <f>IF(tbal[[#This Row],[DEBE]]+tbal[[#This Row],[HABER]]=0,"","X")</f>
        <v/>
      </c>
      <c r="E493" s="16">
        <f>SUMIF(tdiario[CUENTA],tbal[[#This Row],[CUENTA]],tdiario[DEBE])</f>
        <v>0</v>
      </c>
      <c r="F493" s="17">
        <f>SUMIF(tdiario[CUENTA],tbal[[#This Row],[CUENTA]],tdiario[HABER])</f>
        <v>0</v>
      </c>
      <c r="G493" s="16">
        <f>IF(tbal[[#This Row],[DEBE]]-tbal[[#This Row],[HABER]]&gt;0,tbal[[#This Row],[DEBE]]-tbal[[#This Row],[HABER]],0)</f>
        <v>0</v>
      </c>
      <c r="H493" s="18">
        <f>IF(tbal[[#This Row],[HABER]]-tbal[[#This Row],[DEBE]]&gt;0,tbal[[#This Row],[HABER]]-tbal[[#This Row],[DEBE]],0)</f>
        <v>0</v>
      </c>
      <c r="I493" s="16">
        <f>IF((OR(tbal[[#This Row],[X]]=1,tbal[[#This Row],[X]]=2)),tbal[[#This Row],[DEUDOR]],0)</f>
        <v>0</v>
      </c>
      <c r="J493" s="18">
        <f>IF((OR(tbal[[#This Row],[X]]=2,tbal[[#This Row],[X]]=3)),tbal[[#This Row],[ACREEDOR]],0)</f>
        <v>0</v>
      </c>
      <c r="K493" s="16">
        <f>IF((OR(tbal[[#This Row],[X]]=3,tbal[[#This Row],[X]]=5)),tbal[[#This Row],[DEUDOR]],0)</f>
        <v>0</v>
      </c>
      <c r="L493" s="18">
        <f>IF((OR(tbal[[#This Row],[X]]=3,tbal[[#This Row],[X]]=4)),tbal[[#This Row],[ACREEDOR]],0)</f>
        <v>0</v>
      </c>
      <c r="M493" s="16">
        <f>IF((OR(tbal[[#This Row],[X]]=0,tbal[[#This Row],[X]]=6)),tbal[[#This Row],[DEUDOR]],0)</f>
        <v>0</v>
      </c>
      <c r="N493" s="18">
        <f>IF((OR(tbal[[#This Row],[X]]=0,tbal[[#This Row],[X]]=5)),tbal[[#This Row],[ACREEDOR]],0)</f>
        <v>0</v>
      </c>
    </row>
    <row r="494" spans="1:14" hidden="1" x14ac:dyDescent="0.3">
      <c r="A494" s="14">
        <f>+'PLAN DE CUENTAS'!A494</f>
        <v>0</v>
      </c>
      <c r="B494" s="13">
        <f>+'PLAN DE CUENTAS'!B494</f>
        <v>0</v>
      </c>
      <c r="C494" s="13">
        <f>+'PLAN DE CUENTAS'!C494</f>
        <v>0</v>
      </c>
      <c r="D494" t="str">
        <f>IF(tbal[[#This Row],[DEBE]]+tbal[[#This Row],[HABER]]=0,"","X")</f>
        <v/>
      </c>
      <c r="E494" s="16">
        <f>SUMIF(tdiario[CUENTA],tbal[[#This Row],[CUENTA]],tdiario[DEBE])</f>
        <v>0</v>
      </c>
      <c r="F494" s="17">
        <f>SUMIF(tdiario[CUENTA],tbal[[#This Row],[CUENTA]],tdiario[HABER])</f>
        <v>0</v>
      </c>
      <c r="G494" s="16">
        <f>IF(tbal[[#This Row],[DEBE]]-tbal[[#This Row],[HABER]]&gt;0,tbal[[#This Row],[DEBE]]-tbal[[#This Row],[HABER]],0)</f>
        <v>0</v>
      </c>
      <c r="H494" s="18">
        <f>IF(tbal[[#This Row],[HABER]]-tbal[[#This Row],[DEBE]]&gt;0,tbal[[#This Row],[HABER]]-tbal[[#This Row],[DEBE]],0)</f>
        <v>0</v>
      </c>
      <c r="I494" s="16">
        <f>IF((OR(tbal[[#This Row],[X]]=1,tbal[[#This Row],[X]]=2)),tbal[[#This Row],[DEUDOR]],0)</f>
        <v>0</v>
      </c>
      <c r="J494" s="18">
        <f>IF((OR(tbal[[#This Row],[X]]=2,tbal[[#This Row],[X]]=3)),tbal[[#This Row],[ACREEDOR]],0)</f>
        <v>0</v>
      </c>
      <c r="K494" s="16">
        <f>IF((OR(tbal[[#This Row],[X]]=3,tbal[[#This Row],[X]]=5)),tbal[[#This Row],[DEUDOR]],0)</f>
        <v>0</v>
      </c>
      <c r="L494" s="18">
        <f>IF((OR(tbal[[#This Row],[X]]=3,tbal[[#This Row],[X]]=4)),tbal[[#This Row],[ACREEDOR]],0)</f>
        <v>0</v>
      </c>
      <c r="M494" s="16">
        <f>IF((OR(tbal[[#This Row],[X]]=0,tbal[[#This Row],[X]]=6)),tbal[[#This Row],[DEUDOR]],0)</f>
        <v>0</v>
      </c>
      <c r="N494" s="18">
        <f>IF((OR(tbal[[#This Row],[X]]=0,tbal[[#This Row],[X]]=5)),tbal[[#This Row],[ACREEDOR]],0)</f>
        <v>0</v>
      </c>
    </row>
    <row r="495" spans="1:14" hidden="1" x14ac:dyDescent="0.3">
      <c r="A495" s="14">
        <f>+'PLAN DE CUENTAS'!A495</f>
        <v>0</v>
      </c>
      <c r="B495" s="13">
        <f>+'PLAN DE CUENTAS'!B495</f>
        <v>0</v>
      </c>
      <c r="C495" s="13">
        <f>+'PLAN DE CUENTAS'!C495</f>
        <v>0</v>
      </c>
      <c r="D495" t="str">
        <f>IF(tbal[[#This Row],[DEBE]]+tbal[[#This Row],[HABER]]=0,"","X")</f>
        <v/>
      </c>
      <c r="E495" s="16">
        <f>SUMIF(tdiario[CUENTA],tbal[[#This Row],[CUENTA]],tdiario[DEBE])</f>
        <v>0</v>
      </c>
      <c r="F495" s="17">
        <f>SUMIF(tdiario[CUENTA],tbal[[#This Row],[CUENTA]],tdiario[HABER])</f>
        <v>0</v>
      </c>
      <c r="G495" s="16">
        <f>IF(tbal[[#This Row],[DEBE]]-tbal[[#This Row],[HABER]]&gt;0,tbal[[#This Row],[DEBE]]-tbal[[#This Row],[HABER]],0)</f>
        <v>0</v>
      </c>
      <c r="H495" s="18">
        <f>IF(tbal[[#This Row],[HABER]]-tbal[[#This Row],[DEBE]]&gt;0,tbal[[#This Row],[HABER]]-tbal[[#This Row],[DEBE]],0)</f>
        <v>0</v>
      </c>
      <c r="I495" s="16">
        <f>IF((OR(tbal[[#This Row],[X]]=1,tbal[[#This Row],[X]]=2)),tbal[[#This Row],[DEUDOR]],0)</f>
        <v>0</v>
      </c>
      <c r="J495" s="18">
        <f>IF((OR(tbal[[#This Row],[X]]=2,tbal[[#This Row],[X]]=3)),tbal[[#This Row],[ACREEDOR]],0)</f>
        <v>0</v>
      </c>
      <c r="K495" s="16">
        <f>IF((OR(tbal[[#This Row],[X]]=3,tbal[[#This Row],[X]]=5)),tbal[[#This Row],[DEUDOR]],0)</f>
        <v>0</v>
      </c>
      <c r="L495" s="18">
        <f>IF((OR(tbal[[#This Row],[X]]=3,tbal[[#This Row],[X]]=4)),tbal[[#This Row],[ACREEDOR]],0)</f>
        <v>0</v>
      </c>
      <c r="M495" s="16">
        <f>IF((OR(tbal[[#This Row],[X]]=0,tbal[[#This Row],[X]]=6)),tbal[[#This Row],[DEUDOR]],0)</f>
        <v>0</v>
      </c>
      <c r="N495" s="18">
        <f>IF((OR(tbal[[#This Row],[X]]=0,tbal[[#This Row],[X]]=5)),tbal[[#This Row],[ACREEDOR]],0)</f>
        <v>0</v>
      </c>
    </row>
    <row r="496" spans="1:14" hidden="1" x14ac:dyDescent="0.3">
      <c r="A496" s="14">
        <f>+'PLAN DE CUENTAS'!A496</f>
        <v>0</v>
      </c>
      <c r="B496" s="13">
        <f>+'PLAN DE CUENTAS'!B496</f>
        <v>0</v>
      </c>
      <c r="C496" s="13">
        <f>+'PLAN DE CUENTAS'!C496</f>
        <v>0</v>
      </c>
      <c r="D496" t="str">
        <f>IF(tbal[[#This Row],[DEBE]]+tbal[[#This Row],[HABER]]=0,"","X")</f>
        <v/>
      </c>
      <c r="E496" s="16">
        <f>SUMIF(tdiario[CUENTA],tbal[[#This Row],[CUENTA]],tdiario[DEBE])</f>
        <v>0</v>
      </c>
      <c r="F496" s="17">
        <f>SUMIF(tdiario[CUENTA],tbal[[#This Row],[CUENTA]],tdiario[HABER])</f>
        <v>0</v>
      </c>
      <c r="G496" s="16">
        <f>IF(tbal[[#This Row],[DEBE]]-tbal[[#This Row],[HABER]]&gt;0,tbal[[#This Row],[DEBE]]-tbal[[#This Row],[HABER]],0)</f>
        <v>0</v>
      </c>
      <c r="H496" s="18">
        <f>IF(tbal[[#This Row],[HABER]]-tbal[[#This Row],[DEBE]]&gt;0,tbal[[#This Row],[HABER]]-tbal[[#This Row],[DEBE]],0)</f>
        <v>0</v>
      </c>
      <c r="I496" s="16">
        <f>IF((OR(tbal[[#This Row],[X]]=1,tbal[[#This Row],[X]]=2)),tbal[[#This Row],[DEUDOR]],0)</f>
        <v>0</v>
      </c>
      <c r="J496" s="18">
        <f>IF((OR(tbal[[#This Row],[X]]=2,tbal[[#This Row],[X]]=3)),tbal[[#This Row],[ACREEDOR]],0)</f>
        <v>0</v>
      </c>
      <c r="K496" s="16">
        <f>IF((OR(tbal[[#This Row],[X]]=3,tbal[[#This Row],[X]]=5)),tbal[[#This Row],[DEUDOR]],0)</f>
        <v>0</v>
      </c>
      <c r="L496" s="18">
        <f>IF((OR(tbal[[#This Row],[X]]=3,tbal[[#This Row],[X]]=4)),tbal[[#This Row],[ACREEDOR]],0)</f>
        <v>0</v>
      </c>
      <c r="M496" s="16">
        <f>IF((OR(tbal[[#This Row],[X]]=0,tbal[[#This Row],[X]]=6)),tbal[[#This Row],[DEUDOR]],0)</f>
        <v>0</v>
      </c>
      <c r="N496" s="18">
        <f>IF((OR(tbal[[#This Row],[X]]=0,tbal[[#This Row],[X]]=5)),tbal[[#This Row],[ACREEDOR]],0)</f>
        <v>0</v>
      </c>
    </row>
    <row r="497" spans="1:14" hidden="1" x14ac:dyDescent="0.3">
      <c r="A497" s="14">
        <f>+'PLAN DE CUENTAS'!A497</f>
        <v>0</v>
      </c>
      <c r="B497" s="13">
        <f>+'PLAN DE CUENTAS'!B497</f>
        <v>0</v>
      </c>
      <c r="C497" s="13">
        <f>+'PLAN DE CUENTAS'!C497</f>
        <v>0</v>
      </c>
      <c r="D497" t="str">
        <f>IF(tbal[[#This Row],[DEBE]]+tbal[[#This Row],[HABER]]=0,"","X")</f>
        <v/>
      </c>
      <c r="E497" s="16">
        <f>SUMIF(tdiario[CUENTA],tbal[[#This Row],[CUENTA]],tdiario[DEBE])</f>
        <v>0</v>
      </c>
      <c r="F497" s="17">
        <f>SUMIF(tdiario[CUENTA],tbal[[#This Row],[CUENTA]],tdiario[HABER])</f>
        <v>0</v>
      </c>
      <c r="G497" s="16">
        <f>IF(tbal[[#This Row],[DEBE]]-tbal[[#This Row],[HABER]]&gt;0,tbal[[#This Row],[DEBE]]-tbal[[#This Row],[HABER]],0)</f>
        <v>0</v>
      </c>
      <c r="H497" s="18">
        <f>IF(tbal[[#This Row],[HABER]]-tbal[[#This Row],[DEBE]]&gt;0,tbal[[#This Row],[HABER]]-tbal[[#This Row],[DEBE]],0)</f>
        <v>0</v>
      </c>
      <c r="I497" s="16">
        <f>IF((OR(tbal[[#This Row],[X]]=1,tbal[[#This Row],[X]]=2)),tbal[[#This Row],[DEUDOR]],0)</f>
        <v>0</v>
      </c>
      <c r="J497" s="18">
        <f>IF((OR(tbal[[#This Row],[X]]=2,tbal[[#This Row],[X]]=3)),tbal[[#This Row],[ACREEDOR]],0)</f>
        <v>0</v>
      </c>
      <c r="K497" s="16">
        <f>IF((OR(tbal[[#This Row],[X]]=3,tbal[[#This Row],[X]]=5)),tbal[[#This Row],[DEUDOR]],0)</f>
        <v>0</v>
      </c>
      <c r="L497" s="18">
        <f>IF((OR(tbal[[#This Row],[X]]=3,tbal[[#This Row],[X]]=4)),tbal[[#This Row],[ACREEDOR]],0)</f>
        <v>0</v>
      </c>
      <c r="M497" s="16">
        <f>IF((OR(tbal[[#This Row],[X]]=0,tbal[[#This Row],[X]]=6)),tbal[[#This Row],[DEUDOR]],0)</f>
        <v>0</v>
      </c>
      <c r="N497" s="18">
        <f>IF((OR(tbal[[#This Row],[X]]=0,tbal[[#This Row],[X]]=5)),tbal[[#This Row],[ACREEDOR]],0)</f>
        <v>0</v>
      </c>
    </row>
    <row r="498" spans="1:14" hidden="1" x14ac:dyDescent="0.3">
      <c r="A498" s="14">
        <f>+'PLAN DE CUENTAS'!A498</f>
        <v>0</v>
      </c>
      <c r="B498" s="13">
        <f>+'PLAN DE CUENTAS'!B498</f>
        <v>0</v>
      </c>
      <c r="C498" s="13">
        <f>+'PLAN DE CUENTAS'!C498</f>
        <v>0</v>
      </c>
      <c r="D498" t="str">
        <f>IF(tbal[[#This Row],[DEBE]]+tbal[[#This Row],[HABER]]=0,"","X")</f>
        <v/>
      </c>
      <c r="E498" s="16">
        <f>SUMIF(tdiario[CUENTA],tbal[[#This Row],[CUENTA]],tdiario[DEBE])</f>
        <v>0</v>
      </c>
      <c r="F498" s="17">
        <f>SUMIF(tdiario[CUENTA],tbal[[#This Row],[CUENTA]],tdiario[HABER])</f>
        <v>0</v>
      </c>
      <c r="G498" s="16">
        <f>IF(tbal[[#This Row],[DEBE]]-tbal[[#This Row],[HABER]]&gt;0,tbal[[#This Row],[DEBE]]-tbal[[#This Row],[HABER]],0)</f>
        <v>0</v>
      </c>
      <c r="H498" s="18">
        <f>IF(tbal[[#This Row],[HABER]]-tbal[[#This Row],[DEBE]]&gt;0,tbal[[#This Row],[HABER]]-tbal[[#This Row],[DEBE]],0)</f>
        <v>0</v>
      </c>
      <c r="I498" s="16">
        <f>IF((OR(tbal[[#This Row],[X]]=1,tbal[[#This Row],[X]]=2)),tbal[[#This Row],[DEUDOR]],0)</f>
        <v>0</v>
      </c>
      <c r="J498" s="18">
        <f>IF((OR(tbal[[#This Row],[X]]=2,tbal[[#This Row],[X]]=3)),tbal[[#This Row],[ACREEDOR]],0)</f>
        <v>0</v>
      </c>
      <c r="K498" s="16">
        <f>IF((OR(tbal[[#This Row],[X]]=3,tbal[[#This Row],[X]]=5)),tbal[[#This Row],[DEUDOR]],0)</f>
        <v>0</v>
      </c>
      <c r="L498" s="18">
        <f>IF((OR(tbal[[#This Row],[X]]=3,tbal[[#This Row],[X]]=4)),tbal[[#This Row],[ACREEDOR]],0)</f>
        <v>0</v>
      </c>
      <c r="M498" s="16">
        <f>IF((OR(tbal[[#This Row],[X]]=0,tbal[[#This Row],[X]]=6)),tbal[[#This Row],[DEUDOR]],0)</f>
        <v>0</v>
      </c>
      <c r="N498" s="18">
        <f>IF((OR(tbal[[#This Row],[X]]=0,tbal[[#This Row],[X]]=5)),tbal[[#This Row],[ACREEDOR]],0)</f>
        <v>0</v>
      </c>
    </row>
    <row r="499" spans="1:14" hidden="1" x14ac:dyDescent="0.3">
      <c r="A499" s="14">
        <f>+'PLAN DE CUENTAS'!A499</f>
        <v>0</v>
      </c>
      <c r="B499" s="13">
        <f>+'PLAN DE CUENTAS'!B499</f>
        <v>0</v>
      </c>
      <c r="C499" s="13">
        <f>+'PLAN DE CUENTAS'!C499</f>
        <v>0</v>
      </c>
      <c r="D499" t="str">
        <f>IF(tbal[[#This Row],[DEBE]]+tbal[[#This Row],[HABER]]=0,"","X")</f>
        <v/>
      </c>
      <c r="E499" s="16">
        <f>SUMIF(tdiario[CUENTA],tbal[[#This Row],[CUENTA]],tdiario[DEBE])</f>
        <v>0</v>
      </c>
      <c r="F499" s="17">
        <f>SUMIF(tdiario[CUENTA],tbal[[#This Row],[CUENTA]],tdiario[HABER])</f>
        <v>0</v>
      </c>
      <c r="G499" s="16">
        <f>IF(tbal[[#This Row],[DEBE]]-tbal[[#This Row],[HABER]]&gt;0,tbal[[#This Row],[DEBE]]-tbal[[#This Row],[HABER]],0)</f>
        <v>0</v>
      </c>
      <c r="H499" s="18">
        <f>IF(tbal[[#This Row],[HABER]]-tbal[[#This Row],[DEBE]]&gt;0,tbal[[#This Row],[HABER]]-tbal[[#This Row],[DEBE]],0)</f>
        <v>0</v>
      </c>
      <c r="I499" s="16">
        <f>IF((OR(tbal[[#This Row],[X]]=1,tbal[[#This Row],[X]]=2)),tbal[[#This Row],[DEUDOR]],0)</f>
        <v>0</v>
      </c>
      <c r="J499" s="18">
        <f>IF((OR(tbal[[#This Row],[X]]=2,tbal[[#This Row],[X]]=3)),tbal[[#This Row],[ACREEDOR]],0)</f>
        <v>0</v>
      </c>
      <c r="K499" s="16">
        <f>IF((OR(tbal[[#This Row],[X]]=3,tbal[[#This Row],[X]]=5)),tbal[[#This Row],[DEUDOR]],0)</f>
        <v>0</v>
      </c>
      <c r="L499" s="18">
        <f>IF((OR(tbal[[#This Row],[X]]=3,tbal[[#This Row],[X]]=4)),tbal[[#This Row],[ACREEDOR]],0)</f>
        <v>0</v>
      </c>
      <c r="M499" s="16">
        <f>IF((OR(tbal[[#This Row],[X]]=0,tbal[[#This Row],[X]]=6)),tbal[[#This Row],[DEUDOR]],0)</f>
        <v>0</v>
      </c>
      <c r="N499" s="18">
        <f>IF((OR(tbal[[#This Row],[X]]=0,tbal[[#This Row],[X]]=5)),tbal[[#This Row],[ACREEDOR]],0)</f>
        <v>0</v>
      </c>
    </row>
    <row r="500" spans="1:14" hidden="1" x14ac:dyDescent="0.3">
      <c r="A500" s="14">
        <f>+'PLAN DE CUENTAS'!A500</f>
        <v>0</v>
      </c>
      <c r="B500" s="13">
        <f>+'PLAN DE CUENTAS'!B500</f>
        <v>0</v>
      </c>
      <c r="C500" s="13">
        <f>+'PLAN DE CUENTAS'!C500</f>
        <v>0</v>
      </c>
      <c r="D500" t="str">
        <f>IF(tbal[[#This Row],[DEBE]]+tbal[[#This Row],[HABER]]=0,"","X")</f>
        <v/>
      </c>
      <c r="E500" s="16">
        <f>SUMIF(tdiario[CUENTA],tbal[[#This Row],[CUENTA]],tdiario[DEBE])</f>
        <v>0</v>
      </c>
      <c r="F500" s="17">
        <f>SUMIF(tdiario[CUENTA],tbal[[#This Row],[CUENTA]],tdiario[HABER])</f>
        <v>0</v>
      </c>
      <c r="G500" s="16">
        <f>IF(tbal[[#This Row],[DEBE]]-tbal[[#This Row],[HABER]]&gt;0,tbal[[#This Row],[DEBE]]-tbal[[#This Row],[HABER]],0)</f>
        <v>0</v>
      </c>
      <c r="H500" s="18">
        <f>IF(tbal[[#This Row],[HABER]]-tbal[[#This Row],[DEBE]]&gt;0,tbal[[#This Row],[HABER]]-tbal[[#This Row],[DEBE]],0)</f>
        <v>0</v>
      </c>
      <c r="I500" s="16">
        <f>IF((OR(tbal[[#This Row],[X]]=1,tbal[[#This Row],[X]]=2)),tbal[[#This Row],[DEUDOR]],0)</f>
        <v>0</v>
      </c>
      <c r="J500" s="18">
        <f>IF((OR(tbal[[#This Row],[X]]=2,tbal[[#This Row],[X]]=3)),tbal[[#This Row],[ACREEDOR]],0)</f>
        <v>0</v>
      </c>
      <c r="K500" s="16">
        <f>IF((OR(tbal[[#This Row],[X]]=3,tbal[[#This Row],[X]]=5)),tbal[[#This Row],[DEUDOR]],0)</f>
        <v>0</v>
      </c>
      <c r="L500" s="18">
        <f>IF((OR(tbal[[#This Row],[X]]=3,tbal[[#This Row],[X]]=4)),tbal[[#This Row],[ACREEDOR]],0)</f>
        <v>0</v>
      </c>
      <c r="M500" s="16">
        <f>IF((OR(tbal[[#This Row],[X]]=0,tbal[[#This Row],[X]]=6)),tbal[[#This Row],[DEUDOR]],0)</f>
        <v>0</v>
      </c>
      <c r="N500" s="18">
        <f>IF((OR(tbal[[#This Row],[X]]=0,tbal[[#This Row],[X]]=5)),tbal[[#This Row],[ACREEDOR]],0)</f>
        <v>0</v>
      </c>
    </row>
    <row r="501" spans="1:14" hidden="1" x14ac:dyDescent="0.3">
      <c r="A501" s="14">
        <f>+'PLAN DE CUENTAS'!A501</f>
        <v>0</v>
      </c>
      <c r="B501" s="13">
        <f>+'PLAN DE CUENTAS'!B501</f>
        <v>0</v>
      </c>
      <c r="C501" s="13">
        <f>+'PLAN DE CUENTAS'!C501</f>
        <v>0</v>
      </c>
      <c r="D501" t="str">
        <f>IF(tbal[[#This Row],[DEBE]]+tbal[[#This Row],[HABER]]=0,"","X")</f>
        <v/>
      </c>
      <c r="E501" s="16">
        <f>SUMIF(tdiario[CUENTA],tbal[[#This Row],[CUENTA]],tdiario[DEBE])</f>
        <v>0</v>
      </c>
      <c r="F501" s="17">
        <f>SUMIF(tdiario[CUENTA],tbal[[#This Row],[CUENTA]],tdiario[HABER])</f>
        <v>0</v>
      </c>
      <c r="G501" s="16">
        <f>IF(tbal[[#This Row],[DEBE]]-tbal[[#This Row],[HABER]]&gt;0,tbal[[#This Row],[DEBE]]-tbal[[#This Row],[HABER]],0)</f>
        <v>0</v>
      </c>
      <c r="H501" s="18">
        <f>IF(tbal[[#This Row],[HABER]]-tbal[[#This Row],[DEBE]]&gt;0,tbal[[#This Row],[HABER]]-tbal[[#This Row],[DEBE]],0)</f>
        <v>0</v>
      </c>
      <c r="I501" s="16">
        <f>IF((OR(tbal[[#This Row],[X]]=1,tbal[[#This Row],[X]]=2)),tbal[[#This Row],[DEUDOR]],0)</f>
        <v>0</v>
      </c>
      <c r="J501" s="18">
        <f>IF((OR(tbal[[#This Row],[X]]=2,tbal[[#This Row],[X]]=3)),tbal[[#This Row],[ACREEDOR]],0)</f>
        <v>0</v>
      </c>
      <c r="K501" s="16">
        <f>IF((OR(tbal[[#This Row],[X]]=3,tbal[[#This Row],[X]]=5)),tbal[[#This Row],[DEUDOR]],0)</f>
        <v>0</v>
      </c>
      <c r="L501" s="18">
        <f>IF((OR(tbal[[#This Row],[X]]=3,tbal[[#This Row],[X]]=4)),tbal[[#This Row],[ACREEDOR]],0)</f>
        <v>0</v>
      </c>
      <c r="M501" s="16">
        <f>IF((OR(tbal[[#This Row],[X]]=0,tbal[[#This Row],[X]]=6)),tbal[[#This Row],[DEUDOR]],0)</f>
        <v>0</v>
      </c>
      <c r="N501" s="18">
        <f>IF((OR(tbal[[#This Row],[X]]=0,tbal[[#This Row],[X]]=5)),tbal[[#This Row],[ACREEDOR]],0)</f>
        <v>0</v>
      </c>
    </row>
    <row r="502" spans="1:14" hidden="1" x14ac:dyDescent="0.3">
      <c r="A502" s="14">
        <f>+'PLAN DE CUENTAS'!A502</f>
        <v>0</v>
      </c>
      <c r="B502" s="13">
        <f>+'PLAN DE CUENTAS'!B502</f>
        <v>0</v>
      </c>
      <c r="C502" s="13">
        <f>+'PLAN DE CUENTAS'!C502</f>
        <v>0</v>
      </c>
      <c r="D502" t="str">
        <f>IF(tbal[[#This Row],[DEBE]]+tbal[[#This Row],[HABER]]=0,"","X")</f>
        <v/>
      </c>
      <c r="E502" s="16">
        <f>SUMIF(tdiario[CUENTA],tbal[[#This Row],[CUENTA]],tdiario[DEBE])</f>
        <v>0</v>
      </c>
      <c r="F502" s="17">
        <f>SUMIF(tdiario[CUENTA],tbal[[#This Row],[CUENTA]],tdiario[HABER])</f>
        <v>0</v>
      </c>
      <c r="G502" s="16">
        <f>IF(tbal[[#This Row],[DEBE]]-tbal[[#This Row],[HABER]]&gt;0,tbal[[#This Row],[DEBE]]-tbal[[#This Row],[HABER]],0)</f>
        <v>0</v>
      </c>
      <c r="H502" s="18">
        <f>IF(tbal[[#This Row],[HABER]]-tbal[[#This Row],[DEBE]]&gt;0,tbal[[#This Row],[HABER]]-tbal[[#This Row],[DEBE]],0)</f>
        <v>0</v>
      </c>
      <c r="I502" s="16">
        <f>IF((OR(tbal[[#This Row],[X]]=1,tbal[[#This Row],[X]]=2)),tbal[[#This Row],[DEUDOR]],0)</f>
        <v>0</v>
      </c>
      <c r="J502" s="18">
        <f>IF((OR(tbal[[#This Row],[X]]=2,tbal[[#This Row],[X]]=3)),tbal[[#This Row],[ACREEDOR]],0)</f>
        <v>0</v>
      </c>
      <c r="K502" s="16">
        <f>IF((OR(tbal[[#This Row],[X]]=3,tbal[[#This Row],[X]]=5)),tbal[[#This Row],[DEUDOR]],0)</f>
        <v>0</v>
      </c>
      <c r="L502" s="18">
        <f>IF((OR(tbal[[#This Row],[X]]=3,tbal[[#This Row],[X]]=4)),tbal[[#This Row],[ACREEDOR]],0)</f>
        <v>0</v>
      </c>
      <c r="M502" s="16">
        <f>IF((OR(tbal[[#This Row],[X]]=0,tbal[[#This Row],[X]]=6)),tbal[[#This Row],[DEUDOR]],0)</f>
        <v>0</v>
      </c>
      <c r="N502" s="18">
        <f>IF((OR(tbal[[#This Row],[X]]=0,tbal[[#This Row],[X]]=5)),tbal[[#This Row],[ACREEDOR]],0)</f>
        <v>0</v>
      </c>
    </row>
    <row r="503" spans="1:14" hidden="1" x14ac:dyDescent="0.3">
      <c r="A503" s="14">
        <f>+'PLAN DE CUENTAS'!A503</f>
        <v>0</v>
      </c>
      <c r="B503" s="13">
        <f>+'PLAN DE CUENTAS'!B503</f>
        <v>0</v>
      </c>
      <c r="C503" s="13">
        <f>+'PLAN DE CUENTAS'!C503</f>
        <v>0</v>
      </c>
      <c r="D503" t="str">
        <f>IF(tbal[[#This Row],[DEBE]]+tbal[[#This Row],[HABER]]=0,"","X")</f>
        <v/>
      </c>
      <c r="E503" s="16">
        <f>SUMIF(tdiario[CUENTA],tbal[[#This Row],[CUENTA]],tdiario[DEBE])</f>
        <v>0</v>
      </c>
      <c r="F503" s="17">
        <f>SUMIF(tdiario[CUENTA],tbal[[#This Row],[CUENTA]],tdiario[HABER])</f>
        <v>0</v>
      </c>
      <c r="G503" s="16">
        <f>IF(tbal[[#This Row],[DEBE]]-tbal[[#This Row],[HABER]]&gt;0,tbal[[#This Row],[DEBE]]-tbal[[#This Row],[HABER]],0)</f>
        <v>0</v>
      </c>
      <c r="H503" s="18">
        <f>IF(tbal[[#This Row],[HABER]]-tbal[[#This Row],[DEBE]]&gt;0,tbal[[#This Row],[HABER]]-tbal[[#This Row],[DEBE]],0)</f>
        <v>0</v>
      </c>
      <c r="I503" s="16">
        <f>IF((OR(tbal[[#This Row],[X]]=1,tbal[[#This Row],[X]]=2)),tbal[[#This Row],[DEUDOR]],0)</f>
        <v>0</v>
      </c>
      <c r="J503" s="18">
        <f>IF((OR(tbal[[#This Row],[X]]=2,tbal[[#This Row],[X]]=3)),tbal[[#This Row],[ACREEDOR]],0)</f>
        <v>0</v>
      </c>
      <c r="K503" s="16">
        <f>IF((OR(tbal[[#This Row],[X]]=3,tbal[[#This Row],[X]]=5)),tbal[[#This Row],[DEUDOR]],0)</f>
        <v>0</v>
      </c>
      <c r="L503" s="18">
        <f>IF((OR(tbal[[#This Row],[X]]=3,tbal[[#This Row],[X]]=4)),tbal[[#This Row],[ACREEDOR]],0)</f>
        <v>0</v>
      </c>
      <c r="M503" s="16">
        <f>IF((OR(tbal[[#This Row],[X]]=0,tbal[[#This Row],[X]]=6)),tbal[[#This Row],[DEUDOR]],0)</f>
        <v>0</v>
      </c>
      <c r="N503" s="18">
        <f>IF((OR(tbal[[#This Row],[X]]=0,tbal[[#This Row],[X]]=5)),tbal[[#This Row],[ACREEDOR]],0)</f>
        <v>0</v>
      </c>
    </row>
    <row r="504" spans="1:14" hidden="1" x14ac:dyDescent="0.3">
      <c r="A504" s="14">
        <f>+'PLAN DE CUENTAS'!A504</f>
        <v>0</v>
      </c>
      <c r="B504" s="13">
        <f>+'PLAN DE CUENTAS'!B504</f>
        <v>0</v>
      </c>
      <c r="C504" s="13">
        <f>+'PLAN DE CUENTAS'!C504</f>
        <v>0</v>
      </c>
      <c r="D504" t="str">
        <f>IF(tbal[[#This Row],[DEBE]]+tbal[[#This Row],[HABER]]=0,"","X")</f>
        <v/>
      </c>
      <c r="E504" s="16">
        <f>SUMIF(tdiario[CUENTA],tbal[[#This Row],[CUENTA]],tdiario[DEBE])</f>
        <v>0</v>
      </c>
      <c r="F504" s="17">
        <f>SUMIF(tdiario[CUENTA],tbal[[#This Row],[CUENTA]],tdiario[HABER])</f>
        <v>0</v>
      </c>
      <c r="G504" s="16">
        <f>IF(tbal[[#This Row],[DEBE]]-tbal[[#This Row],[HABER]]&gt;0,tbal[[#This Row],[DEBE]]-tbal[[#This Row],[HABER]],0)</f>
        <v>0</v>
      </c>
      <c r="H504" s="18">
        <f>IF(tbal[[#This Row],[HABER]]-tbal[[#This Row],[DEBE]]&gt;0,tbal[[#This Row],[HABER]]-tbal[[#This Row],[DEBE]],0)</f>
        <v>0</v>
      </c>
      <c r="I504" s="16">
        <f>IF((OR(tbal[[#This Row],[X]]=1,tbal[[#This Row],[X]]=2)),tbal[[#This Row],[DEUDOR]],0)</f>
        <v>0</v>
      </c>
      <c r="J504" s="18">
        <f>IF((OR(tbal[[#This Row],[X]]=2,tbal[[#This Row],[X]]=3)),tbal[[#This Row],[ACREEDOR]],0)</f>
        <v>0</v>
      </c>
      <c r="K504" s="16">
        <f>IF((OR(tbal[[#This Row],[X]]=3,tbal[[#This Row],[X]]=5)),tbal[[#This Row],[DEUDOR]],0)</f>
        <v>0</v>
      </c>
      <c r="L504" s="18">
        <f>IF((OR(tbal[[#This Row],[X]]=3,tbal[[#This Row],[X]]=4)),tbal[[#This Row],[ACREEDOR]],0)</f>
        <v>0</v>
      </c>
      <c r="M504" s="16">
        <f>IF((OR(tbal[[#This Row],[X]]=0,tbal[[#This Row],[X]]=6)),tbal[[#This Row],[DEUDOR]],0)</f>
        <v>0</v>
      </c>
      <c r="N504" s="18">
        <f>IF((OR(tbal[[#This Row],[X]]=0,tbal[[#This Row],[X]]=5)),tbal[[#This Row],[ACREEDOR]],0)</f>
        <v>0</v>
      </c>
    </row>
    <row r="505" spans="1:14" hidden="1" x14ac:dyDescent="0.3">
      <c r="A505" s="14">
        <f>+'PLAN DE CUENTAS'!A505</f>
        <v>0</v>
      </c>
      <c r="B505" s="13">
        <f>+'PLAN DE CUENTAS'!B505</f>
        <v>0</v>
      </c>
      <c r="C505" s="13">
        <f>+'PLAN DE CUENTAS'!C505</f>
        <v>0</v>
      </c>
      <c r="D505" t="str">
        <f>IF(tbal[[#This Row],[DEBE]]+tbal[[#This Row],[HABER]]=0,"","X")</f>
        <v/>
      </c>
      <c r="E505" s="16">
        <f>SUMIF(tdiario[CUENTA],tbal[[#This Row],[CUENTA]],tdiario[DEBE])</f>
        <v>0</v>
      </c>
      <c r="F505" s="17">
        <f>SUMIF(tdiario[CUENTA],tbal[[#This Row],[CUENTA]],tdiario[HABER])</f>
        <v>0</v>
      </c>
      <c r="G505" s="16">
        <f>IF(tbal[[#This Row],[DEBE]]-tbal[[#This Row],[HABER]]&gt;0,tbal[[#This Row],[DEBE]]-tbal[[#This Row],[HABER]],0)</f>
        <v>0</v>
      </c>
      <c r="H505" s="18">
        <f>IF(tbal[[#This Row],[HABER]]-tbal[[#This Row],[DEBE]]&gt;0,tbal[[#This Row],[HABER]]-tbal[[#This Row],[DEBE]],0)</f>
        <v>0</v>
      </c>
      <c r="I505" s="16">
        <f>IF((OR(tbal[[#This Row],[X]]=1,tbal[[#This Row],[X]]=2)),tbal[[#This Row],[DEUDOR]],0)</f>
        <v>0</v>
      </c>
      <c r="J505" s="18">
        <f>IF((OR(tbal[[#This Row],[X]]=2,tbal[[#This Row],[X]]=3)),tbal[[#This Row],[ACREEDOR]],0)</f>
        <v>0</v>
      </c>
      <c r="K505" s="16">
        <f>IF((OR(tbal[[#This Row],[X]]=3,tbal[[#This Row],[X]]=5)),tbal[[#This Row],[DEUDOR]],0)</f>
        <v>0</v>
      </c>
      <c r="L505" s="18">
        <f>IF((OR(tbal[[#This Row],[X]]=3,tbal[[#This Row],[X]]=4)),tbal[[#This Row],[ACREEDOR]],0)</f>
        <v>0</v>
      </c>
      <c r="M505" s="16">
        <f>IF((OR(tbal[[#This Row],[X]]=0,tbal[[#This Row],[X]]=6)),tbal[[#This Row],[DEUDOR]],0)</f>
        <v>0</v>
      </c>
      <c r="N505" s="18">
        <f>IF((OR(tbal[[#This Row],[X]]=0,tbal[[#This Row],[X]]=5)),tbal[[#This Row],[ACREEDOR]],0)</f>
        <v>0</v>
      </c>
    </row>
    <row r="506" spans="1:14" hidden="1" x14ac:dyDescent="0.3">
      <c r="A506" s="14">
        <f>+'PLAN DE CUENTAS'!A506</f>
        <v>0</v>
      </c>
      <c r="B506" s="13">
        <f>+'PLAN DE CUENTAS'!B506</f>
        <v>0</v>
      </c>
      <c r="C506" s="13">
        <f>+'PLAN DE CUENTAS'!C506</f>
        <v>0</v>
      </c>
      <c r="D506" t="str">
        <f>IF(tbal[[#This Row],[DEBE]]+tbal[[#This Row],[HABER]]=0,"","X")</f>
        <v/>
      </c>
      <c r="E506" s="16">
        <f>SUMIF(tdiario[CUENTA],tbal[[#This Row],[CUENTA]],tdiario[DEBE])</f>
        <v>0</v>
      </c>
      <c r="F506" s="17">
        <f>SUMIF(tdiario[CUENTA],tbal[[#This Row],[CUENTA]],tdiario[HABER])</f>
        <v>0</v>
      </c>
      <c r="G506" s="16">
        <f>IF(tbal[[#This Row],[DEBE]]-tbal[[#This Row],[HABER]]&gt;0,tbal[[#This Row],[DEBE]]-tbal[[#This Row],[HABER]],0)</f>
        <v>0</v>
      </c>
      <c r="H506" s="18">
        <f>IF(tbal[[#This Row],[HABER]]-tbal[[#This Row],[DEBE]]&gt;0,tbal[[#This Row],[HABER]]-tbal[[#This Row],[DEBE]],0)</f>
        <v>0</v>
      </c>
      <c r="I506" s="16">
        <f>IF((OR(tbal[[#This Row],[X]]=1,tbal[[#This Row],[X]]=2)),tbal[[#This Row],[DEUDOR]],0)</f>
        <v>0</v>
      </c>
      <c r="J506" s="18">
        <f>IF((OR(tbal[[#This Row],[X]]=2,tbal[[#This Row],[X]]=3)),tbal[[#This Row],[ACREEDOR]],0)</f>
        <v>0</v>
      </c>
      <c r="K506" s="16">
        <f>IF((OR(tbal[[#This Row],[X]]=3,tbal[[#This Row],[X]]=5)),tbal[[#This Row],[DEUDOR]],0)</f>
        <v>0</v>
      </c>
      <c r="L506" s="18">
        <f>IF((OR(tbal[[#This Row],[X]]=3,tbal[[#This Row],[X]]=4)),tbal[[#This Row],[ACREEDOR]],0)</f>
        <v>0</v>
      </c>
      <c r="M506" s="16">
        <f>IF((OR(tbal[[#This Row],[X]]=0,tbal[[#This Row],[X]]=6)),tbal[[#This Row],[DEUDOR]],0)</f>
        <v>0</v>
      </c>
      <c r="N506" s="18">
        <f>IF((OR(tbal[[#This Row],[X]]=0,tbal[[#This Row],[X]]=5)),tbal[[#This Row],[ACREEDOR]],0)</f>
        <v>0</v>
      </c>
    </row>
    <row r="507" spans="1:14" hidden="1" x14ac:dyDescent="0.3">
      <c r="A507" s="14">
        <f>+'PLAN DE CUENTAS'!A507</f>
        <v>0</v>
      </c>
      <c r="B507" s="13">
        <f>+'PLAN DE CUENTAS'!B507</f>
        <v>0</v>
      </c>
      <c r="C507" s="13">
        <f>+'PLAN DE CUENTAS'!C507</f>
        <v>0</v>
      </c>
      <c r="D507" t="str">
        <f>IF(tbal[[#This Row],[DEBE]]+tbal[[#This Row],[HABER]]=0,"","X")</f>
        <v/>
      </c>
      <c r="E507" s="16">
        <f>SUMIF(tdiario[CUENTA],tbal[[#This Row],[CUENTA]],tdiario[DEBE])</f>
        <v>0</v>
      </c>
      <c r="F507" s="17">
        <f>SUMIF(tdiario[CUENTA],tbal[[#This Row],[CUENTA]],tdiario[HABER])</f>
        <v>0</v>
      </c>
      <c r="G507" s="16">
        <f>IF(tbal[[#This Row],[DEBE]]-tbal[[#This Row],[HABER]]&gt;0,tbal[[#This Row],[DEBE]]-tbal[[#This Row],[HABER]],0)</f>
        <v>0</v>
      </c>
      <c r="H507" s="18">
        <f>IF(tbal[[#This Row],[HABER]]-tbal[[#This Row],[DEBE]]&gt;0,tbal[[#This Row],[HABER]]-tbal[[#This Row],[DEBE]],0)</f>
        <v>0</v>
      </c>
      <c r="I507" s="16">
        <f>IF((OR(tbal[[#This Row],[X]]=1,tbal[[#This Row],[X]]=2)),tbal[[#This Row],[DEUDOR]],0)</f>
        <v>0</v>
      </c>
      <c r="J507" s="18">
        <f>IF((OR(tbal[[#This Row],[X]]=2,tbal[[#This Row],[X]]=3)),tbal[[#This Row],[ACREEDOR]],0)</f>
        <v>0</v>
      </c>
      <c r="K507" s="16">
        <f>IF((OR(tbal[[#This Row],[X]]=3,tbal[[#This Row],[X]]=5)),tbal[[#This Row],[DEUDOR]],0)</f>
        <v>0</v>
      </c>
      <c r="L507" s="18">
        <f>IF((OR(tbal[[#This Row],[X]]=3,tbal[[#This Row],[X]]=4)),tbal[[#This Row],[ACREEDOR]],0)</f>
        <v>0</v>
      </c>
      <c r="M507" s="16">
        <f>IF((OR(tbal[[#This Row],[X]]=0,tbal[[#This Row],[X]]=6)),tbal[[#This Row],[DEUDOR]],0)</f>
        <v>0</v>
      </c>
      <c r="N507" s="18">
        <f>IF((OR(tbal[[#This Row],[X]]=0,tbal[[#This Row],[X]]=5)),tbal[[#This Row],[ACREEDOR]],0)</f>
        <v>0</v>
      </c>
    </row>
    <row r="508" spans="1:14" hidden="1" x14ac:dyDescent="0.3">
      <c r="A508" s="14">
        <f>+'PLAN DE CUENTAS'!A508</f>
        <v>0</v>
      </c>
      <c r="B508" s="13">
        <f>+'PLAN DE CUENTAS'!B508</f>
        <v>0</v>
      </c>
      <c r="C508" s="13">
        <f>+'PLAN DE CUENTAS'!C508</f>
        <v>0</v>
      </c>
      <c r="D508" t="str">
        <f>IF(tbal[[#This Row],[DEBE]]+tbal[[#This Row],[HABER]]=0,"","X")</f>
        <v/>
      </c>
      <c r="E508" s="16">
        <f>SUMIF(tdiario[CUENTA],tbal[[#This Row],[CUENTA]],tdiario[DEBE])</f>
        <v>0</v>
      </c>
      <c r="F508" s="17">
        <f>SUMIF(tdiario[CUENTA],tbal[[#This Row],[CUENTA]],tdiario[HABER])</f>
        <v>0</v>
      </c>
      <c r="G508" s="16">
        <f>IF(tbal[[#This Row],[DEBE]]-tbal[[#This Row],[HABER]]&gt;0,tbal[[#This Row],[DEBE]]-tbal[[#This Row],[HABER]],0)</f>
        <v>0</v>
      </c>
      <c r="H508" s="18">
        <f>IF(tbal[[#This Row],[HABER]]-tbal[[#This Row],[DEBE]]&gt;0,tbal[[#This Row],[HABER]]-tbal[[#This Row],[DEBE]],0)</f>
        <v>0</v>
      </c>
      <c r="I508" s="16">
        <f>IF((OR(tbal[[#This Row],[X]]=1,tbal[[#This Row],[X]]=2)),tbal[[#This Row],[DEUDOR]],0)</f>
        <v>0</v>
      </c>
      <c r="J508" s="18">
        <f>IF((OR(tbal[[#This Row],[X]]=2,tbal[[#This Row],[X]]=3)),tbal[[#This Row],[ACREEDOR]],0)</f>
        <v>0</v>
      </c>
      <c r="K508" s="16">
        <f>IF((OR(tbal[[#This Row],[X]]=3,tbal[[#This Row],[X]]=5)),tbal[[#This Row],[DEUDOR]],0)</f>
        <v>0</v>
      </c>
      <c r="L508" s="18">
        <f>IF((OR(tbal[[#This Row],[X]]=3,tbal[[#This Row],[X]]=4)),tbal[[#This Row],[ACREEDOR]],0)</f>
        <v>0</v>
      </c>
      <c r="M508" s="16">
        <f>IF((OR(tbal[[#This Row],[X]]=0,tbal[[#This Row],[X]]=6)),tbal[[#This Row],[DEUDOR]],0)</f>
        <v>0</v>
      </c>
      <c r="N508" s="18">
        <f>IF((OR(tbal[[#This Row],[X]]=0,tbal[[#This Row],[X]]=5)),tbal[[#This Row],[ACREEDOR]],0)</f>
        <v>0</v>
      </c>
    </row>
    <row r="509" spans="1:14" hidden="1" x14ac:dyDescent="0.3">
      <c r="A509" s="14">
        <f>+'PLAN DE CUENTAS'!A509</f>
        <v>0</v>
      </c>
      <c r="B509" s="13">
        <f>+'PLAN DE CUENTAS'!B509</f>
        <v>0</v>
      </c>
      <c r="C509" s="13">
        <f>+'PLAN DE CUENTAS'!C509</f>
        <v>0</v>
      </c>
      <c r="D509" t="str">
        <f>IF(tbal[[#This Row],[DEBE]]+tbal[[#This Row],[HABER]]=0,"","X")</f>
        <v/>
      </c>
      <c r="E509" s="16">
        <f>SUMIF(tdiario[CUENTA],tbal[[#This Row],[CUENTA]],tdiario[DEBE])</f>
        <v>0</v>
      </c>
      <c r="F509" s="17">
        <f>SUMIF(tdiario[CUENTA],tbal[[#This Row],[CUENTA]],tdiario[HABER])</f>
        <v>0</v>
      </c>
      <c r="G509" s="16">
        <f>IF(tbal[[#This Row],[DEBE]]-tbal[[#This Row],[HABER]]&gt;0,tbal[[#This Row],[DEBE]]-tbal[[#This Row],[HABER]],0)</f>
        <v>0</v>
      </c>
      <c r="H509" s="18">
        <f>IF(tbal[[#This Row],[HABER]]-tbal[[#This Row],[DEBE]]&gt;0,tbal[[#This Row],[HABER]]-tbal[[#This Row],[DEBE]],0)</f>
        <v>0</v>
      </c>
      <c r="I509" s="16">
        <f>IF((OR(tbal[[#This Row],[X]]=1,tbal[[#This Row],[X]]=2)),tbal[[#This Row],[DEUDOR]],0)</f>
        <v>0</v>
      </c>
      <c r="J509" s="18">
        <f>IF((OR(tbal[[#This Row],[X]]=2,tbal[[#This Row],[X]]=3)),tbal[[#This Row],[ACREEDOR]],0)</f>
        <v>0</v>
      </c>
      <c r="K509" s="16">
        <f>IF((OR(tbal[[#This Row],[X]]=3,tbal[[#This Row],[X]]=5)),tbal[[#This Row],[DEUDOR]],0)</f>
        <v>0</v>
      </c>
      <c r="L509" s="18">
        <f>IF((OR(tbal[[#This Row],[X]]=3,tbal[[#This Row],[X]]=4)),tbal[[#This Row],[ACREEDOR]],0)</f>
        <v>0</v>
      </c>
      <c r="M509" s="16">
        <f>IF((OR(tbal[[#This Row],[X]]=0,tbal[[#This Row],[X]]=6)),tbal[[#This Row],[DEUDOR]],0)</f>
        <v>0</v>
      </c>
      <c r="N509" s="18">
        <f>IF((OR(tbal[[#This Row],[X]]=0,tbal[[#This Row],[X]]=5)),tbal[[#This Row],[ACREEDOR]],0)</f>
        <v>0</v>
      </c>
    </row>
    <row r="510" spans="1:14" hidden="1" x14ac:dyDescent="0.3">
      <c r="A510" s="14">
        <f>+'PLAN DE CUENTAS'!A510</f>
        <v>0</v>
      </c>
      <c r="B510" s="13">
        <f>+'PLAN DE CUENTAS'!B510</f>
        <v>0</v>
      </c>
      <c r="C510" s="13">
        <f>+'PLAN DE CUENTAS'!C510</f>
        <v>0</v>
      </c>
      <c r="D510" t="str">
        <f>IF(tbal[[#This Row],[DEBE]]+tbal[[#This Row],[HABER]]=0,"","X")</f>
        <v/>
      </c>
      <c r="E510" s="16">
        <f>SUMIF(tdiario[CUENTA],tbal[[#This Row],[CUENTA]],tdiario[DEBE])</f>
        <v>0</v>
      </c>
      <c r="F510" s="17">
        <f>SUMIF(tdiario[CUENTA],tbal[[#This Row],[CUENTA]],tdiario[HABER])</f>
        <v>0</v>
      </c>
      <c r="G510" s="16">
        <f>IF(tbal[[#This Row],[DEBE]]-tbal[[#This Row],[HABER]]&gt;0,tbal[[#This Row],[DEBE]]-tbal[[#This Row],[HABER]],0)</f>
        <v>0</v>
      </c>
      <c r="H510" s="18">
        <f>IF(tbal[[#This Row],[HABER]]-tbal[[#This Row],[DEBE]]&gt;0,tbal[[#This Row],[HABER]]-tbal[[#This Row],[DEBE]],0)</f>
        <v>0</v>
      </c>
      <c r="I510" s="16">
        <f>IF((OR(tbal[[#This Row],[X]]=1,tbal[[#This Row],[X]]=2)),tbal[[#This Row],[DEUDOR]],0)</f>
        <v>0</v>
      </c>
      <c r="J510" s="18">
        <f>IF((OR(tbal[[#This Row],[X]]=2,tbal[[#This Row],[X]]=3)),tbal[[#This Row],[ACREEDOR]],0)</f>
        <v>0</v>
      </c>
      <c r="K510" s="16">
        <f>IF((OR(tbal[[#This Row],[X]]=3,tbal[[#This Row],[X]]=5)),tbal[[#This Row],[DEUDOR]],0)</f>
        <v>0</v>
      </c>
      <c r="L510" s="18">
        <f>IF((OR(tbal[[#This Row],[X]]=3,tbal[[#This Row],[X]]=4)),tbal[[#This Row],[ACREEDOR]],0)</f>
        <v>0</v>
      </c>
      <c r="M510" s="16">
        <f>IF((OR(tbal[[#This Row],[X]]=0,tbal[[#This Row],[X]]=6)),tbal[[#This Row],[DEUDOR]],0)</f>
        <v>0</v>
      </c>
      <c r="N510" s="18">
        <f>IF((OR(tbal[[#This Row],[X]]=0,tbal[[#This Row],[X]]=5)),tbal[[#This Row],[ACREEDOR]],0)</f>
        <v>0</v>
      </c>
    </row>
    <row r="511" spans="1:14" hidden="1" x14ac:dyDescent="0.3">
      <c r="A511" s="14">
        <f>+'PLAN DE CUENTAS'!A511</f>
        <v>0</v>
      </c>
      <c r="B511" s="13">
        <f>+'PLAN DE CUENTAS'!B511</f>
        <v>0</v>
      </c>
      <c r="C511" s="13">
        <f>+'PLAN DE CUENTAS'!C511</f>
        <v>0</v>
      </c>
      <c r="D511" t="str">
        <f>IF(tbal[[#This Row],[DEBE]]+tbal[[#This Row],[HABER]]=0,"","X")</f>
        <v/>
      </c>
      <c r="E511" s="16">
        <f>SUMIF(tdiario[CUENTA],tbal[[#This Row],[CUENTA]],tdiario[DEBE])</f>
        <v>0</v>
      </c>
      <c r="F511" s="17">
        <f>SUMIF(tdiario[CUENTA],tbal[[#This Row],[CUENTA]],tdiario[HABER])</f>
        <v>0</v>
      </c>
      <c r="G511" s="16">
        <f>IF(tbal[[#This Row],[DEBE]]-tbal[[#This Row],[HABER]]&gt;0,tbal[[#This Row],[DEBE]]-tbal[[#This Row],[HABER]],0)</f>
        <v>0</v>
      </c>
      <c r="H511" s="18">
        <f>IF(tbal[[#This Row],[HABER]]-tbal[[#This Row],[DEBE]]&gt;0,tbal[[#This Row],[HABER]]-tbal[[#This Row],[DEBE]],0)</f>
        <v>0</v>
      </c>
      <c r="I511" s="16">
        <f>IF((OR(tbal[[#This Row],[X]]=1,tbal[[#This Row],[X]]=2)),tbal[[#This Row],[DEUDOR]],0)</f>
        <v>0</v>
      </c>
      <c r="J511" s="18">
        <f>IF((OR(tbal[[#This Row],[X]]=2,tbal[[#This Row],[X]]=3)),tbal[[#This Row],[ACREEDOR]],0)</f>
        <v>0</v>
      </c>
      <c r="K511" s="16">
        <f>IF((OR(tbal[[#This Row],[X]]=3,tbal[[#This Row],[X]]=5)),tbal[[#This Row],[DEUDOR]],0)</f>
        <v>0</v>
      </c>
      <c r="L511" s="18">
        <f>IF((OR(tbal[[#This Row],[X]]=3,tbal[[#This Row],[X]]=4)),tbal[[#This Row],[ACREEDOR]],0)</f>
        <v>0</v>
      </c>
      <c r="M511" s="16">
        <f>IF((OR(tbal[[#This Row],[X]]=0,tbal[[#This Row],[X]]=6)),tbal[[#This Row],[DEUDOR]],0)</f>
        <v>0</v>
      </c>
      <c r="N511" s="18">
        <f>IF((OR(tbal[[#This Row],[X]]=0,tbal[[#This Row],[X]]=5)),tbal[[#This Row],[ACREEDOR]],0)</f>
        <v>0</v>
      </c>
    </row>
    <row r="512" spans="1:14" hidden="1" x14ac:dyDescent="0.3">
      <c r="A512" s="14">
        <f>+'PLAN DE CUENTAS'!A512</f>
        <v>0</v>
      </c>
      <c r="B512" s="13">
        <f>+'PLAN DE CUENTAS'!B512</f>
        <v>0</v>
      </c>
      <c r="C512" s="13">
        <f>+'PLAN DE CUENTAS'!C512</f>
        <v>0</v>
      </c>
      <c r="D512" t="str">
        <f>IF(tbal[[#This Row],[DEBE]]+tbal[[#This Row],[HABER]]=0,"","X")</f>
        <v/>
      </c>
      <c r="E512" s="16">
        <f>SUMIF(tdiario[CUENTA],tbal[[#This Row],[CUENTA]],tdiario[DEBE])</f>
        <v>0</v>
      </c>
      <c r="F512" s="17">
        <f>SUMIF(tdiario[CUENTA],tbal[[#This Row],[CUENTA]],tdiario[HABER])</f>
        <v>0</v>
      </c>
      <c r="G512" s="16">
        <f>IF(tbal[[#This Row],[DEBE]]-tbal[[#This Row],[HABER]]&gt;0,tbal[[#This Row],[DEBE]]-tbal[[#This Row],[HABER]],0)</f>
        <v>0</v>
      </c>
      <c r="H512" s="18">
        <f>IF(tbal[[#This Row],[HABER]]-tbal[[#This Row],[DEBE]]&gt;0,tbal[[#This Row],[HABER]]-tbal[[#This Row],[DEBE]],0)</f>
        <v>0</v>
      </c>
      <c r="I512" s="16">
        <f>IF((OR(tbal[[#This Row],[X]]=1,tbal[[#This Row],[X]]=2)),tbal[[#This Row],[DEUDOR]],0)</f>
        <v>0</v>
      </c>
      <c r="J512" s="18">
        <f>IF((OR(tbal[[#This Row],[X]]=2,tbal[[#This Row],[X]]=3)),tbal[[#This Row],[ACREEDOR]],0)</f>
        <v>0</v>
      </c>
      <c r="K512" s="16">
        <f>IF((OR(tbal[[#This Row],[X]]=3,tbal[[#This Row],[X]]=5)),tbal[[#This Row],[DEUDOR]],0)</f>
        <v>0</v>
      </c>
      <c r="L512" s="18">
        <f>IF((OR(tbal[[#This Row],[X]]=3,tbal[[#This Row],[X]]=4)),tbal[[#This Row],[ACREEDOR]],0)</f>
        <v>0</v>
      </c>
      <c r="M512" s="16">
        <f>IF((OR(tbal[[#This Row],[X]]=0,tbal[[#This Row],[X]]=6)),tbal[[#This Row],[DEUDOR]],0)</f>
        <v>0</v>
      </c>
      <c r="N512" s="18">
        <f>IF((OR(tbal[[#This Row],[X]]=0,tbal[[#This Row],[X]]=5)),tbal[[#This Row],[ACREEDOR]],0)</f>
        <v>0</v>
      </c>
    </row>
    <row r="513" spans="1:14" hidden="1" x14ac:dyDescent="0.3">
      <c r="A513" s="14">
        <f>+'PLAN DE CUENTAS'!A513</f>
        <v>0</v>
      </c>
      <c r="B513" s="13">
        <f>+'PLAN DE CUENTAS'!B513</f>
        <v>0</v>
      </c>
      <c r="C513" s="13">
        <f>+'PLAN DE CUENTAS'!C513</f>
        <v>0</v>
      </c>
      <c r="D513" t="str">
        <f>IF(tbal[[#This Row],[DEBE]]+tbal[[#This Row],[HABER]]=0,"","X")</f>
        <v/>
      </c>
      <c r="E513" s="16">
        <f>SUMIF(tdiario[CUENTA],tbal[[#This Row],[CUENTA]],tdiario[DEBE])</f>
        <v>0</v>
      </c>
      <c r="F513" s="17">
        <f>SUMIF(tdiario[CUENTA],tbal[[#This Row],[CUENTA]],tdiario[HABER])</f>
        <v>0</v>
      </c>
      <c r="G513" s="16">
        <f>IF(tbal[[#This Row],[DEBE]]-tbal[[#This Row],[HABER]]&gt;0,tbal[[#This Row],[DEBE]]-tbal[[#This Row],[HABER]],0)</f>
        <v>0</v>
      </c>
      <c r="H513" s="18">
        <f>IF(tbal[[#This Row],[HABER]]-tbal[[#This Row],[DEBE]]&gt;0,tbal[[#This Row],[HABER]]-tbal[[#This Row],[DEBE]],0)</f>
        <v>0</v>
      </c>
      <c r="I513" s="16">
        <f>IF((OR(tbal[[#This Row],[X]]=1,tbal[[#This Row],[X]]=2)),tbal[[#This Row],[DEUDOR]],0)</f>
        <v>0</v>
      </c>
      <c r="J513" s="18">
        <f>IF((OR(tbal[[#This Row],[X]]=2,tbal[[#This Row],[X]]=3)),tbal[[#This Row],[ACREEDOR]],0)</f>
        <v>0</v>
      </c>
      <c r="K513" s="16">
        <f>IF((OR(tbal[[#This Row],[X]]=3,tbal[[#This Row],[X]]=5)),tbal[[#This Row],[DEUDOR]],0)</f>
        <v>0</v>
      </c>
      <c r="L513" s="18">
        <f>IF((OR(tbal[[#This Row],[X]]=3,tbal[[#This Row],[X]]=4)),tbal[[#This Row],[ACREEDOR]],0)</f>
        <v>0</v>
      </c>
      <c r="M513" s="16">
        <f>IF((OR(tbal[[#This Row],[X]]=0,tbal[[#This Row],[X]]=6)),tbal[[#This Row],[DEUDOR]],0)</f>
        <v>0</v>
      </c>
      <c r="N513" s="18">
        <f>IF((OR(tbal[[#This Row],[X]]=0,tbal[[#This Row],[X]]=5)),tbal[[#This Row],[ACREEDOR]],0)</f>
        <v>0</v>
      </c>
    </row>
    <row r="514" spans="1:14" hidden="1" x14ac:dyDescent="0.3">
      <c r="A514" s="14">
        <f>+'PLAN DE CUENTAS'!A514</f>
        <v>0</v>
      </c>
      <c r="B514" s="13">
        <f>+'PLAN DE CUENTAS'!B514</f>
        <v>0</v>
      </c>
      <c r="C514" s="13">
        <f>+'PLAN DE CUENTAS'!C514</f>
        <v>0</v>
      </c>
      <c r="D514" t="str">
        <f>IF(tbal[[#This Row],[DEBE]]+tbal[[#This Row],[HABER]]=0,"","X")</f>
        <v/>
      </c>
      <c r="E514" s="16">
        <f>SUMIF(tdiario[CUENTA],tbal[[#This Row],[CUENTA]],tdiario[DEBE])</f>
        <v>0</v>
      </c>
      <c r="F514" s="17">
        <f>SUMIF(tdiario[CUENTA],tbal[[#This Row],[CUENTA]],tdiario[HABER])</f>
        <v>0</v>
      </c>
      <c r="G514" s="16">
        <f>IF(tbal[[#This Row],[DEBE]]-tbal[[#This Row],[HABER]]&gt;0,tbal[[#This Row],[DEBE]]-tbal[[#This Row],[HABER]],0)</f>
        <v>0</v>
      </c>
      <c r="H514" s="18">
        <f>IF(tbal[[#This Row],[HABER]]-tbal[[#This Row],[DEBE]]&gt;0,tbal[[#This Row],[HABER]]-tbal[[#This Row],[DEBE]],0)</f>
        <v>0</v>
      </c>
      <c r="I514" s="16">
        <f>IF((OR(tbal[[#This Row],[X]]=1,tbal[[#This Row],[X]]=2)),tbal[[#This Row],[DEUDOR]],0)</f>
        <v>0</v>
      </c>
      <c r="J514" s="18">
        <f>IF((OR(tbal[[#This Row],[X]]=2,tbal[[#This Row],[X]]=3)),tbal[[#This Row],[ACREEDOR]],0)</f>
        <v>0</v>
      </c>
      <c r="K514" s="16">
        <f>IF((OR(tbal[[#This Row],[X]]=3,tbal[[#This Row],[X]]=5)),tbal[[#This Row],[DEUDOR]],0)</f>
        <v>0</v>
      </c>
      <c r="L514" s="18">
        <f>IF((OR(tbal[[#This Row],[X]]=3,tbal[[#This Row],[X]]=4)),tbal[[#This Row],[ACREEDOR]],0)</f>
        <v>0</v>
      </c>
      <c r="M514" s="16">
        <f>IF((OR(tbal[[#This Row],[X]]=0,tbal[[#This Row],[X]]=6)),tbal[[#This Row],[DEUDOR]],0)</f>
        <v>0</v>
      </c>
      <c r="N514" s="18">
        <f>IF((OR(tbal[[#This Row],[X]]=0,tbal[[#This Row],[X]]=5)),tbal[[#This Row],[ACREEDOR]],0)</f>
        <v>0</v>
      </c>
    </row>
    <row r="515" spans="1:14" hidden="1" x14ac:dyDescent="0.3">
      <c r="A515" s="14">
        <f>+'PLAN DE CUENTAS'!A515</f>
        <v>0</v>
      </c>
      <c r="B515" s="13">
        <f>+'PLAN DE CUENTAS'!B515</f>
        <v>0</v>
      </c>
      <c r="C515" s="13">
        <f>+'PLAN DE CUENTAS'!C515</f>
        <v>0</v>
      </c>
      <c r="D515" t="str">
        <f>IF(tbal[[#This Row],[DEBE]]+tbal[[#This Row],[HABER]]=0,"","X")</f>
        <v/>
      </c>
      <c r="E515" s="16">
        <f>SUMIF(tdiario[CUENTA],tbal[[#This Row],[CUENTA]],tdiario[DEBE])</f>
        <v>0</v>
      </c>
      <c r="F515" s="17">
        <f>SUMIF(tdiario[CUENTA],tbal[[#This Row],[CUENTA]],tdiario[HABER])</f>
        <v>0</v>
      </c>
      <c r="G515" s="16">
        <f>IF(tbal[[#This Row],[DEBE]]-tbal[[#This Row],[HABER]]&gt;0,tbal[[#This Row],[DEBE]]-tbal[[#This Row],[HABER]],0)</f>
        <v>0</v>
      </c>
      <c r="H515" s="18">
        <f>IF(tbal[[#This Row],[HABER]]-tbal[[#This Row],[DEBE]]&gt;0,tbal[[#This Row],[HABER]]-tbal[[#This Row],[DEBE]],0)</f>
        <v>0</v>
      </c>
      <c r="I515" s="16">
        <f>IF((OR(tbal[[#This Row],[X]]=1,tbal[[#This Row],[X]]=2)),tbal[[#This Row],[DEUDOR]],0)</f>
        <v>0</v>
      </c>
      <c r="J515" s="18">
        <f>IF((OR(tbal[[#This Row],[X]]=2,tbal[[#This Row],[X]]=3)),tbal[[#This Row],[ACREEDOR]],0)</f>
        <v>0</v>
      </c>
      <c r="K515" s="16">
        <f>IF((OR(tbal[[#This Row],[X]]=3,tbal[[#This Row],[X]]=5)),tbal[[#This Row],[DEUDOR]],0)</f>
        <v>0</v>
      </c>
      <c r="L515" s="18">
        <f>IF((OR(tbal[[#This Row],[X]]=3,tbal[[#This Row],[X]]=4)),tbal[[#This Row],[ACREEDOR]],0)</f>
        <v>0</v>
      </c>
      <c r="M515" s="16">
        <f>IF((OR(tbal[[#This Row],[X]]=0,tbal[[#This Row],[X]]=6)),tbal[[#This Row],[DEUDOR]],0)</f>
        <v>0</v>
      </c>
      <c r="N515" s="18">
        <f>IF((OR(tbal[[#This Row],[X]]=0,tbal[[#This Row],[X]]=5)),tbal[[#This Row],[ACREEDOR]],0)</f>
        <v>0</v>
      </c>
    </row>
    <row r="516" spans="1:14" hidden="1" x14ac:dyDescent="0.3">
      <c r="A516" s="14">
        <f>+'PLAN DE CUENTAS'!A516</f>
        <v>0</v>
      </c>
      <c r="B516" s="13">
        <f>+'PLAN DE CUENTAS'!B516</f>
        <v>0</v>
      </c>
      <c r="C516" s="13">
        <f>+'PLAN DE CUENTAS'!C516</f>
        <v>0</v>
      </c>
      <c r="D516" t="str">
        <f>IF(tbal[[#This Row],[DEBE]]+tbal[[#This Row],[HABER]]=0,"","X")</f>
        <v/>
      </c>
      <c r="E516" s="16">
        <f>SUMIF(tdiario[CUENTA],tbal[[#This Row],[CUENTA]],tdiario[DEBE])</f>
        <v>0</v>
      </c>
      <c r="F516" s="17">
        <f>SUMIF(tdiario[CUENTA],tbal[[#This Row],[CUENTA]],tdiario[HABER])</f>
        <v>0</v>
      </c>
      <c r="G516" s="16">
        <f>IF(tbal[[#This Row],[DEBE]]-tbal[[#This Row],[HABER]]&gt;0,tbal[[#This Row],[DEBE]]-tbal[[#This Row],[HABER]],0)</f>
        <v>0</v>
      </c>
      <c r="H516" s="18">
        <f>IF(tbal[[#This Row],[HABER]]-tbal[[#This Row],[DEBE]]&gt;0,tbal[[#This Row],[HABER]]-tbal[[#This Row],[DEBE]],0)</f>
        <v>0</v>
      </c>
      <c r="I516" s="16">
        <f>IF((OR(tbal[[#This Row],[X]]=1,tbal[[#This Row],[X]]=2)),tbal[[#This Row],[DEUDOR]],0)</f>
        <v>0</v>
      </c>
      <c r="J516" s="18">
        <f>IF((OR(tbal[[#This Row],[X]]=2,tbal[[#This Row],[X]]=3)),tbal[[#This Row],[ACREEDOR]],0)</f>
        <v>0</v>
      </c>
      <c r="K516" s="16">
        <f>IF((OR(tbal[[#This Row],[X]]=3,tbal[[#This Row],[X]]=5)),tbal[[#This Row],[DEUDOR]],0)</f>
        <v>0</v>
      </c>
      <c r="L516" s="18">
        <f>IF((OR(tbal[[#This Row],[X]]=3,tbal[[#This Row],[X]]=4)),tbal[[#This Row],[ACREEDOR]],0)</f>
        <v>0</v>
      </c>
      <c r="M516" s="16">
        <f>IF((OR(tbal[[#This Row],[X]]=0,tbal[[#This Row],[X]]=6)),tbal[[#This Row],[DEUDOR]],0)</f>
        <v>0</v>
      </c>
      <c r="N516" s="18">
        <f>IF((OR(tbal[[#This Row],[X]]=0,tbal[[#This Row],[X]]=5)),tbal[[#This Row],[ACREEDOR]],0)</f>
        <v>0</v>
      </c>
    </row>
    <row r="517" spans="1:14" hidden="1" x14ac:dyDescent="0.3">
      <c r="A517" s="14">
        <f>+'PLAN DE CUENTAS'!A517</f>
        <v>0</v>
      </c>
      <c r="B517" s="13">
        <f>+'PLAN DE CUENTAS'!B517</f>
        <v>0</v>
      </c>
      <c r="C517" s="13">
        <f>+'PLAN DE CUENTAS'!C517</f>
        <v>0</v>
      </c>
      <c r="D517" t="str">
        <f>IF(tbal[[#This Row],[DEBE]]+tbal[[#This Row],[HABER]]=0,"","X")</f>
        <v/>
      </c>
      <c r="E517" s="16">
        <f>SUMIF(tdiario[CUENTA],tbal[[#This Row],[CUENTA]],tdiario[DEBE])</f>
        <v>0</v>
      </c>
      <c r="F517" s="17">
        <f>SUMIF(tdiario[CUENTA],tbal[[#This Row],[CUENTA]],tdiario[HABER])</f>
        <v>0</v>
      </c>
      <c r="G517" s="16">
        <f>IF(tbal[[#This Row],[DEBE]]-tbal[[#This Row],[HABER]]&gt;0,tbal[[#This Row],[DEBE]]-tbal[[#This Row],[HABER]],0)</f>
        <v>0</v>
      </c>
      <c r="H517" s="18">
        <f>IF(tbal[[#This Row],[HABER]]-tbal[[#This Row],[DEBE]]&gt;0,tbal[[#This Row],[HABER]]-tbal[[#This Row],[DEBE]],0)</f>
        <v>0</v>
      </c>
      <c r="I517" s="16">
        <f>IF((OR(tbal[[#This Row],[X]]=1,tbal[[#This Row],[X]]=2)),tbal[[#This Row],[DEUDOR]],0)</f>
        <v>0</v>
      </c>
      <c r="J517" s="18">
        <f>IF((OR(tbal[[#This Row],[X]]=2,tbal[[#This Row],[X]]=3)),tbal[[#This Row],[ACREEDOR]],0)</f>
        <v>0</v>
      </c>
      <c r="K517" s="16">
        <f>IF((OR(tbal[[#This Row],[X]]=3,tbal[[#This Row],[X]]=5)),tbal[[#This Row],[DEUDOR]],0)</f>
        <v>0</v>
      </c>
      <c r="L517" s="18">
        <f>IF((OR(tbal[[#This Row],[X]]=3,tbal[[#This Row],[X]]=4)),tbal[[#This Row],[ACREEDOR]],0)</f>
        <v>0</v>
      </c>
      <c r="M517" s="16">
        <f>IF((OR(tbal[[#This Row],[X]]=0,tbal[[#This Row],[X]]=6)),tbal[[#This Row],[DEUDOR]],0)</f>
        <v>0</v>
      </c>
      <c r="N517" s="18">
        <f>IF((OR(tbal[[#This Row],[X]]=0,tbal[[#This Row],[X]]=5)),tbal[[#This Row],[ACREEDOR]],0)</f>
        <v>0</v>
      </c>
    </row>
    <row r="518" spans="1:14" hidden="1" x14ac:dyDescent="0.3">
      <c r="A518" s="14">
        <f>+'PLAN DE CUENTAS'!A518</f>
        <v>0</v>
      </c>
      <c r="B518" s="13">
        <f>+'PLAN DE CUENTAS'!B518</f>
        <v>0</v>
      </c>
      <c r="C518" s="13">
        <f>+'PLAN DE CUENTAS'!C518</f>
        <v>0</v>
      </c>
      <c r="D518" t="str">
        <f>IF(tbal[[#This Row],[DEBE]]+tbal[[#This Row],[HABER]]=0,"","X")</f>
        <v/>
      </c>
      <c r="E518" s="16">
        <f>SUMIF(tdiario[CUENTA],tbal[[#This Row],[CUENTA]],tdiario[DEBE])</f>
        <v>0</v>
      </c>
      <c r="F518" s="17">
        <f>SUMIF(tdiario[CUENTA],tbal[[#This Row],[CUENTA]],tdiario[HABER])</f>
        <v>0</v>
      </c>
      <c r="G518" s="16">
        <f>IF(tbal[[#This Row],[DEBE]]-tbal[[#This Row],[HABER]]&gt;0,tbal[[#This Row],[DEBE]]-tbal[[#This Row],[HABER]],0)</f>
        <v>0</v>
      </c>
      <c r="H518" s="18">
        <f>IF(tbal[[#This Row],[HABER]]-tbal[[#This Row],[DEBE]]&gt;0,tbal[[#This Row],[HABER]]-tbal[[#This Row],[DEBE]],0)</f>
        <v>0</v>
      </c>
      <c r="I518" s="16">
        <f>IF((OR(tbal[[#This Row],[X]]=1,tbal[[#This Row],[X]]=2)),tbal[[#This Row],[DEUDOR]],0)</f>
        <v>0</v>
      </c>
      <c r="J518" s="18">
        <f>IF((OR(tbal[[#This Row],[X]]=2,tbal[[#This Row],[X]]=3)),tbal[[#This Row],[ACREEDOR]],0)</f>
        <v>0</v>
      </c>
      <c r="K518" s="16">
        <f>IF((OR(tbal[[#This Row],[X]]=3,tbal[[#This Row],[X]]=5)),tbal[[#This Row],[DEUDOR]],0)</f>
        <v>0</v>
      </c>
      <c r="L518" s="18">
        <f>IF((OR(tbal[[#This Row],[X]]=3,tbal[[#This Row],[X]]=4)),tbal[[#This Row],[ACREEDOR]],0)</f>
        <v>0</v>
      </c>
      <c r="M518" s="16">
        <f>IF((OR(tbal[[#This Row],[X]]=0,tbal[[#This Row],[X]]=6)),tbal[[#This Row],[DEUDOR]],0)</f>
        <v>0</v>
      </c>
      <c r="N518" s="18">
        <f>IF((OR(tbal[[#This Row],[X]]=0,tbal[[#This Row],[X]]=5)),tbal[[#This Row],[ACREEDOR]],0)</f>
        <v>0</v>
      </c>
    </row>
    <row r="519" spans="1:14" hidden="1" x14ac:dyDescent="0.3">
      <c r="A519" s="14">
        <f>+'PLAN DE CUENTAS'!A519</f>
        <v>0</v>
      </c>
      <c r="B519" s="13">
        <f>+'PLAN DE CUENTAS'!B519</f>
        <v>0</v>
      </c>
      <c r="C519" s="13">
        <f>+'PLAN DE CUENTAS'!C519</f>
        <v>0</v>
      </c>
      <c r="D519" t="str">
        <f>IF(tbal[[#This Row],[DEBE]]+tbal[[#This Row],[HABER]]=0,"","X")</f>
        <v/>
      </c>
      <c r="E519" s="16">
        <f>SUMIF(tdiario[CUENTA],tbal[[#This Row],[CUENTA]],tdiario[DEBE])</f>
        <v>0</v>
      </c>
      <c r="F519" s="17">
        <f>SUMIF(tdiario[CUENTA],tbal[[#This Row],[CUENTA]],tdiario[HABER])</f>
        <v>0</v>
      </c>
      <c r="G519" s="16">
        <f>IF(tbal[[#This Row],[DEBE]]-tbal[[#This Row],[HABER]]&gt;0,tbal[[#This Row],[DEBE]]-tbal[[#This Row],[HABER]],0)</f>
        <v>0</v>
      </c>
      <c r="H519" s="18">
        <f>IF(tbal[[#This Row],[HABER]]-tbal[[#This Row],[DEBE]]&gt;0,tbal[[#This Row],[HABER]]-tbal[[#This Row],[DEBE]],0)</f>
        <v>0</v>
      </c>
      <c r="I519" s="16">
        <f>IF((OR(tbal[[#This Row],[X]]=1,tbal[[#This Row],[X]]=2)),tbal[[#This Row],[DEUDOR]],0)</f>
        <v>0</v>
      </c>
      <c r="J519" s="18">
        <f>IF((OR(tbal[[#This Row],[X]]=2,tbal[[#This Row],[X]]=3)),tbal[[#This Row],[ACREEDOR]],0)</f>
        <v>0</v>
      </c>
      <c r="K519" s="16">
        <f>IF((OR(tbal[[#This Row],[X]]=3,tbal[[#This Row],[X]]=5)),tbal[[#This Row],[DEUDOR]],0)</f>
        <v>0</v>
      </c>
      <c r="L519" s="18">
        <f>IF((OR(tbal[[#This Row],[X]]=3,tbal[[#This Row],[X]]=4)),tbal[[#This Row],[ACREEDOR]],0)</f>
        <v>0</v>
      </c>
      <c r="M519" s="16">
        <f>IF((OR(tbal[[#This Row],[X]]=0,tbal[[#This Row],[X]]=6)),tbal[[#This Row],[DEUDOR]],0)</f>
        <v>0</v>
      </c>
      <c r="N519" s="18">
        <f>IF((OR(tbal[[#This Row],[X]]=0,tbal[[#This Row],[X]]=5)),tbal[[#This Row],[ACREEDOR]],0)</f>
        <v>0</v>
      </c>
    </row>
    <row r="520" spans="1:14" hidden="1" x14ac:dyDescent="0.3">
      <c r="A520" s="14">
        <f>+'PLAN DE CUENTAS'!A520</f>
        <v>0</v>
      </c>
      <c r="B520" s="13">
        <f>+'PLAN DE CUENTAS'!B520</f>
        <v>0</v>
      </c>
      <c r="C520" s="13">
        <f>+'PLAN DE CUENTAS'!C520</f>
        <v>0</v>
      </c>
      <c r="D520" t="str">
        <f>IF(tbal[[#This Row],[DEBE]]+tbal[[#This Row],[HABER]]=0,"","X")</f>
        <v/>
      </c>
      <c r="E520" s="16">
        <f>SUMIF(tdiario[CUENTA],tbal[[#This Row],[CUENTA]],tdiario[DEBE])</f>
        <v>0</v>
      </c>
      <c r="F520" s="17">
        <f>SUMIF(tdiario[CUENTA],tbal[[#This Row],[CUENTA]],tdiario[HABER])</f>
        <v>0</v>
      </c>
      <c r="G520" s="16">
        <f>IF(tbal[[#This Row],[DEBE]]-tbal[[#This Row],[HABER]]&gt;0,tbal[[#This Row],[DEBE]]-tbal[[#This Row],[HABER]],0)</f>
        <v>0</v>
      </c>
      <c r="H520" s="18">
        <f>IF(tbal[[#This Row],[HABER]]-tbal[[#This Row],[DEBE]]&gt;0,tbal[[#This Row],[HABER]]-tbal[[#This Row],[DEBE]],0)</f>
        <v>0</v>
      </c>
      <c r="I520" s="16">
        <f>IF((OR(tbal[[#This Row],[X]]=1,tbal[[#This Row],[X]]=2)),tbal[[#This Row],[DEUDOR]],0)</f>
        <v>0</v>
      </c>
      <c r="J520" s="18">
        <f>IF((OR(tbal[[#This Row],[X]]=2,tbal[[#This Row],[X]]=3)),tbal[[#This Row],[ACREEDOR]],0)</f>
        <v>0</v>
      </c>
      <c r="K520" s="16">
        <f>IF((OR(tbal[[#This Row],[X]]=3,tbal[[#This Row],[X]]=5)),tbal[[#This Row],[DEUDOR]],0)</f>
        <v>0</v>
      </c>
      <c r="L520" s="18">
        <f>IF((OR(tbal[[#This Row],[X]]=3,tbal[[#This Row],[X]]=4)),tbal[[#This Row],[ACREEDOR]],0)</f>
        <v>0</v>
      </c>
      <c r="M520" s="16">
        <f>IF((OR(tbal[[#This Row],[X]]=0,tbal[[#This Row],[X]]=6)),tbal[[#This Row],[DEUDOR]],0)</f>
        <v>0</v>
      </c>
      <c r="N520" s="18">
        <f>IF((OR(tbal[[#This Row],[X]]=0,tbal[[#This Row],[X]]=5)),tbal[[#This Row],[ACREEDOR]],0)</f>
        <v>0</v>
      </c>
    </row>
    <row r="521" spans="1:14" hidden="1" x14ac:dyDescent="0.3">
      <c r="A521" s="14">
        <f>+'PLAN DE CUENTAS'!A521</f>
        <v>0</v>
      </c>
      <c r="B521" s="13">
        <f>+'PLAN DE CUENTAS'!B521</f>
        <v>0</v>
      </c>
      <c r="C521" s="13">
        <f>+'PLAN DE CUENTAS'!C521</f>
        <v>0</v>
      </c>
      <c r="D521" t="str">
        <f>IF(tbal[[#This Row],[DEBE]]+tbal[[#This Row],[HABER]]=0,"","X")</f>
        <v/>
      </c>
      <c r="E521" s="16">
        <f>SUMIF(tdiario[CUENTA],tbal[[#This Row],[CUENTA]],tdiario[DEBE])</f>
        <v>0</v>
      </c>
      <c r="F521" s="17">
        <f>SUMIF(tdiario[CUENTA],tbal[[#This Row],[CUENTA]],tdiario[HABER])</f>
        <v>0</v>
      </c>
      <c r="G521" s="16">
        <f>IF(tbal[[#This Row],[DEBE]]-tbal[[#This Row],[HABER]]&gt;0,tbal[[#This Row],[DEBE]]-tbal[[#This Row],[HABER]],0)</f>
        <v>0</v>
      </c>
      <c r="H521" s="18">
        <f>IF(tbal[[#This Row],[HABER]]-tbal[[#This Row],[DEBE]]&gt;0,tbal[[#This Row],[HABER]]-tbal[[#This Row],[DEBE]],0)</f>
        <v>0</v>
      </c>
      <c r="I521" s="16">
        <f>IF((OR(tbal[[#This Row],[X]]=1,tbal[[#This Row],[X]]=2)),tbal[[#This Row],[DEUDOR]],0)</f>
        <v>0</v>
      </c>
      <c r="J521" s="18">
        <f>IF((OR(tbal[[#This Row],[X]]=2,tbal[[#This Row],[X]]=3)),tbal[[#This Row],[ACREEDOR]],0)</f>
        <v>0</v>
      </c>
      <c r="K521" s="16">
        <f>IF((OR(tbal[[#This Row],[X]]=3,tbal[[#This Row],[X]]=5)),tbal[[#This Row],[DEUDOR]],0)</f>
        <v>0</v>
      </c>
      <c r="L521" s="18">
        <f>IF((OR(tbal[[#This Row],[X]]=3,tbal[[#This Row],[X]]=4)),tbal[[#This Row],[ACREEDOR]],0)</f>
        <v>0</v>
      </c>
      <c r="M521" s="16">
        <f>IF((OR(tbal[[#This Row],[X]]=0,tbal[[#This Row],[X]]=6)),tbal[[#This Row],[DEUDOR]],0)</f>
        <v>0</v>
      </c>
      <c r="N521" s="18">
        <f>IF((OR(tbal[[#This Row],[X]]=0,tbal[[#This Row],[X]]=5)),tbal[[#This Row],[ACREEDOR]],0)</f>
        <v>0</v>
      </c>
    </row>
    <row r="522" spans="1:14" hidden="1" x14ac:dyDescent="0.3">
      <c r="A522" s="14">
        <f>+'PLAN DE CUENTAS'!A522</f>
        <v>0</v>
      </c>
      <c r="B522" s="13">
        <f>+'PLAN DE CUENTAS'!B522</f>
        <v>0</v>
      </c>
      <c r="C522" s="13">
        <f>+'PLAN DE CUENTAS'!C522</f>
        <v>0</v>
      </c>
      <c r="D522" t="str">
        <f>IF(tbal[[#This Row],[DEBE]]+tbal[[#This Row],[HABER]]=0,"","X")</f>
        <v/>
      </c>
      <c r="E522" s="16">
        <f>SUMIF(tdiario[CUENTA],tbal[[#This Row],[CUENTA]],tdiario[DEBE])</f>
        <v>0</v>
      </c>
      <c r="F522" s="17">
        <f>SUMIF(tdiario[CUENTA],tbal[[#This Row],[CUENTA]],tdiario[HABER])</f>
        <v>0</v>
      </c>
      <c r="G522" s="16">
        <f>IF(tbal[[#This Row],[DEBE]]-tbal[[#This Row],[HABER]]&gt;0,tbal[[#This Row],[DEBE]]-tbal[[#This Row],[HABER]],0)</f>
        <v>0</v>
      </c>
      <c r="H522" s="18">
        <f>IF(tbal[[#This Row],[HABER]]-tbal[[#This Row],[DEBE]]&gt;0,tbal[[#This Row],[HABER]]-tbal[[#This Row],[DEBE]],0)</f>
        <v>0</v>
      </c>
      <c r="I522" s="16">
        <f>IF((OR(tbal[[#This Row],[X]]=1,tbal[[#This Row],[X]]=2)),tbal[[#This Row],[DEUDOR]],0)</f>
        <v>0</v>
      </c>
      <c r="J522" s="18">
        <f>IF((OR(tbal[[#This Row],[X]]=2,tbal[[#This Row],[X]]=3)),tbal[[#This Row],[ACREEDOR]],0)</f>
        <v>0</v>
      </c>
      <c r="K522" s="16">
        <f>IF((OR(tbal[[#This Row],[X]]=3,tbal[[#This Row],[X]]=5)),tbal[[#This Row],[DEUDOR]],0)</f>
        <v>0</v>
      </c>
      <c r="L522" s="18">
        <f>IF((OR(tbal[[#This Row],[X]]=3,tbal[[#This Row],[X]]=4)),tbal[[#This Row],[ACREEDOR]],0)</f>
        <v>0</v>
      </c>
      <c r="M522" s="16">
        <f>IF((OR(tbal[[#This Row],[X]]=0,tbal[[#This Row],[X]]=6)),tbal[[#This Row],[DEUDOR]],0)</f>
        <v>0</v>
      </c>
      <c r="N522" s="18">
        <f>IF((OR(tbal[[#This Row],[X]]=0,tbal[[#This Row],[X]]=5)),tbal[[#This Row],[ACREEDOR]],0)</f>
        <v>0</v>
      </c>
    </row>
    <row r="523" spans="1:14" hidden="1" x14ac:dyDescent="0.3">
      <c r="A523" s="14">
        <f>+'PLAN DE CUENTAS'!A523</f>
        <v>0</v>
      </c>
      <c r="B523" s="13">
        <f>+'PLAN DE CUENTAS'!B523</f>
        <v>0</v>
      </c>
      <c r="C523" s="13">
        <f>+'PLAN DE CUENTAS'!C523</f>
        <v>0</v>
      </c>
      <c r="D523" t="str">
        <f>IF(tbal[[#This Row],[DEBE]]+tbal[[#This Row],[HABER]]=0,"","X")</f>
        <v/>
      </c>
      <c r="E523" s="16">
        <f>SUMIF(tdiario[CUENTA],tbal[[#This Row],[CUENTA]],tdiario[DEBE])</f>
        <v>0</v>
      </c>
      <c r="F523" s="17">
        <f>SUMIF(tdiario[CUENTA],tbal[[#This Row],[CUENTA]],tdiario[HABER])</f>
        <v>0</v>
      </c>
      <c r="G523" s="16">
        <f>IF(tbal[[#This Row],[DEBE]]-tbal[[#This Row],[HABER]]&gt;0,tbal[[#This Row],[DEBE]]-tbal[[#This Row],[HABER]],0)</f>
        <v>0</v>
      </c>
      <c r="H523" s="18">
        <f>IF(tbal[[#This Row],[HABER]]-tbal[[#This Row],[DEBE]]&gt;0,tbal[[#This Row],[HABER]]-tbal[[#This Row],[DEBE]],0)</f>
        <v>0</v>
      </c>
      <c r="I523" s="16">
        <f>IF((OR(tbal[[#This Row],[X]]=1,tbal[[#This Row],[X]]=2)),tbal[[#This Row],[DEUDOR]],0)</f>
        <v>0</v>
      </c>
      <c r="J523" s="18">
        <f>IF((OR(tbal[[#This Row],[X]]=2,tbal[[#This Row],[X]]=3)),tbal[[#This Row],[ACREEDOR]],0)</f>
        <v>0</v>
      </c>
      <c r="K523" s="16">
        <f>IF((OR(tbal[[#This Row],[X]]=3,tbal[[#This Row],[X]]=5)),tbal[[#This Row],[DEUDOR]],0)</f>
        <v>0</v>
      </c>
      <c r="L523" s="18">
        <f>IF((OR(tbal[[#This Row],[X]]=3,tbal[[#This Row],[X]]=4)),tbal[[#This Row],[ACREEDOR]],0)</f>
        <v>0</v>
      </c>
      <c r="M523" s="16">
        <f>IF((OR(tbal[[#This Row],[X]]=0,tbal[[#This Row],[X]]=6)),tbal[[#This Row],[DEUDOR]],0)</f>
        <v>0</v>
      </c>
      <c r="N523" s="18">
        <f>IF((OR(tbal[[#This Row],[X]]=0,tbal[[#This Row],[X]]=5)),tbal[[#This Row],[ACREEDOR]],0)</f>
        <v>0</v>
      </c>
    </row>
    <row r="524" spans="1:14" hidden="1" x14ac:dyDescent="0.3">
      <c r="A524" s="14">
        <f>+'PLAN DE CUENTAS'!A524</f>
        <v>0</v>
      </c>
      <c r="B524" s="13">
        <f>+'PLAN DE CUENTAS'!B524</f>
        <v>0</v>
      </c>
      <c r="C524" s="13">
        <f>+'PLAN DE CUENTAS'!C524</f>
        <v>0</v>
      </c>
      <c r="D524" t="str">
        <f>IF(tbal[[#This Row],[DEBE]]+tbal[[#This Row],[HABER]]=0,"","X")</f>
        <v/>
      </c>
      <c r="E524" s="16">
        <f>SUMIF(tdiario[CUENTA],tbal[[#This Row],[CUENTA]],tdiario[DEBE])</f>
        <v>0</v>
      </c>
      <c r="F524" s="17">
        <f>SUMIF(tdiario[CUENTA],tbal[[#This Row],[CUENTA]],tdiario[HABER])</f>
        <v>0</v>
      </c>
      <c r="G524" s="16">
        <f>IF(tbal[[#This Row],[DEBE]]-tbal[[#This Row],[HABER]]&gt;0,tbal[[#This Row],[DEBE]]-tbal[[#This Row],[HABER]],0)</f>
        <v>0</v>
      </c>
      <c r="H524" s="18">
        <f>IF(tbal[[#This Row],[HABER]]-tbal[[#This Row],[DEBE]]&gt;0,tbal[[#This Row],[HABER]]-tbal[[#This Row],[DEBE]],0)</f>
        <v>0</v>
      </c>
      <c r="I524" s="16">
        <f>IF((OR(tbal[[#This Row],[X]]=1,tbal[[#This Row],[X]]=2)),tbal[[#This Row],[DEUDOR]],0)</f>
        <v>0</v>
      </c>
      <c r="J524" s="18">
        <f>IF((OR(tbal[[#This Row],[X]]=2,tbal[[#This Row],[X]]=3)),tbal[[#This Row],[ACREEDOR]],0)</f>
        <v>0</v>
      </c>
      <c r="K524" s="16">
        <f>IF((OR(tbal[[#This Row],[X]]=3,tbal[[#This Row],[X]]=5)),tbal[[#This Row],[DEUDOR]],0)</f>
        <v>0</v>
      </c>
      <c r="L524" s="18">
        <f>IF((OR(tbal[[#This Row],[X]]=3,tbal[[#This Row],[X]]=4)),tbal[[#This Row],[ACREEDOR]],0)</f>
        <v>0</v>
      </c>
      <c r="M524" s="16">
        <f>IF((OR(tbal[[#This Row],[X]]=0,tbal[[#This Row],[X]]=6)),tbal[[#This Row],[DEUDOR]],0)</f>
        <v>0</v>
      </c>
      <c r="N524" s="18">
        <f>IF((OR(tbal[[#This Row],[X]]=0,tbal[[#This Row],[X]]=5)),tbal[[#This Row],[ACREEDOR]],0)</f>
        <v>0</v>
      </c>
    </row>
    <row r="525" spans="1:14" hidden="1" x14ac:dyDescent="0.3">
      <c r="A525" s="14">
        <f>+'PLAN DE CUENTAS'!A525</f>
        <v>0</v>
      </c>
      <c r="B525" s="13">
        <f>+'PLAN DE CUENTAS'!B525</f>
        <v>0</v>
      </c>
      <c r="C525" s="13">
        <f>+'PLAN DE CUENTAS'!C525</f>
        <v>0</v>
      </c>
      <c r="D525" t="str">
        <f>IF(tbal[[#This Row],[DEBE]]+tbal[[#This Row],[HABER]]=0,"","X")</f>
        <v/>
      </c>
      <c r="E525" s="16">
        <f>SUMIF(tdiario[CUENTA],tbal[[#This Row],[CUENTA]],tdiario[DEBE])</f>
        <v>0</v>
      </c>
      <c r="F525" s="17">
        <f>SUMIF(tdiario[CUENTA],tbal[[#This Row],[CUENTA]],tdiario[HABER])</f>
        <v>0</v>
      </c>
      <c r="G525" s="16">
        <f>IF(tbal[[#This Row],[DEBE]]-tbal[[#This Row],[HABER]]&gt;0,tbal[[#This Row],[DEBE]]-tbal[[#This Row],[HABER]],0)</f>
        <v>0</v>
      </c>
      <c r="H525" s="18">
        <f>IF(tbal[[#This Row],[HABER]]-tbal[[#This Row],[DEBE]]&gt;0,tbal[[#This Row],[HABER]]-tbal[[#This Row],[DEBE]],0)</f>
        <v>0</v>
      </c>
      <c r="I525" s="16">
        <f>IF((OR(tbal[[#This Row],[X]]=1,tbal[[#This Row],[X]]=2)),tbal[[#This Row],[DEUDOR]],0)</f>
        <v>0</v>
      </c>
      <c r="J525" s="18">
        <f>IF((OR(tbal[[#This Row],[X]]=2,tbal[[#This Row],[X]]=3)),tbal[[#This Row],[ACREEDOR]],0)</f>
        <v>0</v>
      </c>
      <c r="K525" s="16">
        <f>IF((OR(tbal[[#This Row],[X]]=3,tbal[[#This Row],[X]]=5)),tbal[[#This Row],[DEUDOR]],0)</f>
        <v>0</v>
      </c>
      <c r="L525" s="18">
        <f>IF((OR(tbal[[#This Row],[X]]=3,tbal[[#This Row],[X]]=4)),tbal[[#This Row],[ACREEDOR]],0)</f>
        <v>0</v>
      </c>
      <c r="M525" s="16">
        <f>IF((OR(tbal[[#This Row],[X]]=0,tbal[[#This Row],[X]]=6)),tbal[[#This Row],[DEUDOR]],0)</f>
        <v>0</v>
      </c>
      <c r="N525" s="18">
        <f>IF((OR(tbal[[#This Row],[X]]=0,tbal[[#This Row],[X]]=5)),tbal[[#This Row],[ACREEDOR]],0)</f>
        <v>0</v>
      </c>
    </row>
    <row r="526" spans="1:14" hidden="1" x14ac:dyDescent="0.3">
      <c r="A526" s="14">
        <f>+'PLAN DE CUENTAS'!A526</f>
        <v>0</v>
      </c>
      <c r="B526" s="13">
        <f>+'PLAN DE CUENTAS'!B526</f>
        <v>0</v>
      </c>
      <c r="C526" s="13">
        <f>+'PLAN DE CUENTAS'!C526</f>
        <v>0</v>
      </c>
      <c r="D526" t="str">
        <f>IF(tbal[[#This Row],[DEBE]]+tbal[[#This Row],[HABER]]=0,"","X")</f>
        <v/>
      </c>
      <c r="E526" s="16">
        <f>SUMIF(tdiario[CUENTA],tbal[[#This Row],[CUENTA]],tdiario[DEBE])</f>
        <v>0</v>
      </c>
      <c r="F526" s="17">
        <f>SUMIF(tdiario[CUENTA],tbal[[#This Row],[CUENTA]],tdiario[HABER])</f>
        <v>0</v>
      </c>
      <c r="G526" s="16">
        <f>IF(tbal[[#This Row],[DEBE]]-tbal[[#This Row],[HABER]]&gt;0,tbal[[#This Row],[DEBE]]-tbal[[#This Row],[HABER]],0)</f>
        <v>0</v>
      </c>
      <c r="H526" s="18">
        <f>IF(tbal[[#This Row],[HABER]]-tbal[[#This Row],[DEBE]]&gt;0,tbal[[#This Row],[HABER]]-tbal[[#This Row],[DEBE]],0)</f>
        <v>0</v>
      </c>
      <c r="I526" s="16">
        <f>IF((OR(tbal[[#This Row],[X]]=1,tbal[[#This Row],[X]]=2)),tbal[[#This Row],[DEUDOR]],0)</f>
        <v>0</v>
      </c>
      <c r="J526" s="18">
        <f>IF((OR(tbal[[#This Row],[X]]=2,tbal[[#This Row],[X]]=3)),tbal[[#This Row],[ACREEDOR]],0)</f>
        <v>0</v>
      </c>
      <c r="K526" s="16">
        <f>IF((OR(tbal[[#This Row],[X]]=3,tbal[[#This Row],[X]]=5)),tbal[[#This Row],[DEUDOR]],0)</f>
        <v>0</v>
      </c>
      <c r="L526" s="18">
        <f>IF((OR(tbal[[#This Row],[X]]=3,tbal[[#This Row],[X]]=4)),tbal[[#This Row],[ACREEDOR]],0)</f>
        <v>0</v>
      </c>
      <c r="M526" s="16">
        <f>IF((OR(tbal[[#This Row],[X]]=0,tbal[[#This Row],[X]]=6)),tbal[[#This Row],[DEUDOR]],0)</f>
        <v>0</v>
      </c>
      <c r="N526" s="18">
        <f>IF((OR(tbal[[#This Row],[X]]=0,tbal[[#This Row],[X]]=5)),tbal[[#This Row],[ACREEDOR]],0)</f>
        <v>0</v>
      </c>
    </row>
    <row r="527" spans="1:14" hidden="1" x14ac:dyDescent="0.3">
      <c r="A527" s="14">
        <f>+'PLAN DE CUENTAS'!A527</f>
        <v>0</v>
      </c>
      <c r="B527" s="13">
        <f>+'PLAN DE CUENTAS'!B527</f>
        <v>0</v>
      </c>
      <c r="C527" s="13">
        <f>+'PLAN DE CUENTAS'!C527</f>
        <v>0</v>
      </c>
      <c r="D527" t="str">
        <f>IF(tbal[[#This Row],[DEBE]]+tbal[[#This Row],[HABER]]=0,"","X")</f>
        <v/>
      </c>
      <c r="E527" s="16">
        <f>SUMIF(tdiario[CUENTA],tbal[[#This Row],[CUENTA]],tdiario[DEBE])</f>
        <v>0</v>
      </c>
      <c r="F527" s="17">
        <f>SUMIF(tdiario[CUENTA],tbal[[#This Row],[CUENTA]],tdiario[HABER])</f>
        <v>0</v>
      </c>
      <c r="G527" s="16">
        <f>IF(tbal[[#This Row],[DEBE]]-tbal[[#This Row],[HABER]]&gt;0,tbal[[#This Row],[DEBE]]-tbal[[#This Row],[HABER]],0)</f>
        <v>0</v>
      </c>
      <c r="H527" s="18">
        <f>IF(tbal[[#This Row],[HABER]]-tbal[[#This Row],[DEBE]]&gt;0,tbal[[#This Row],[HABER]]-tbal[[#This Row],[DEBE]],0)</f>
        <v>0</v>
      </c>
      <c r="I527" s="16">
        <f>IF((OR(tbal[[#This Row],[X]]=1,tbal[[#This Row],[X]]=2)),tbal[[#This Row],[DEUDOR]],0)</f>
        <v>0</v>
      </c>
      <c r="J527" s="18">
        <f>IF((OR(tbal[[#This Row],[X]]=2,tbal[[#This Row],[X]]=3)),tbal[[#This Row],[ACREEDOR]],0)</f>
        <v>0</v>
      </c>
      <c r="K527" s="16">
        <f>IF((OR(tbal[[#This Row],[X]]=3,tbal[[#This Row],[X]]=5)),tbal[[#This Row],[DEUDOR]],0)</f>
        <v>0</v>
      </c>
      <c r="L527" s="18">
        <f>IF((OR(tbal[[#This Row],[X]]=3,tbal[[#This Row],[X]]=4)),tbal[[#This Row],[ACREEDOR]],0)</f>
        <v>0</v>
      </c>
      <c r="M527" s="16">
        <f>IF((OR(tbal[[#This Row],[X]]=0,tbal[[#This Row],[X]]=6)),tbal[[#This Row],[DEUDOR]],0)</f>
        <v>0</v>
      </c>
      <c r="N527" s="18">
        <f>IF((OR(tbal[[#This Row],[X]]=0,tbal[[#This Row],[X]]=5)),tbal[[#This Row],[ACREEDOR]],0)</f>
        <v>0</v>
      </c>
    </row>
    <row r="528" spans="1:14" hidden="1" x14ac:dyDescent="0.3">
      <c r="A528" s="14">
        <f>+'PLAN DE CUENTAS'!A528</f>
        <v>0</v>
      </c>
      <c r="B528" s="13">
        <f>+'PLAN DE CUENTAS'!B528</f>
        <v>0</v>
      </c>
      <c r="C528" s="13">
        <f>+'PLAN DE CUENTAS'!C528</f>
        <v>0</v>
      </c>
      <c r="D528" t="str">
        <f>IF(tbal[[#This Row],[DEBE]]+tbal[[#This Row],[HABER]]=0,"","X")</f>
        <v/>
      </c>
      <c r="E528" s="16">
        <f>SUMIF(tdiario[CUENTA],tbal[[#This Row],[CUENTA]],tdiario[DEBE])</f>
        <v>0</v>
      </c>
      <c r="F528" s="17">
        <f>SUMIF(tdiario[CUENTA],tbal[[#This Row],[CUENTA]],tdiario[HABER])</f>
        <v>0</v>
      </c>
      <c r="G528" s="16">
        <f>IF(tbal[[#This Row],[DEBE]]-tbal[[#This Row],[HABER]]&gt;0,tbal[[#This Row],[DEBE]]-tbal[[#This Row],[HABER]],0)</f>
        <v>0</v>
      </c>
      <c r="H528" s="18">
        <f>IF(tbal[[#This Row],[HABER]]-tbal[[#This Row],[DEBE]]&gt;0,tbal[[#This Row],[HABER]]-tbal[[#This Row],[DEBE]],0)</f>
        <v>0</v>
      </c>
      <c r="I528" s="16">
        <f>IF((OR(tbal[[#This Row],[X]]=1,tbal[[#This Row],[X]]=2)),tbal[[#This Row],[DEUDOR]],0)</f>
        <v>0</v>
      </c>
      <c r="J528" s="18">
        <f>IF((OR(tbal[[#This Row],[X]]=2,tbal[[#This Row],[X]]=3)),tbal[[#This Row],[ACREEDOR]],0)</f>
        <v>0</v>
      </c>
      <c r="K528" s="16">
        <f>IF((OR(tbal[[#This Row],[X]]=3,tbal[[#This Row],[X]]=5)),tbal[[#This Row],[DEUDOR]],0)</f>
        <v>0</v>
      </c>
      <c r="L528" s="18">
        <f>IF((OR(tbal[[#This Row],[X]]=3,tbal[[#This Row],[X]]=4)),tbal[[#This Row],[ACREEDOR]],0)</f>
        <v>0</v>
      </c>
      <c r="M528" s="16">
        <f>IF((OR(tbal[[#This Row],[X]]=0,tbal[[#This Row],[X]]=6)),tbal[[#This Row],[DEUDOR]],0)</f>
        <v>0</v>
      </c>
      <c r="N528" s="18">
        <f>IF((OR(tbal[[#This Row],[X]]=0,tbal[[#This Row],[X]]=5)),tbal[[#This Row],[ACREEDOR]],0)</f>
        <v>0</v>
      </c>
    </row>
    <row r="529" spans="1:14" hidden="1" x14ac:dyDescent="0.3">
      <c r="A529" s="14">
        <f>+'PLAN DE CUENTAS'!A529</f>
        <v>0</v>
      </c>
      <c r="B529" s="13">
        <f>+'PLAN DE CUENTAS'!B529</f>
        <v>0</v>
      </c>
      <c r="C529" s="13">
        <f>+'PLAN DE CUENTAS'!C529</f>
        <v>0</v>
      </c>
      <c r="D529" t="str">
        <f>IF(tbal[[#This Row],[DEBE]]+tbal[[#This Row],[HABER]]=0,"","X")</f>
        <v/>
      </c>
      <c r="E529" s="16">
        <f>SUMIF(tdiario[CUENTA],tbal[[#This Row],[CUENTA]],tdiario[DEBE])</f>
        <v>0</v>
      </c>
      <c r="F529" s="17">
        <f>SUMIF(tdiario[CUENTA],tbal[[#This Row],[CUENTA]],tdiario[HABER])</f>
        <v>0</v>
      </c>
      <c r="G529" s="16">
        <f>IF(tbal[[#This Row],[DEBE]]-tbal[[#This Row],[HABER]]&gt;0,tbal[[#This Row],[DEBE]]-tbal[[#This Row],[HABER]],0)</f>
        <v>0</v>
      </c>
      <c r="H529" s="18">
        <f>IF(tbal[[#This Row],[HABER]]-tbal[[#This Row],[DEBE]]&gt;0,tbal[[#This Row],[HABER]]-tbal[[#This Row],[DEBE]],0)</f>
        <v>0</v>
      </c>
      <c r="I529" s="16">
        <f>IF((OR(tbal[[#This Row],[X]]=1,tbal[[#This Row],[X]]=2)),tbal[[#This Row],[DEUDOR]],0)</f>
        <v>0</v>
      </c>
      <c r="J529" s="18">
        <f>IF((OR(tbal[[#This Row],[X]]=2,tbal[[#This Row],[X]]=3)),tbal[[#This Row],[ACREEDOR]],0)</f>
        <v>0</v>
      </c>
      <c r="K529" s="16">
        <f>IF((OR(tbal[[#This Row],[X]]=3,tbal[[#This Row],[X]]=5)),tbal[[#This Row],[DEUDOR]],0)</f>
        <v>0</v>
      </c>
      <c r="L529" s="18">
        <f>IF((OR(tbal[[#This Row],[X]]=3,tbal[[#This Row],[X]]=4)),tbal[[#This Row],[ACREEDOR]],0)</f>
        <v>0</v>
      </c>
      <c r="M529" s="16">
        <f>IF((OR(tbal[[#This Row],[X]]=0,tbal[[#This Row],[X]]=6)),tbal[[#This Row],[DEUDOR]],0)</f>
        <v>0</v>
      </c>
      <c r="N529" s="18">
        <f>IF((OR(tbal[[#This Row],[X]]=0,tbal[[#This Row],[X]]=5)),tbal[[#This Row],[ACREEDOR]],0)</f>
        <v>0</v>
      </c>
    </row>
    <row r="530" spans="1:14" hidden="1" x14ac:dyDescent="0.3">
      <c r="A530" s="14">
        <f>+'PLAN DE CUENTAS'!A530</f>
        <v>0</v>
      </c>
      <c r="B530" s="13">
        <f>+'PLAN DE CUENTAS'!B530</f>
        <v>0</v>
      </c>
      <c r="C530" s="13">
        <f>+'PLAN DE CUENTAS'!C530</f>
        <v>0</v>
      </c>
      <c r="D530" t="str">
        <f>IF(tbal[[#This Row],[DEBE]]+tbal[[#This Row],[HABER]]=0,"","X")</f>
        <v/>
      </c>
      <c r="E530" s="16">
        <f>SUMIF(tdiario[CUENTA],tbal[[#This Row],[CUENTA]],tdiario[DEBE])</f>
        <v>0</v>
      </c>
      <c r="F530" s="17">
        <f>SUMIF(tdiario[CUENTA],tbal[[#This Row],[CUENTA]],tdiario[HABER])</f>
        <v>0</v>
      </c>
      <c r="G530" s="16">
        <f>IF(tbal[[#This Row],[DEBE]]-tbal[[#This Row],[HABER]]&gt;0,tbal[[#This Row],[DEBE]]-tbal[[#This Row],[HABER]],0)</f>
        <v>0</v>
      </c>
      <c r="H530" s="18">
        <f>IF(tbal[[#This Row],[HABER]]-tbal[[#This Row],[DEBE]]&gt;0,tbal[[#This Row],[HABER]]-tbal[[#This Row],[DEBE]],0)</f>
        <v>0</v>
      </c>
      <c r="I530" s="16">
        <f>IF((OR(tbal[[#This Row],[X]]=1,tbal[[#This Row],[X]]=2)),tbal[[#This Row],[DEUDOR]],0)</f>
        <v>0</v>
      </c>
      <c r="J530" s="18">
        <f>IF((OR(tbal[[#This Row],[X]]=2,tbal[[#This Row],[X]]=3)),tbal[[#This Row],[ACREEDOR]],0)</f>
        <v>0</v>
      </c>
      <c r="K530" s="16">
        <f>IF((OR(tbal[[#This Row],[X]]=3,tbal[[#This Row],[X]]=5)),tbal[[#This Row],[DEUDOR]],0)</f>
        <v>0</v>
      </c>
      <c r="L530" s="18">
        <f>IF((OR(tbal[[#This Row],[X]]=3,tbal[[#This Row],[X]]=4)),tbal[[#This Row],[ACREEDOR]],0)</f>
        <v>0</v>
      </c>
      <c r="M530" s="16">
        <f>IF((OR(tbal[[#This Row],[X]]=0,tbal[[#This Row],[X]]=6)),tbal[[#This Row],[DEUDOR]],0)</f>
        <v>0</v>
      </c>
      <c r="N530" s="18">
        <f>IF((OR(tbal[[#This Row],[X]]=0,tbal[[#This Row],[X]]=5)),tbal[[#This Row],[ACREEDOR]],0)</f>
        <v>0</v>
      </c>
    </row>
    <row r="531" spans="1:14" hidden="1" x14ac:dyDescent="0.3">
      <c r="A531" s="14">
        <f>+'PLAN DE CUENTAS'!A531</f>
        <v>0</v>
      </c>
      <c r="B531" s="13">
        <f>+'PLAN DE CUENTAS'!B531</f>
        <v>0</v>
      </c>
      <c r="C531" s="13">
        <f>+'PLAN DE CUENTAS'!C531</f>
        <v>0</v>
      </c>
      <c r="D531" t="str">
        <f>IF(tbal[[#This Row],[DEBE]]+tbal[[#This Row],[HABER]]=0,"","X")</f>
        <v/>
      </c>
      <c r="E531" s="16">
        <f>SUMIF(tdiario[CUENTA],tbal[[#This Row],[CUENTA]],tdiario[DEBE])</f>
        <v>0</v>
      </c>
      <c r="F531" s="17">
        <f>SUMIF(tdiario[CUENTA],tbal[[#This Row],[CUENTA]],tdiario[HABER])</f>
        <v>0</v>
      </c>
      <c r="G531" s="16">
        <f>IF(tbal[[#This Row],[DEBE]]-tbal[[#This Row],[HABER]]&gt;0,tbal[[#This Row],[DEBE]]-tbal[[#This Row],[HABER]],0)</f>
        <v>0</v>
      </c>
      <c r="H531" s="18">
        <f>IF(tbal[[#This Row],[HABER]]-tbal[[#This Row],[DEBE]]&gt;0,tbal[[#This Row],[HABER]]-tbal[[#This Row],[DEBE]],0)</f>
        <v>0</v>
      </c>
      <c r="I531" s="16">
        <f>IF((OR(tbal[[#This Row],[X]]=1,tbal[[#This Row],[X]]=2)),tbal[[#This Row],[DEUDOR]],0)</f>
        <v>0</v>
      </c>
      <c r="J531" s="18">
        <f>IF((OR(tbal[[#This Row],[X]]=2,tbal[[#This Row],[X]]=3)),tbal[[#This Row],[ACREEDOR]],0)</f>
        <v>0</v>
      </c>
      <c r="K531" s="16">
        <f>IF((OR(tbal[[#This Row],[X]]=3,tbal[[#This Row],[X]]=5)),tbal[[#This Row],[DEUDOR]],0)</f>
        <v>0</v>
      </c>
      <c r="L531" s="18">
        <f>IF((OR(tbal[[#This Row],[X]]=3,tbal[[#This Row],[X]]=4)),tbal[[#This Row],[ACREEDOR]],0)</f>
        <v>0</v>
      </c>
      <c r="M531" s="16">
        <f>IF((OR(tbal[[#This Row],[X]]=0,tbal[[#This Row],[X]]=6)),tbal[[#This Row],[DEUDOR]],0)</f>
        <v>0</v>
      </c>
      <c r="N531" s="18">
        <f>IF((OR(tbal[[#This Row],[X]]=0,tbal[[#This Row],[X]]=5)),tbal[[#This Row],[ACREEDOR]],0)</f>
        <v>0</v>
      </c>
    </row>
    <row r="532" spans="1:14" hidden="1" x14ac:dyDescent="0.3">
      <c r="A532" s="14">
        <f>+'PLAN DE CUENTAS'!A532</f>
        <v>0</v>
      </c>
      <c r="B532" s="13">
        <f>+'PLAN DE CUENTAS'!B532</f>
        <v>0</v>
      </c>
      <c r="C532" s="13">
        <f>+'PLAN DE CUENTAS'!C532</f>
        <v>0</v>
      </c>
      <c r="D532" t="str">
        <f>IF(tbal[[#This Row],[DEBE]]+tbal[[#This Row],[HABER]]=0,"","X")</f>
        <v/>
      </c>
      <c r="E532" s="16">
        <f>SUMIF(tdiario[CUENTA],tbal[[#This Row],[CUENTA]],tdiario[DEBE])</f>
        <v>0</v>
      </c>
      <c r="F532" s="17">
        <f>SUMIF(tdiario[CUENTA],tbal[[#This Row],[CUENTA]],tdiario[HABER])</f>
        <v>0</v>
      </c>
      <c r="G532" s="16">
        <f>IF(tbal[[#This Row],[DEBE]]-tbal[[#This Row],[HABER]]&gt;0,tbal[[#This Row],[DEBE]]-tbal[[#This Row],[HABER]],0)</f>
        <v>0</v>
      </c>
      <c r="H532" s="18">
        <f>IF(tbal[[#This Row],[HABER]]-tbal[[#This Row],[DEBE]]&gt;0,tbal[[#This Row],[HABER]]-tbal[[#This Row],[DEBE]],0)</f>
        <v>0</v>
      </c>
      <c r="I532" s="16">
        <f>IF((OR(tbal[[#This Row],[X]]=1,tbal[[#This Row],[X]]=2)),tbal[[#This Row],[DEUDOR]],0)</f>
        <v>0</v>
      </c>
      <c r="J532" s="18">
        <f>IF((OR(tbal[[#This Row],[X]]=2,tbal[[#This Row],[X]]=3)),tbal[[#This Row],[ACREEDOR]],0)</f>
        <v>0</v>
      </c>
      <c r="K532" s="16">
        <f>IF((OR(tbal[[#This Row],[X]]=3,tbal[[#This Row],[X]]=5)),tbal[[#This Row],[DEUDOR]],0)</f>
        <v>0</v>
      </c>
      <c r="L532" s="18">
        <f>IF((OR(tbal[[#This Row],[X]]=3,tbal[[#This Row],[X]]=4)),tbal[[#This Row],[ACREEDOR]],0)</f>
        <v>0</v>
      </c>
      <c r="M532" s="16">
        <f>IF((OR(tbal[[#This Row],[X]]=0,tbal[[#This Row],[X]]=6)),tbal[[#This Row],[DEUDOR]],0)</f>
        <v>0</v>
      </c>
      <c r="N532" s="18">
        <f>IF((OR(tbal[[#This Row],[X]]=0,tbal[[#This Row],[X]]=5)),tbal[[#This Row],[ACREEDOR]],0)</f>
        <v>0</v>
      </c>
    </row>
    <row r="533" spans="1:14" hidden="1" x14ac:dyDescent="0.3">
      <c r="A533" s="14">
        <f>+'PLAN DE CUENTAS'!A533</f>
        <v>0</v>
      </c>
      <c r="B533" s="13">
        <f>+'PLAN DE CUENTAS'!B533</f>
        <v>0</v>
      </c>
      <c r="C533" s="13">
        <f>+'PLAN DE CUENTAS'!C533</f>
        <v>0</v>
      </c>
      <c r="D533" t="str">
        <f>IF(tbal[[#This Row],[DEBE]]+tbal[[#This Row],[HABER]]=0,"","X")</f>
        <v/>
      </c>
      <c r="E533" s="16">
        <f>SUMIF(tdiario[CUENTA],tbal[[#This Row],[CUENTA]],tdiario[DEBE])</f>
        <v>0</v>
      </c>
      <c r="F533" s="17">
        <f>SUMIF(tdiario[CUENTA],tbal[[#This Row],[CUENTA]],tdiario[HABER])</f>
        <v>0</v>
      </c>
      <c r="G533" s="16">
        <f>IF(tbal[[#This Row],[DEBE]]-tbal[[#This Row],[HABER]]&gt;0,tbal[[#This Row],[DEBE]]-tbal[[#This Row],[HABER]],0)</f>
        <v>0</v>
      </c>
      <c r="H533" s="18">
        <f>IF(tbal[[#This Row],[HABER]]-tbal[[#This Row],[DEBE]]&gt;0,tbal[[#This Row],[HABER]]-tbal[[#This Row],[DEBE]],0)</f>
        <v>0</v>
      </c>
      <c r="I533" s="16">
        <f>IF((OR(tbal[[#This Row],[X]]=1,tbal[[#This Row],[X]]=2)),tbal[[#This Row],[DEUDOR]],0)</f>
        <v>0</v>
      </c>
      <c r="J533" s="18">
        <f>IF((OR(tbal[[#This Row],[X]]=2,tbal[[#This Row],[X]]=3)),tbal[[#This Row],[ACREEDOR]],0)</f>
        <v>0</v>
      </c>
      <c r="K533" s="16">
        <f>IF((OR(tbal[[#This Row],[X]]=3,tbal[[#This Row],[X]]=5)),tbal[[#This Row],[DEUDOR]],0)</f>
        <v>0</v>
      </c>
      <c r="L533" s="18">
        <f>IF((OR(tbal[[#This Row],[X]]=3,tbal[[#This Row],[X]]=4)),tbal[[#This Row],[ACREEDOR]],0)</f>
        <v>0</v>
      </c>
      <c r="M533" s="16">
        <f>IF((OR(tbal[[#This Row],[X]]=0,tbal[[#This Row],[X]]=6)),tbal[[#This Row],[DEUDOR]],0)</f>
        <v>0</v>
      </c>
      <c r="N533" s="18">
        <f>IF((OR(tbal[[#This Row],[X]]=0,tbal[[#This Row],[X]]=5)),tbal[[#This Row],[ACREEDOR]],0)</f>
        <v>0</v>
      </c>
    </row>
    <row r="534" spans="1:14" hidden="1" x14ac:dyDescent="0.3">
      <c r="A534" s="14">
        <f>+'PLAN DE CUENTAS'!A534</f>
        <v>0</v>
      </c>
      <c r="B534" s="13">
        <f>+'PLAN DE CUENTAS'!B534</f>
        <v>0</v>
      </c>
      <c r="C534" s="13">
        <f>+'PLAN DE CUENTAS'!C534</f>
        <v>0</v>
      </c>
      <c r="D534" t="str">
        <f>IF(tbal[[#This Row],[DEBE]]+tbal[[#This Row],[HABER]]=0,"","X")</f>
        <v/>
      </c>
      <c r="E534" s="16">
        <f>SUMIF(tdiario[CUENTA],tbal[[#This Row],[CUENTA]],tdiario[DEBE])</f>
        <v>0</v>
      </c>
      <c r="F534" s="17">
        <f>SUMIF(tdiario[CUENTA],tbal[[#This Row],[CUENTA]],tdiario[HABER])</f>
        <v>0</v>
      </c>
      <c r="G534" s="16">
        <f>IF(tbal[[#This Row],[DEBE]]-tbal[[#This Row],[HABER]]&gt;0,tbal[[#This Row],[DEBE]]-tbal[[#This Row],[HABER]],0)</f>
        <v>0</v>
      </c>
      <c r="H534" s="18">
        <f>IF(tbal[[#This Row],[HABER]]-tbal[[#This Row],[DEBE]]&gt;0,tbal[[#This Row],[HABER]]-tbal[[#This Row],[DEBE]],0)</f>
        <v>0</v>
      </c>
      <c r="I534" s="16">
        <f>IF((OR(tbal[[#This Row],[X]]=1,tbal[[#This Row],[X]]=2)),tbal[[#This Row],[DEUDOR]],0)</f>
        <v>0</v>
      </c>
      <c r="J534" s="18">
        <f>IF((OR(tbal[[#This Row],[X]]=2,tbal[[#This Row],[X]]=3)),tbal[[#This Row],[ACREEDOR]],0)</f>
        <v>0</v>
      </c>
      <c r="K534" s="16">
        <f>IF((OR(tbal[[#This Row],[X]]=3,tbal[[#This Row],[X]]=5)),tbal[[#This Row],[DEUDOR]],0)</f>
        <v>0</v>
      </c>
      <c r="L534" s="18">
        <f>IF((OR(tbal[[#This Row],[X]]=3,tbal[[#This Row],[X]]=4)),tbal[[#This Row],[ACREEDOR]],0)</f>
        <v>0</v>
      </c>
      <c r="M534" s="16">
        <f>IF((OR(tbal[[#This Row],[X]]=0,tbal[[#This Row],[X]]=6)),tbal[[#This Row],[DEUDOR]],0)</f>
        <v>0</v>
      </c>
      <c r="N534" s="18">
        <f>IF((OR(tbal[[#This Row],[X]]=0,tbal[[#This Row],[X]]=5)),tbal[[#This Row],[ACREEDOR]],0)</f>
        <v>0</v>
      </c>
    </row>
    <row r="535" spans="1:14" hidden="1" x14ac:dyDescent="0.3">
      <c r="A535" s="14">
        <f>+'PLAN DE CUENTAS'!A535</f>
        <v>0</v>
      </c>
      <c r="B535" s="13">
        <f>+'PLAN DE CUENTAS'!B535</f>
        <v>0</v>
      </c>
      <c r="C535" s="13">
        <f>+'PLAN DE CUENTAS'!C535</f>
        <v>0</v>
      </c>
      <c r="D535" t="str">
        <f>IF(tbal[[#This Row],[DEBE]]+tbal[[#This Row],[HABER]]=0,"","X")</f>
        <v/>
      </c>
      <c r="E535" s="16">
        <f>SUMIF(tdiario[CUENTA],tbal[[#This Row],[CUENTA]],tdiario[DEBE])</f>
        <v>0</v>
      </c>
      <c r="F535" s="17">
        <f>SUMIF(tdiario[CUENTA],tbal[[#This Row],[CUENTA]],tdiario[HABER])</f>
        <v>0</v>
      </c>
      <c r="G535" s="16">
        <f>IF(tbal[[#This Row],[DEBE]]-tbal[[#This Row],[HABER]]&gt;0,tbal[[#This Row],[DEBE]]-tbal[[#This Row],[HABER]],0)</f>
        <v>0</v>
      </c>
      <c r="H535" s="18">
        <f>IF(tbal[[#This Row],[HABER]]-tbal[[#This Row],[DEBE]]&gt;0,tbal[[#This Row],[HABER]]-tbal[[#This Row],[DEBE]],0)</f>
        <v>0</v>
      </c>
      <c r="I535" s="16">
        <f>IF((OR(tbal[[#This Row],[X]]=1,tbal[[#This Row],[X]]=2)),tbal[[#This Row],[DEUDOR]],0)</f>
        <v>0</v>
      </c>
      <c r="J535" s="18">
        <f>IF((OR(tbal[[#This Row],[X]]=2,tbal[[#This Row],[X]]=3)),tbal[[#This Row],[ACREEDOR]],0)</f>
        <v>0</v>
      </c>
      <c r="K535" s="16">
        <f>IF((OR(tbal[[#This Row],[X]]=3,tbal[[#This Row],[X]]=5)),tbal[[#This Row],[DEUDOR]],0)</f>
        <v>0</v>
      </c>
      <c r="L535" s="18">
        <f>IF((OR(tbal[[#This Row],[X]]=3,tbal[[#This Row],[X]]=4)),tbal[[#This Row],[ACREEDOR]],0)</f>
        <v>0</v>
      </c>
      <c r="M535" s="16">
        <f>IF((OR(tbal[[#This Row],[X]]=0,tbal[[#This Row],[X]]=6)),tbal[[#This Row],[DEUDOR]],0)</f>
        <v>0</v>
      </c>
      <c r="N535" s="18">
        <f>IF((OR(tbal[[#This Row],[X]]=0,tbal[[#This Row],[X]]=5)),tbal[[#This Row],[ACREEDOR]],0)</f>
        <v>0</v>
      </c>
    </row>
    <row r="536" spans="1:14" hidden="1" x14ac:dyDescent="0.3">
      <c r="A536" s="14">
        <f>+'PLAN DE CUENTAS'!A536</f>
        <v>0</v>
      </c>
      <c r="B536" s="13">
        <f>+'PLAN DE CUENTAS'!B536</f>
        <v>0</v>
      </c>
      <c r="C536" s="13">
        <f>+'PLAN DE CUENTAS'!C536</f>
        <v>0</v>
      </c>
      <c r="D536" t="str">
        <f>IF(tbal[[#This Row],[DEBE]]+tbal[[#This Row],[HABER]]=0,"","X")</f>
        <v/>
      </c>
      <c r="E536" s="16">
        <f>SUMIF(tdiario[CUENTA],tbal[[#This Row],[CUENTA]],tdiario[DEBE])</f>
        <v>0</v>
      </c>
      <c r="F536" s="17">
        <f>SUMIF(tdiario[CUENTA],tbal[[#This Row],[CUENTA]],tdiario[HABER])</f>
        <v>0</v>
      </c>
      <c r="G536" s="16">
        <f>IF(tbal[[#This Row],[DEBE]]-tbal[[#This Row],[HABER]]&gt;0,tbal[[#This Row],[DEBE]]-tbal[[#This Row],[HABER]],0)</f>
        <v>0</v>
      </c>
      <c r="H536" s="18">
        <f>IF(tbal[[#This Row],[HABER]]-tbal[[#This Row],[DEBE]]&gt;0,tbal[[#This Row],[HABER]]-tbal[[#This Row],[DEBE]],0)</f>
        <v>0</v>
      </c>
      <c r="I536" s="16">
        <f>IF((OR(tbal[[#This Row],[X]]=1,tbal[[#This Row],[X]]=2)),tbal[[#This Row],[DEUDOR]],0)</f>
        <v>0</v>
      </c>
      <c r="J536" s="18">
        <f>IF((OR(tbal[[#This Row],[X]]=2,tbal[[#This Row],[X]]=3)),tbal[[#This Row],[ACREEDOR]],0)</f>
        <v>0</v>
      </c>
      <c r="K536" s="16">
        <f>IF((OR(tbal[[#This Row],[X]]=3,tbal[[#This Row],[X]]=5)),tbal[[#This Row],[DEUDOR]],0)</f>
        <v>0</v>
      </c>
      <c r="L536" s="18">
        <f>IF((OR(tbal[[#This Row],[X]]=3,tbal[[#This Row],[X]]=4)),tbal[[#This Row],[ACREEDOR]],0)</f>
        <v>0</v>
      </c>
      <c r="M536" s="16">
        <f>IF((OR(tbal[[#This Row],[X]]=0,tbal[[#This Row],[X]]=6)),tbal[[#This Row],[DEUDOR]],0)</f>
        <v>0</v>
      </c>
      <c r="N536" s="18">
        <f>IF((OR(tbal[[#This Row],[X]]=0,tbal[[#This Row],[X]]=5)),tbal[[#This Row],[ACREEDOR]],0)</f>
        <v>0</v>
      </c>
    </row>
    <row r="537" spans="1:14" hidden="1" x14ac:dyDescent="0.3">
      <c r="A537" s="14">
        <f>+'PLAN DE CUENTAS'!A537</f>
        <v>0</v>
      </c>
      <c r="B537" s="13">
        <f>+'PLAN DE CUENTAS'!B537</f>
        <v>0</v>
      </c>
      <c r="C537" s="13">
        <f>+'PLAN DE CUENTAS'!C537</f>
        <v>0</v>
      </c>
      <c r="D537" t="str">
        <f>IF(tbal[[#This Row],[DEBE]]+tbal[[#This Row],[HABER]]=0,"","X")</f>
        <v/>
      </c>
      <c r="E537" s="16">
        <f>SUMIF(tdiario[CUENTA],tbal[[#This Row],[CUENTA]],tdiario[DEBE])</f>
        <v>0</v>
      </c>
      <c r="F537" s="17">
        <f>SUMIF(tdiario[CUENTA],tbal[[#This Row],[CUENTA]],tdiario[HABER])</f>
        <v>0</v>
      </c>
      <c r="G537" s="16">
        <f>IF(tbal[[#This Row],[DEBE]]-tbal[[#This Row],[HABER]]&gt;0,tbal[[#This Row],[DEBE]]-tbal[[#This Row],[HABER]],0)</f>
        <v>0</v>
      </c>
      <c r="H537" s="18">
        <f>IF(tbal[[#This Row],[HABER]]-tbal[[#This Row],[DEBE]]&gt;0,tbal[[#This Row],[HABER]]-tbal[[#This Row],[DEBE]],0)</f>
        <v>0</v>
      </c>
      <c r="I537" s="16">
        <f>IF((OR(tbal[[#This Row],[X]]=1,tbal[[#This Row],[X]]=2)),tbal[[#This Row],[DEUDOR]],0)</f>
        <v>0</v>
      </c>
      <c r="J537" s="18">
        <f>IF((OR(tbal[[#This Row],[X]]=2,tbal[[#This Row],[X]]=3)),tbal[[#This Row],[ACREEDOR]],0)</f>
        <v>0</v>
      </c>
      <c r="K537" s="16">
        <f>IF((OR(tbal[[#This Row],[X]]=3,tbal[[#This Row],[X]]=5)),tbal[[#This Row],[DEUDOR]],0)</f>
        <v>0</v>
      </c>
      <c r="L537" s="18">
        <f>IF((OR(tbal[[#This Row],[X]]=3,tbal[[#This Row],[X]]=4)),tbal[[#This Row],[ACREEDOR]],0)</f>
        <v>0</v>
      </c>
      <c r="M537" s="16">
        <f>IF((OR(tbal[[#This Row],[X]]=0,tbal[[#This Row],[X]]=6)),tbal[[#This Row],[DEUDOR]],0)</f>
        <v>0</v>
      </c>
      <c r="N537" s="18">
        <f>IF((OR(tbal[[#This Row],[X]]=0,tbal[[#This Row],[X]]=5)),tbal[[#This Row],[ACREEDOR]],0)</f>
        <v>0</v>
      </c>
    </row>
    <row r="538" spans="1:14" hidden="1" x14ac:dyDescent="0.3">
      <c r="A538" s="14">
        <f>+'PLAN DE CUENTAS'!A538</f>
        <v>0</v>
      </c>
      <c r="B538" s="13">
        <f>+'PLAN DE CUENTAS'!B538</f>
        <v>0</v>
      </c>
      <c r="C538" s="13">
        <f>+'PLAN DE CUENTAS'!C538</f>
        <v>0</v>
      </c>
      <c r="D538" t="str">
        <f>IF(tbal[[#This Row],[DEBE]]+tbal[[#This Row],[HABER]]=0,"","X")</f>
        <v/>
      </c>
      <c r="E538" s="16">
        <f>SUMIF(tdiario[CUENTA],tbal[[#This Row],[CUENTA]],tdiario[DEBE])</f>
        <v>0</v>
      </c>
      <c r="F538" s="17">
        <f>SUMIF(tdiario[CUENTA],tbal[[#This Row],[CUENTA]],tdiario[HABER])</f>
        <v>0</v>
      </c>
      <c r="G538" s="16">
        <f>IF(tbal[[#This Row],[DEBE]]-tbal[[#This Row],[HABER]]&gt;0,tbal[[#This Row],[DEBE]]-tbal[[#This Row],[HABER]],0)</f>
        <v>0</v>
      </c>
      <c r="H538" s="18">
        <f>IF(tbal[[#This Row],[HABER]]-tbal[[#This Row],[DEBE]]&gt;0,tbal[[#This Row],[HABER]]-tbal[[#This Row],[DEBE]],0)</f>
        <v>0</v>
      </c>
      <c r="I538" s="16">
        <f>IF((OR(tbal[[#This Row],[X]]=1,tbal[[#This Row],[X]]=2)),tbal[[#This Row],[DEUDOR]],0)</f>
        <v>0</v>
      </c>
      <c r="J538" s="18">
        <f>IF((OR(tbal[[#This Row],[X]]=2,tbal[[#This Row],[X]]=3)),tbal[[#This Row],[ACREEDOR]],0)</f>
        <v>0</v>
      </c>
      <c r="K538" s="16">
        <f>IF((OR(tbal[[#This Row],[X]]=3,tbal[[#This Row],[X]]=5)),tbal[[#This Row],[DEUDOR]],0)</f>
        <v>0</v>
      </c>
      <c r="L538" s="18">
        <f>IF((OR(tbal[[#This Row],[X]]=3,tbal[[#This Row],[X]]=4)),tbal[[#This Row],[ACREEDOR]],0)</f>
        <v>0</v>
      </c>
      <c r="M538" s="16">
        <f>IF((OR(tbal[[#This Row],[X]]=0,tbal[[#This Row],[X]]=6)),tbal[[#This Row],[DEUDOR]],0)</f>
        <v>0</v>
      </c>
      <c r="N538" s="18">
        <f>IF((OR(tbal[[#This Row],[X]]=0,tbal[[#This Row],[X]]=5)),tbal[[#This Row],[ACREEDOR]],0)</f>
        <v>0</v>
      </c>
    </row>
    <row r="539" spans="1:14" hidden="1" x14ac:dyDescent="0.3">
      <c r="A539" s="14">
        <f>+'PLAN DE CUENTAS'!A539</f>
        <v>0</v>
      </c>
      <c r="B539" s="13">
        <f>+'PLAN DE CUENTAS'!B539</f>
        <v>0</v>
      </c>
      <c r="C539" s="13">
        <f>+'PLAN DE CUENTAS'!C539</f>
        <v>0</v>
      </c>
      <c r="D539" t="str">
        <f>IF(tbal[[#This Row],[DEBE]]+tbal[[#This Row],[HABER]]=0,"","X")</f>
        <v/>
      </c>
      <c r="E539" s="16">
        <f>SUMIF(tdiario[CUENTA],tbal[[#This Row],[CUENTA]],tdiario[DEBE])</f>
        <v>0</v>
      </c>
      <c r="F539" s="17">
        <f>SUMIF(tdiario[CUENTA],tbal[[#This Row],[CUENTA]],tdiario[HABER])</f>
        <v>0</v>
      </c>
      <c r="G539" s="16">
        <f>IF(tbal[[#This Row],[DEBE]]-tbal[[#This Row],[HABER]]&gt;0,tbal[[#This Row],[DEBE]]-tbal[[#This Row],[HABER]],0)</f>
        <v>0</v>
      </c>
      <c r="H539" s="18">
        <f>IF(tbal[[#This Row],[HABER]]-tbal[[#This Row],[DEBE]]&gt;0,tbal[[#This Row],[HABER]]-tbal[[#This Row],[DEBE]],0)</f>
        <v>0</v>
      </c>
      <c r="I539" s="16">
        <f>IF((OR(tbal[[#This Row],[X]]=1,tbal[[#This Row],[X]]=2)),tbal[[#This Row],[DEUDOR]],0)</f>
        <v>0</v>
      </c>
      <c r="J539" s="18">
        <f>IF((OR(tbal[[#This Row],[X]]=2,tbal[[#This Row],[X]]=3)),tbal[[#This Row],[ACREEDOR]],0)</f>
        <v>0</v>
      </c>
      <c r="K539" s="16">
        <f>IF((OR(tbal[[#This Row],[X]]=3,tbal[[#This Row],[X]]=5)),tbal[[#This Row],[DEUDOR]],0)</f>
        <v>0</v>
      </c>
      <c r="L539" s="18">
        <f>IF((OR(tbal[[#This Row],[X]]=3,tbal[[#This Row],[X]]=4)),tbal[[#This Row],[ACREEDOR]],0)</f>
        <v>0</v>
      </c>
      <c r="M539" s="16">
        <f>IF((OR(tbal[[#This Row],[X]]=0,tbal[[#This Row],[X]]=6)),tbal[[#This Row],[DEUDOR]],0)</f>
        <v>0</v>
      </c>
      <c r="N539" s="18">
        <f>IF((OR(tbal[[#This Row],[X]]=0,tbal[[#This Row],[X]]=5)),tbal[[#This Row],[ACREEDOR]],0)</f>
        <v>0</v>
      </c>
    </row>
    <row r="540" spans="1:14" hidden="1" x14ac:dyDescent="0.3">
      <c r="A540" s="14">
        <f>+'PLAN DE CUENTAS'!A540</f>
        <v>0</v>
      </c>
      <c r="B540" s="13">
        <f>+'PLAN DE CUENTAS'!B540</f>
        <v>0</v>
      </c>
      <c r="C540" s="13">
        <f>+'PLAN DE CUENTAS'!C540</f>
        <v>0</v>
      </c>
      <c r="D540" t="str">
        <f>IF(tbal[[#This Row],[DEBE]]+tbal[[#This Row],[HABER]]=0,"","X")</f>
        <v/>
      </c>
      <c r="E540" s="16">
        <f>SUMIF(tdiario[CUENTA],tbal[[#This Row],[CUENTA]],tdiario[DEBE])</f>
        <v>0</v>
      </c>
      <c r="F540" s="17">
        <f>SUMIF(tdiario[CUENTA],tbal[[#This Row],[CUENTA]],tdiario[HABER])</f>
        <v>0</v>
      </c>
      <c r="G540" s="16">
        <f>IF(tbal[[#This Row],[DEBE]]-tbal[[#This Row],[HABER]]&gt;0,tbal[[#This Row],[DEBE]]-tbal[[#This Row],[HABER]],0)</f>
        <v>0</v>
      </c>
      <c r="H540" s="18">
        <f>IF(tbal[[#This Row],[HABER]]-tbal[[#This Row],[DEBE]]&gt;0,tbal[[#This Row],[HABER]]-tbal[[#This Row],[DEBE]],0)</f>
        <v>0</v>
      </c>
      <c r="I540" s="16">
        <f>IF((OR(tbal[[#This Row],[X]]=1,tbal[[#This Row],[X]]=2)),tbal[[#This Row],[DEUDOR]],0)</f>
        <v>0</v>
      </c>
      <c r="J540" s="18">
        <f>IF((OR(tbal[[#This Row],[X]]=2,tbal[[#This Row],[X]]=3)),tbal[[#This Row],[ACREEDOR]],0)</f>
        <v>0</v>
      </c>
      <c r="K540" s="16">
        <f>IF((OR(tbal[[#This Row],[X]]=3,tbal[[#This Row],[X]]=5)),tbal[[#This Row],[DEUDOR]],0)</f>
        <v>0</v>
      </c>
      <c r="L540" s="18">
        <f>IF((OR(tbal[[#This Row],[X]]=3,tbal[[#This Row],[X]]=4)),tbal[[#This Row],[ACREEDOR]],0)</f>
        <v>0</v>
      </c>
      <c r="M540" s="16">
        <f>IF((OR(tbal[[#This Row],[X]]=0,tbal[[#This Row],[X]]=6)),tbal[[#This Row],[DEUDOR]],0)</f>
        <v>0</v>
      </c>
      <c r="N540" s="18">
        <f>IF((OR(tbal[[#This Row],[X]]=0,tbal[[#This Row],[X]]=5)),tbal[[#This Row],[ACREEDOR]],0)</f>
        <v>0</v>
      </c>
    </row>
    <row r="541" spans="1:14" hidden="1" x14ac:dyDescent="0.3">
      <c r="A541" s="14">
        <f>+'PLAN DE CUENTAS'!A541</f>
        <v>0</v>
      </c>
      <c r="B541" s="13">
        <f>+'PLAN DE CUENTAS'!B541</f>
        <v>0</v>
      </c>
      <c r="C541" s="13">
        <f>+'PLAN DE CUENTAS'!C541</f>
        <v>0</v>
      </c>
      <c r="D541" t="str">
        <f>IF(tbal[[#This Row],[DEBE]]+tbal[[#This Row],[HABER]]=0,"","X")</f>
        <v/>
      </c>
      <c r="E541" s="16">
        <f>SUMIF(tdiario[CUENTA],tbal[[#This Row],[CUENTA]],tdiario[DEBE])</f>
        <v>0</v>
      </c>
      <c r="F541" s="17">
        <f>SUMIF(tdiario[CUENTA],tbal[[#This Row],[CUENTA]],tdiario[HABER])</f>
        <v>0</v>
      </c>
      <c r="G541" s="16">
        <f>IF(tbal[[#This Row],[DEBE]]-tbal[[#This Row],[HABER]]&gt;0,tbal[[#This Row],[DEBE]]-tbal[[#This Row],[HABER]],0)</f>
        <v>0</v>
      </c>
      <c r="H541" s="18">
        <f>IF(tbal[[#This Row],[HABER]]-tbal[[#This Row],[DEBE]]&gt;0,tbal[[#This Row],[HABER]]-tbal[[#This Row],[DEBE]],0)</f>
        <v>0</v>
      </c>
      <c r="I541" s="16">
        <f>IF((OR(tbal[[#This Row],[X]]=1,tbal[[#This Row],[X]]=2)),tbal[[#This Row],[DEUDOR]],0)</f>
        <v>0</v>
      </c>
      <c r="J541" s="18">
        <f>IF((OR(tbal[[#This Row],[X]]=2,tbal[[#This Row],[X]]=3)),tbal[[#This Row],[ACREEDOR]],0)</f>
        <v>0</v>
      </c>
      <c r="K541" s="16">
        <f>IF((OR(tbal[[#This Row],[X]]=3,tbal[[#This Row],[X]]=5)),tbal[[#This Row],[DEUDOR]],0)</f>
        <v>0</v>
      </c>
      <c r="L541" s="18">
        <f>IF((OR(tbal[[#This Row],[X]]=3,tbal[[#This Row],[X]]=4)),tbal[[#This Row],[ACREEDOR]],0)</f>
        <v>0</v>
      </c>
      <c r="M541" s="16">
        <f>IF((OR(tbal[[#This Row],[X]]=0,tbal[[#This Row],[X]]=6)),tbal[[#This Row],[DEUDOR]],0)</f>
        <v>0</v>
      </c>
      <c r="N541" s="18">
        <f>IF((OR(tbal[[#This Row],[X]]=0,tbal[[#This Row],[X]]=5)),tbal[[#This Row],[ACREEDOR]],0)</f>
        <v>0</v>
      </c>
    </row>
    <row r="542" spans="1:14" hidden="1" x14ac:dyDescent="0.3">
      <c r="A542" s="14">
        <f>+'PLAN DE CUENTAS'!A542</f>
        <v>0</v>
      </c>
      <c r="B542" s="13">
        <f>+'PLAN DE CUENTAS'!B542</f>
        <v>0</v>
      </c>
      <c r="C542" s="13">
        <f>+'PLAN DE CUENTAS'!C542</f>
        <v>0</v>
      </c>
      <c r="D542" t="str">
        <f>IF(tbal[[#This Row],[DEBE]]+tbal[[#This Row],[HABER]]=0,"","X")</f>
        <v/>
      </c>
      <c r="E542" s="16">
        <f>SUMIF(tdiario[CUENTA],tbal[[#This Row],[CUENTA]],tdiario[DEBE])</f>
        <v>0</v>
      </c>
      <c r="F542" s="17">
        <f>SUMIF(tdiario[CUENTA],tbal[[#This Row],[CUENTA]],tdiario[HABER])</f>
        <v>0</v>
      </c>
      <c r="G542" s="16">
        <f>IF(tbal[[#This Row],[DEBE]]-tbal[[#This Row],[HABER]]&gt;0,tbal[[#This Row],[DEBE]]-tbal[[#This Row],[HABER]],0)</f>
        <v>0</v>
      </c>
      <c r="H542" s="18">
        <f>IF(tbal[[#This Row],[HABER]]-tbal[[#This Row],[DEBE]]&gt;0,tbal[[#This Row],[HABER]]-tbal[[#This Row],[DEBE]],0)</f>
        <v>0</v>
      </c>
      <c r="I542" s="16">
        <f>IF((OR(tbal[[#This Row],[X]]=1,tbal[[#This Row],[X]]=2)),tbal[[#This Row],[DEUDOR]],0)</f>
        <v>0</v>
      </c>
      <c r="J542" s="18">
        <f>IF((OR(tbal[[#This Row],[X]]=2,tbal[[#This Row],[X]]=3)),tbal[[#This Row],[ACREEDOR]],0)</f>
        <v>0</v>
      </c>
      <c r="K542" s="16">
        <f>IF((OR(tbal[[#This Row],[X]]=3,tbal[[#This Row],[X]]=5)),tbal[[#This Row],[DEUDOR]],0)</f>
        <v>0</v>
      </c>
      <c r="L542" s="18">
        <f>IF((OR(tbal[[#This Row],[X]]=3,tbal[[#This Row],[X]]=4)),tbal[[#This Row],[ACREEDOR]],0)</f>
        <v>0</v>
      </c>
      <c r="M542" s="16">
        <f>IF((OR(tbal[[#This Row],[X]]=0,tbal[[#This Row],[X]]=6)),tbal[[#This Row],[DEUDOR]],0)</f>
        <v>0</v>
      </c>
      <c r="N542" s="18">
        <f>IF((OR(tbal[[#This Row],[X]]=0,tbal[[#This Row],[X]]=5)),tbal[[#This Row],[ACREEDOR]],0)</f>
        <v>0</v>
      </c>
    </row>
    <row r="543" spans="1:14" hidden="1" x14ac:dyDescent="0.3">
      <c r="A543" s="14">
        <f>+'PLAN DE CUENTAS'!A543</f>
        <v>0</v>
      </c>
      <c r="B543" s="13">
        <f>+'PLAN DE CUENTAS'!B543</f>
        <v>0</v>
      </c>
      <c r="C543" s="13">
        <f>+'PLAN DE CUENTAS'!C543</f>
        <v>0</v>
      </c>
      <c r="D543" t="str">
        <f>IF(tbal[[#This Row],[DEBE]]+tbal[[#This Row],[HABER]]=0,"","X")</f>
        <v/>
      </c>
      <c r="E543" s="16">
        <f>SUMIF(tdiario[CUENTA],tbal[[#This Row],[CUENTA]],tdiario[DEBE])</f>
        <v>0</v>
      </c>
      <c r="F543" s="17">
        <f>SUMIF(tdiario[CUENTA],tbal[[#This Row],[CUENTA]],tdiario[HABER])</f>
        <v>0</v>
      </c>
      <c r="G543" s="16">
        <f>IF(tbal[[#This Row],[DEBE]]-tbal[[#This Row],[HABER]]&gt;0,tbal[[#This Row],[DEBE]]-tbal[[#This Row],[HABER]],0)</f>
        <v>0</v>
      </c>
      <c r="H543" s="18">
        <f>IF(tbal[[#This Row],[HABER]]-tbal[[#This Row],[DEBE]]&gt;0,tbal[[#This Row],[HABER]]-tbal[[#This Row],[DEBE]],0)</f>
        <v>0</v>
      </c>
      <c r="I543" s="16">
        <f>IF((OR(tbal[[#This Row],[X]]=1,tbal[[#This Row],[X]]=2)),tbal[[#This Row],[DEUDOR]],0)</f>
        <v>0</v>
      </c>
      <c r="J543" s="18">
        <f>IF((OR(tbal[[#This Row],[X]]=2,tbal[[#This Row],[X]]=3)),tbal[[#This Row],[ACREEDOR]],0)</f>
        <v>0</v>
      </c>
      <c r="K543" s="16">
        <f>IF((OR(tbal[[#This Row],[X]]=3,tbal[[#This Row],[X]]=5)),tbal[[#This Row],[DEUDOR]],0)</f>
        <v>0</v>
      </c>
      <c r="L543" s="18">
        <f>IF((OR(tbal[[#This Row],[X]]=3,tbal[[#This Row],[X]]=4)),tbal[[#This Row],[ACREEDOR]],0)</f>
        <v>0</v>
      </c>
      <c r="M543" s="16">
        <f>IF((OR(tbal[[#This Row],[X]]=0,tbal[[#This Row],[X]]=6)),tbal[[#This Row],[DEUDOR]],0)</f>
        <v>0</v>
      </c>
      <c r="N543" s="18">
        <f>IF((OR(tbal[[#This Row],[X]]=0,tbal[[#This Row],[X]]=5)),tbal[[#This Row],[ACREEDOR]],0)</f>
        <v>0</v>
      </c>
    </row>
    <row r="544" spans="1:14" hidden="1" x14ac:dyDescent="0.3">
      <c r="A544" s="14">
        <f>+'PLAN DE CUENTAS'!A544</f>
        <v>0</v>
      </c>
      <c r="B544" s="13">
        <f>+'PLAN DE CUENTAS'!B544</f>
        <v>0</v>
      </c>
      <c r="C544" s="13">
        <f>+'PLAN DE CUENTAS'!C544</f>
        <v>0</v>
      </c>
      <c r="D544" t="str">
        <f>IF(tbal[[#This Row],[DEBE]]+tbal[[#This Row],[HABER]]=0,"","X")</f>
        <v/>
      </c>
      <c r="E544" s="16">
        <f>SUMIF(tdiario[CUENTA],tbal[[#This Row],[CUENTA]],tdiario[DEBE])</f>
        <v>0</v>
      </c>
      <c r="F544" s="17">
        <f>SUMIF(tdiario[CUENTA],tbal[[#This Row],[CUENTA]],tdiario[HABER])</f>
        <v>0</v>
      </c>
      <c r="G544" s="16">
        <f>IF(tbal[[#This Row],[DEBE]]-tbal[[#This Row],[HABER]]&gt;0,tbal[[#This Row],[DEBE]]-tbal[[#This Row],[HABER]],0)</f>
        <v>0</v>
      </c>
      <c r="H544" s="18">
        <f>IF(tbal[[#This Row],[HABER]]-tbal[[#This Row],[DEBE]]&gt;0,tbal[[#This Row],[HABER]]-tbal[[#This Row],[DEBE]],0)</f>
        <v>0</v>
      </c>
      <c r="I544" s="16">
        <f>IF((OR(tbal[[#This Row],[X]]=1,tbal[[#This Row],[X]]=2)),tbal[[#This Row],[DEUDOR]],0)</f>
        <v>0</v>
      </c>
      <c r="J544" s="18">
        <f>IF((OR(tbal[[#This Row],[X]]=2,tbal[[#This Row],[X]]=3)),tbal[[#This Row],[ACREEDOR]],0)</f>
        <v>0</v>
      </c>
      <c r="K544" s="16">
        <f>IF((OR(tbal[[#This Row],[X]]=3,tbal[[#This Row],[X]]=5)),tbal[[#This Row],[DEUDOR]],0)</f>
        <v>0</v>
      </c>
      <c r="L544" s="18">
        <f>IF((OR(tbal[[#This Row],[X]]=3,tbal[[#This Row],[X]]=4)),tbal[[#This Row],[ACREEDOR]],0)</f>
        <v>0</v>
      </c>
      <c r="M544" s="16">
        <f>IF((OR(tbal[[#This Row],[X]]=0,tbal[[#This Row],[X]]=6)),tbal[[#This Row],[DEUDOR]],0)</f>
        <v>0</v>
      </c>
      <c r="N544" s="18">
        <f>IF((OR(tbal[[#This Row],[X]]=0,tbal[[#This Row],[X]]=5)),tbal[[#This Row],[ACREEDOR]],0)</f>
        <v>0</v>
      </c>
    </row>
    <row r="545" spans="1:14" hidden="1" x14ac:dyDescent="0.3">
      <c r="A545" s="14">
        <f>+'PLAN DE CUENTAS'!A545</f>
        <v>0</v>
      </c>
      <c r="B545" s="13">
        <f>+'PLAN DE CUENTAS'!B545</f>
        <v>0</v>
      </c>
      <c r="C545" s="13">
        <f>+'PLAN DE CUENTAS'!C545</f>
        <v>0</v>
      </c>
      <c r="D545" t="str">
        <f>IF(tbal[[#This Row],[DEBE]]+tbal[[#This Row],[HABER]]=0,"","X")</f>
        <v/>
      </c>
      <c r="E545" s="16">
        <f>SUMIF(tdiario[CUENTA],tbal[[#This Row],[CUENTA]],tdiario[DEBE])</f>
        <v>0</v>
      </c>
      <c r="F545" s="17">
        <f>SUMIF(tdiario[CUENTA],tbal[[#This Row],[CUENTA]],tdiario[HABER])</f>
        <v>0</v>
      </c>
      <c r="G545" s="16">
        <f>IF(tbal[[#This Row],[DEBE]]-tbal[[#This Row],[HABER]]&gt;0,tbal[[#This Row],[DEBE]]-tbal[[#This Row],[HABER]],0)</f>
        <v>0</v>
      </c>
      <c r="H545" s="18">
        <f>IF(tbal[[#This Row],[HABER]]-tbal[[#This Row],[DEBE]]&gt;0,tbal[[#This Row],[HABER]]-tbal[[#This Row],[DEBE]],0)</f>
        <v>0</v>
      </c>
      <c r="I545" s="16">
        <f>IF((OR(tbal[[#This Row],[X]]=1,tbal[[#This Row],[X]]=2)),tbal[[#This Row],[DEUDOR]],0)</f>
        <v>0</v>
      </c>
      <c r="J545" s="18">
        <f>IF((OR(tbal[[#This Row],[X]]=2,tbal[[#This Row],[X]]=3)),tbal[[#This Row],[ACREEDOR]],0)</f>
        <v>0</v>
      </c>
      <c r="K545" s="16">
        <f>IF((OR(tbal[[#This Row],[X]]=3,tbal[[#This Row],[X]]=5)),tbal[[#This Row],[DEUDOR]],0)</f>
        <v>0</v>
      </c>
      <c r="L545" s="18">
        <f>IF((OR(tbal[[#This Row],[X]]=3,tbal[[#This Row],[X]]=4)),tbal[[#This Row],[ACREEDOR]],0)</f>
        <v>0</v>
      </c>
      <c r="M545" s="16">
        <f>IF((OR(tbal[[#This Row],[X]]=0,tbal[[#This Row],[X]]=6)),tbal[[#This Row],[DEUDOR]],0)</f>
        <v>0</v>
      </c>
      <c r="N545" s="18">
        <f>IF((OR(tbal[[#This Row],[X]]=0,tbal[[#This Row],[X]]=5)),tbal[[#This Row],[ACREEDOR]],0)</f>
        <v>0</v>
      </c>
    </row>
    <row r="546" spans="1:14" hidden="1" x14ac:dyDescent="0.3">
      <c r="A546" s="14">
        <f>+'PLAN DE CUENTAS'!A546</f>
        <v>0</v>
      </c>
      <c r="B546" s="13">
        <f>+'PLAN DE CUENTAS'!B546</f>
        <v>0</v>
      </c>
      <c r="C546" s="13">
        <f>+'PLAN DE CUENTAS'!C546</f>
        <v>0</v>
      </c>
      <c r="D546" t="str">
        <f>IF(tbal[[#This Row],[DEBE]]+tbal[[#This Row],[HABER]]=0,"","X")</f>
        <v/>
      </c>
      <c r="E546" s="16">
        <f>SUMIF(tdiario[CUENTA],tbal[[#This Row],[CUENTA]],tdiario[DEBE])</f>
        <v>0</v>
      </c>
      <c r="F546" s="17">
        <f>SUMIF(tdiario[CUENTA],tbal[[#This Row],[CUENTA]],tdiario[HABER])</f>
        <v>0</v>
      </c>
      <c r="G546" s="16">
        <f>IF(tbal[[#This Row],[DEBE]]-tbal[[#This Row],[HABER]]&gt;0,tbal[[#This Row],[DEBE]]-tbal[[#This Row],[HABER]],0)</f>
        <v>0</v>
      </c>
      <c r="H546" s="18">
        <f>IF(tbal[[#This Row],[HABER]]-tbal[[#This Row],[DEBE]]&gt;0,tbal[[#This Row],[HABER]]-tbal[[#This Row],[DEBE]],0)</f>
        <v>0</v>
      </c>
      <c r="I546" s="16">
        <f>IF((OR(tbal[[#This Row],[X]]=1,tbal[[#This Row],[X]]=2)),tbal[[#This Row],[DEUDOR]],0)</f>
        <v>0</v>
      </c>
      <c r="J546" s="18">
        <f>IF((OR(tbal[[#This Row],[X]]=2,tbal[[#This Row],[X]]=3)),tbal[[#This Row],[ACREEDOR]],0)</f>
        <v>0</v>
      </c>
      <c r="K546" s="16">
        <f>IF((OR(tbal[[#This Row],[X]]=3,tbal[[#This Row],[X]]=5)),tbal[[#This Row],[DEUDOR]],0)</f>
        <v>0</v>
      </c>
      <c r="L546" s="18">
        <f>IF((OR(tbal[[#This Row],[X]]=3,tbal[[#This Row],[X]]=4)),tbal[[#This Row],[ACREEDOR]],0)</f>
        <v>0</v>
      </c>
      <c r="M546" s="16">
        <f>IF((OR(tbal[[#This Row],[X]]=0,tbal[[#This Row],[X]]=6)),tbal[[#This Row],[DEUDOR]],0)</f>
        <v>0</v>
      </c>
      <c r="N546" s="18">
        <f>IF((OR(tbal[[#This Row],[X]]=0,tbal[[#This Row],[X]]=5)),tbal[[#This Row],[ACREEDOR]],0)</f>
        <v>0</v>
      </c>
    </row>
    <row r="547" spans="1:14" hidden="1" x14ac:dyDescent="0.3">
      <c r="A547" s="14">
        <f>+'PLAN DE CUENTAS'!A547</f>
        <v>0</v>
      </c>
      <c r="B547" s="13">
        <f>+'PLAN DE CUENTAS'!B547</f>
        <v>0</v>
      </c>
      <c r="C547" s="13">
        <f>+'PLAN DE CUENTAS'!C547</f>
        <v>0</v>
      </c>
      <c r="D547" t="str">
        <f>IF(tbal[[#This Row],[DEBE]]+tbal[[#This Row],[HABER]]=0,"","X")</f>
        <v/>
      </c>
      <c r="E547" s="16">
        <f>SUMIF(tdiario[CUENTA],tbal[[#This Row],[CUENTA]],tdiario[DEBE])</f>
        <v>0</v>
      </c>
      <c r="F547" s="17">
        <f>SUMIF(tdiario[CUENTA],tbal[[#This Row],[CUENTA]],tdiario[HABER])</f>
        <v>0</v>
      </c>
      <c r="G547" s="16">
        <f>IF(tbal[[#This Row],[DEBE]]-tbal[[#This Row],[HABER]]&gt;0,tbal[[#This Row],[DEBE]]-tbal[[#This Row],[HABER]],0)</f>
        <v>0</v>
      </c>
      <c r="H547" s="18">
        <f>IF(tbal[[#This Row],[HABER]]-tbal[[#This Row],[DEBE]]&gt;0,tbal[[#This Row],[HABER]]-tbal[[#This Row],[DEBE]],0)</f>
        <v>0</v>
      </c>
      <c r="I547" s="16">
        <f>IF((OR(tbal[[#This Row],[X]]=1,tbal[[#This Row],[X]]=2)),tbal[[#This Row],[DEUDOR]],0)</f>
        <v>0</v>
      </c>
      <c r="J547" s="18">
        <f>IF((OR(tbal[[#This Row],[X]]=2,tbal[[#This Row],[X]]=3)),tbal[[#This Row],[ACREEDOR]],0)</f>
        <v>0</v>
      </c>
      <c r="K547" s="16">
        <f>IF((OR(tbal[[#This Row],[X]]=3,tbal[[#This Row],[X]]=5)),tbal[[#This Row],[DEUDOR]],0)</f>
        <v>0</v>
      </c>
      <c r="L547" s="18">
        <f>IF((OR(tbal[[#This Row],[X]]=3,tbal[[#This Row],[X]]=4)),tbal[[#This Row],[ACREEDOR]],0)</f>
        <v>0</v>
      </c>
      <c r="M547" s="16">
        <f>IF((OR(tbal[[#This Row],[X]]=0,tbal[[#This Row],[X]]=6)),tbal[[#This Row],[DEUDOR]],0)</f>
        <v>0</v>
      </c>
      <c r="N547" s="18">
        <f>IF((OR(tbal[[#This Row],[X]]=0,tbal[[#This Row],[X]]=5)),tbal[[#This Row],[ACREEDOR]],0)</f>
        <v>0</v>
      </c>
    </row>
    <row r="548" spans="1:14" hidden="1" x14ac:dyDescent="0.3">
      <c r="A548" s="14">
        <f>+'PLAN DE CUENTAS'!A548</f>
        <v>0</v>
      </c>
      <c r="B548" s="13">
        <f>+'PLAN DE CUENTAS'!B548</f>
        <v>0</v>
      </c>
      <c r="C548" s="13">
        <f>+'PLAN DE CUENTAS'!C548</f>
        <v>0</v>
      </c>
      <c r="D548" t="str">
        <f>IF(tbal[[#This Row],[DEBE]]+tbal[[#This Row],[HABER]]=0,"","X")</f>
        <v/>
      </c>
      <c r="E548" s="16">
        <f>SUMIF(tdiario[CUENTA],tbal[[#This Row],[CUENTA]],tdiario[DEBE])</f>
        <v>0</v>
      </c>
      <c r="F548" s="17">
        <f>SUMIF(tdiario[CUENTA],tbal[[#This Row],[CUENTA]],tdiario[HABER])</f>
        <v>0</v>
      </c>
      <c r="G548" s="16">
        <f>IF(tbal[[#This Row],[DEBE]]-tbal[[#This Row],[HABER]]&gt;0,tbal[[#This Row],[DEBE]]-tbal[[#This Row],[HABER]],0)</f>
        <v>0</v>
      </c>
      <c r="H548" s="18">
        <f>IF(tbal[[#This Row],[HABER]]-tbal[[#This Row],[DEBE]]&gt;0,tbal[[#This Row],[HABER]]-tbal[[#This Row],[DEBE]],0)</f>
        <v>0</v>
      </c>
      <c r="I548" s="16">
        <f>IF((OR(tbal[[#This Row],[X]]=1,tbal[[#This Row],[X]]=2)),tbal[[#This Row],[DEUDOR]],0)</f>
        <v>0</v>
      </c>
      <c r="J548" s="18">
        <f>IF((OR(tbal[[#This Row],[X]]=2,tbal[[#This Row],[X]]=3)),tbal[[#This Row],[ACREEDOR]],0)</f>
        <v>0</v>
      </c>
      <c r="K548" s="16">
        <f>IF((OR(tbal[[#This Row],[X]]=3,tbal[[#This Row],[X]]=5)),tbal[[#This Row],[DEUDOR]],0)</f>
        <v>0</v>
      </c>
      <c r="L548" s="18">
        <f>IF((OR(tbal[[#This Row],[X]]=3,tbal[[#This Row],[X]]=4)),tbal[[#This Row],[ACREEDOR]],0)</f>
        <v>0</v>
      </c>
      <c r="M548" s="16">
        <f>IF((OR(tbal[[#This Row],[X]]=0,tbal[[#This Row],[X]]=6)),tbal[[#This Row],[DEUDOR]],0)</f>
        <v>0</v>
      </c>
      <c r="N548" s="18">
        <f>IF((OR(tbal[[#This Row],[X]]=0,tbal[[#This Row],[X]]=5)),tbal[[#This Row],[ACREEDOR]],0)</f>
        <v>0</v>
      </c>
    </row>
    <row r="549" spans="1:14" hidden="1" x14ac:dyDescent="0.3">
      <c r="A549" s="14">
        <f>+'PLAN DE CUENTAS'!A549</f>
        <v>0</v>
      </c>
      <c r="B549" s="13">
        <f>+'PLAN DE CUENTAS'!B549</f>
        <v>0</v>
      </c>
      <c r="C549" s="13">
        <f>+'PLAN DE CUENTAS'!C549</f>
        <v>0</v>
      </c>
      <c r="D549" t="str">
        <f>IF(tbal[[#This Row],[DEBE]]+tbal[[#This Row],[HABER]]=0,"","X")</f>
        <v/>
      </c>
      <c r="E549" s="16">
        <f>SUMIF(tdiario[CUENTA],tbal[[#This Row],[CUENTA]],tdiario[DEBE])</f>
        <v>0</v>
      </c>
      <c r="F549" s="17">
        <f>SUMIF(tdiario[CUENTA],tbal[[#This Row],[CUENTA]],tdiario[HABER])</f>
        <v>0</v>
      </c>
      <c r="G549" s="16">
        <f>IF(tbal[[#This Row],[DEBE]]-tbal[[#This Row],[HABER]]&gt;0,tbal[[#This Row],[DEBE]]-tbal[[#This Row],[HABER]],0)</f>
        <v>0</v>
      </c>
      <c r="H549" s="18">
        <f>IF(tbal[[#This Row],[HABER]]-tbal[[#This Row],[DEBE]]&gt;0,tbal[[#This Row],[HABER]]-tbal[[#This Row],[DEBE]],0)</f>
        <v>0</v>
      </c>
      <c r="I549" s="16">
        <f>IF((OR(tbal[[#This Row],[X]]=1,tbal[[#This Row],[X]]=2)),tbal[[#This Row],[DEUDOR]],0)</f>
        <v>0</v>
      </c>
      <c r="J549" s="18">
        <f>IF((OR(tbal[[#This Row],[X]]=2,tbal[[#This Row],[X]]=3)),tbal[[#This Row],[ACREEDOR]],0)</f>
        <v>0</v>
      </c>
      <c r="K549" s="16">
        <f>IF((OR(tbal[[#This Row],[X]]=3,tbal[[#This Row],[X]]=5)),tbal[[#This Row],[DEUDOR]],0)</f>
        <v>0</v>
      </c>
      <c r="L549" s="18">
        <f>IF((OR(tbal[[#This Row],[X]]=3,tbal[[#This Row],[X]]=4)),tbal[[#This Row],[ACREEDOR]],0)</f>
        <v>0</v>
      </c>
      <c r="M549" s="16">
        <f>IF((OR(tbal[[#This Row],[X]]=0,tbal[[#This Row],[X]]=6)),tbal[[#This Row],[DEUDOR]],0)</f>
        <v>0</v>
      </c>
      <c r="N549" s="18">
        <f>IF((OR(tbal[[#This Row],[X]]=0,tbal[[#This Row],[X]]=5)),tbal[[#This Row],[ACREEDOR]],0)</f>
        <v>0</v>
      </c>
    </row>
    <row r="550" spans="1:14" hidden="1" x14ac:dyDescent="0.3">
      <c r="A550" s="14">
        <f>+'PLAN DE CUENTAS'!A550</f>
        <v>0</v>
      </c>
      <c r="B550" s="13">
        <f>+'PLAN DE CUENTAS'!B550</f>
        <v>0</v>
      </c>
      <c r="C550" s="13">
        <f>+'PLAN DE CUENTAS'!C550</f>
        <v>0</v>
      </c>
      <c r="D550" t="str">
        <f>IF(tbal[[#This Row],[DEBE]]+tbal[[#This Row],[HABER]]=0,"","X")</f>
        <v/>
      </c>
      <c r="E550" s="16">
        <f>SUMIF(tdiario[CUENTA],tbal[[#This Row],[CUENTA]],tdiario[DEBE])</f>
        <v>0</v>
      </c>
      <c r="F550" s="17">
        <f>SUMIF(tdiario[CUENTA],tbal[[#This Row],[CUENTA]],tdiario[HABER])</f>
        <v>0</v>
      </c>
      <c r="G550" s="16">
        <f>IF(tbal[[#This Row],[DEBE]]-tbal[[#This Row],[HABER]]&gt;0,tbal[[#This Row],[DEBE]]-tbal[[#This Row],[HABER]],0)</f>
        <v>0</v>
      </c>
      <c r="H550" s="18">
        <f>IF(tbal[[#This Row],[HABER]]-tbal[[#This Row],[DEBE]]&gt;0,tbal[[#This Row],[HABER]]-tbal[[#This Row],[DEBE]],0)</f>
        <v>0</v>
      </c>
      <c r="I550" s="16">
        <f>IF((OR(tbal[[#This Row],[X]]=1,tbal[[#This Row],[X]]=2)),tbal[[#This Row],[DEUDOR]],0)</f>
        <v>0</v>
      </c>
      <c r="J550" s="18">
        <f>IF((OR(tbal[[#This Row],[X]]=2,tbal[[#This Row],[X]]=3)),tbal[[#This Row],[ACREEDOR]],0)</f>
        <v>0</v>
      </c>
      <c r="K550" s="16">
        <f>IF((OR(tbal[[#This Row],[X]]=3,tbal[[#This Row],[X]]=5)),tbal[[#This Row],[DEUDOR]],0)</f>
        <v>0</v>
      </c>
      <c r="L550" s="18">
        <f>IF((OR(tbal[[#This Row],[X]]=3,tbal[[#This Row],[X]]=4)),tbal[[#This Row],[ACREEDOR]],0)</f>
        <v>0</v>
      </c>
      <c r="M550" s="16">
        <f>IF((OR(tbal[[#This Row],[X]]=0,tbal[[#This Row],[X]]=6)),tbal[[#This Row],[DEUDOR]],0)</f>
        <v>0</v>
      </c>
      <c r="N550" s="18">
        <f>IF((OR(tbal[[#This Row],[X]]=0,tbal[[#This Row],[X]]=5)),tbal[[#This Row],[ACREEDOR]],0)</f>
        <v>0</v>
      </c>
    </row>
    <row r="551" spans="1:14" hidden="1" x14ac:dyDescent="0.3">
      <c r="A551" s="14">
        <f>+'PLAN DE CUENTAS'!A551</f>
        <v>0</v>
      </c>
      <c r="B551" s="13">
        <f>+'PLAN DE CUENTAS'!B551</f>
        <v>0</v>
      </c>
      <c r="C551" s="13">
        <f>+'PLAN DE CUENTAS'!C551</f>
        <v>0</v>
      </c>
      <c r="D551" t="str">
        <f>IF(tbal[[#This Row],[DEBE]]+tbal[[#This Row],[HABER]]=0,"","X")</f>
        <v/>
      </c>
      <c r="E551" s="16">
        <f>SUMIF(tdiario[CUENTA],tbal[[#This Row],[CUENTA]],tdiario[DEBE])</f>
        <v>0</v>
      </c>
      <c r="F551" s="17">
        <f>SUMIF(tdiario[CUENTA],tbal[[#This Row],[CUENTA]],tdiario[HABER])</f>
        <v>0</v>
      </c>
      <c r="G551" s="16">
        <f>IF(tbal[[#This Row],[DEBE]]-tbal[[#This Row],[HABER]]&gt;0,tbal[[#This Row],[DEBE]]-tbal[[#This Row],[HABER]],0)</f>
        <v>0</v>
      </c>
      <c r="H551" s="18">
        <f>IF(tbal[[#This Row],[HABER]]-tbal[[#This Row],[DEBE]]&gt;0,tbal[[#This Row],[HABER]]-tbal[[#This Row],[DEBE]],0)</f>
        <v>0</v>
      </c>
      <c r="I551" s="16">
        <f>IF((OR(tbal[[#This Row],[X]]=1,tbal[[#This Row],[X]]=2)),tbal[[#This Row],[DEUDOR]],0)</f>
        <v>0</v>
      </c>
      <c r="J551" s="18">
        <f>IF((OR(tbal[[#This Row],[X]]=2,tbal[[#This Row],[X]]=3)),tbal[[#This Row],[ACREEDOR]],0)</f>
        <v>0</v>
      </c>
      <c r="K551" s="16">
        <f>IF((OR(tbal[[#This Row],[X]]=3,tbal[[#This Row],[X]]=5)),tbal[[#This Row],[DEUDOR]],0)</f>
        <v>0</v>
      </c>
      <c r="L551" s="18">
        <f>IF((OR(tbal[[#This Row],[X]]=3,tbal[[#This Row],[X]]=4)),tbal[[#This Row],[ACREEDOR]],0)</f>
        <v>0</v>
      </c>
      <c r="M551" s="16">
        <f>IF((OR(tbal[[#This Row],[X]]=0,tbal[[#This Row],[X]]=6)),tbal[[#This Row],[DEUDOR]],0)</f>
        <v>0</v>
      </c>
      <c r="N551" s="18">
        <f>IF((OR(tbal[[#This Row],[X]]=0,tbal[[#This Row],[X]]=5)),tbal[[#This Row],[ACREEDOR]],0)</f>
        <v>0</v>
      </c>
    </row>
    <row r="552" spans="1:14" hidden="1" x14ac:dyDescent="0.3">
      <c r="A552" s="14">
        <f>+'PLAN DE CUENTAS'!A552</f>
        <v>0</v>
      </c>
      <c r="B552" s="13">
        <f>+'PLAN DE CUENTAS'!B552</f>
        <v>0</v>
      </c>
      <c r="C552" s="13">
        <f>+'PLAN DE CUENTAS'!C552</f>
        <v>0</v>
      </c>
      <c r="D552" t="str">
        <f>IF(tbal[[#This Row],[DEBE]]+tbal[[#This Row],[HABER]]=0,"","X")</f>
        <v/>
      </c>
      <c r="E552" s="16">
        <f>SUMIF(tdiario[CUENTA],tbal[[#This Row],[CUENTA]],tdiario[DEBE])</f>
        <v>0</v>
      </c>
      <c r="F552" s="17">
        <f>SUMIF(tdiario[CUENTA],tbal[[#This Row],[CUENTA]],tdiario[HABER])</f>
        <v>0</v>
      </c>
      <c r="G552" s="16">
        <f>IF(tbal[[#This Row],[DEBE]]-tbal[[#This Row],[HABER]]&gt;0,tbal[[#This Row],[DEBE]]-tbal[[#This Row],[HABER]],0)</f>
        <v>0</v>
      </c>
      <c r="H552" s="18">
        <f>IF(tbal[[#This Row],[HABER]]-tbal[[#This Row],[DEBE]]&gt;0,tbal[[#This Row],[HABER]]-tbal[[#This Row],[DEBE]],0)</f>
        <v>0</v>
      </c>
      <c r="I552" s="16">
        <f>IF((OR(tbal[[#This Row],[X]]=1,tbal[[#This Row],[X]]=2)),tbal[[#This Row],[DEUDOR]],0)</f>
        <v>0</v>
      </c>
      <c r="J552" s="18">
        <f>IF((OR(tbal[[#This Row],[X]]=2,tbal[[#This Row],[X]]=3)),tbal[[#This Row],[ACREEDOR]],0)</f>
        <v>0</v>
      </c>
      <c r="K552" s="16">
        <f>IF((OR(tbal[[#This Row],[X]]=3,tbal[[#This Row],[X]]=5)),tbal[[#This Row],[DEUDOR]],0)</f>
        <v>0</v>
      </c>
      <c r="L552" s="18">
        <f>IF((OR(tbal[[#This Row],[X]]=3,tbal[[#This Row],[X]]=4)),tbal[[#This Row],[ACREEDOR]],0)</f>
        <v>0</v>
      </c>
      <c r="M552" s="16">
        <f>IF((OR(tbal[[#This Row],[X]]=0,tbal[[#This Row],[X]]=6)),tbal[[#This Row],[DEUDOR]],0)</f>
        <v>0</v>
      </c>
      <c r="N552" s="18">
        <f>IF((OR(tbal[[#This Row],[X]]=0,tbal[[#This Row],[X]]=5)),tbal[[#This Row],[ACREEDOR]],0)</f>
        <v>0</v>
      </c>
    </row>
    <row r="553" spans="1:14" hidden="1" x14ac:dyDescent="0.3">
      <c r="A553" s="14">
        <f>+'PLAN DE CUENTAS'!A553</f>
        <v>0</v>
      </c>
      <c r="B553" s="13">
        <f>+'PLAN DE CUENTAS'!B553</f>
        <v>0</v>
      </c>
      <c r="C553" s="13">
        <f>+'PLAN DE CUENTAS'!C553</f>
        <v>0</v>
      </c>
      <c r="D553" t="str">
        <f>IF(tbal[[#This Row],[DEBE]]+tbal[[#This Row],[HABER]]=0,"","X")</f>
        <v/>
      </c>
      <c r="E553" s="16">
        <f>SUMIF(tdiario[CUENTA],tbal[[#This Row],[CUENTA]],tdiario[DEBE])</f>
        <v>0</v>
      </c>
      <c r="F553" s="17">
        <f>SUMIF(tdiario[CUENTA],tbal[[#This Row],[CUENTA]],tdiario[HABER])</f>
        <v>0</v>
      </c>
      <c r="G553" s="16">
        <f>IF(tbal[[#This Row],[DEBE]]-tbal[[#This Row],[HABER]]&gt;0,tbal[[#This Row],[DEBE]]-tbal[[#This Row],[HABER]],0)</f>
        <v>0</v>
      </c>
      <c r="H553" s="18">
        <f>IF(tbal[[#This Row],[HABER]]-tbal[[#This Row],[DEBE]]&gt;0,tbal[[#This Row],[HABER]]-tbal[[#This Row],[DEBE]],0)</f>
        <v>0</v>
      </c>
      <c r="I553" s="16">
        <f>IF((OR(tbal[[#This Row],[X]]=1,tbal[[#This Row],[X]]=2)),tbal[[#This Row],[DEUDOR]],0)</f>
        <v>0</v>
      </c>
      <c r="J553" s="18">
        <f>IF((OR(tbal[[#This Row],[X]]=2,tbal[[#This Row],[X]]=3)),tbal[[#This Row],[ACREEDOR]],0)</f>
        <v>0</v>
      </c>
      <c r="K553" s="16">
        <f>IF((OR(tbal[[#This Row],[X]]=3,tbal[[#This Row],[X]]=5)),tbal[[#This Row],[DEUDOR]],0)</f>
        <v>0</v>
      </c>
      <c r="L553" s="18">
        <f>IF((OR(tbal[[#This Row],[X]]=3,tbal[[#This Row],[X]]=4)),tbal[[#This Row],[ACREEDOR]],0)</f>
        <v>0</v>
      </c>
      <c r="M553" s="16">
        <f>IF((OR(tbal[[#This Row],[X]]=0,tbal[[#This Row],[X]]=6)),tbal[[#This Row],[DEUDOR]],0)</f>
        <v>0</v>
      </c>
      <c r="N553" s="18">
        <f>IF((OR(tbal[[#This Row],[X]]=0,tbal[[#This Row],[X]]=5)),tbal[[#This Row],[ACREEDOR]],0)</f>
        <v>0</v>
      </c>
    </row>
    <row r="554" spans="1:14" hidden="1" x14ac:dyDescent="0.3">
      <c r="A554" s="14">
        <f>+'PLAN DE CUENTAS'!A554</f>
        <v>0</v>
      </c>
      <c r="B554" s="13">
        <f>+'PLAN DE CUENTAS'!B554</f>
        <v>0</v>
      </c>
      <c r="C554" s="13">
        <f>+'PLAN DE CUENTAS'!C554</f>
        <v>0</v>
      </c>
      <c r="D554" t="str">
        <f>IF(tbal[[#This Row],[DEBE]]+tbal[[#This Row],[HABER]]=0,"","X")</f>
        <v/>
      </c>
      <c r="E554" s="16">
        <f>SUMIF(tdiario[CUENTA],tbal[[#This Row],[CUENTA]],tdiario[DEBE])</f>
        <v>0</v>
      </c>
      <c r="F554" s="17">
        <f>SUMIF(tdiario[CUENTA],tbal[[#This Row],[CUENTA]],tdiario[HABER])</f>
        <v>0</v>
      </c>
      <c r="G554" s="16">
        <f>IF(tbal[[#This Row],[DEBE]]-tbal[[#This Row],[HABER]]&gt;0,tbal[[#This Row],[DEBE]]-tbal[[#This Row],[HABER]],0)</f>
        <v>0</v>
      </c>
      <c r="H554" s="18">
        <f>IF(tbal[[#This Row],[HABER]]-tbal[[#This Row],[DEBE]]&gt;0,tbal[[#This Row],[HABER]]-tbal[[#This Row],[DEBE]],0)</f>
        <v>0</v>
      </c>
      <c r="I554" s="16">
        <f>IF((OR(tbal[[#This Row],[X]]=1,tbal[[#This Row],[X]]=2)),tbal[[#This Row],[DEUDOR]],0)</f>
        <v>0</v>
      </c>
      <c r="J554" s="18">
        <f>IF((OR(tbal[[#This Row],[X]]=2,tbal[[#This Row],[X]]=3)),tbal[[#This Row],[ACREEDOR]],0)</f>
        <v>0</v>
      </c>
      <c r="K554" s="16">
        <f>IF((OR(tbal[[#This Row],[X]]=3,tbal[[#This Row],[X]]=5)),tbal[[#This Row],[DEUDOR]],0)</f>
        <v>0</v>
      </c>
      <c r="L554" s="18">
        <f>IF((OR(tbal[[#This Row],[X]]=3,tbal[[#This Row],[X]]=4)),tbal[[#This Row],[ACREEDOR]],0)</f>
        <v>0</v>
      </c>
      <c r="M554" s="16">
        <f>IF((OR(tbal[[#This Row],[X]]=0,tbal[[#This Row],[X]]=6)),tbal[[#This Row],[DEUDOR]],0)</f>
        <v>0</v>
      </c>
      <c r="N554" s="18">
        <f>IF((OR(tbal[[#This Row],[X]]=0,tbal[[#This Row],[X]]=5)),tbal[[#This Row],[ACREEDOR]],0)</f>
        <v>0</v>
      </c>
    </row>
    <row r="555" spans="1:14" hidden="1" x14ac:dyDescent="0.3">
      <c r="A555" s="14">
        <f>+'PLAN DE CUENTAS'!A555</f>
        <v>0</v>
      </c>
      <c r="B555" s="13">
        <f>+'PLAN DE CUENTAS'!B555</f>
        <v>0</v>
      </c>
      <c r="C555" s="13">
        <f>+'PLAN DE CUENTAS'!C555</f>
        <v>0</v>
      </c>
      <c r="D555" t="str">
        <f>IF(tbal[[#This Row],[DEBE]]+tbal[[#This Row],[HABER]]=0,"","X")</f>
        <v/>
      </c>
      <c r="E555" s="16">
        <f>SUMIF(tdiario[CUENTA],tbal[[#This Row],[CUENTA]],tdiario[DEBE])</f>
        <v>0</v>
      </c>
      <c r="F555" s="17">
        <f>SUMIF(tdiario[CUENTA],tbal[[#This Row],[CUENTA]],tdiario[HABER])</f>
        <v>0</v>
      </c>
      <c r="G555" s="16">
        <f>IF(tbal[[#This Row],[DEBE]]-tbal[[#This Row],[HABER]]&gt;0,tbal[[#This Row],[DEBE]]-tbal[[#This Row],[HABER]],0)</f>
        <v>0</v>
      </c>
      <c r="H555" s="18">
        <f>IF(tbal[[#This Row],[HABER]]-tbal[[#This Row],[DEBE]]&gt;0,tbal[[#This Row],[HABER]]-tbal[[#This Row],[DEBE]],0)</f>
        <v>0</v>
      </c>
      <c r="I555" s="16">
        <f>IF((OR(tbal[[#This Row],[X]]=1,tbal[[#This Row],[X]]=2)),tbal[[#This Row],[DEUDOR]],0)</f>
        <v>0</v>
      </c>
      <c r="J555" s="18">
        <f>IF((OR(tbal[[#This Row],[X]]=2,tbal[[#This Row],[X]]=3)),tbal[[#This Row],[ACREEDOR]],0)</f>
        <v>0</v>
      </c>
      <c r="K555" s="16">
        <f>IF((OR(tbal[[#This Row],[X]]=3,tbal[[#This Row],[X]]=5)),tbal[[#This Row],[DEUDOR]],0)</f>
        <v>0</v>
      </c>
      <c r="L555" s="18">
        <f>IF((OR(tbal[[#This Row],[X]]=3,tbal[[#This Row],[X]]=4)),tbal[[#This Row],[ACREEDOR]],0)</f>
        <v>0</v>
      </c>
      <c r="M555" s="16">
        <f>IF((OR(tbal[[#This Row],[X]]=0,tbal[[#This Row],[X]]=6)),tbal[[#This Row],[DEUDOR]],0)</f>
        <v>0</v>
      </c>
      <c r="N555" s="18">
        <f>IF((OR(tbal[[#This Row],[X]]=0,tbal[[#This Row],[X]]=5)),tbal[[#This Row],[ACREEDOR]],0)</f>
        <v>0</v>
      </c>
    </row>
    <row r="556" spans="1:14" hidden="1" x14ac:dyDescent="0.3">
      <c r="A556" s="14">
        <f>+'PLAN DE CUENTAS'!A556</f>
        <v>0</v>
      </c>
      <c r="B556" s="13">
        <f>+'PLAN DE CUENTAS'!B556</f>
        <v>0</v>
      </c>
      <c r="C556" s="13">
        <f>+'PLAN DE CUENTAS'!C556</f>
        <v>0</v>
      </c>
      <c r="D556" t="str">
        <f>IF(tbal[[#This Row],[DEBE]]+tbal[[#This Row],[HABER]]=0,"","X")</f>
        <v/>
      </c>
      <c r="E556" s="16">
        <f>SUMIF(tdiario[CUENTA],tbal[[#This Row],[CUENTA]],tdiario[DEBE])</f>
        <v>0</v>
      </c>
      <c r="F556" s="17">
        <f>SUMIF(tdiario[CUENTA],tbal[[#This Row],[CUENTA]],tdiario[HABER])</f>
        <v>0</v>
      </c>
      <c r="G556" s="16">
        <f>IF(tbal[[#This Row],[DEBE]]-tbal[[#This Row],[HABER]]&gt;0,tbal[[#This Row],[DEBE]]-tbal[[#This Row],[HABER]],0)</f>
        <v>0</v>
      </c>
      <c r="H556" s="18">
        <f>IF(tbal[[#This Row],[HABER]]-tbal[[#This Row],[DEBE]]&gt;0,tbal[[#This Row],[HABER]]-tbal[[#This Row],[DEBE]],0)</f>
        <v>0</v>
      </c>
      <c r="I556" s="16">
        <f>IF((OR(tbal[[#This Row],[X]]=1,tbal[[#This Row],[X]]=2)),tbal[[#This Row],[DEUDOR]],0)</f>
        <v>0</v>
      </c>
      <c r="J556" s="18">
        <f>IF((OR(tbal[[#This Row],[X]]=2,tbal[[#This Row],[X]]=3)),tbal[[#This Row],[ACREEDOR]],0)</f>
        <v>0</v>
      </c>
      <c r="K556" s="16">
        <f>IF((OR(tbal[[#This Row],[X]]=3,tbal[[#This Row],[X]]=5)),tbal[[#This Row],[DEUDOR]],0)</f>
        <v>0</v>
      </c>
      <c r="L556" s="18">
        <f>IF((OR(tbal[[#This Row],[X]]=3,tbal[[#This Row],[X]]=4)),tbal[[#This Row],[ACREEDOR]],0)</f>
        <v>0</v>
      </c>
      <c r="M556" s="16">
        <f>IF((OR(tbal[[#This Row],[X]]=0,tbal[[#This Row],[X]]=6)),tbal[[#This Row],[DEUDOR]],0)</f>
        <v>0</v>
      </c>
      <c r="N556" s="18">
        <f>IF((OR(tbal[[#This Row],[X]]=0,tbal[[#This Row],[X]]=5)),tbal[[#This Row],[ACREEDOR]],0)</f>
        <v>0</v>
      </c>
    </row>
    <row r="557" spans="1:14" hidden="1" x14ac:dyDescent="0.3">
      <c r="A557" s="14">
        <f>+'PLAN DE CUENTAS'!A557</f>
        <v>0</v>
      </c>
      <c r="B557" s="13">
        <f>+'PLAN DE CUENTAS'!B557</f>
        <v>0</v>
      </c>
      <c r="C557" s="13">
        <f>+'PLAN DE CUENTAS'!C557</f>
        <v>0</v>
      </c>
      <c r="D557" t="str">
        <f>IF(tbal[[#This Row],[DEBE]]+tbal[[#This Row],[HABER]]=0,"","X")</f>
        <v/>
      </c>
      <c r="E557" s="16">
        <f>SUMIF(tdiario[CUENTA],tbal[[#This Row],[CUENTA]],tdiario[DEBE])</f>
        <v>0</v>
      </c>
      <c r="F557" s="17">
        <f>SUMIF(tdiario[CUENTA],tbal[[#This Row],[CUENTA]],tdiario[HABER])</f>
        <v>0</v>
      </c>
      <c r="G557" s="16">
        <f>IF(tbal[[#This Row],[DEBE]]-tbal[[#This Row],[HABER]]&gt;0,tbal[[#This Row],[DEBE]]-tbal[[#This Row],[HABER]],0)</f>
        <v>0</v>
      </c>
      <c r="H557" s="18">
        <f>IF(tbal[[#This Row],[HABER]]-tbal[[#This Row],[DEBE]]&gt;0,tbal[[#This Row],[HABER]]-tbal[[#This Row],[DEBE]],0)</f>
        <v>0</v>
      </c>
      <c r="I557" s="16">
        <f>IF((OR(tbal[[#This Row],[X]]=1,tbal[[#This Row],[X]]=2)),tbal[[#This Row],[DEUDOR]],0)</f>
        <v>0</v>
      </c>
      <c r="J557" s="18">
        <f>IF((OR(tbal[[#This Row],[X]]=2,tbal[[#This Row],[X]]=3)),tbal[[#This Row],[ACREEDOR]],0)</f>
        <v>0</v>
      </c>
      <c r="K557" s="16">
        <f>IF((OR(tbal[[#This Row],[X]]=3,tbal[[#This Row],[X]]=5)),tbal[[#This Row],[DEUDOR]],0)</f>
        <v>0</v>
      </c>
      <c r="L557" s="18">
        <f>IF((OR(tbal[[#This Row],[X]]=3,tbal[[#This Row],[X]]=4)),tbal[[#This Row],[ACREEDOR]],0)</f>
        <v>0</v>
      </c>
      <c r="M557" s="16">
        <f>IF((OR(tbal[[#This Row],[X]]=0,tbal[[#This Row],[X]]=6)),tbal[[#This Row],[DEUDOR]],0)</f>
        <v>0</v>
      </c>
      <c r="N557" s="18">
        <f>IF((OR(tbal[[#This Row],[X]]=0,tbal[[#This Row],[X]]=5)),tbal[[#This Row],[ACREEDOR]],0)</f>
        <v>0</v>
      </c>
    </row>
    <row r="558" spans="1:14" hidden="1" x14ac:dyDescent="0.3">
      <c r="A558" s="14">
        <f>+'PLAN DE CUENTAS'!A558</f>
        <v>0</v>
      </c>
      <c r="B558" s="13">
        <f>+'PLAN DE CUENTAS'!B558</f>
        <v>0</v>
      </c>
      <c r="C558" s="13">
        <f>+'PLAN DE CUENTAS'!C558</f>
        <v>0</v>
      </c>
      <c r="D558" t="str">
        <f>IF(tbal[[#This Row],[DEBE]]+tbal[[#This Row],[HABER]]=0,"","X")</f>
        <v/>
      </c>
      <c r="E558" s="16">
        <f>SUMIF(tdiario[CUENTA],tbal[[#This Row],[CUENTA]],tdiario[DEBE])</f>
        <v>0</v>
      </c>
      <c r="F558" s="17">
        <f>SUMIF(tdiario[CUENTA],tbal[[#This Row],[CUENTA]],tdiario[HABER])</f>
        <v>0</v>
      </c>
      <c r="G558" s="16">
        <f>IF(tbal[[#This Row],[DEBE]]-tbal[[#This Row],[HABER]]&gt;0,tbal[[#This Row],[DEBE]]-tbal[[#This Row],[HABER]],0)</f>
        <v>0</v>
      </c>
      <c r="H558" s="18">
        <f>IF(tbal[[#This Row],[HABER]]-tbal[[#This Row],[DEBE]]&gt;0,tbal[[#This Row],[HABER]]-tbal[[#This Row],[DEBE]],0)</f>
        <v>0</v>
      </c>
      <c r="I558" s="16">
        <f>IF((OR(tbal[[#This Row],[X]]=1,tbal[[#This Row],[X]]=2)),tbal[[#This Row],[DEUDOR]],0)</f>
        <v>0</v>
      </c>
      <c r="J558" s="18">
        <f>IF((OR(tbal[[#This Row],[X]]=2,tbal[[#This Row],[X]]=3)),tbal[[#This Row],[ACREEDOR]],0)</f>
        <v>0</v>
      </c>
      <c r="K558" s="16">
        <f>IF((OR(tbal[[#This Row],[X]]=3,tbal[[#This Row],[X]]=5)),tbal[[#This Row],[DEUDOR]],0)</f>
        <v>0</v>
      </c>
      <c r="L558" s="18">
        <f>IF((OR(tbal[[#This Row],[X]]=3,tbal[[#This Row],[X]]=4)),tbal[[#This Row],[ACREEDOR]],0)</f>
        <v>0</v>
      </c>
      <c r="M558" s="16">
        <f>IF((OR(tbal[[#This Row],[X]]=0,tbal[[#This Row],[X]]=6)),tbal[[#This Row],[DEUDOR]],0)</f>
        <v>0</v>
      </c>
      <c r="N558" s="18">
        <f>IF((OR(tbal[[#This Row],[X]]=0,tbal[[#This Row],[X]]=5)),tbal[[#This Row],[ACREEDOR]],0)</f>
        <v>0</v>
      </c>
    </row>
    <row r="559" spans="1:14" hidden="1" x14ac:dyDescent="0.3">
      <c r="A559" s="14">
        <f>+'PLAN DE CUENTAS'!A559</f>
        <v>0</v>
      </c>
      <c r="B559" s="13">
        <f>+'PLAN DE CUENTAS'!B559</f>
        <v>0</v>
      </c>
      <c r="C559" s="13">
        <f>+'PLAN DE CUENTAS'!C559</f>
        <v>0</v>
      </c>
      <c r="D559" t="str">
        <f>IF(tbal[[#This Row],[DEBE]]+tbal[[#This Row],[HABER]]=0,"","X")</f>
        <v/>
      </c>
      <c r="E559" s="16">
        <f>SUMIF(tdiario[CUENTA],tbal[[#This Row],[CUENTA]],tdiario[DEBE])</f>
        <v>0</v>
      </c>
      <c r="F559" s="17">
        <f>SUMIF(tdiario[CUENTA],tbal[[#This Row],[CUENTA]],tdiario[HABER])</f>
        <v>0</v>
      </c>
      <c r="G559" s="16">
        <f>IF(tbal[[#This Row],[DEBE]]-tbal[[#This Row],[HABER]]&gt;0,tbal[[#This Row],[DEBE]]-tbal[[#This Row],[HABER]],0)</f>
        <v>0</v>
      </c>
      <c r="H559" s="18">
        <f>IF(tbal[[#This Row],[HABER]]-tbal[[#This Row],[DEBE]]&gt;0,tbal[[#This Row],[HABER]]-tbal[[#This Row],[DEBE]],0)</f>
        <v>0</v>
      </c>
      <c r="I559" s="16">
        <f>IF((OR(tbal[[#This Row],[X]]=1,tbal[[#This Row],[X]]=2)),tbal[[#This Row],[DEUDOR]],0)</f>
        <v>0</v>
      </c>
      <c r="J559" s="18">
        <f>IF((OR(tbal[[#This Row],[X]]=2,tbal[[#This Row],[X]]=3)),tbal[[#This Row],[ACREEDOR]],0)</f>
        <v>0</v>
      </c>
      <c r="K559" s="16">
        <f>IF((OR(tbal[[#This Row],[X]]=3,tbal[[#This Row],[X]]=5)),tbal[[#This Row],[DEUDOR]],0)</f>
        <v>0</v>
      </c>
      <c r="L559" s="18">
        <f>IF((OR(tbal[[#This Row],[X]]=3,tbal[[#This Row],[X]]=4)),tbal[[#This Row],[ACREEDOR]],0)</f>
        <v>0</v>
      </c>
      <c r="M559" s="16">
        <f>IF((OR(tbal[[#This Row],[X]]=0,tbal[[#This Row],[X]]=6)),tbal[[#This Row],[DEUDOR]],0)</f>
        <v>0</v>
      </c>
      <c r="N559" s="18">
        <f>IF((OR(tbal[[#This Row],[X]]=0,tbal[[#This Row],[X]]=5)),tbal[[#This Row],[ACREEDOR]],0)</f>
        <v>0</v>
      </c>
    </row>
    <row r="560" spans="1:14" hidden="1" x14ac:dyDescent="0.3">
      <c r="A560" s="14">
        <f>+'PLAN DE CUENTAS'!A560</f>
        <v>0</v>
      </c>
      <c r="B560" s="13">
        <f>+'PLAN DE CUENTAS'!B560</f>
        <v>0</v>
      </c>
      <c r="C560" s="13">
        <f>+'PLAN DE CUENTAS'!C560</f>
        <v>0</v>
      </c>
      <c r="D560" t="str">
        <f>IF(tbal[[#This Row],[DEBE]]+tbal[[#This Row],[HABER]]=0,"","X")</f>
        <v/>
      </c>
      <c r="E560" s="16">
        <f>SUMIF(tdiario[CUENTA],tbal[[#This Row],[CUENTA]],tdiario[DEBE])</f>
        <v>0</v>
      </c>
      <c r="F560" s="17">
        <f>SUMIF(tdiario[CUENTA],tbal[[#This Row],[CUENTA]],tdiario[HABER])</f>
        <v>0</v>
      </c>
      <c r="G560" s="16">
        <f>IF(tbal[[#This Row],[DEBE]]-tbal[[#This Row],[HABER]]&gt;0,tbal[[#This Row],[DEBE]]-tbal[[#This Row],[HABER]],0)</f>
        <v>0</v>
      </c>
      <c r="H560" s="18">
        <f>IF(tbal[[#This Row],[HABER]]-tbal[[#This Row],[DEBE]]&gt;0,tbal[[#This Row],[HABER]]-tbal[[#This Row],[DEBE]],0)</f>
        <v>0</v>
      </c>
      <c r="I560" s="16">
        <f>IF((OR(tbal[[#This Row],[X]]=1,tbal[[#This Row],[X]]=2)),tbal[[#This Row],[DEUDOR]],0)</f>
        <v>0</v>
      </c>
      <c r="J560" s="18">
        <f>IF((OR(tbal[[#This Row],[X]]=2,tbal[[#This Row],[X]]=3)),tbal[[#This Row],[ACREEDOR]],0)</f>
        <v>0</v>
      </c>
      <c r="K560" s="16">
        <f>IF((OR(tbal[[#This Row],[X]]=3,tbal[[#This Row],[X]]=5)),tbal[[#This Row],[DEUDOR]],0)</f>
        <v>0</v>
      </c>
      <c r="L560" s="18">
        <f>IF((OR(tbal[[#This Row],[X]]=3,tbal[[#This Row],[X]]=4)),tbal[[#This Row],[ACREEDOR]],0)</f>
        <v>0</v>
      </c>
      <c r="M560" s="16">
        <f>IF((OR(tbal[[#This Row],[X]]=0,tbal[[#This Row],[X]]=6)),tbal[[#This Row],[DEUDOR]],0)</f>
        <v>0</v>
      </c>
      <c r="N560" s="18">
        <f>IF((OR(tbal[[#This Row],[X]]=0,tbal[[#This Row],[X]]=5)),tbal[[#This Row],[ACREEDOR]],0)</f>
        <v>0</v>
      </c>
    </row>
    <row r="561" spans="1:14" hidden="1" x14ac:dyDescent="0.3">
      <c r="A561" s="14">
        <f>+'PLAN DE CUENTAS'!A561</f>
        <v>0</v>
      </c>
      <c r="B561" s="13">
        <f>+'PLAN DE CUENTAS'!B561</f>
        <v>0</v>
      </c>
      <c r="C561" s="13">
        <f>+'PLAN DE CUENTAS'!C561</f>
        <v>0</v>
      </c>
      <c r="D561" t="str">
        <f>IF(tbal[[#This Row],[DEBE]]+tbal[[#This Row],[HABER]]=0,"","X")</f>
        <v/>
      </c>
      <c r="E561" s="16">
        <f>SUMIF(tdiario[CUENTA],tbal[[#This Row],[CUENTA]],tdiario[DEBE])</f>
        <v>0</v>
      </c>
      <c r="F561" s="17">
        <f>SUMIF(tdiario[CUENTA],tbal[[#This Row],[CUENTA]],tdiario[HABER])</f>
        <v>0</v>
      </c>
      <c r="G561" s="16">
        <f>IF(tbal[[#This Row],[DEBE]]-tbal[[#This Row],[HABER]]&gt;0,tbal[[#This Row],[DEBE]]-tbal[[#This Row],[HABER]],0)</f>
        <v>0</v>
      </c>
      <c r="H561" s="18">
        <f>IF(tbal[[#This Row],[HABER]]-tbal[[#This Row],[DEBE]]&gt;0,tbal[[#This Row],[HABER]]-tbal[[#This Row],[DEBE]],0)</f>
        <v>0</v>
      </c>
      <c r="I561" s="16">
        <f>IF((OR(tbal[[#This Row],[X]]=1,tbal[[#This Row],[X]]=2)),tbal[[#This Row],[DEUDOR]],0)</f>
        <v>0</v>
      </c>
      <c r="J561" s="18">
        <f>IF((OR(tbal[[#This Row],[X]]=2,tbal[[#This Row],[X]]=3)),tbal[[#This Row],[ACREEDOR]],0)</f>
        <v>0</v>
      </c>
      <c r="K561" s="16">
        <f>IF((OR(tbal[[#This Row],[X]]=3,tbal[[#This Row],[X]]=5)),tbal[[#This Row],[DEUDOR]],0)</f>
        <v>0</v>
      </c>
      <c r="L561" s="18">
        <f>IF((OR(tbal[[#This Row],[X]]=3,tbal[[#This Row],[X]]=4)),tbal[[#This Row],[ACREEDOR]],0)</f>
        <v>0</v>
      </c>
      <c r="M561" s="16">
        <f>IF((OR(tbal[[#This Row],[X]]=0,tbal[[#This Row],[X]]=6)),tbal[[#This Row],[DEUDOR]],0)</f>
        <v>0</v>
      </c>
      <c r="N561" s="18">
        <f>IF((OR(tbal[[#This Row],[X]]=0,tbal[[#This Row],[X]]=5)),tbal[[#This Row],[ACREEDOR]],0)</f>
        <v>0</v>
      </c>
    </row>
    <row r="562" spans="1:14" hidden="1" x14ac:dyDescent="0.3">
      <c r="A562" s="14">
        <f>+'PLAN DE CUENTAS'!A562</f>
        <v>0</v>
      </c>
      <c r="B562" s="13">
        <f>+'PLAN DE CUENTAS'!B562</f>
        <v>0</v>
      </c>
      <c r="C562" s="13">
        <f>+'PLAN DE CUENTAS'!C562</f>
        <v>0</v>
      </c>
      <c r="D562" t="str">
        <f>IF(tbal[[#This Row],[DEBE]]+tbal[[#This Row],[HABER]]=0,"","X")</f>
        <v/>
      </c>
      <c r="E562" s="16">
        <f>SUMIF(tdiario[CUENTA],tbal[[#This Row],[CUENTA]],tdiario[DEBE])</f>
        <v>0</v>
      </c>
      <c r="F562" s="17">
        <f>SUMIF(tdiario[CUENTA],tbal[[#This Row],[CUENTA]],tdiario[HABER])</f>
        <v>0</v>
      </c>
      <c r="G562" s="16">
        <f>IF(tbal[[#This Row],[DEBE]]-tbal[[#This Row],[HABER]]&gt;0,tbal[[#This Row],[DEBE]]-tbal[[#This Row],[HABER]],0)</f>
        <v>0</v>
      </c>
      <c r="H562" s="18">
        <f>IF(tbal[[#This Row],[HABER]]-tbal[[#This Row],[DEBE]]&gt;0,tbal[[#This Row],[HABER]]-tbal[[#This Row],[DEBE]],0)</f>
        <v>0</v>
      </c>
      <c r="I562" s="16">
        <f>IF((OR(tbal[[#This Row],[X]]=1,tbal[[#This Row],[X]]=2)),tbal[[#This Row],[DEUDOR]],0)</f>
        <v>0</v>
      </c>
      <c r="J562" s="18">
        <f>IF((OR(tbal[[#This Row],[X]]=2,tbal[[#This Row],[X]]=3)),tbal[[#This Row],[ACREEDOR]],0)</f>
        <v>0</v>
      </c>
      <c r="K562" s="16">
        <f>IF((OR(tbal[[#This Row],[X]]=3,tbal[[#This Row],[X]]=5)),tbal[[#This Row],[DEUDOR]],0)</f>
        <v>0</v>
      </c>
      <c r="L562" s="18">
        <f>IF((OR(tbal[[#This Row],[X]]=3,tbal[[#This Row],[X]]=4)),tbal[[#This Row],[ACREEDOR]],0)</f>
        <v>0</v>
      </c>
      <c r="M562" s="16">
        <f>IF((OR(tbal[[#This Row],[X]]=0,tbal[[#This Row],[X]]=6)),tbal[[#This Row],[DEUDOR]],0)</f>
        <v>0</v>
      </c>
      <c r="N562" s="18">
        <f>IF((OR(tbal[[#This Row],[X]]=0,tbal[[#This Row],[X]]=5)),tbal[[#This Row],[ACREEDOR]],0)</f>
        <v>0</v>
      </c>
    </row>
    <row r="563" spans="1:14" hidden="1" x14ac:dyDescent="0.3">
      <c r="A563" s="14">
        <f>+'PLAN DE CUENTAS'!A563</f>
        <v>0</v>
      </c>
      <c r="B563" s="13">
        <f>+'PLAN DE CUENTAS'!B563</f>
        <v>0</v>
      </c>
      <c r="C563" s="13">
        <f>+'PLAN DE CUENTAS'!C563</f>
        <v>0</v>
      </c>
      <c r="D563" t="str">
        <f>IF(tbal[[#This Row],[DEBE]]+tbal[[#This Row],[HABER]]=0,"","X")</f>
        <v/>
      </c>
      <c r="E563" s="16">
        <f>SUMIF(tdiario[CUENTA],tbal[[#This Row],[CUENTA]],tdiario[DEBE])</f>
        <v>0</v>
      </c>
      <c r="F563" s="17">
        <f>SUMIF(tdiario[CUENTA],tbal[[#This Row],[CUENTA]],tdiario[HABER])</f>
        <v>0</v>
      </c>
      <c r="G563" s="16">
        <f>IF(tbal[[#This Row],[DEBE]]-tbal[[#This Row],[HABER]]&gt;0,tbal[[#This Row],[DEBE]]-tbal[[#This Row],[HABER]],0)</f>
        <v>0</v>
      </c>
      <c r="H563" s="18">
        <f>IF(tbal[[#This Row],[HABER]]-tbal[[#This Row],[DEBE]]&gt;0,tbal[[#This Row],[HABER]]-tbal[[#This Row],[DEBE]],0)</f>
        <v>0</v>
      </c>
      <c r="I563" s="16">
        <f>IF((OR(tbal[[#This Row],[X]]=1,tbal[[#This Row],[X]]=2)),tbal[[#This Row],[DEUDOR]],0)</f>
        <v>0</v>
      </c>
      <c r="J563" s="18">
        <f>IF((OR(tbal[[#This Row],[X]]=2,tbal[[#This Row],[X]]=3)),tbal[[#This Row],[ACREEDOR]],0)</f>
        <v>0</v>
      </c>
      <c r="K563" s="16">
        <f>IF((OR(tbal[[#This Row],[X]]=3,tbal[[#This Row],[X]]=5)),tbal[[#This Row],[DEUDOR]],0)</f>
        <v>0</v>
      </c>
      <c r="L563" s="18">
        <f>IF((OR(tbal[[#This Row],[X]]=3,tbal[[#This Row],[X]]=4)),tbal[[#This Row],[ACREEDOR]],0)</f>
        <v>0</v>
      </c>
      <c r="M563" s="16">
        <f>IF((OR(tbal[[#This Row],[X]]=0,tbal[[#This Row],[X]]=6)),tbal[[#This Row],[DEUDOR]],0)</f>
        <v>0</v>
      </c>
      <c r="N563" s="18">
        <f>IF((OR(tbal[[#This Row],[X]]=0,tbal[[#This Row],[X]]=5)),tbal[[#This Row],[ACREEDOR]],0)</f>
        <v>0</v>
      </c>
    </row>
    <row r="564" spans="1:14" hidden="1" x14ac:dyDescent="0.3">
      <c r="A564" s="14">
        <f>+'PLAN DE CUENTAS'!A564</f>
        <v>0</v>
      </c>
      <c r="B564" s="13">
        <f>+'PLAN DE CUENTAS'!B564</f>
        <v>0</v>
      </c>
      <c r="C564" s="13">
        <f>+'PLAN DE CUENTAS'!C564</f>
        <v>0</v>
      </c>
      <c r="D564" t="str">
        <f>IF(tbal[[#This Row],[DEBE]]+tbal[[#This Row],[HABER]]=0,"","X")</f>
        <v/>
      </c>
      <c r="E564" s="16">
        <f>SUMIF(tdiario[CUENTA],tbal[[#This Row],[CUENTA]],tdiario[DEBE])</f>
        <v>0</v>
      </c>
      <c r="F564" s="17">
        <f>SUMIF(tdiario[CUENTA],tbal[[#This Row],[CUENTA]],tdiario[HABER])</f>
        <v>0</v>
      </c>
      <c r="G564" s="16">
        <f>IF(tbal[[#This Row],[DEBE]]-tbal[[#This Row],[HABER]]&gt;0,tbal[[#This Row],[DEBE]]-tbal[[#This Row],[HABER]],0)</f>
        <v>0</v>
      </c>
      <c r="H564" s="18">
        <f>IF(tbal[[#This Row],[HABER]]-tbal[[#This Row],[DEBE]]&gt;0,tbal[[#This Row],[HABER]]-tbal[[#This Row],[DEBE]],0)</f>
        <v>0</v>
      </c>
      <c r="I564" s="16">
        <f>IF((OR(tbal[[#This Row],[X]]=1,tbal[[#This Row],[X]]=2)),tbal[[#This Row],[DEUDOR]],0)</f>
        <v>0</v>
      </c>
      <c r="J564" s="18">
        <f>IF((OR(tbal[[#This Row],[X]]=2,tbal[[#This Row],[X]]=3)),tbal[[#This Row],[ACREEDOR]],0)</f>
        <v>0</v>
      </c>
      <c r="K564" s="16">
        <f>IF((OR(tbal[[#This Row],[X]]=3,tbal[[#This Row],[X]]=5)),tbal[[#This Row],[DEUDOR]],0)</f>
        <v>0</v>
      </c>
      <c r="L564" s="18">
        <f>IF((OR(tbal[[#This Row],[X]]=3,tbal[[#This Row],[X]]=4)),tbal[[#This Row],[ACREEDOR]],0)</f>
        <v>0</v>
      </c>
      <c r="M564" s="16">
        <f>IF((OR(tbal[[#This Row],[X]]=0,tbal[[#This Row],[X]]=6)),tbal[[#This Row],[DEUDOR]],0)</f>
        <v>0</v>
      </c>
      <c r="N564" s="18">
        <f>IF((OR(tbal[[#This Row],[X]]=0,tbal[[#This Row],[X]]=5)),tbal[[#This Row],[ACREEDOR]],0)</f>
        <v>0</v>
      </c>
    </row>
    <row r="565" spans="1:14" hidden="1" x14ac:dyDescent="0.3">
      <c r="A565" s="14">
        <f>+'PLAN DE CUENTAS'!A565</f>
        <v>0</v>
      </c>
      <c r="B565" s="13">
        <f>+'PLAN DE CUENTAS'!B565</f>
        <v>0</v>
      </c>
      <c r="C565" s="13">
        <f>+'PLAN DE CUENTAS'!C565</f>
        <v>0</v>
      </c>
      <c r="D565" t="str">
        <f>IF(tbal[[#This Row],[DEBE]]+tbal[[#This Row],[HABER]]=0,"","X")</f>
        <v/>
      </c>
      <c r="E565" s="16">
        <f>SUMIF(tdiario[CUENTA],tbal[[#This Row],[CUENTA]],tdiario[DEBE])</f>
        <v>0</v>
      </c>
      <c r="F565" s="17">
        <f>SUMIF(tdiario[CUENTA],tbal[[#This Row],[CUENTA]],tdiario[HABER])</f>
        <v>0</v>
      </c>
      <c r="G565" s="16">
        <f>IF(tbal[[#This Row],[DEBE]]-tbal[[#This Row],[HABER]]&gt;0,tbal[[#This Row],[DEBE]]-tbal[[#This Row],[HABER]],0)</f>
        <v>0</v>
      </c>
      <c r="H565" s="18">
        <f>IF(tbal[[#This Row],[HABER]]-tbal[[#This Row],[DEBE]]&gt;0,tbal[[#This Row],[HABER]]-tbal[[#This Row],[DEBE]],0)</f>
        <v>0</v>
      </c>
      <c r="I565" s="16">
        <f>IF((OR(tbal[[#This Row],[X]]=1,tbal[[#This Row],[X]]=2)),tbal[[#This Row],[DEUDOR]],0)</f>
        <v>0</v>
      </c>
      <c r="J565" s="18">
        <f>IF((OR(tbal[[#This Row],[X]]=2,tbal[[#This Row],[X]]=3)),tbal[[#This Row],[ACREEDOR]],0)</f>
        <v>0</v>
      </c>
      <c r="K565" s="16">
        <f>IF((OR(tbal[[#This Row],[X]]=3,tbal[[#This Row],[X]]=5)),tbal[[#This Row],[DEUDOR]],0)</f>
        <v>0</v>
      </c>
      <c r="L565" s="18">
        <f>IF((OR(tbal[[#This Row],[X]]=3,tbal[[#This Row],[X]]=4)),tbal[[#This Row],[ACREEDOR]],0)</f>
        <v>0</v>
      </c>
      <c r="M565" s="16">
        <f>IF((OR(tbal[[#This Row],[X]]=0,tbal[[#This Row],[X]]=6)),tbal[[#This Row],[DEUDOR]],0)</f>
        <v>0</v>
      </c>
      <c r="N565" s="18">
        <f>IF((OR(tbal[[#This Row],[X]]=0,tbal[[#This Row],[X]]=5)),tbal[[#This Row],[ACREEDOR]],0)</f>
        <v>0</v>
      </c>
    </row>
    <row r="566" spans="1:14" hidden="1" x14ac:dyDescent="0.3">
      <c r="A566" s="14">
        <f>+'PLAN DE CUENTAS'!A566</f>
        <v>0</v>
      </c>
      <c r="B566" s="13">
        <f>+'PLAN DE CUENTAS'!B566</f>
        <v>0</v>
      </c>
      <c r="C566" s="13">
        <f>+'PLAN DE CUENTAS'!C566</f>
        <v>0</v>
      </c>
      <c r="D566" t="str">
        <f>IF(tbal[[#This Row],[DEBE]]+tbal[[#This Row],[HABER]]=0,"","X")</f>
        <v/>
      </c>
      <c r="E566" s="16">
        <f>SUMIF(tdiario[CUENTA],tbal[[#This Row],[CUENTA]],tdiario[DEBE])</f>
        <v>0</v>
      </c>
      <c r="F566" s="17">
        <f>SUMIF(tdiario[CUENTA],tbal[[#This Row],[CUENTA]],tdiario[HABER])</f>
        <v>0</v>
      </c>
      <c r="G566" s="16">
        <f>IF(tbal[[#This Row],[DEBE]]-tbal[[#This Row],[HABER]]&gt;0,tbal[[#This Row],[DEBE]]-tbal[[#This Row],[HABER]],0)</f>
        <v>0</v>
      </c>
      <c r="H566" s="18">
        <f>IF(tbal[[#This Row],[HABER]]-tbal[[#This Row],[DEBE]]&gt;0,tbal[[#This Row],[HABER]]-tbal[[#This Row],[DEBE]],0)</f>
        <v>0</v>
      </c>
      <c r="I566" s="16">
        <f>IF((OR(tbal[[#This Row],[X]]=1,tbal[[#This Row],[X]]=2)),tbal[[#This Row],[DEUDOR]],0)</f>
        <v>0</v>
      </c>
      <c r="J566" s="18">
        <f>IF((OR(tbal[[#This Row],[X]]=2,tbal[[#This Row],[X]]=3)),tbal[[#This Row],[ACREEDOR]],0)</f>
        <v>0</v>
      </c>
      <c r="K566" s="16">
        <f>IF((OR(tbal[[#This Row],[X]]=3,tbal[[#This Row],[X]]=5)),tbal[[#This Row],[DEUDOR]],0)</f>
        <v>0</v>
      </c>
      <c r="L566" s="18">
        <f>IF((OR(tbal[[#This Row],[X]]=3,tbal[[#This Row],[X]]=4)),tbal[[#This Row],[ACREEDOR]],0)</f>
        <v>0</v>
      </c>
      <c r="M566" s="16">
        <f>IF((OR(tbal[[#This Row],[X]]=0,tbal[[#This Row],[X]]=6)),tbal[[#This Row],[DEUDOR]],0)</f>
        <v>0</v>
      </c>
      <c r="N566" s="18">
        <f>IF((OR(tbal[[#This Row],[X]]=0,tbal[[#This Row],[X]]=5)),tbal[[#This Row],[ACREEDOR]],0)</f>
        <v>0</v>
      </c>
    </row>
    <row r="567" spans="1:14" hidden="1" x14ac:dyDescent="0.3">
      <c r="A567" s="14">
        <f>+'PLAN DE CUENTAS'!A567</f>
        <v>0</v>
      </c>
      <c r="B567" s="13">
        <f>+'PLAN DE CUENTAS'!B567</f>
        <v>0</v>
      </c>
      <c r="C567" s="13">
        <f>+'PLAN DE CUENTAS'!C567</f>
        <v>0</v>
      </c>
      <c r="D567" t="str">
        <f>IF(tbal[[#This Row],[DEBE]]+tbal[[#This Row],[HABER]]=0,"","X")</f>
        <v/>
      </c>
      <c r="E567" s="16">
        <f>SUMIF(tdiario[CUENTA],tbal[[#This Row],[CUENTA]],tdiario[DEBE])</f>
        <v>0</v>
      </c>
      <c r="F567" s="17">
        <f>SUMIF(tdiario[CUENTA],tbal[[#This Row],[CUENTA]],tdiario[HABER])</f>
        <v>0</v>
      </c>
      <c r="G567" s="16">
        <f>IF(tbal[[#This Row],[DEBE]]-tbal[[#This Row],[HABER]]&gt;0,tbal[[#This Row],[DEBE]]-tbal[[#This Row],[HABER]],0)</f>
        <v>0</v>
      </c>
      <c r="H567" s="18">
        <f>IF(tbal[[#This Row],[HABER]]-tbal[[#This Row],[DEBE]]&gt;0,tbal[[#This Row],[HABER]]-tbal[[#This Row],[DEBE]],0)</f>
        <v>0</v>
      </c>
      <c r="I567" s="16">
        <f>IF((OR(tbal[[#This Row],[X]]=1,tbal[[#This Row],[X]]=2)),tbal[[#This Row],[DEUDOR]],0)</f>
        <v>0</v>
      </c>
      <c r="J567" s="18">
        <f>IF((OR(tbal[[#This Row],[X]]=2,tbal[[#This Row],[X]]=3)),tbal[[#This Row],[ACREEDOR]],0)</f>
        <v>0</v>
      </c>
      <c r="K567" s="16">
        <f>IF((OR(tbal[[#This Row],[X]]=3,tbal[[#This Row],[X]]=5)),tbal[[#This Row],[DEUDOR]],0)</f>
        <v>0</v>
      </c>
      <c r="L567" s="18">
        <f>IF((OR(tbal[[#This Row],[X]]=3,tbal[[#This Row],[X]]=4)),tbal[[#This Row],[ACREEDOR]],0)</f>
        <v>0</v>
      </c>
      <c r="M567" s="16">
        <f>IF((OR(tbal[[#This Row],[X]]=0,tbal[[#This Row],[X]]=6)),tbal[[#This Row],[DEUDOR]],0)</f>
        <v>0</v>
      </c>
      <c r="N567" s="18">
        <f>IF((OR(tbal[[#This Row],[X]]=0,tbal[[#This Row],[X]]=5)),tbal[[#This Row],[ACREEDOR]],0)</f>
        <v>0</v>
      </c>
    </row>
    <row r="568" spans="1:14" hidden="1" x14ac:dyDescent="0.3">
      <c r="A568" s="14">
        <f>+'PLAN DE CUENTAS'!A568</f>
        <v>0</v>
      </c>
      <c r="B568" s="13">
        <f>+'PLAN DE CUENTAS'!B568</f>
        <v>0</v>
      </c>
      <c r="C568" s="13">
        <f>+'PLAN DE CUENTAS'!C568</f>
        <v>0</v>
      </c>
      <c r="D568" t="str">
        <f>IF(tbal[[#This Row],[DEBE]]+tbal[[#This Row],[HABER]]=0,"","X")</f>
        <v/>
      </c>
      <c r="E568" s="16">
        <f>SUMIF(tdiario[CUENTA],tbal[[#This Row],[CUENTA]],tdiario[DEBE])</f>
        <v>0</v>
      </c>
      <c r="F568" s="17">
        <f>SUMIF(tdiario[CUENTA],tbal[[#This Row],[CUENTA]],tdiario[HABER])</f>
        <v>0</v>
      </c>
      <c r="G568" s="16">
        <f>IF(tbal[[#This Row],[DEBE]]-tbal[[#This Row],[HABER]]&gt;0,tbal[[#This Row],[DEBE]]-tbal[[#This Row],[HABER]],0)</f>
        <v>0</v>
      </c>
      <c r="H568" s="18">
        <f>IF(tbal[[#This Row],[HABER]]-tbal[[#This Row],[DEBE]]&gt;0,tbal[[#This Row],[HABER]]-tbal[[#This Row],[DEBE]],0)</f>
        <v>0</v>
      </c>
      <c r="I568" s="16">
        <f>IF((OR(tbal[[#This Row],[X]]=1,tbal[[#This Row],[X]]=2)),tbal[[#This Row],[DEUDOR]],0)</f>
        <v>0</v>
      </c>
      <c r="J568" s="18">
        <f>IF((OR(tbal[[#This Row],[X]]=2,tbal[[#This Row],[X]]=3)),tbal[[#This Row],[ACREEDOR]],0)</f>
        <v>0</v>
      </c>
      <c r="K568" s="16">
        <f>IF((OR(tbal[[#This Row],[X]]=3,tbal[[#This Row],[X]]=5)),tbal[[#This Row],[DEUDOR]],0)</f>
        <v>0</v>
      </c>
      <c r="L568" s="18">
        <f>IF((OR(tbal[[#This Row],[X]]=3,tbal[[#This Row],[X]]=4)),tbal[[#This Row],[ACREEDOR]],0)</f>
        <v>0</v>
      </c>
      <c r="M568" s="16">
        <f>IF((OR(tbal[[#This Row],[X]]=0,tbal[[#This Row],[X]]=6)),tbal[[#This Row],[DEUDOR]],0)</f>
        <v>0</v>
      </c>
      <c r="N568" s="18">
        <f>IF((OR(tbal[[#This Row],[X]]=0,tbal[[#This Row],[X]]=5)),tbal[[#This Row],[ACREEDOR]],0)</f>
        <v>0</v>
      </c>
    </row>
    <row r="569" spans="1:14" hidden="1" x14ac:dyDescent="0.3">
      <c r="A569" s="14">
        <f>+'PLAN DE CUENTAS'!A569</f>
        <v>0</v>
      </c>
      <c r="B569" s="13">
        <f>+'PLAN DE CUENTAS'!B569</f>
        <v>0</v>
      </c>
      <c r="C569" s="13">
        <f>+'PLAN DE CUENTAS'!C569</f>
        <v>0</v>
      </c>
      <c r="D569" t="str">
        <f>IF(tbal[[#This Row],[DEBE]]+tbal[[#This Row],[HABER]]=0,"","X")</f>
        <v/>
      </c>
      <c r="E569" s="16">
        <f>SUMIF(tdiario[CUENTA],tbal[[#This Row],[CUENTA]],tdiario[DEBE])</f>
        <v>0</v>
      </c>
      <c r="F569" s="17">
        <f>SUMIF(tdiario[CUENTA],tbal[[#This Row],[CUENTA]],tdiario[HABER])</f>
        <v>0</v>
      </c>
      <c r="G569" s="16">
        <f>IF(tbal[[#This Row],[DEBE]]-tbal[[#This Row],[HABER]]&gt;0,tbal[[#This Row],[DEBE]]-tbal[[#This Row],[HABER]],0)</f>
        <v>0</v>
      </c>
      <c r="H569" s="18">
        <f>IF(tbal[[#This Row],[HABER]]-tbal[[#This Row],[DEBE]]&gt;0,tbal[[#This Row],[HABER]]-tbal[[#This Row],[DEBE]],0)</f>
        <v>0</v>
      </c>
      <c r="I569" s="16">
        <f>IF((OR(tbal[[#This Row],[X]]=1,tbal[[#This Row],[X]]=2)),tbal[[#This Row],[DEUDOR]],0)</f>
        <v>0</v>
      </c>
      <c r="J569" s="18">
        <f>IF((OR(tbal[[#This Row],[X]]=2,tbal[[#This Row],[X]]=3)),tbal[[#This Row],[ACREEDOR]],0)</f>
        <v>0</v>
      </c>
      <c r="K569" s="16">
        <f>IF((OR(tbal[[#This Row],[X]]=3,tbal[[#This Row],[X]]=5)),tbal[[#This Row],[DEUDOR]],0)</f>
        <v>0</v>
      </c>
      <c r="L569" s="18">
        <f>IF((OR(tbal[[#This Row],[X]]=3,tbal[[#This Row],[X]]=4)),tbal[[#This Row],[ACREEDOR]],0)</f>
        <v>0</v>
      </c>
      <c r="M569" s="16">
        <f>IF((OR(tbal[[#This Row],[X]]=0,tbal[[#This Row],[X]]=6)),tbal[[#This Row],[DEUDOR]],0)</f>
        <v>0</v>
      </c>
      <c r="N569" s="18">
        <f>IF((OR(tbal[[#This Row],[X]]=0,tbal[[#This Row],[X]]=5)),tbal[[#This Row],[ACREEDOR]],0)</f>
        <v>0</v>
      </c>
    </row>
    <row r="570" spans="1:14" hidden="1" x14ac:dyDescent="0.3">
      <c r="A570" s="14">
        <f>+'PLAN DE CUENTAS'!A570</f>
        <v>0</v>
      </c>
      <c r="B570" s="13">
        <f>+'PLAN DE CUENTAS'!B570</f>
        <v>0</v>
      </c>
      <c r="C570" s="13">
        <f>+'PLAN DE CUENTAS'!C570</f>
        <v>0</v>
      </c>
      <c r="D570" t="str">
        <f>IF(tbal[[#This Row],[DEBE]]+tbal[[#This Row],[HABER]]=0,"","X")</f>
        <v/>
      </c>
      <c r="E570" s="16">
        <f>SUMIF(tdiario[CUENTA],tbal[[#This Row],[CUENTA]],tdiario[DEBE])</f>
        <v>0</v>
      </c>
      <c r="F570" s="17">
        <f>SUMIF(tdiario[CUENTA],tbal[[#This Row],[CUENTA]],tdiario[HABER])</f>
        <v>0</v>
      </c>
      <c r="G570" s="16">
        <f>IF(tbal[[#This Row],[DEBE]]-tbal[[#This Row],[HABER]]&gt;0,tbal[[#This Row],[DEBE]]-tbal[[#This Row],[HABER]],0)</f>
        <v>0</v>
      </c>
      <c r="H570" s="18">
        <f>IF(tbal[[#This Row],[HABER]]-tbal[[#This Row],[DEBE]]&gt;0,tbal[[#This Row],[HABER]]-tbal[[#This Row],[DEBE]],0)</f>
        <v>0</v>
      </c>
      <c r="I570" s="16">
        <f>IF((OR(tbal[[#This Row],[X]]=1,tbal[[#This Row],[X]]=2)),tbal[[#This Row],[DEUDOR]],0)</f>
        <v>0</v>
      </c>
      <c r="J570" s="18">
        <f>IF((OR(tbal[[#This Row],[X]]=2,tbal[[#This Row],[X]]=3)),tbal[[#This Row],[ACREEDOR]],0)</f>
        <v>0</v>
      </c>
      <c r="K570" s="16">
        <f>IF((OR(tbal[[#This Row],[X]]=3,tbal[[#This Row],[X]]=5)),tbal[[#This Row],[DEUDOR]],0)</f>
        <v>0</v>
      </c>
      <c r="L570" s="18">
        <f>IF((OR(tbal[[#This Row],[X]]=3,tbal[[#This Row],[X]]=4)),tbal[[#This Row],[ACREEDOR]],0)</f>
        <v>0</v>
      </c>
      <c r="M570" s="16">
        <f>IF((OR(tbal[[#This Row],[X]]=0,tbal[[#This Row],[X]]=6)),tbal[[#This Row],[DEUDOR]],0)</f>
        <v>0</v>
      </c>
      <c r="N570" s="18">
        <f>IF((OR(tbal[[#This Row],[X]]=0,tbal[[#This Row],[X]]=5)),tbal[[#This Row],[ACREEDOR]],0)</f>
        <v>0</v>
      </c>
    </row>
    <row r="571" spans="1:14" hidden="1" x14ac:dyDescent="0.3">
      <c r="A571" s="14">
        <f>+'PLAN DE CUENTAS'!A571</f>
        <v>0</v>
      </c>
      <c r="B571" s="13">
        <f>+'PLAN DE CUENTAS'!B571</f>
        <v>0</v>
      </c>
      <c r="C571" s="13">
        <f>+'PLAN DE CUENTAS'!C571</f>
        <v>0</v>
      </c>
      <c r="D571" t="str">
        <f>IF(tbal[[#This Row],[DEBE]]+tbal[[#This Row],[HABER]]=0,"","X")</f>
        <v/>
      </c>
      <c r="E571" s="16">
        <f>SUMIF(tdiario[CUENTA],tbal[[#This Row],[CUENTA]],tdiario[DEBE])</f>
        <v>0</v>
      </c>
      <c r="F571" s="17">
        <f>SUMIF(tdiario[CUENTA],tbal[[#This Row],[CUENTA]],tdiario[HABER])</f>
        <v>0</v>
      </c>
      <c r="G571" s="16">
        <f>IF(tbal[[#This Row],[DEBE]]-tbal[[#This Row],[HABER]]&gt;0,tbal[[#This Row],[DEBE]]-tbal[[#This Row],[HABER]],0)</f>
        <v>0</v>
      </c>
      <c r="H571" s="18">
        <f>IF(tbal[[#This Row],[HABER]]-tbal[[#This Row],[DEBE]]&gt;0,tbal[[#This Row],[HABER]]-tbal[[#This Row],[DEBE]],0)</f>
        <v>0</v>
      </c>
      <c r="I571" s="16">
        <f>IF((OR(tbal[[#This Row],[X]]=1,tbal[[#This Row],[X]]=2)),tbal[[#This Row],[DEUDOR]],0)</f>
        <v>0</v>
      </c>
      <c r="J571" s="18">
        <f>IF((OR(tbal[[#This Row],[X]]=2,tbal[[#This Row],[X]]=3)),tbal[[#This Row],[ACREEDOR]],0)</f>
        <v>0</v>
      </c>
      <c r="K571" s="16">
        <f>IF((OR(tbal[[#This Row],[X]]=3,tbal[[#This Row],[X]]=5)),tbal[[#This Row],[DEUDOR]],0)</f>
        <v>0</v>
      </c>
      <c r="L571" s="18">
        <f>IF((OR(tbal[[#This Row],[X]]=3,tbal[[#This Row],[X]]=4)),tbal[[#This Row],[ACREEDOR]],0)</f>
        <v>0</v>
      </c>
      <c r="M571" s="16">
        <f>IF((OR(tbal[[#This Row],[X]]=0,tbal[[#This Row],[X]]=6)),tbal[[#This Row],[DEUDOR]],0)</f>
        <v>0</v>
      </c>
      <c r="N571" s="18">
        <f>IF((OR(tbal[[#This Row],[X]]=0,tbal[[#This Row],[X]]=5)),tbal[[#This Row],[ACREEDOR]],0)</f>
        <v>0</v>
      </c>
    </row>
    <row r="572" spans="1:14" hidden="1" x14ac:dyDescent="0.3">
      <c r="A572" s="14">
        <f>+'PLAN DE CUENTAS'!A572</f>
        <v>0</v>
      </c>
      <c r="B572" s="13">
        <f>+'PLAN DE CUENTAS'!B572</f>
        <v>0</v>
      </c>
      <c r="C572" s="13">
        <f>+'PLAN DE CUENTAS'!C572</f>
        <v>0</v>
      </c>
      <c r="D572" t="str">
        <f>IF(tbal[[#This Row],[DEBE]]+tbal[[#This Row],[HABER]]=0,"","X")</f>
        <v/>
      </c>
      <c r="E572" s="16">
        <f>SUMIF(tdiario[CUENTA],tbal[[#This Row],[CUENTA]],tdiario[DEBE])</f>
        <v>0</v>
      </c>
      <c r="F572" s="17">
        <f>SUMIF(tdiario[CUENTA],tbal[[#This Row],[CUENTA]],tdiario[HABER])</f>
        <v>0</v>
      </c>
      <c r="G572" s="16">
        <f>IF(tbal[[#This Row],[DEBE]]-tbal[[#This Row],[HABER]]&gt;0,tbal[[#This Row],[DEBE]]-tbal[[#This Row],[HABER]],0)</f>
        <v>0</v>
      </c>
      <c r="H572" s="18">
        <f>IF(tbal[[#This Row],[HABER]]-tbal[[#This Row],[DEBE]]&gt;0,tbal[[#This Row],[HABER]]-tbal[[#This Row],[DEBE]],0)</f>
        <v>0</v>
      </c>
      <c r="I572" s="16">
        <f>IF((OR(tbal[[#This Row],[X]]=1,tbal[[#This Row],[X]]=2)),tbal[[#This Row],[DEUDOR]],0)</f>
        <v>0</v>
      </c>
      <c r="J572" s="18">
        <f>IF((OR(tbal[[#This Row],[X]]=2,tbal[[#This Row],[X]]=3)),tbal[[#This Row],[ACREEDOR]],0)</f>
        <v>0</v>
      </c>
      <c r="K572" s="16">
        <f>IF((OR(tbal[[#This Row],[X]]=3,tbal[[#This Row],[X]]=5)),tbal[[#This Row],[DEUDOR]],0)</f>
        <v>0</v>
      </c>
      <c r="L572" s="18">
        <f>IF((OR(tbal[[#This Row],[X]]=3,tbal[[#This Row],[X]]=4)),tbal[[#This Row],[ACREEDOR]],0)</f>
        <v>0</v>
      </c>
      <c r="M572" s="16">
        <f>IF((OR(tbal[[#This Row],[X]]=0,tbal[[#This Row],[X]]=6)),tbal[[#This Row],[DEUDOR]],0)</f>
        <v>0</v>
      </c>
      <c r="N572" s="18">
        <f>IF((OR(tbal[[#This Row],[X]]=0,tbal[[#This Row],[X]]=5)),tbal[[#This Row],[ACREEDOR]],0)</f>
        <v>0</v>
      </c>
    </row>
    <row r="573" spans="1:14" hidden="1" x14ac:dyDescent="0.3">
      <c r="A573" s="14">
        <f>+'PLAN DE CUENTAS'!A573</f>
        <v>0</v>
      </c>
      <c r="B573" s="13">
        <f>+'PLAN DE CUENTAS'!B573</f>
        <v>0</v>
      </c>
      <c r="C573" s="13">
        <f>+'PLAN DE CUENTAS'!C573</f>
        <v>0</v>
      </c>
      <c r="D573" t="str">
        <f>IF(tbal[[#This Row],[DEBE]]+tbal[[#This Row],[HABER]]=0,"","X")</f>
        <v/>
      </c>
      <c r="E573" s="16">
        <f>SUMIF(tdiario[CUENTA],tbal[[#This Row],[CUENTA]],tdiario[DEBE])</f>
        <v>0</v>
      </c>
      <c r="F573" s="17">
        <f>SUMIF(tdiario[CUENTA],tbal[[#This Row],[CUENTA]],tdiario[HABER])</f>
        <v>0</v>
      </c>
      <c r="G573" s="16">
        <f>IF(tbal[[#This Row],[DEBE]]-tbal[[#This Row],[HABER]]&gt;0,tbal[[#This Row],[DEBE]]-tbal[[#This Row],[HABER]],0)</f>
        <v>0</v>
      </c>
      <c r="H573" s="18">
        <f>IF(tbal[[#This Row],[HABER]]-tbal[[#This Row],[DEBE]]&gt;0,tbal[[#This Row],[HABER]]-tbal[[#This Row],[DEBE]],0)</f>
        <v>0</v>
      </c>
      <c r="I573" s="16">
        <f>IF((OR(tbal[[#This Row],[X]]=1,tbal[[#This Row],[X]]=2)),tbal[[#This Row],[DEUDOR]],0)</f>
        <v>0</v>
      </c>
      <c r="J573" s="18">
        <f>IF((OR(tbal[[#This Row],[X]]=2,tbal[[#This Row],[X]]=3)),tbal[[#This Row],[ACREEDOR]],0)</f>
        <v>0</v>
      </c>
      <c r="K573" s="16">
        <f>IF((OR(tbal[[#This Row],[X]]=3,tbal[[#This Row],[X]]=5)),tbal[[#This Row],[DEUDOR]],0)</f>
        <v>0</v>
      </c>
      <c r="L573" s="18">
        <f>IF((OR(tbal[[#This Row],[X]]=3,tbal[[#This Row],[X]]=4)),tbal[[#This Row],[ACREEDOR]],0)</f>
        <v>0</v>
      </c>
      <c r="M573" s="16">
        <f>IF((OR(tbal[[#This Row],[X]]=0,tbal[[#This Row],[X]]=6)),tbal[[#This Row],[DEUDOR]],0)</f>
        <v>0</v>
      </c>
      <c r="N573" s="18">
        <f>IF((OR(tbal[[#This Row],[X]]=0,tbal[[#This Row],[X]]=5)),tbal[[#This Row],[ACREEDOR]],0)</f>
        <v>0</v>
      </c>
    </row>
    <row r="574" spans="1:14" hidden="1" x14ac:dyDescent="0.3">
      <c r="A574" s="14">
        <f>+'PLAN DE CUENTAS'!A574</f>
        <v>0</v>
      </c>
      <c r="B574" s="13">
        <f>+'PLAN DE CUENTAS'!B574</f>
        <v>0</v>
      </c>
      <c r="C574" s="13">
        <f>+'PLAN DE CUENTAS'!C574</f>
        <v>0</v>
      </c>
      <c r="D574" t="str">
        <f>IF(tbal[[#This Row],[DEBE]]+tbal[[#This Row],[HABER]]=0,"","X")</f>
        <v/>
      </c>
      <c r="E574" s="16">
        <f>SUMIF(tdiario[CUENTA],tbal[[#This Row],[CUENTA]],tdiario[DEBE])</f>
        <v>0</v>
      </c>
      <c r="F574" s="17">
        <f>SUMIF(tdiario[CUENTA],tbal[[#This Row],[CUENTA]],tdiario[HABER])</f>
        <v>0</v>
      </c>
      <c r="G574" s="16">
        <f>IF(tbal[[#This Row],[DEBE]]-tbal[[#This Row],[HABER]]&gt;0,tbal[[#This Row],[DEBE]]-tbal[[#This Row],[HABER]],0)</f>
        <v>0</v>
      </c>
      <c r="H574" s="18">
        <f>IF(tbal[[#This Row],[HABER]]-tbal[[#This Row],[DEBE]]&gt;0,tbal[[#This Row],[HABER]]-tbal[[#This Row],[DEBE]],0)</f>
        <v>0</v>
      </c>
      <c r="I574" s="16">
        <f>IF((OR(tbal[[#This Row],[X]]=1,tbal[[#This Row],[X]]=2)),tbal[[#This Row],[DEUDOR]],0)</f>
        <v>0</v>
      </c>
      <c r="J574" s="18">
        <f>IF((OR(tbal[[#This Row],[X]]=2,tbal[[#This Row],[X]]=3)),tbal[[#This Row],[ACREEDOR]],0)</f>
        <v>0</v>
      </c>
      <c r="K574" s="16">
        <f>IF((OR(tbal[[#This Row],[X]]=3,tbal[[#This Row],[X]]=5)),tbal[[#This Row],[DEUDOR]],0)</f>
        <v>0</v>
      </c>
      <c r="L574" s="18">
        <f>IF((OR(tbal[[#This Row],[X]]=3,tbal[[#This Row],[X]]=4)),tbal[[#This Row],[ACREEDOR]],0)</f>
        <v>0</v>
      </c>
      <c r="M574" s="16">
        <f>IF((OR(tbal[[#This Row],[X]]=0,tbal[[#This Row],[X]]=6)),tbal[[#This Row],[DEUDOR]],0)</f>
        <v>0</v>
      </c>
      <c r="N574" s="18">
        <f>IF((OR(tbal[[#This Row],[X]]=0,tbal[[#This Row],[X]]=5)),tbal[[#This Row],[ACREEDOR]],0)</f>
        <v>0</v>
      </c>
    </row>
    <row r="575" spans="1:14" hidden="1" x14ac:dyDescent="0.3">
      <c r="A575" s="14">
        <f>+'PLAN DE CUENTAS'!A575</f>
        <v>0</v>
      </c>
      <c r="B575" s="13">
        <f>+'PLAN DE CUENTAS'!B575</f>
        <v>0</v>
      </c>
      <c r="C575" s="13">
        <f>+'PLAN DE CUENTAS'!C575</f>
        <v>0</v>
      </c>
      <c r="D575" t="str">
        <f>IF(tbal[[#This Row],[DEBE]]+tbal[[#This Row],[HABER]]=0,"","X")</f>
        <v/>
      </c>
      <c r="E575" s="16">
        <f>SUMIF(tdiario[CUENTA],tbal[[#This Row],[CUENTA]],tdiario[DEBE])</f>
        <v>0</v>
      </c>
      <c r="F575" s="17">
        <f>SUMIF(tdiario[CUENTA],tbal[[#This Row],[CUENTA]],tdiario[HABER])</f>
        <v>0</v>
      </c>
      <c r="G575" s="16">
        <f>IF(tbal[[#This Row],[DEBE]]-tbal[[#This Row],[HABER]]&gt;0,tbal[[#This Row],[DEBE]]-tbal[[#This Row],[HABER]],0)</f>
        <v>0</v>
      </c>
      <c r="H575" s="18">
        <f>IF(tbal[[#This Row],[HABER]]-tbal[[#This Row],[DEBE]]&gt;0,tbal[[#This Row],[HABER]]-tbal[[#This Row],[DEBE]],0)</f>
        <v>0</v>
      </c>
      <c r="I575" s="16">
        <f>IF((OR(tbal[[#This Row],[X]]=1,tbal[[#This Row],[X]]=2)),tbal[[#This Row],[DEUDOR]],0)</f>
        <v>0</v>
      </c>
      <c r="J575" s="18">
        <f>IF((OR(tbal[[#This Row],[X]]=2,tbal[[#This Row],[X]]=3)),tbal[[#This Row],[ACREEDOR]],0)</f>
        <v>0</v>
      </c>
      <c r="K575" s="16">
        <f>IF((OR(tbal[[#This Row],[X]]=3,tbal[[#This Row],[X]]=5)),tbal[[#This Row],[DEUDOR]],0)</f>
        <v>0</v>
      </c>
      <c r="L575" s="18">
        <f>IF((OR(tbal[[#This Row],[X]]=3,tbal[[#This Row],[X]]=4)),tbal[[#This Row],[ACREEDOR]],0)</f>
        <v>0</v>
      </c>
      <c r="M575" s="16">
        <f>IF((OR(tbal[[#This Row],[X]]=0,tbal[[#This Row],[X]]=6)),tbal[[#This Row],[DEUDOR]],0)</f>
        <v>0</v>
      </c>
      <c r="N575" s="18">
        <f>IF((OR(tbal[[#This Row],[X]]=0,tbal[[#This Row],[X]]=5)),tbal[[#This Row],[ACREEDOR]],0)</f>
        <v>0</v>
      </c>
    </row>
    <row r="576" spans="1:14" hidden="1" x14ac:dyDescent="0.3">
      <c r="A576" s="14">
        <f>+'PLAN DE CUENTAS'!A576</f>
        <v>0</v>
      </c>
      <c r="B576" s="13">
        <f>+'PLAN DE CUENTAS'!B576</f>
        <v>0</v>
      </c>
      <c r="C576" s="13">
        <f>+'PLAN DE CUENTAS'!C576</f>
        <v>0</v>
      </c>
      <c r="D576" t="str">
        <f>IF(tbal[[#This Row],[DEBE]]+tbal[[#This Row],[HABER]]=0,"","X")</f>
        <v/>
      </c>
      <c r="E576" s="16">
        <f>SUMIF(tdiario[CUENTA],tbal[[#This Row],[CUENTA]],tdiario[DEBE])</f>
        <v>0</v>
      </c>
      <c r="F576" s="17">
        <f>SUMIF(tdiario[CUENTA],tbal[[#This Row],[CUENTA]],tdiario[HABER])</f>
        <v>0</v>
      </c>
      <c r="G576" s="16">
        <f>IF(tbal[[#This Row],[DEBE]]-tbal[[#This Row],[HABER]]&gt;0,tbal[[#This Row],[DEBE]]-tbal[[#This Row],[HABER]],0)</f>
        <v>0</v>
      </c>
      <c r="H576" s="18">
        <f>IF(tbal[[#This Row],[HABER]]-tbal[[#This Row],[DEBE]]&gt;0,tbal[[#This Row],[HABER]]-tbal[[#This Row],[DEBE]],0)</f>
        <v>0</v>
      </c>
      <c r="I576" s="16">
        <f>IF((OR(tbal[[#This Row],[X]]=1,tbal[[#This Row],[X]]=2)),tbal[[#This Row],[DEUDOR]],0)</f>
        <v>0</v>
      </c>
      <c r="J576" s="18">
        <f>IF((OR(tbal[[#This Row],[X]]=2,tbal[[#This Row],[X]]=3)),tbal[[#This Row],[ACREEDOR]],0)</f>
        <v>0</v>
      </c>
      <c r="K576" s="16">
        <f>IF((OR(tbal[[#This Row],[X]]=3,tbal[[#This Row],[X]]=5)),tbal[[#This Row],[DEUDOR]],0)</f>
        <v>0</v>
      </c>
      <c r="L576" s="18">
        <f>IF((OR(tbal[[#This Row],[X]]=3,tbal[[#This Row],[X]]=4)),tbal[[#This Row],[ACREEDOR]],0)</f>
        <v>0</v>
      </c>
      <c r="M576" s="16">
        <f>IF((OR(tbal[[#This Row],[X]]=0,tbal[[#This Row],[X]]=6)),tbal[[#This Row],[DEUDOR]],0)</f>
        <v>0</v>
      </c>
      <c r="N576" s="18">
        <f>IF((OR(tbal[[#This Row],[X]]=0,tbal[[#This Row],[X]]=5)),tbal[[#This Row],[ACREEDOR]],0)</f>
        <v>0</v>
      </c>
    </row>
    <row r="577" spans="1:14" hidden="1" x14ac:dyDescent="0.3">
      <c r="A577" s="14">
        <f>+'PLAN DE CUENTAS'!A577</f>
        <v>0</v>
      </c>
      <c r="B577" s="13">
        <f>+'PLAN DE CUENTAS'!B577</f>
        <v>0</v>
      </c>
      <c r="C577" s="13">
        <f>+'PLAN DE CUENTAS'!C577</f>
        <v>0</v>
      </c>
      <c r="D577" t="str">
        <f>IF(tbal[[#This Row],[DEBE]]+tbal[[#This Row],[HABER]]=0,"","X")</f>
        <v/>
      </c>
      <c r="E577" s="16">
        <f>SUMIF(tdiario[CUENTA],tbal[[#This Row],[CUENTA]],tdiario[DEBE])</f>
        <v>0</v>
      </c>
      <c r="F577" s="17">
        <f>SUMIF(tdiario[CUENTA],tbal[[#This Row],[CUENTA]],tdiario[HABER])</f>
        <v>0</v>
      </c>
      <c r="G577" s="16">
        <f>IF(tbal[[#This Row],[DEBE]]-tbal[[#This Row],[HABER]]&gt;0,tbal[[#This Row],[DEBE]]-tbal[[#This Row],[HABER]],0)</f>
        <v>0</v>
      </c>
      <c r="H577" s="18">
        <f>IF(tbal[[#This Row],[HABER]]-tbal[[#This Row],[DEBE]]&gt;0,tbal[[#This Row],[HABER]]-tbal[[#This Row],[DEBE]],0)</f>
        <v>0</v>
      </c>
      <c r="I577" s="16">
        <f>IF((OR(tbal[[#This Row],[X]]=1,tbal[[#This Row],[X]]=2)),tbal[[#This Row],[DEUDOR]],0)</f>
        <v>0</v>
      </c>
      <c r="J577" s="18">
        <f>IF((OR(tbal[[#This Row],[X]]=2,tbal[[#This Row],[X]]=3)),tbal[[#This Row],[ACREEDOR]],0)</f>
        <v>0</v>
      </c>
      <c r="K577" s="16">
        <f>IF((OR(tbal[[#This Row],[X]]=3,tbal[[#This Row],[X]]=5)),tbal[[#This Row],[DEUDOR]],0)</f>
        <v>0</v>
      </c>
      <c r="L577" s="18">
        <f>IF((OR(tbal[[#This Row],[X]]=3,tbal[[#This Row],[X]]=4)),tbal[[#This Row],[ACREEDOR]],0)</f>
        <v>0</v>
      </c>
      <c r="M577" s="16">
        <f>IF((OR(tbal[[#This Row],[X]]=0,tbal[[#This Row],[X]]=6)),tbal[[#This Row],[DEUDOR]],0)</f>
        <v>0</v>
      </c>
      <c r="N577" s="18">
        <f>IF((OR(tbal[[#This Row],[X]]=0,tbal[[#This Row],[X]]=5)),tbal[[#This Row],[ACREEDOR]],0)</f>
        <v>0</v>
      </c>
    </row>
    <row r="578" spans="1:14" hidden="1" x14ac:dyDescent="0.3">
      <c r="A578" s="14">
        <f>+'PLAN DE CUENTAS'!A578</f>
        <v>0</v>
      </c>
      <c r="B578" s="13">
        <f>+'PLAN DE CUENTAS'!B578</f>
        <v>0</v>
      </c>
      <c r="C578" s="13">
        <f>+'PLAN DE CUENTAS'!C578</f>
        <v>0</v>
      </c>
      <c r="D578" t="str">
        <f>IF(tbal[[#This Row],[DEBE]]+tbal[[#This Row],[HABER]]=0,"","X")</f>
        <v/>
      </c>
      <c r="E578" s="16">
        <f>SUMIF(tdiario[CUENTA],tbal[[#This Row],[CUENTA]],tdiario[DEBE])</f>
        <v>0</v>
      </c>
      <c r="F578" s="17">
        <f>SUMIF(tdiario[CUENTA],tbal[[#This Row],[CUENTA]],tdiario[HABER])</f>
        <v>0</v>
      </c>
      <c r="G578" s="16">
        <f>IF(tbal[[#This Row],[DEBE]]-tbal[[#This Row],[HABER]]&gt;0,tbal[[#This Row],[DEBE]]-tbal[[#This Row],[HABER]],0)</f>
        <v>0</v>
      </c>
      <c r="H578" s="18">
        <f>IF(tbal[[#This Row],[HABER]]-tbal[[#This Row],[DEBE]]&gt;0,tbal[[#This Row],[HABER]]-tbal[[#This Row],[DEBE]],0)</f>
        <v>0</v>
      </c>
      <c r="I578" s="16">
        <f>IF((OR(tbal[[#This Row],[X]]=1,tbal[[#This Row],[X]]=2)),tbal[[#This Row],[DEUDOR]],0)</f>
        <v>0</v>
      </c>
      <c r="J578" s="18">
        <f>IF((OR(tbal[[#This Row],[X]]=2,tbal[[#This Row],[X]]=3)),tbal[[#This Row],[ACREEDOR]],0)</f>
        <v>0</v>
      </c>
      <c r="K578" s="16">
        <f>IF((OR(tbal[[#This Row],[X]]=3,tbal[[#This Row],[X]]=5)),tbal[[#This Row],[DEUDOR]],0)</f>
        <v>0</v>
      </c>
      <c r="L578" s="18">
        <f>IF((OR(tbal[[#This Row],[X]]=3,tbal[[#This Row],[X]]=4)),tbal[[#This Row],[ACREEDOR]],0)</f>
        <v>0</v>
      </c>
      <c r="M578" s="16">
        <f>IF((OR(tbal[[#This Row],[X]]=0,tbal[[#This Row],[X]]=6)),tbal[[#This Row],[DEUDOR]],0)</f>
        <v>0</v>
      </c>
      <c r="N578" s="18">
        <f>IF((OR(tbal[[#This Row],[X]]=0,tbal[[#This Row],[X]]=5)),tbal[[#This Row],[ACREEDOR]],0)</f>
        <v>0</v>
      </c>
    </row>
    <row r="579" spans="1:14" hidden="1" x14ac:dyDescent="0.3">
      <c r="A579" s="14">
        <f>+'PLAN DE CUENTAS'!A579</f>
        <v>0</v>
      </c>
      <c r="B579" s="13">
        <f>+'PLAN DE CUENTAS'!B579</f>
        <v>0</v>
      </c>
      <c r="C579" s="13">
        <f>+'PLAN DE CUENTAS'!C579</f>
        <v>0</v>
      </c>
      <c r="D579" t="str">
        <f>IF(tbal[[#This Row],[DEBE]]+tbal[[#This Row],[HABER]]=0,"","X")</f>
        <v/>
      </c>
      <c r="E579" s="16">
        <f>SUMIF(tdiario[CUENTA],tbal[[#This Row],[CUENTA]],tdiario[DEBE])</f>
        <v>0</v>
      </c>
      <c r="F579" s="17">
        <f>SUMIF(tdiario[CUENTA],tbal[[#This Row],[CUENTA]],tdiario[HABER])</f>
        <v>0</v>
      </c>
      <c r="G579" s="16">
        <f>IF(tbal[[#This Row],[DEBE]]-tbal[[#This Row],[HABER]]&gt;0,tbal[[#This Row],[DEBE]]-tbal[[#This Row],[HABER]],0)</f>
        <v>0</v>
      </c>
      <c r="H579" s="18">
        <f>IF(tbal[[#This Row],[HABER]]-tbal[[#This Row],[DEBE]]&gt;0,tbal[[#This Row],[HABER]]-tbal[[#This Row],[DEBE]],0)</f>
        <v>0</v>
      </c>
      <c r="I579" s="16">
        <f>IF((OR(tbal[[#This Row],[X]]=1,tbal[[#This Row],[X]]=2)),tbal[[#This Row],[DEUDOR]],0)</f>
        <v>0</v>
      </c>
      <c r="J579" s="18">
        <f>IF((OR(tbal[[#This Row],[X]]=2,tbal[[#This Row],[X]]=3)),tbal[[#This Row],[ACREEDOR]],0)</f>
        <v>0</v>
      </c>
      <c r="K579" s="16">
        <f>IF((OR(tbal[[#This Row],[X]]=3,tbal[[#This Row],[X]]=5)),tbal[[#This Row],[DEUDOR]],0)</f>
        <v>0</v>
      </c>
      <c r="L579" s="18">
        <f>IF((OR(tbal[[#This Row],[X]]=3,tbal[[#This Row],[X]]=4)),tbal[[#This Row],[ACREEDOR]],0)</f>
        <v>0</v>
      </c>
      <c r="M579" s="16">
        <f>IF((OR(tbal[[#This Row],[X]]=0,tbal[[#This Row],[X]]=6)),tbal[[#This Row],[DEUDOR]],0)</f>
        <v>0</v>
      </c>
      <c r="N579" s="18">
        <f>IF((OR(tbal[[#This Row],[X]]=0,tbal[[#This Row],[X]]=5)),tbal[[#This Row],[ACREEDOR]],0)</f>
        <v>0</v>
      </c>
    </row>
    <row r="580" spans="1:14" hidden="1" x14ac:dyDescent="0.3">
      <c r="A580" s="14">
        <f>+'PLAN DE CUENTAS'!A580</f>
        <v>0</v>
      </c>
      <c r="B580" s="13">
        <f>+'PLAN DE CUENTAS'!B580</f>
        <v>0</v>
      </c>
      <c r="C580" s="13">
        <f>+'PLAN DE CUENTAS'!C580</f>
        <v>0</v>
      </c>
      <c r="D580" t="str">
        <f>IF(tbal[[#This Row],[DEBE]]+tbal[[#This Row],[HABER]]=0,"","X")</f>
        <v/>
      </c>
      <c r="E580" s="16">
        <f>SUMIF(tdiario[CUENTA],tbal[[#This Row],[CUENTA]],tdiario[DEBE])</f>
        <v>0</v>
      </c>
      <c r="F580" s="17">
        <f>SUMIF(tdiario[CUENTA],tbal[[#This Row],[CUENTA]],tdiario[HABER])</f>
        <v>0</v>
      </c>
      <c r="G580" s="16">
        <f>IF(tbal[[#This Row],[DEBE]]-tbal[[#This Row],[HABER]]&gt;0,tbal[[#This Row],[DEBE]]-tbal[[#This Row],[HABER]],0)</f>
        <v>0</v>
      </c>
      <c r="H580" s="18">
        <f>IF(tbal[[#This Row],[HABER]]-tbal[[#This Row],[DEBE]]&gt;0,tbal[[#This Row],[HABER]]-tbal[[#This Row],[DEBE]],0)</f>
        <v>0</v>
      </c>
      <c r="I580" s="16">
        <f>IF((OR(tbal[[#This Row],[X]]=1,tbal[[#This Row],[X]]=2)),tbal[[#This Row],[DEUDOR]],0)</f>
        <v>0</v>
      </c>
      <c r="J580" s="18">
        <f>IF((OR(tbal[[#This Row],[X]]=2,tbal[[#This Row],[X]]=3)),tbal[[#This Row],[ACREEDOR]],0)</f>
        <v>0</v>
      </c>
      <c r="K580" s="16">
        <f>IF((OR(tbal[[#This Row],[X]]=3,tbal[[#This Row],[X]]=5)),tbal[[#This Row],[DEUDOR]],0)</f>
        <v>0</v>
      </c>
      <c r="L580" s="18">
        <f>IF((OR(tbal[[#This Row],[X]]=3,tbal[[#This Row],[X]]=4)),tbal[[#This Row],[ACREEDOR]],0)</f>
        <v>0</v>
      </c>
      <c r="M580" s="16">
        <f>IF((OR(tbal[[#This Row],[X]]=0,tbal[[#This Row],[X]]=6)),tbal[[#This Row],[DEUDOR]],0)</f>
        <v>0</v>
      </c>
      <c r="N580" s="18">
        <f>IF((OR(tbal[[#This Row],[X]]=0,tbal[[#This Row],[X]]=5)),tbal[[#This Row],[ACREEDOR]],0)</f>
        <v>0</v>
      </c>
    </row>
    <row r="581" spans="1:14" hidden="1" x14ac:dyDescent="0.3">
      <c r="A581" s="14">
        <f>+'PLAN DE CUENTAS'!A581</f>
        <v>0</v>
      </c>
      <c r="B581" s="13">
        <f>+'PLAN DE CUENTAS'!B581</f>
        <v>0</v>
      </c>
      <c r="C581" s="13">
        <f>+'PLAN DE CUENTAS'!C581</f>
        <v>0</v>
      </c>
      <c r="D581" t="str">
        <f>IF(tbal[[#This Row],[DEBE]]+tbal[[#This Row],[HABER]]=0,"","X")</f>
        <v/>
      </c>
      <c r="E581" s="16">
        <f>SUMIF(tdiario[CUENTA],tbal[[#This Row],[CUENTA]],tdiario[DEBE])</f>
        <v>0</v>
      </c>
      <c r="F581" s="17">
        <f>SUMIF(tdiario[CUENTA],tbal[[#This Row],[CUENTA]],tdiario[HABER])</f>
        <v>0</v>
      </c>
      <c r="G581" s="16">
        <f>IF(tbal[[#This Row],[DEBE]]-tbal[[#This Row],[HABER]]&gt;0,tbal[[#This Row],[DEBE]]-tbal[[#This Row],[HABER]],0)</f>
        <v>0</v>
      </c>
      <c r="H581" s="18">
        <f>IF(tbal[[#This Row],[HABER]]-tbal[[#This Row],[DEBE]]&gt;0,tbal[[#This Row],[HABER]]-tbal[[#This Row],[DEBE]],0)</f>
        <v>0</v>
      </c>
      <c r="I581" s="16">
        <f>IF((OR(tbal[[#This Row],[X]]=1,tbal[[#This Row],[X]]=2)),tbal[[#This Row],[DEUDOR]],0)</f>
        <v>0</v>
      </c>
      <c r="J581" s="18">
        <f>IF((OR(tbal[[#This Row],[X]]=2,tbal[[#This Row],[X]]=3)),tbal[[#This Row],[ACREEDOR]],0)</f>
        <v>0</v>
      </c>
      <c r="K581" s="16">
        <f>IF((OR(tbal[[#This Row],[X]]=3,tbal[[#This Row],[X]]=5)),tbal[[#This Row],[DEUDOR]],0)</f>
        <v>0</v>
      </c>
      <c r="L581" s="18">
        <f>IF((OR(tbal[[#This Row],[X]]=3,tbal[[#This Row],[X]]=4)),tbal[[#This Row],[ACREEDOR]],0)</f>
        <v>0</v>
      </c>
      <c r="M581" s="16">
        <f>IF((OR(tbal[[#This Row],[X]]=0,tbal[[#This Row],[X]]=6)),tbal[[#This Row],[DEUDOR]],0)</f>
        <v>0</v>
      </c>
      <c r="N581" s="18">
        <f>IF((OR(tbal[[#This Row],[X]]=0,tbal[[#This Row],[X]]=5)),tbal[[#This Row],[ACREEDOR]],0)</f>
        <v>0</v>
      </c>
    </row>
    <row r="582" spans="1:14" hidden="1" x14ac:dyDescent="0.3">
      <c r="A582" s="14">
        <f>+'PLAN DE CUENTAS'!A582</f>
        <v>0</v>
      </c>
      <c r="B582" s="13">
        <f>+'PLAN DE CUENTAS'!B582</f>
        <v>0</v>
      </c>
      <c r="C582" s="13">
        <f>+'PLAN DE CUENTAS'!C582</f>
        <v>0</v>
      </c>
      <c r="D582" t="str">
        <f>IF(tbal[[#This Row],[DEBE]]+tbal[[#This Row],[HABER]]=0,"","X")</f>
        <v/>
      </c>
      <c r="E582" s="16">
        <f>SUMIF(tdiario[CUENTA],tbal[[#This Row],[CUENTA]],tdiario[DEBE])</f>
        <v>0</v>
      </c>
      <c r="F582" s="17">
        <f>SUMIF(tdiario[CUENTA],tbal[[#This Row],[CUENTA]],tdiario[HABER])</f>
        <v>0</v>
      </c>
      <c r="G582" s="16">
        <f>IF(tbal[[#This Row],[DEBE]]-tbal[[#This Row],[HABER]]&gt;0,tbal[[#This Row],[DEBE]]-tbal[[#This Row],[HABER]],0)</f>
        <v>0</v>
      </c>
      <c r="H582" s="18">
        <f>IF(tbal[[#This Row],[HABER]]-tbal[[#This Row],[DEBE]]&gt;0,tbal[[#This Row],[HABER]]-tbal[[#This Row],[DEBE]],0)</f>
        <v>0</v>
      </c>
      <c r="I582" s="16">
        <f>IF((OR(tbal[[#This Row],[X]]=1,tbal[[#This Row],[X]]=2)),tbal[[#This Row],[DEUDOR]],0)</f>
        <v>0</v>
      </c>
      <c r="J582" s="18">
        <f>IF((OR(tbal[[#This Row],[X]]=2,tbal[[#This Row],[X]]=3)),tbal[[#This Row],[ACREEDOR]],0)</f>
        <v>0</v>
      </c>
      <c r="K582" s="16">
        <f>IF((OR(tbal[[#This Row],[X]]=3,tbal[[#This Row],[X]]=5)),tbal[[#This Row],[DEUDOR]],0)</f>
        <v>0</v>
      </c>
      <c r="L582" s="18">
        <f>IF((OR(tbal[[#This Row],[X]]=3,tbal[[#This Row],[X]]=4)),tbal[[#This Row],[ACREEDOR]],0)</f>
        <v>0</v>
      </c>
      <c r="M582" s="16">
        <f>IF((OR(tbal[[#This Row],[X]]=0,tbal[[#This Row],[X]]=6)),tbal[[#This Row],[DEUDOR]],0)</f>
        <v>0</v>
      </c>
      <c r="N582" s="18">
        <f>IF((OR(tbal[[#This Row],[X]]=0,tbal[[#This Row],[X]]=5)),tbal[[#This Row],[ACREEDOR]],0)</f>
        <v>0</v>
      </c>
    </row>
    <row r="583" spans="1:14" hidden="1" x14ac:dyDescent="0.3">
      <c r="A583" s="14">
        <f>+'PLAN DE CUENTAS'!A583</f>
        <v>0</v>
      </c>
      <c r="B583" s="13">
        <f>+'PLAN DE CUENTAS'!B583</f>
        <v>0</v>
      </c>
      <c r="C583" s="13">
        <f>+'PLAN DE CUENTAS'!C583</f>
        <v>0</v>
      </c>
      <c r="D583" t="str">
        <f>IF(tbal[[#This Row],[DEBE]]+tbal[[#This Row],[HABER]]=0,"","X")</f>
        <v/>
      </c>
      <c r="E583" s="16">
        <f>SUMIF(tdiario[CUENTA],tbal[[#This Row],[CUENTA]],tdiario[DEBE])</f>
        <v>0</v>
      </c>
      <c r="F583" s="17">
        <f>SUMIF(tdiario[CUENTA],tbal[[#This Row],[CUENTA]],tdiario[HABER])</f>
        <v>0</v>
      </c>
      <c r="G583" s="16">
        <f>IF(tbal[[#This Row],[DEBE]]-tbal[[#This Row],[HABER]]&gt;0,tbal[[#This Row],[DEBE]]-tbal[[#This Row],[HABER]],0)</f>
        <v>0</v>
      </c>
      <c r="H583" s="18">
        <f>IF(tbal[[#This Row],[HABER]]-tbal[[#This Row],[DEBE]]&gt;0,tbal[[#This Row],[HABER]]-tbal[[#This Row],[DEBE]],0)</f>
        <v>0</v>
      </c>
      <c r="I583" s="16">
        <f>IF((OR(tbal[[#This Row],[X]]=1,tbal[[#This Row],[X]]=2)),tbal[[#This Row],[DEUDOR]],0)</f>
        <v>0</v>
      </c>
      <c r="J583" s="18">
        <f>IF((OR(tbal[[#This Row],[X]]=2,tbal[[#This Row],[X]]=3)),tbal[[#This Row],[ACREEDOR]],0)</f>
        <v>0</v>
      </c>
      <c r="K583" s="16">
        <f>IF((OR(tbal[[#This Row],[X]]=3,tbal[[#This Row],[X]]=5)),tbal[[#This Row],[DEUDOR]],0)</f>
        <v>0</v>
      </c>
      <c r="L583" s="18">
        <f>IF((OR(tbal[[#This Row],[X]]=3,tbal[[#This Row],[X]]=4)),tbal[[#This Row],[ACREEDOR]],0)</f>
        <v>0</v>
      </c>
      <c r="M583" s="16">
        <f>IF((OR(tbal[[#This Row],[X]]=0,tbal[[#This Row],[X]]=6)),tbal[[#This Row],[DEUDOR]],0)</f>
        <v>0</v>
      </c>
      <c r="N583" s="18">
        <f>IF((OR(tbal[[#This Row],[X]]=0,tbal[[#This Row],[X]]=5)),tbal[[#This Row],[ACREEDOR]],0)</f>
        <v>0</v>
      </c>
    </row>
    <row r="584" spans="1:14" hidden="1" x14ac:dyDescent="0.3">
      <c r="A584" s="14">
        <f>+'PLAN DE CUENTAS'!A584</f>
        <v>0</v>
      </c>
      <c r="B584" s="13">
        <f>+'PLAN DE CUENTAS'!B584</f>
        <v>0</v>
      </c>
      <c r="C584" s="13">
        <f>+'PLAN DE CUENTAS'!C584</f>
        <v>0</v>
      </c>
      <c r="D584" t="str">
        <f>IF(tbal[[#This Row],[DEBE]]+tbal[[#This Row],[HABER]]=0,"","X")</f>
        <v/>
      </c>
      <c r="E584" s="16">
        <f>SUMIF(tdiario[CUENTA],tbal[[#This Row],[CUENTA]],tdiario[DEBE])</f>
        <v>0</v>
      </c>
      <c r="F584" s="17">
        <f>SUMIF(tdiario[CUENTA],tbal[[#This Row],[CUENTA]],tdiario[HABER])</f>
        <v>0</v>
      </c>
      <c r="G584" s="16">
        <f>IF(tbal[[#This Row],[DEBE]]-tbal[[#This Row],[HABER]]&gt;0,tbal[[#This Row],[DEBE]]-tbal[[#This Row],[HABER]],0)</f>
        <v>0</v>
      </c>
      <c r="H584" s="18">
        <f>IF(tbal[[#This Row],[HABER]]-tbal[[#This Row],[DEBE]]&gt;0,tbal[[#This Row],[HABER]]-tbal[[#This Row],[DEBE]],0)</f>
        <v>0</v>
      </c>
      <c r="I584" s="16">
        <f>IF((OR(tbal[[#This Row],[X]]=1,tbal[[#This Row],[X]]=2)),tbal[[#This Row],[DEUDOR]],0)</f>
        <v>0</v>
      </c>
      <c r="J584" s="18">
        <f>IF((OR(tbal[[#This Row],[X]]=2,tbal[[#This Row],[X]]=3)),tbal[[#This Row],[ACREEDOR]],0)</f>
        <v>0</v>
      </c>
      <c r="K584" s="16">
        <f>IF((OR(tbal[[#This Row],[X]]=3,tbal[[#This Row],[X]]=5)),tbal[[#This Row],[DEUDOR]],0)</f>
        <v>0</v>
      </c>
      <c r="L584" s="18">
        <f>IF((OR(tbal[[#This Row],[X]]=3,tbal[[#This Row],[X]]=4)),tbal[[#This Row],[ACREEDOR]],0)</f>
        <v>0</v>
      </c>
      <c r="M584" s="16">
        <f>IF((OR(tbal[[#This Row],[X]]=0,tbal[[#This Row],[X]]=6)),tbal[[#This Row],[DEUDOR]],0)</f>
        <v>0</v>
      </c>
      <c r="N584" s="18">
        <f>IF((OR(tbal[[#This Row],[X]]=0,tbal[[#This Row],[X]]=5)),tbal[[#This Row],[ACREEDOR]],0)</f>
        <v>0</v>
      </c>
    </row>
    <row r="585" spans="1:14" hidden="1" x14ac:dyDescent="0.3">
      <c r="A585" s="14">
        <f>+'PLAN DE CUENTAS'!A585</f>
        <v>0</v>
      </c>
      <c r="B585" s="13">
        <f>+'PLAN DE CUENTAS'!B585</f>
        <v>0</v>
      </c>
      <c r="C585" s="13">
        <f>+'PLAN DE CUENTAS'!C585</f>
        <v>0</v>
      </c>
      <c r="D585" t="str">
        <f>IF(tbal[[#This Row],[DEBE]]+tbal[[#This Row],[HABER]]=0,"","X")</f>
        <v/>
      </c>
      <c r="E585" s="16">
        <f>SUMIF(tdiario[CUENTA],tbal[[#This Row],[CUENTA]],tdiario[DEBE])</f>
        <v>0</v>
      </c>
      <c r="F585" s="17">
        <f>SUMIF(tdiario[CUENTA],tbal[[#This Row],[CUENTA]],tdiario[HABER])</f>
        <v>0</v>
      </c>
      <c r="G585" s="16">
        <f>IF(tbal[[#This Row],[DEBE]]-tbal[[#This Row],[HABER]]&gt;0,tbal[[#This Row],[DEBE]]-tbal[[#This Row],[HABER]],0)</f>
        <v>0</v>
      </c>
      <c r="H585" s="18">
        <f>IF(tbal[[#This Row],[HABER]]-tbal[[#This Row],[DEBE]]&gt;0,tbal[[#This Row],[HABER]]-tbal[[#This Row],[DEBE]],0)</f>
        <v>0</v>
      </c>
      <c r="I585" s="16">
        <f>IF((OR(tbal[[#This Row],[X]]=1,tbal[[#This Row],[X]]=2)),tbal[[#This Row],[DEUDOR]],0)</f>
        <v>0</v>
      </c>
      <c r="J585" s="18">
        <f>IF((OR(tbal[[#This Row],[X]]=2,tbal[[#This Row],[X]]=3)),tbal[[#This Row],[ACREEDOR]],0)</f>
        <v>0</v>
      </c>
      <c r="K585" s="16">
        <f>IF((OR(tbal[[#This Row],[X]]=3,tbal[[#This Row],[X]]=5)),tbal[[#This Row],[DEUDOR]],0)</f>
        <v>0</v>
      </c>
      <c r="L585" s="18">
        <f>IF((OR(tbal[[#This Row],[X]]=3,tbal[[#This Row],[X]]=4)),tbal[[#This Row],[ACREEDOR]],0)</f>
        <v>0</v>
      </c>
      <c r="M585" s="16">
        <f>IF((OR(tbal[[#This Row],[X]]=0,tbal[[#This Row],[X]]=6)),tbal[[#This Row],[DEUDOR]],0)</f>
        <v>0</v>
      </c>
      <c r="N585" s="18">
        <f>IF((OR(tbal[[#This Row],[X]]=0,tbal[[#This Row],[X]]=5)),tbal[[#This Row],[ACREEDOR]],0)</f>
        <v>0</v>
      </c>
    </row>
    <row r="586" spans="1:14" hidden="1" x14ac:dyDescent="0.3">
      <c r="A586" s="14">
        <f>+'PLAN DE CUENTAS'!A586</f>
        <v>0</v>
      </c>
      <c r="B586" s="13">
        <f>+'PLAN DE CUENTAS'!B586</f>
        <v>0</v>
      </c>
      <c r="C586" s="13">
        <f>+'PLAN DE CUENTAS'!C586</f>
        <v>0</v>
      </c>
      <c r="D586" t="str">
        <f>IF(tbal[[#This Row],[DEBE]]+tbal[[#This Row],[HABER]]=0,"","X")</f>
        <v/>
      </c>
      <c r="E586" s="16">
        <f>SUMIF(tdiario[CUENTA],tbal[[#This Row],[CUENTA]],tdiario[DEBE])</f>
        <v>0</v>
      </c>
      <c r="F586" s="17">
        <f>SUMIF(tdiario[CUENTA],tbal[[#This Row],[CUENTA]],tdiario[HABER])</f>
        <v>0</v>
      </c>
      <c r="G586" s="16">
        <f>IF(tbal[[#This Row],[DEBE]]-tbal[[#This Row],[HABER]]&gt;0,tbal[[#This Row],[DEBE]]-tbal[[#This Row],[HABER]],0)</f>
        <v>0</v>
      </c>
      <c r="H586" s="18">
        <f>IF(tbal[[#This Row],[HABER]]-tbal[[#This Row],[DEBE]]&gt;0,tbal[[#This Row],[HABER]]-tbal[[#This Row],[DEBE]],0)</f>
        <v>0</v>
      </c>
      <c r="I586" s="16">
        <f>IF((OR(tbal[[#This Row],[X]]=1,tbal[[#This Row],[X]]=2)),tbal[[#This Row],[DEUDOR]],0)</f>
        <v>0</v>
      </c>
      <c r="J586" s="18">
        <f>IF((OR(tbal[[#This Row],[X]]=2,tbal[[#This Row],[X]]=3)),tbal[[#This Row],[ACREEDOR]],0)</f>
        <v>0</v>
      </c>
      <c r="K586" s="16">
        <f>IF((OR(tbal[[#This Row],[X]]=3,tbal[[#This Row],[X]]=5)),tbal[[#This Row],[DEUDOR]],0)</f>
        <v>0</v>
      </c>
      <c r="L586" s="18">
        <f>IF((OR(tbal[[#This Row],[X]]=3,tbal[[#This Row],[X]]=4)),tbal[[#This Row],[ACREEDOR]],0)</f>
        <v>0</v>
      </c>
      <c r="M586" s="16">
        <f>IF((OR(tbal[[#This Row],[X]]=0,tbal[[#This Row],[X]]=6)),tbal[[#This Row],[DEUDOR]],0)</f>
        <v>0</v>
      </c>
      <c r="N586" s="18">
        <f>IF((OR(tbal[[#This Row],[X]]=0,tbal[[#This Row],[X]]=5)),tbal[[#This Row],[ACREEDOR]],0)</f>
        <v>0</v>
      </c>
    </row>
    <row r="587" spans="1:14" hidden="1" x14ac:dyDescent="0.3">
      <c r="A587" s="14">
        <f>+'PLAN DE CUENTAS'!A587</f>
        <v>0</v>
      </c>
      <c r="B587" s="13">
        <f>+'PLAN DE CUENTAS'!B587</f>
        <v>0</v>
      </c>
      <c r="C587" s="13">
        <f>+'PLAN DE CUENTAS'!C587</f>
        <v>0</v>
      </c>
      <c r="D587" t="str">
        <f>IF(tbal[[#This Row],[DEBE]]+tbal[[#This Row],[HABER]]=0,"","X")</f>
        <v/>
      </c>
      <c r="E587" s="16">
        <f>SUMIF(tdiario[CUENTA],tbal[[#This Row],[CUENTA]],tdiario[DEBE])</f>
        <v>0</v>
      </c>
      <c r="F587" s="17">
        <f>SUMIF(tdiario[CUENTA],tbal[[#This Row],[CUENTA]],tdiario[HABER])</f>
        <v>0</v>
      </c>
      <c r="G587" s="16">
        <f>IF(tbal[[#This Row],[DEBE]]-tbal[[#This Row],[HABER]]&gt;0,tbal[[#This Row],[DEBE]]-tbal[[#This Row],[HABER]],0)</f>
        <v>0</v>
      </c>
      <c r="H587" s="18">
        <f>IF(tbal[[#This Row],[HABER]]-tbal[[#This Row],[DEBE]]&gt;0,tbal[[#This Row],[HABER]]-tbal[[#This Row],[DEBE]],0)</f>
        <v>0</v>
      </c>
      <c r="I587" s="16">
        <f>IF((OR(tbal[[#This Row],[X]]=1,tbal[[#This Row],[X]]=2)),tbal[[#This Row],[DEUDOR]],0)</f>
        <v>0</v>
      </c>
      <c r="J587" s="18">
        <f>IF((OR(tbal[[#This Row],[X]]=2,tbal[[#This Row],[X]]=3)),tbal[[#This Row],[ACREEDOR]],0)</f>
        <v>0</v>
      </c>
      <c r="K587" s="16">
        <f>IF((OR(tbal[[#This Row],[X]]=3,tbal[[#This Row],[X]]=5)),tbal[[#This Row],[DEUDOR]],0)</f>
        <v>0</v>
      </c>
      <c r="L587" s="18">
        <f>IF((OR(tbal[[#This Row],[X]]=3,tbal[[#This Row],[X]]=4)),tbal[[#This Row],[ACREEDOR]],0)</f>
        <v>0</v>
      </c>
      <c r="M587" s="16">
        <f>IF((OR(tbal[[#This Row],[X]]=0,tbal[[#This Row],[X]]=6)),tbal[[#This Row],[DEUDOR]],0)</f>
        <v>0</v>
      </c>
      <c r="N587" s="18">
        <f>IF((OR(tbal[[#This Row],[X]]=0,tbal[[#This Row],[X]]=5)),tbal[[#This Row],[ACREEDOR]],0)</f>
        <v>0</v>
      </c>
    </row>
    <row r="588" spans="1:14" hidden="1" x14ac:dyDescent="0.3">
      <c r="A588" s="14">
        <f>+'PLAN DE CUENTAS'!A588</f>
        <v>0</v>
      </c>
      <c r="B588" s="13">
        <f>+'PLAN DE CUENTAS'!B588</f>
        <v>0</v>
      </c>
      <c r="C588" s="13">
        <f>+'PLAN DE CUENTAS'!C588</f>
        <v>0</v>
      </c>
      <c r="D588" t="str">
        <f>IF(tbal[[#This Row],[DEBE]]+tbal[[#This Row],[HABER]]=0,"","X")</f>
        <v/>
      </c>
      <c r="E588" s="16">
        <f>SUMIF(tdiario[CUENTA],tbal[[#This Row],[CUENTA]],tdiario[DEBE])</f>
        <v>0</v>
      </c>
      <c r="F588" s="17">
        <f>SUMIF(tdiario[CUENTA],tbal[[#This Row],[CUENTA]],tdiario[HABER])</f>
        <v>0</v>
      </c>
      <c r="G588" s="16">
        <f>IF(tbal[[#This Row],[DEBE]]-tbal[[#This Row],[HABER]]&gt;0,tbal[[#This Row],[DEBE]]-tbal[[#This Row],[HABER]],0)</f>
        <v>0</v>
      </c>
      <c r="H588" s="18">
        <f>IF(tbal[[#This Row],[HABER]]-tbal[[#This Row],[DEBE]]&gt;0,tbal[[#This Row],[HABER]]-tbal[[#This Row],[DEBE]],0)</f>
        <v>0</v>
      </c>
      <c r="I588" s="16">
        <f>IF((OR(tbal[[#This Row],[X]]=1,tbal[[#This Row],[X]]=2)),tbal[[#This Row],[DEUDOR]],0)</f>
        <v>0</v>
      </c>
      <c r="J588" s="18">
        <f>IF((OR(tbal[[#This Row],[X]]=2,tbal[[#This Row],[X]]=3)),tbal[[#This Row],[ACREEDOR]],0)</f>
        <v>0</v>
      </c>
      <c r="K588" s="16">
        <f>IF((OR(tbal[[#This Row],[X]]=3,tbal[[#This Row],[X]]=5)),tbal[[#This Row],[DEUDOR]],0)</f>
        <v>0</v>
      </c>
      <c r="L588" s="18">
        <f>IF((OR(tbal[[#This Row],[X]]=3,tbal[[#This Row],[X]]=4)),tbal[[#This Row],[ACREEDOR]],0)</f>
        <v>0</v>
      </c>
      <c r="M588" s="16">
        <f>IF((OR(tbal[[#This Row],[X]]=0,tbal[[#This Row],[X]]=6)),tbal[[#This Row],[DEUDOR]],0)</f>
        <v>0</v>
      </c>
      <c r="N588" s="18">
        <f>IF((OR(tbal[[#This Row],[X]]=0,tbal[[#This Row],[X]]=5)),tbal[[#This Row],[ACREEDOR]],0)</f>
        <v>0</v>
      </c>
    </row>
    <row r="589" spans="1:14" hidden="1" x14ac:dyDescent="0.3">
      <c r="A589" s="14">
        <f>+'PLAN DE CUENTAS'!A589</f>
        <v>0</v>
      </c>
      <c r="B589" s="13">
        <f>+'PLAN DE CUENTAS'!B589</f>
        <v>0</v>
      </c>
      <c r="C589" s="13">
        <f>+'PLAN DE CUENTAS'!C589</f>
        <v>0</v>
      </c>
      <c r="D589" t="str">
        <f>IF(tbal[[#This Row],[DEBE]]+tbal[[#This Row],[HABER]]=0,"","X")</f>
        <v/>
      </c>
      <c r="E589" s="16">
        <f>SUMIF(tdiario[CUENTA],tbal[[#This Row],[CUENTA]],tdiario[DEBE])</f>
        <v>0</v>
      </c>
      <c r="F589" s="17">
        <f>SUMIF(tdiario[CUENTA],tbal[[#This Row],[CUENTA]],tdiario[HABER])</f>
        <v>0</v>
      </c>
      <c r="G589" s="16">
        <f>IF(tbal[[#This Row],[DEBE]]-tbal[[#This Row],[HABER]]&gt;0,tbal[[#This Row],[DEBE]]-tbal[[#This Row],[HABER]],0)</f>
        <v>0</v>
      </c>
      <c r="H589" s="18">
        <f>IF(tbal[[#This Row],[HABER]]-tbal[[#This Row],[DEBE]]&gt;0,tbal[[#This Row],[HABER]]-tbal[[#This Row],[DEBE]],0)</f>
        <v>0</v>
      </c>
      <c r="I589" s="16">
        <f>IF((OR(tbal[[#This Row],[X]]=1,tbal[[#This Row],[X]]=2)),tbal[[#This Row],[DEUDOR]],0)</f>
        <v>0</v>
      </c>
      <c r="J589" s="18">
        <f>IF((OR(tbal[[#This Row],[X]]=2,tbal[[#This Row],[X]]=3)),tbal[[#This Row],[ACREEDOR]],0)</f>
        <v>0</v>
      </c>
      <c r="K589" s="16">
        <f>IF((OR(tbal[[#This Row],[X]]=3,tbal[[#This Row],[X]]=5)),tbal[[#This Row],[DEUDOR]],0)</f>
        <v>0</v>
      </c>
      <c r="L589" s="18">
        <f>IF((OR(tbal[[#This Row],[X]]=3,tbal[[#This Row],[X]]=4)),tbal[[#This Row],[ACREEDOR]],0)</f>
        <v>0</v>
      </c>
      <c r="M589" s="16">
        <f>IF((OR(tbal[[#This Row],[X]]=0,tbal[[#This Row],[X]]=6)),tbal[[#This Row],[DEUDOR]],0)</f>
        <v>0</v>
      </c>
      <c r="N589" s="18">
        <f>IF((OR(tbal[[#This Row],[X]]=0,tbal[[#This Row],[X]]=5)),tbal[[#This Row],[ACREEDOR]],0)</f>
        <v>0</v>
      </c>
    </row>
    <row r="590" spans="1:14" hidden="1" x14ac:dyDescent="0.3">
      <c r="A590" s="14">
        <f>+'PLAN DE CUENTAS'!A590</f>
        <v>0</v>
      </c>
      <c r="B590" s="13">
        <f>+'PLAN DE CUENTAS'!B590</f>
        <v>0</v>
      </c>
      <c r="C590" s="13">
        <f>+'PLAN DE CUENTAS'!C590</f>
        <v>0</v>
      </c>
      <c r="D590" t="str">
        <f>IF(tbal[[#This Row],[DEBE]]+tbal[[#This Row],[HABER]]=0,"","X")</f>
        <v/>
      </c>
      <c r="E590" s="16">
        <f>SUMIF(tdiario[CUENTA],tbal[[#This Row],[CUENTA]],tdiario[DEBE])</f>
        <v>0</v>
      </c>
      <c r="F590" s="17">
        <f>SUMIF(tdiario[CUENTA],tbal[[#This Row],[CUENTA]],tdiario[HABER])</f>
        <v>0</v>
      </c>
      <c r="G590" s="16">
        <f>IF(tbal[[#This Row],[DEBE]]-tbal[[#This Row],[HABER]]&gt;0,tbal[[#This Row],[DEBE]]-tbal[[#This Row],[HABER]],0)</f>
        <v>0</v>
      </c>
      <c r="H590" s="18">
        <f>IF(tbal[[#This Row],[HABER]]-tbal[[#This Row],[DEBE]]&gt;0,tbal[[#This Row],[HABER]]-tbal[[#This Row],[DEBE]],0)</f>
        <v>0</v>
      </c>
      <c r="I590" s="16">
        <f>IF((OR(tbal[[#This Row],[X]]=1,tbal[[#This Row],[X]]=2)),tbal[[#This Row],[DEUDOR]],0)</f>
        <v>0</v>
      </c>
      <c r="J590" s="18">
        <f>IF((OR(tbal[[#This Row],[X]]=2,tbal[[#This Row],[X]]=3)),tbal[[#This Row],[ACREEDOR]],0)</f>
        <v>0</v>
      </c>
      <c r="K590" s="16">
        <f>IF((OR(tbal[[#This Row],[X]]=3,tbal[[#This Row],[X]]=5)),tbal[[#This Row],[DEUDOR]],0)</f>
        <v>0</v>
      </c>
      <c r="L590" s="18">
        <f>IF((OR(tbal[[#This Row],[X]]=3,tbal[[#This Row],[X]]=4)),tbal[[#This Row],[ACREEDOR]],0)</f>
        <v>0</v>
      </c>
      <c r="M590" s="16">
        <f>IF((OR(tbal[[#This Row],[X]]=0,tbal[[#This Row],[X]]=6)),tbal[[#This Row],[DEUDOR]],0)</f>
        <v>0</v>
      </c>
      <c r="N590" s="18">
        <f>IF((OR(tbal[[#This Row],[X]]=0,tbal[[#This Row],[X]]=5)),tbal[[#This Row],[ACREEDOR]],0)</f>
        <v>0</v>
      </c>
    </row>
    <row r="591" spans="1:14" hidden="1" x14ac:dyDescent="0.3">
      <c r="A591" s="14">
        <f>+'PLAN DE CUENTAS'!A591</f>
        <v>0</v>
      </c>
      <c r="B591" s="13">
        <f>+'PLAN DE CUENTAS'!B591</f>
        <v>0</v>
      </c>
      <c r="C591" s="13">
        <f>+'PLAN DE CUENTAS'!C591</f>
        <v>0</v>
      </c>
      <c r="D591" t="str">
        <f>IF(tbal[[#This Row],[DEBE]]+tbal[[#This Row],[HABER]]=0,"","X")</f>
        <v/>
      </c>
      <c r="E591" s="16">
        <f>SUMIF(tdiario[CUENTA],tbal[[#This Row],[CUENTA]],tdiario[DEBE])</f>
        <v>0</v>
      </c>
      <c r="F591" s="17">
        <f>SUMIF(tdiario[CUENTA],tbal[[#This Row],[CUENTA]],tdiario[HABER])</f>
        <v>0</v>
      </c>
      <c r="G591" s="16">
        <f>IF(tbal[[#This Row],[DEBE]]-tbal[[#This Row],[HABER]]&gt;0,tbal[[#This Row],[DEBE]]-tbal[[#This Row],[HABER]],0)</f>
        <v>0</v>
      </c>
      <c r="H591" s="18">
        <f>IF(tbal[[#This Row],[HABER]]-tbal[[#This Row],[DEBE]]&gt;0,tbal[[#This Row],[HABER]]-tbal[[#This Row],[DEBE]],0)</f>
        <v>0</v>
      </c>
      <c r="I591" s="16">
        <f>IF((OR(tbal[[#This Row],[X]]=1,tbal[[#This Row],[X]]=2)),tbal[[#This Row],[DEUDOR]],0)</f>
        <v>0</v>
      </c>
      <c r="J591" s="18">
        <f>IF((OR(tbal[[#This Row],[X]]=2,tbal[[#This Row],[X]]=3)),tbal[[#This Row],[ACREEDOR]],0)</f>
        <v>0</v>
      </c>
      <c r="K591" s="16">
        <f>IF((OR(tbal[[#This Row],[X]]=3,tbal[[#This Row],[X]]=5)),tbal[[#This Row],[DEUDOR]],0)</f>
        <v>0</v>
      </c>
      <c r="L591" s="18">
        <f>IF((OR(tbal[[#This Row],[X]]=3,tbal[[#This Row],[X]]=4)),tbal[[#This Row],[ACREEDOR]],0)</f>
        <v>0</v>
      </c>
      <c r="M591" s="16">
        <f>IF((OR(tbal[[#This Row],[X]]=0,tbal[[#This Row],[X]]=6)),tbal[[#This Row],[DEUDOR]],0)</f>
        <v>0</v>
      </c>
      <c r="N591" s="18">
        <f>IF((OR(tbal[[#This Row],[X]]=0,tbal[[#This Row],[X]]=5)),tbal[[#This Row],[ACREEDOR]],0)</f>
        <v>0</v>
      </c>
    </row>
    <row r="592" spans="1:14" hidden="1" x14ac:dyDescent="0.3">
      <c r="A592" s="14">
        <f>+'PLAN DE CUENTAS'!A592</f>
        <v>0</v>
      </c>
      <c r="B592" s="13">
        <f>+'PLAN DE CUENTAS'!B592</f>
        <v>0</v>
      </c>
      <c r="C592" s="13">
        <f>+'PLAN DE CUENTAS'!C592</f>
        <v>0</v>
      </c>
      <c r="D592" t="str">
        <f>IF(tbal[[#This Row],[DEBE]]+tbal[[#This Row],[HABER]]=0,"","X")</f>
        <v/>
      </c>
      <c r="E592" s="16">
        <f>SUMIF(tdiario[CUENTA],tbal[[#This Row],[CUENTA]],tdiario[DEBE])</f>
        <v>0</v>
      </c>
      <c r="F592" s="17">
        <f>SUMIF(tdiario[CUENTA],tbal[[#This Row],[CUENTA]],tdiario[HABER])</f>
        <v>0</v>
      </c>
      <c r="G592" s="16">
        <f>IF(tbal[[#This Row],[DEBE]]-tbal[[#This Row],[HABER]]&gt;0,tbal[[#This Row],[DEBE]]-tbal[[#This Row],[HABER]],0)</f>
        <v>0</v>
      </c>
      <c r="H592" s="18">
        <f>IF(tbal[[#This Row],[HABER]]-tbal[[#This Row],[DEBE]]&gt;0,tbal[[#This Row],[HABER]]-tbal[[#This Row],[DEBE]],0)</f>
        <v>0</v>
      </c>
      <c r="I592" s="16">
        <f>IF((OR(tbal[[#This Row],[X]]=1,tbal[[#This Row],[X]]=2)),tbal[[#This Row],[DEUDOR]],0)</f>
        <v>0</v>
      </c>
      <c r="J592" s="18">
        <f>IF((OR(tbal[[#This Row],[X]]=2,tbal[[#This Row],[X]]=3)),tbal[[#This Row],[ACREEDOR]],0)</f>
        <v>0</v>
      </c>
      <c r="K592" s="16">
        <f>IF((OR(tbal[[#This Row],[X]]=3,tbal[[#This Row],[X]]=5)),tbal[[#This Row],[DEUDOR]],0)</f>
        <v>0</v>
      </c>
      <c r="L592" s="18">
        <f>IF((OR(tbal[[#This Row],[X]]=3,tbal[[#This Row],[X]]=4)),tbal[[#This Row],[ACREEDOR]],0)</f>
        <v>0</v>
      </c>
      <c r="M592" s="16">
        <f>IF((OR(tbal[[#This Row],[X]]=0,tbal[[#This Row],[X]]=6)),tbal[[#This Row],[DEUDOR]],0)</f>
        <v>0</v>
      </c>
      <c r="N592" s="18">
        <f>IF((OR(tbal[[#This Row],[X]]=0,tbal[[#This Row],[X]]=5)),tbal[[#This Row],[ACREEDOR]],0)</f>
        <v>0</v>
      </c>
    </row>
    <row r="593" spans="1:14" hidden="1" x14ac:dyDescent="0.3">
      <c r="A593" s="14">
        <f>+'PLAN DE CUENTAS'!A593</f>
        <v>0</v>
      </c>
      <c r="B593" s="13">
        <f>+'PLAN DE CUENTAS'!B593</f>
        <v>0</v>
      </c>
      <c r="C593" s="13">
        <f>+'PLAN DE CUENTAS'!C593</f>
        <v>0</v>
      </c>
      <c r="D593" t="str">
        <f>IF(tbal[[#This Row],[DEBE]]+tbal[[#This Row],[HABER]]=0,"","X")</f>
        <v/>
      </c>
      <c r="E593" s="16">
        <f>SUMIF(tdiario[CUENTA],tbal[[#This Row],[CUENTA]],tdiario[DEBE])</f>
        <v>0</v>
      </c>
      <c r="F593" s="17">
        <f>SUMIF(tdiario[CUENTA],tbal[[#This Row],[CUENTA]],tdiario[HABER])</f>
        <v>0</v>
      </c>
      <c r="G593" s="16">
        <f>IF(tbal[[#This Row],[DEBE]]-tbal[[#This Row],[HABER]]&gt;0,tbal[[#This Row],[DEBE]]-tbal[[#This Row],[HABER]],0)</f>
        <v>0</v>
      </c>
      <c r="H593" s="18">
        <f>IF(tbal[[#This Row],[HABER]]-tbal[[#This Row],[DEBE]]&gt;0,tbal[[#This Row],[HABER]]-tbal[[#This Row],[DEBE]],0)</f>
        <v>0</v>
      </c>
      <c r="I593" s="16">
        <f>IF((OR(tbal[[#This Row],[X]]=1,tbal[[#This Row],[X]]=2)),tbal[[#This Row],[DEUDOR]],0)</f>
        <v>0</v>
      </c>
      <c r="J593" s="18">
        <f>IF((OR(tbal[[#This Row],[X]]=2,tbal[[#This Row],[X]]=3)),tbal[[#This Row],[ACREEDOR]],0)</f>
        <v>0</v>
      </c>
      <c r="K593" s="16">
        <f>IF((OR(tbal[[#This Row],[X]]=3,tbal[[#This Row],[X]]=5)),tbal[[#This Row],[DEUDOR]],0)</f>
        <v>0</v>
      </c>
      <c r="L593" s="18">
        <f>IF((OR(tbal[[#This Row],[X]]=3,tbal[[#This Row],[X]]=4)),tbal[[#This Row],[ACREEDOR]],0)</f>
        <v>0</v>
      </c>
      <c r="M593" s="16">
        <f>IF((OR(tbal[[#This Row],[X]]=0,tbal[[#This Row],[X]]=6)),tbal[[#This Row],[DEUDOR]],0)</f>
        <v>0</v>
      </c>
      <c r="N593" s="18">
        <f>IF((OR(tbal[[#This Row],[X]]=0,tbal[[#This Row],[X]]=5)),tbal[[#This Row],[ACREEDOR]],0)</f>
        <v>0</v>
      </c>
    </row>
    <row r="594" spans="1:14" hidden="1" x14ac:dyDescent="0.3">
      <c r="A594" s="14">
        <f>+'PLAN DE CUENTAS'!A594</f>
        <v>0</v>
      </c>
      <c r="B594" s="13">
        <f>+'PLAN DE CUENTAS'!B594</f>
        <v>0</v>
      </c>
      <c r="C594" s="13">
        <f>+'PLAN DE CUENTAS'!C594</f>
        <v>0</v>
      </c>
      <c r="D594" t="str">
        <f>IF(tbal[[#This Row],[DEBE]]+tbal[[#This Row],[HABER]]=0,"","X")</f>
        <v/>
      </c>
      <c r="E594" s="16">
        <f>SUMIF(tdiario[CUENTA],tbal[[#This Row],[CUENTA]],tdiario[DEBE])</f>
        <v>0</v>
      </c>
      <c r="F594" s="17">
        <f>SUMIF(tdiario[CUENTA],tbal[[#This Row],[CUENTA]],tdiario[HABER])</f>
        <v>0</v>
      </c>
      <c r="G594" s="16">
        <f>IF(tbal[[#This Row],[DEBE]]-tbal[[#This Row],[HABER]]&gt;0,tbal[[#This Row],[DEBE]]-tbal[[#This Row],[HABER]],0)</f>
        <v>0</v>
      </c>
      <c r="H594" s="18">
        <f>IF(tbal[[#This Row],[HABER]]-tbal[[#This Row],[DEBE]]&gt;0,tbal[[#This Row],[HABER]]-tbal[[#This Row],[DEBE]],0)</f>
        <v>0</v>
      </c>
      <c r="I594" s="16">
        <f>IF((OR(tbal[[#This Row],[X]]=1,tbal[[#This Row],[X]]=2)),tbal[[#This Row],[DEUDOR]],0)</f>
        <v>0</v>
      </c>
      <c r="J594" s="18">
        <f>IF((OR(tbal[[#This Row],[X]]=2,tbal[[#This Row],[X]]=3)),tbal[[#This Row],[ACREEDOR]],0)</f>
        <v>0</v>
      </c>
      <c r="K594" s="16">
        <f>IF((OR(tbal[[#This Row],[X]]=3,tbal[[#This Row],[X]]=5)),tbal[[#This Row],[DEUDOR]],0)</f>
        <v>0</v>
      </c>
      <c r="L594" s="18">
        <f>IF((OR(tbal[[#This Row],[X]]=3,tbal[[#This Row],[X]]=4)),tbal[[#This Row],[ACREEDOR]],0)</f>
        <v>0</v>
      </c>
      <c r="M594" s="16">
        <f>IF((OR(tbal[[#This Row],[X]]=0,tbal[[#This Row],[X]]=6)),tbal[[#This Row],[DEUDOR]],0)</f>
        <v>0</v>
      </c>
      <c r="N594" s="18">
        <f>IF((OR(tbal[[#This Row],[X]]=0,tbal[[#This Row],[X]]=5)),tbal[[#This Row],[ACREEDOR]],0)</f>
        <v>0</v>
      </c>
    </row>
    <row r="595" spans="1:14" hidden="1" x14ac:dyDescent="0.3">
      <c r="A595" s="14">
        <f>+'PLAN DE CUENTAS'!A595</f>
        <v>0</v>
      </c>
      <c r="B595" s="13">
        <f>+'PLAN DE CUENTAS'!B595</f>
        <v>0</v>
      </c>
      <c r="C595" s="13">
        <f>+'PLAN DE CUENTAS'!C595</f>
        <v>0</v>
      </c>
      <c r="D595" t="str">
        <f>IF(tbal[[#This Row],[DEBE]]+tbal[[#This Row],[HABER]]=0,"","X")</f>
        <v/>
      </c>
      <c r="E595" s="16">
        <f>SUMIF(tdiario[CUENTA],tbal[[#This Row],[CUENTA]],tdiario[DEBE])</f>
        <v>0</v>
      </c>
      <c r="F595" s="17">
        <f>SUMIF(tdiario[CUENTA],tbal[[#This Row],[CUENTA]],tdiario[HABER])</f>
        <v>0</v>
      </c>
      <c r="G595" s="16">
        <f>IF(tbal[[#This Row],[DEBE]]-tbal[[#This Row],[HABER]]&gt;0,tbal[[#This Row],[DEBE]]-tbal[[#This Row],[HABER]],0)</f>
        <v>0</v>
      </c>
      <c r="H595" s="18">
        <f>IF(tbal[[#This Row],[HABER]]-tbal[[#This Row],[DEBE]]&gt;0,tbal[[#This Row],[HABER]]-tbal[[#This Row],[DEBE]],0)</f>
        <v>0</v>
      </c>
      <c r="I595" s="16">
        <f>IF((OR(tbal[[#This Row],[X]]=1,tbal[[#This Row],[X]]=2)),tbal[[#This Row],[DEUDOR]],0)</f>
        <v>0</v>
      </c>
      <c r="J595" s="18">
        <f>IF((OR(tbal[[#This Row],[X]]=2,tbal[[#This Row],[X]]=3)),tbal[[#This Row],[ACREEDOR]],0)</f>
        <v>0</v>
      </c>
      <c r="K595" s="16">
        <f>IF((OR(tbal[[#This Row],[X]]=3,tbal[[#This Row],[X]]=5)),tbal[[#This Row],[DEUDOR]],0)</f>
        <v>0</v>
      </c>
      <c r="L595" s="18">
        <f>IF((OR(tbal[[#This Row],[X]]=3,tbal[[#This Row],[X]]=4)),tbal[[#This Row],[ACREEDOR]],0)</f>
        <v>0</v>
      </c>
      <c r="M595" s="16">
        <f>IF((OR(tbal[[#This Row],[X]]=0,tbal[[#This Row],[X]]=6)),tbal[[#This Row],[DEUDOR]],0)</f>
        <v>0</v>
      </c>
      <c r="N595" s="18">
        <f>IF((OR(tbal[[#This Row],[X]]=0,tbal[[#This Row],[X]]=5)),tbal[[#This Row],[ACREEDOR]],0)</f>
        <v>0</v>
      </c>
    </row>
    <row r="596" spans="1:14" hidden="1" x14ac:dyDescent="0.3">
      <c r="A596" s="14">
        <f>+'PLAN DE CUENTAS'!A596</f>
        <v>0</v>
      </c>
      <c r="B596" s="13">
        <f>+'PLAN DE CUENTAS'!B596</f>
        <v>0</v>
      </c>
      <c r="C596" s="13">
        <f>+'PLAN DE CUENTAS'!C596</f>
        <v>0</v>
      </c>
      <c r="D596" t="str">
        <f>IF(tbal[[#This Row],[DEBE]]+tbal[[#This Row],[HABER]]=0,"","X")</f>
        <v/>
      </c>
      <c r="E596" s="16">
        <f>SUMIF(tdiario[CUENTA],tbal[[#This Row],[CUENTA]],tdiario[DEBE])</f>
        <v>0</v>
      </c>
      <c r="F596" s="17">
        <f>SUMIF(tdiario[CUENTA],tbal[[#This Row],[CUENTA]],tdiario[HABER])</f>
        <v>0</v>
      </c>
      <c r="G596" s="16">
        <f>IF(tbal[[#This Row],[DEBE]]-tbal[[#This Row],[HABER]]&gt;0,tbal[[#This Row],[DEBE]]-tbal[[#This Row],[HABER]],0)</f>
        <v>0</v>
      </c>
      <c r="H596" s="18">
        <f>IF(tbal[[#This Row],[HABER]]-tbal[[#This Row],[DEBE]]&gt;0,tbal[[#This Row],[HABER]]-tbal[[#This Row],[DEBE]],0)</f>
        <v>0</v>
      </c>
      <c r="I596" s="16">
        <f>IF((OR(tbal[[#This Row],[X]]=1,tbal[[#This Row],[X]]=2)),tbal[[#This Row],[DEUDOR]],0)</f>
        <v>0</v>
      </c>
      <c r="J596" s="18">
        <f>IF((OR(tbal[[#This Row],[X]]=2,tbal[[#This Row],[X]]=3)),tbal[[#This Row],[ACREEDOR]],0)</f>
        <v>0</v>
      </c>
      <c r="K596" s="16">
        <f>IF((OR(tbal[[#This Row],[X]]=3,tbal[[#This Row],[X]]=5)),tbal[[#This Row],[DEUDOR]],0)</f>
        <v>0</v>
      </c>
      <c r="L596" s="18">
        <f>IF((OR(tbal[[#This Row],[X]]=3,tbal[[#This Row],[X]]=4)),tbal[[#This Row],[ACREEDOR]],0)</f>
        <v>0</v>
      </c>
      <c r="M596" s="16">
        <f>IF((OR(tbal[[#This Row],[X]]=0,tbal[[#This Row],[X]]=6)),tbal[[#This Row],[DEUDOR]],0)</f>
        <v>0</v>
      </c>
      <c r="N596" s="18">
        <f>IF((OR(tbal[[#This Row],[X]]=0,tbal[[#This Row],[X]]=5)),tbal[[#This Row],[ACREEDOR]],0)</f>
        <v>0</v>
      </c>
    </row>
    <row r="597" spans="1:14" hidden="1" x14ac:dyDescent="0.3">
      <c r="A597" s="14">
        <f>+'PLAN DE CUENTAS'!A597</f>
        <v>0</v>
      </c>
      <c r="B597" s="13">
        <f>+'PLAN DE CUENTAS'!B597</f>
        <v>0</v>
      </c>
      <c r="C597" s="13">
        <f>+'PLAN DE CUENTAS'!C597</f>
        <v>0</v>
      </c>
      <c r="D597" t="str">
        <f>IF(tbal[[#This Row],[DEBE]]+tbal[[#This Row],[HABER]]=0,"","X")</f>
        <v/>
      </c>
      <c r="E597" s="16">
        <f>SUMIF(tdiario[CUENTA],tbal[[#This Row],[CUENTA]],tdiario[DEBE])</f>
        <v>0</v>
      </c>
      <c r="F597" s="17">
        <f>SUMIF(tdiario[CUENTA],tbal[[#This Row],[CUENTA]],tdiario[HABER])</f>
        <v>0</v>
      </c>
      <c r="G597" s="16">
        <f>IF(tbal[[#This Row],[DEBE]]-tbal[[#This Row],[HABER]]&gt;0,tbal[[#This Row],[DEBE]]-tbal[[#This Row],[HABER]],0)</f>
        <v>0</v>
      </c>
      <c r="H597" s="18">
        <f>IF(tbal[[#This Row],[HABER]]-tbal[[#This Row],[DEBE]]&gt;0,tbal[[#This Row],[HABER]]-tbal[[#This Row],[DEBE]],0)</f>
        <v>0</v>
      </c>
      <c r="I597" s="16">
        <f>IF((OR(tbal[[#This Row],[X]]=1,tbal[[#This Row],[X]]=2)),tbal[[#This Row],[DEUDOR]],0)</f>
        <v>0</v>
      </c>
      <c r="J597" s="18">
        <f>IF((OR(tbal[[#This Row],[X]]=2,tbal[[#This Row],[X]]=3)),tbal[[#This Row],[ACREEDOR]],0)</f>
        <v>0</v>
      </c>
      <c r="K597" s="16">
        <f>IF((OR(tbal[[#This Row],[X]]=3,tbal[[#This Row],[X]]=5)),tbal[[#This Row],[DEUDOR]],0)</f>
        <v>0</v>
      </c>
      <c r="L597" s="18">
        <f>IF((OR(tbal[[#This Row],[X]]=3,tbal[[#This Row],[X]]=4)),tbal[[#This Row],[ACREEDOR]],0)</f>
        <v>0</v>
      </c>
      <c r="M597" s="16">
        <f>IF((OR(tbal[[#This Row],[X]]=0,tbal[[#This Row],[X]]=6)),tbal[[#This Row],[DEUDOR]],0)</f>
        <v>0</v>
      </c>
      <c r="N597" s="18">
        <f>IF((OR(tbal[[#This Row],[X]]=0,tbal[[#This Row],[X]]=5)),tbal[[#This Row],[ACREEDOR]],0)</f>
        <v>0</v>
      </c>
    </row>
    <row r="598" spans="1:14" hidden="1" x14ac:dyDescent="0.3">
      <c r="A598" s="14">
        <f>+'PLAN DE CUENTAS'!A598</f>
        <v>0</v>
      </c>
      <c r="B598" s="13">
        <f>+'PLAN DE CUENTAS'!B598</f>
        <v>0</v>
      </c>
      <c r="C598" s="13">
        <f>+'PLAN DE CUENTAS'!C598</f>
        <v>0</v>
      </c>
      <c r="D598" t="str">
        <f>IF(tbal[[#This Row],[DEBE]]+tbal[[#This Row],[HABER]]=0,"","X")</f>
        <v/>
      </c>
      <c r="E598" s="16">
        <f>SUMIF(tdiario[CUENTA],tbal[[#This Row],[CUENTA]],tdiario[DEBE])</f>
        <v>0</v>
      </c>
      <c r="F598" s="17">
        <f>SUMIF(tdiario[CUENTA],tbal[[#This Row],[CUENTA]],tdiario[HABER])</f>
        <v>0</v>
      </c>
      <c r="G598" s="16">
        <f>IF(tbal[[#This Row],[DEBE]]-tbal[[#This Row],[HABER]]&gt;0,tbal[[#This Row],[DEBE]]-tbal[[#This Row],[HABER]],0)</f>
        <v>0</v>
      </c>
      <c r="H598" s="18">
        <f>IF(tbal[[#This Row],[HABER]]-tbal[[#This Row],[DEBE]]&gt;0,tbal[[#This Row],[HABER]]-tbal[[#This Row],[DEBE]],0)</f>
        <v>0</v>
      </c>
      <c r="I598" s="16">
        <f>IF((OR(tbal[[#This Row],[X]]=1,tbal[[#This Row],[X]]=2)),tbal[[#This Row],[DEUDOR]],0)</f>
        <v>0</v>
      </c>
      <c r="J598" s="18">
        <f>IF((OR(tbal[[#This Row],[X]]=2,tbal[[#This Row],[X]]=3)),tbal[[#This Row],[ACREEDOR]],0)</f>
        <v>0</v>
      </c>
      <c r="K598" s="16">
        <f>IF((OR(tbal[[#This Row],[X]]=3,tbal[[#This Row],[X]]=5)),tbal[[#This Row],[DEUDOR]],0)</f>
        <v>0</v>
      </c>
      <c r="L598" s="18">
        <f>IF((OR(tbal[[#This Row],[X]]=3,tbal[[#This Row],[X]]=4)),tbal[[#This Row],[ACREEDOR]],0)</f>
        <v>0</v>
      </c>
      <c r="M598" s="16">
        <f>IF((OR(tbal[[#This Row],[X]]=0,tbal[[#This Row],[X]]=6)),tbal[[#This Row],[DEUDOR]],0)</f>
        <v>0</v>
      </c>
      <c r="N598" s="18">
        <f>IF((OR(tbal[[#This Row],[X]]=0,tbal[[#This Row],[X]]=5)),tbal[[#This Row],[ACREEDOR]],0)</f>
        <v>0</v>
      </c>
    </row>
    <row r="599" spans="1:14" hidden="1" x14ac:dyDescent="0.3">
      <c r="A599" s="14">
        <f>+'PLAN DE CUENTAS'!A599</f>
        <v>0</v>
      </c>
      <c r="B599" s="13">
        <f>+'PLAN DE CUENTAS'!B599</f>
        <v>0</v>
      </c>
      <c r="C599" s="13">
        <f>+'PLAN DE CUENTAS'!C599</f>
        <v>0</v>
      </c>
      <c r="D599" t="str">
        <f>IF(tbal[[#This Row],[DEBE]]+tbal[[#This Row],[HABER]]=0,"","X")</f>
        <v/>
      </c>
      <c r="E599" s="16">
        <f>SUMIF(tdiario[CUENTA],tbal[[#This Row],[CUENTA]],tdiario[DEBE])</f>
        <v>0</v>
      </c>
      <c r="F599" s="17">
        <f>SUMIF(tdiario[CUENTA],tbal[[#This Row],[CUENTA]],tdiario[HABER])</f>
        <v>0</v>
      </c>
      <c r="G599" s="16">
        <f>IF(tbal[[#This Row],[DEBE]]-tbal[[#This Row],[HABER]]&gt;0,tbal[[#This Row],[DEBE]]-tbal[[#This Row],[HABER]],0)</f>
        <v>0</v>
      </c>
      <c r="H599" s="18">
        <f>IF(tbal[[#This Row],[HABER]]-tbal[[#This Row],[DEBE]]&gt;0,tbal[[#This Row],[HABER]]-tbal[[#This Row],[DEBE]],0)</f>
        <v>0</v>
      </c>
      <c r="I599" s="16">
        <f>IF((OR(tbal[[#This Row],[X]]=1,tbal[[#This Row],[X]]=2)),tbal[[#This Row],[DEUDOR]],0)</f>
        <v>0</v>
      </c>
      <c r="J599" s="18">
        <f>IF((OR(tbal[[#This Row],[X]]=2,tbal[[#This Row],[X]]=3)),tbal[[#This Row],[ACREEDOR]],0)</f>
        <v>0</v>
      </c>
      <c r="K599" s="16">
        <f>IF((OR(tbal[[#This Row],[X]]=3,tbal[[#This Row],[X]]=5)),tbal[[#This Row],[DEUDOR]],0)</f>
        <v>0</v>
      </c>
      <c r="L599" s="18">
        <f>IF((OR(tbal[[#This Row],[X]]=3,tbal[[#This Row],[X]]=4)),tbal[[#This Row],[ACREEDOR]],0)</f>
        <v>0</v>
      </c>
      <c r="M599" s="16">
        <f>IF((OR(tbal[[#This Row],[X]]=0,tbal[[#This Row],[X]]=6)),tbal[[#This Row],[DEUDOR]],0)</f>
        <v>0</v>
      </c>
      <c r="N599" s="18">
        <f>IF((OR(tbal[[#This Row],[X]]=0,tbal[[#This Row],[X]]=5)),tbal[[#This Row],[ACREEDOR]],0)</f>
        <v>0</v>
      </c>
    </row>
    <row r="600" spans="1:14" hidden="1" x14ac:dyDescent="0.3">
      <c r="A600" s="14">
        <f>+'PLAN DE CUENTAS'!A600</f>
        <v>0</v>
      </c>
      <c r="B600" s="13">
        <f>+'PLAN DE CUENTAS'!B600</f>
        <v>0</v>
      </c>
      <c r="C600" s="13">
        <f>+'PLAN DE CUENTAS'!C600</f>
        <v>0</v>
      </c>
      <c r="D600" t="str">
        <f>IF(tbal[[#This Row],[DEBE]]+tbal[[#This Row],[HABER]]=0,"","X")</f>
        <v/>
      </c>
      <c r="E600" s="16">
        <f>SUMIF(tdiario[CUENTA],tbal[[#This Row],[CUENTA]],tdiario[DEBE])</f>
        <v>0</v>
      </c>
      <c r="F600" s="17">
        <f>SUMIF(tdiario[CUENTA],tbal[[#This Row],[CUENTA]],tdiario[HABER])</f>
        <v>0</v>
      </c>
      <c r="G600" s="16">
        <f>IF(tbal[[#This Row],[DEBE]]-tbal[[#This Row],[HABER]]&gt;0,tbal[[#This Row],[DEBE]]-tbal[[#This Row],[HABER]],0)</f>
        <v>0</v>
      </c>
      <c r="H600" s="18">
        <f>IF(tbal[[#This Row],[HABER]]-tbal[[#This Row],[DEBE]]&gt;0,tbal[[#This Row],[HABER]]-tbal[[#This Row],[DEBE]],0)</f>
        <v>0</v>
      </c>
      <c r="I600" s="16">
        <f>IF((OR(tbal[[#This Row],[X]]=1,tbal[[#This Row],[X]]=2)),tbal[[#This Row],[DEUDOR]],0)</f>
        <v>0</v>
      </c>
      <c r="J600" s="18">
        <f>IF((OR(tbal[[#This Row],[X]]=2,tbal[[#This Row],[X]]=3)),tbal[[#This Row],[ACREEDOR]],0)</f>
        <v>0</v>
      </c>
      <c r="K600" s="16">
        <f>IF((OR(tbal[[#This Row],[X]]=3,tbal[[#This Row],[X]]=5)),tbal[[#This Row],[DEUDOR]],0)</f>
        <v>0</v>
      </c>
      <c r="L600" s="18">
        <f>IF((OR(tbal[[#This Row],[X]]=3,tbal[[#This Row],[X]]=4)),tbal[[#This Row],[ACREEDOR]],0)</f>
        <v>0</v>
      </c>
      <c r="M600" s="16">
        <f>IF((OR(tbal[[#This Row],[X]]=0,tbal[[#This Row],[X]]=6)),tbal[[#This Row],[DEUDOR]],0)</f>
        <v>0</v>
      </c>
      <c r="N600" s="18">
        <f>IF((OR(tbal[[#This Row],[X]]=0,tbal[[#This Row],[X]]=5)),tbal[[#This Row],[ACREEDOR]],0)</f>
        <v>0</v>
      </c>
    </row>
    <row r="601" spans="1:14" hidden="1" x14ac:dyDescent="0.3">
      <c r="A601" s="14">
        <f>+'PLAN DE CUENTAS'!A601</f>
        <v>0</v>
      </c>
      <c r="B601" s="13">
        <f>+'PLAN DE CUENTAS'!B601</f>
        <v>0</v>
      </c>
      <c r="C601" s="13">
        <f>+'PLAN DE CUENTAS'!C601</f>
        <v>0</v>
      </c>
      <c r="D601" t="str">
        <f>IF(tbal[[#This Row],[DEBE]]+tbal[[#This Row],[HABER]]=0,"","X")</f>
        <v/>
      </c>
      <c r="E601" s="16">
        <f>SUMIF(tdiario[CUENTA],tbal[[#This Row],[CUENTA]],tdiario[DEBE])</f>
        <v>0</v>
      </c>
      <c r="F601" s="17">
        <f>SUMIF(tdiario[CUENTA],tbal[[#This Row],[CUENTA]],tdiario[HABER])</f>
        <v>0</v>
      </c>
      <c r="G601" s="16">
        <f>IF(tbal[[#This Row],[DEBE]]-tbal[[#This Row],[HABER]]&gt;0,tbal[[#This Row],[DEBE]]-tbal[[#This Row],[HABER]],0)</f>
        <v>0</v>
      </c>
      <c r="H601" s="18">
        <f>IF(tbal[[#This Row],[HABER]]-tbal[[#This Row],[DEBE]]&gt;0,tbal[[#This Row],[HABER]]-tbal[[#This Row],[DEBE]],0)</f>
        <v>0</v>
      </c>
      <c r="I601" s="16">
        <f>IF((OR(tbal[[#This Row],[X]]=1,tbal[[#This Row],[X]]=2)),tbal[[#This Row],[DEUDOR]],0)</f>
        <v>0</v>
      </c>
      <c r="J601" s="18">
        <f>IF((OR(tbal[[#This Row],[X]]=2,tbal[[#This Row],[X]]=3)),tbal[[#This Row],[ACREEDOR]],0)</f>
        <v>0</v>
      </c>
      <c r="K601" s="16">
        <f>IF((OR(tbal[[#This Row],[X]]=3,tbal[[#This Row],[X]]=5)),tbal[[#This Row],[DEUDOR]],0)</f>
        <v>0</v>
      </c>
      <c r="L601" s="18">
        <f>IF((OR(tbal[[#This Row],[X]]=3,tbal[[#This Row],[X]]=4)),tbal[[#This Row],[ACREEDOR]],0)</f>
        <v>0</v>
      </c>
      <c r="M601" s="16">
        <f>IF((OR(tbal[[#This Row],[X]]=0,tbal[[#This Row],[X]]=6)),tbal[[#This Row],[DEUDOR]],0)</f>
        <v>0</v>
      </c>
      <c r="N601" s="18">
        <f>IF((OR(tbal[[#This Row],[X]]=0,tbal[[#This Row],[X]]=5)),tbal[[#This Row],[ACREEDOR]],0)</f>
        <v>0</v>
      </c>
    </row>
    <row r="602" spans="1:14" hidden="1" x14ac:dyDescent="0.3">
      <c r="A602" s="14">
        <f>+'PLAN DE CUENTAS'!A602</f>
        <v>0</v>
      </c>
      <c r="B602" s="13">
        <f>+'PLAN DE CUENTAS'!B602</f>
        <v>0</v>
      </c>
      <c r="C602" s="13">
        <f>+'PLAN DE CUENTAS'!C602</f>
        <v>0</v>
      </c>
      <c r="D602" t="str">
        <f>IF(tbal[[#This Row],[DEBE]]+tbal[[#This Row],[HABER]]=0,"","X")</f>
        <v/>
      </c>
      <c r="E602" s="16">
        <f>SUMIF(tdiario[CUENTA],tbal[[#This Row],[CUENTA]],tdiario[DEBE])</f>
        <v>0</v>
      </c>
      <c r="F602" s="17">
        <f>SUMIF(tdiario[CUENTA],tbal[[#This Row],[CUENTA]],tdiario[HABER])</f>
        <v>0</v>
      </c>
      <c r="G602" s="16">
        <f>IF(tbal[[#This Row],[DEBE]]-tbal[[#This Row],[HABER]]&gt;0,tbal[[#This Row],[DEBE]]-tbal[[#This Row],[HABER]],0)</f>
        <v>0</v>
      </c>
      <c r="H602" s="18">
        <f>IF(tbal[[#This Row],[HABER]]-tbal[[#This Row],[DEBE]]&gt;0,tbal[[#This Row],[HABER]]-tbal[[#This Row],[DEBE]],0)</f>
        <v>0</v>
      </c>
      <c r="I602" s="16">
        <f>IF((OR(tbal[[#This Row],[X]]=1,tbal[[#This Row],[X]]=2)),tbal[[#This Row],[DEUDOR]],0)</f>
        <v>0</v>
      </c>
      <c r="J602" s="18">
        <f>IF((OR(tbal[[#This Row],[X]]=2,tbal[[#This Row],[X]]=3)),tbal[[#This Row],[ACREEDOR]],0)</f>
        <v>0</v>
      </c>
      <c r="K602" s="16">
        <f>IF((OR(tbal[[#This Row],[X]]=3,tbal[[#This Row],[X]]=5)),tbal[[#This Row],[DEUDOR]],0)</f>
        <v>0</v>
      </c>
      <c r="L602" s="18">
        <f>IF((OR(tbal[[#This Row],[X]]=3,tbal[[#This Row],[X]]=4)),tbal[[#This Row],[ACREEDOR]],0)</f>
        <v>0</v>
      </c>
      <c r="M602" s="16">
        <f>IF((OR(tbal[[#This Row],[X]]=0,tbal[[#This Row],[X]]=6)),tbal[[#This Row],[DEUDOR]],0)</f>
        <v>0</v>
      </c>
      <c r="N602" s="18">
        <f>IF((OR(tbal[[#This Row],[X]]=0,tbal[[#This Row],[X]]=5)),tbal[[#This Row],[ACREEDOR]],0)</f>
        <v>0</v>
      </c>
    </row>
    <row r="603" spans="1:14" hidden="1" x14ac:dyDescent="0.3">
      <c r="A603" s="14">
        <f>+'PLAN DE CUENTAS'!A603</f>
        <v>0</v>
      </c>
      <c r="B603" s="13">
        <f>+'PLAN DE CUENTAS'!B603</f>
        <v>0</v>
      </c>
      <c r="C603" s="13">
        <f>+'PLAN DE CUENTAS'!C603</f>
        <v>0</v>
      </c>
      <c r="D603" t="str">
        <f>IF(tbal[[#This Row],[DEBE]]+tbal[[#This Row],[HABER]]=0,"","X")</f>
        <v/>
      </c>
      <c r="E603" s="16">
        <f>SUMIF(tdiario[CUENTA],tbal[[#This Row],[CUENTA]],tdiario[DEBE])</f>
        <v>0</v>
      </c>
      <c r="F603" s="17">
        <f>SUMIF(tdiario[CUENTA],tbal[[#This Row],[CUENTA]],tdiario[HABER])</f>
        <v>0</v>
      </c>
      <c r="G603" s="16">
        <f>IF(tbal[[#This Row],[DEBE]]-tbal[[#This Row],[HABER]]&gt;0,tbal[[#This Row],[DEBE]]-tbal[[#This Row],[HABER]],0)</f>
        <v>0</v>
      </c>
      <c r="H603" s="18">
        <f>IF(tbal[[#This Row],[HABER]]-tbal[[#This Row],[DEBE]]&gt;0,tbal[[#This Row],[HABER]]-tbal[[#This Row],[DEBE]],0)</f>
        <v>0</v>
      </c>
      <c r="I603" s="16">
        <f>IF((OR(tbal[[#This Row],[X]]=1,tbal[[#This Row],[X]]=2)),tbal[[#This Row],[DEUDOR]],0)</f>
        <v>0</v>
      </c>
      <c r="J603" s="18">
        <f>IF((OR(tbal[[#This Row],[X]]=2,tbal[[#This Row],[X]]=3)),tbal[[#This Row],[ACREEDOR]],0)</f>
        <v>0</v>
      </c>
      <c r="K603" s="16">
        <f>IF((OR(tbal[[#This Row],[X]]=3,tbal[[#This Row],[X]]=5)),tbal[[#This Row],[DEUDOR]],0)</f>
        <v>0</v>
      </c>
      <c r="L603" s="18">
        <f>IF((OR(tbal[[#This Row],[X]]=3,tbal[[#This Row],[X]]=4)),tbal[[#This Row],[ACREEDOR]],0)</f>
        <v>0</v>
      </c>
      <c r="M603" s="16">
        <f>IF((OR(tbal[[#This Row],[X]]=0,tbal[[#This Row],[X]]=6)),tbal[[#This Row],[DEUDOR]],0)</f>
        <v>0</v>
      </c>
      <c r="N603" s="18">
        <f>IF((OR(tbal[[#This Row],[X]]=0,tbal[[#This Row],[X]]=5)),tbal[[#This Row],[ACREEDOR]],0)</f>
        <v>0</v>
      </c>
    </row>
    <row r="604" spans="1:14" hidden="1" x14ac:dyDescent="0.3">
      <c r="A604" s="14">
        <f>+'PLAN DE CUENTAS'!A604</f>
        <v>0</v>
      </c>
      <c r="B604" s="13">
        <f>+'PLAN DE CUENTAS'!B604</f>
        <v>0</v>
      </c>
      <c r="C604" s="13">
        <f>+'PLAN DE CUENTAS'!C604</f>
        <v>0</v>
      </c>
      <c r="D604" t="str">
        <f>IF(tbal[[#This Row],[DEBE]]+tbal[[#This Row],[HABER]]=0,"","X")</f>
        <v/>
      </c>
      <c r="E604" s="16">
        <f>SUMIF(tdiario[CUENTA],tbal[[#This Row],[CUENTA]],tdiario[DEBE])</f>
        <v>0</v>
      </c>
      <c r="F604" s="17">
        <f>SUMIF(tdiario[CUENTA],tbal[[#This Row],[CUENTA]],tdiario[HABER])</f>
        <v>0</v>
      </c>
      <c r="G604" s="16">
        <f>IF(tbal[[#This Row],[DEBE]]-tbal[[#This Row],[HABER]]&gt;0,tbal[[#This Row],[DEBE]]-tbal[[#This Row],[HABER]],0)</f>
        <v>0</v>
      </c>
      <c r="H604" s="18">
        <f>IF(tbal[[#This Row],[HABER]]-tbal[[#This Row],[DEBE]]&gt;0,tbal[[#This Row],[HABER]]-tbal[[#This Row],[DEBE]],0)</f>
        <v>0</v>
      </c>
      <c r="I604" s="16">
        <f>IF((OR(tbal[[#This Row],[X]]=1,tbal[[#This Row],[X]]=2)),tbal[[#This Row],[DEUDOR]],0)</f>
        <v>0</v>
      </c>
      <c r="J604" s="18">
        <f>IF((OR(tbal[[#This Row],[X]]=2,tbal[[#This Row],[X]]=3)),tbal[[#This Row],[ACREEDOR]],0)</f>
        <v>0</v>
      </c>
      <c r="K604" s="16">
        <f>IF((OR(tbal[[#This Row],[X]]=3,tbal[[#This Row],[X]]=5)),tbal[[#This Row],[DEUDOR]],0)</f>
        <v>0</v>
      </c>
      <c r="L604" s="18">
        <f>IF((OR(tbal[[#This Row],[X]]=3,tbal[[#This Row],[X]]=4)),tbal[[#This Row],[ACREEDOR]],0)</f>
        <v>0</v>
      </c>
      <c r="M604" s="16">
        <f>IF((OR(tbal[[#This Row],[X]]=0,tbal[[#This Row],[X]]=6)),tbal[[#This Row],[DEUDOR]],0)</f>
        <v>0</v>
      </c>
      <c r="N604" s="18">
        <f>IF((OR(tbal[[#This Row],[X]]=0,tbal[[#This Row],[X]]=5)),tbal[[#This Row],[ACREEDOR]],0)</f>
        <v>0</v>
      </c>
    </row>
    <row r="605" spans="1:14" hidden="1" x14ac:dyDescent="0.3">
      <c r="A605" s="14">
        <f>+'PLAN DE CUENTAS'!A605</f>
        <v>0</v>
      </c>
      <c r="B605" s="13">
        <f>+'PLAN DE CUENTAS'!B605</f>
        <v>0</v>
      </c>
      <c r="C605" s="13">
        <f>+'PLAN DE CUENTAS'!C605</f>
        <v>0</v>
      </c>
      <c r="D605" t="str">
        <f>IF(tbal[[#This Row],[DEBE]]+tbal[[#This Row],[HABER]]=0,"","X")</f>
        <v/>
      </c>
      <c r="E605" s="16">
        <f>SUMIF(tdiario[CUENTA],tbal[[#This Row],[CUENTA]],tdiario[DEBE])</f>
        <v>0</v>
      </c>
      <c r="F605" s="17">
        <f>SUMIF(tdiario[CUENTA],tbal[[#This Row],[CUENTA]],tdiario[HABER])</f>
        <v>0</v>
      </c>
      <c r="G605" s="16">
        <f>IF(tbal[[#This Row],[DEBE]]-tbal[[#This Row],[HABER]]&gt;0,tbal[[#This Row],[DEBE]]-tbal[[#This Row],[HABER]],0)</f>
        <v>0</v>
      </c>
      <c r="H605" s="18">
        <f>IF(tbal[[#This Row],[HABER]]-tbal[[#This Row],[DEBE]]&gt;0,tbal[[#This Row],[HABER]]-tbal[[#This Row],[DEBE]],0)</f>
        <v>0</v>
      </c>
      <c r="I605" s="16">
        <f>IF((OR(tbal[[#This Row],[X]]=1,tbal[[#This Row],[X]]=2)),tbal[[#This Row],[DEUDOR]],0)</f>
        <v>0</v>
      </c>
      <c r="J605" s="18">
        <f>IF((OR(tbal[[#This Row],[X]]=2,tbal[[#This Row],[X]]=3)),tbal[[#This Row],[ACREEDOR]],0)</f>
        <v>0</v>
      </c>
      <c r="K605" s="16">
        <f>IF((OR(tbal[[#This Row],[X]]=3,tbal[[#This Row],[X]]=5)),tbal[[#This Row],[DEUDOR]],0)</f>
        <v>0</v>
      </c>
      <c r="L605" s="18">
        <f>IF((OR(tbal[[#This Row],[X]]=3,tbal[[#This Row],[X]]=4)),tbal[[#This Row],[ACREEDOR]],0)</f>
        <v>0</v>
      </c>
      <c r="M605" s="16">
        <f>IF((OR(tbal[[#This Row],[X]]=0,tbal[[#This Row],[X]]=6)),tbal[[#This Row],[DEUDOR]],0)</f>
        <v>0</v>
      </c>
      <c r="N605" s="18">
        <f>IF((OR(tbal[[#This Row],[X]]=0,tbal[[#This Row],[X]]=5)),tbal[[#This Row],[ACREEDOR]],0)</f>
        <v>0</v>
      </c>
    </row>
    <row r="606" spans="1:14" hidden="1" x14ac:dyDescent="0.3">
      <c r="A606" s="14">
        <f>+'PLAN DE CUENTAS'!A606</f>
        <v>0</v>
      </c>
      <c r="B606" s="13">
        <f>+'PLAN DE CUENTAS'!B606</f>
        <v>0</v>
      </c>
      <c r="C606" s="13">
        <f>+'PLAN DE CUENTAS'!C606</f>
        <v>0</v>
      </c>
      <c r="D606" t="str">
        <f>IF(tbal[[#This Row],[DEBE]]+tbal[[#This Row],[HABER]]=0,"","X")</f>
        <v/>
      </c>
      <c r="E606" s="16">
        <f>SUMIF(tdiario[CUENTA],tbal[[#This Row],[CUENTA]],tdiario[DEBE])</f>
        <v>0</v>
      </c>
      <c r="F606" s="17">
        <f>SUMIF(tdiario[CUENTA],tbal[[#This Row],[CUENTA]],tdiario[HABER])</f>
        <v>0</v>
      </c>
      <c r="G606" s="16">
        <f>IF(tbal[[#This Row],[DEBE]]-tbal[[#This Row],[HABER]]&gt;0,tbal[[#This Row],[DEBE]]-tbal[[#This Row],[HABER]],0)</f>
        <v>0</v>
      </c>
      <c r="H606" s="18">
        <f>IF(tbal[[#This Row],[HABER]]-tbal[[#This Row],[DEBE]]&gt;0,tbal[[#This Row],[HABER]]-tbal[[#This Row],[DEBE]],0)</f>
        <v>0</v>
      </c>
      <c r="I606" s="16">
        <f>IF((OR(tbal[[#This Row],[X]]=1,tbal[[#This Row],[X]]=2)),tbal[[#This Row],[DEUDOR]],0)</f>
        <v>0</v>
      </c>
      <c r="J606" s="18">
        <f>IF((OR(tbal[[#This Row],[X]]=2,tbal[[#This Row],[X]]=3)),tbal[[#This Row],[ACREEDOR]],0)</f>
        <v>0</v>
      </c>
      <c r="K606" s="16">
        <f>IF((OR(tbal[[#This Row],[X]]=3,tbal[[#This Row],[X]]=5)),tbal[[#This Row],[DEUDOR]],0)</f>
        <v>0</v>
      </c>
      <c r="L606" s="18">
        <f>IF((OR(tbal[[#This Row],[X]]=3,tbal[[#This Row],[X]]=4)),tbal[[#This Row],[ACREEDOR]],0)</f>
        <v>0</v>
      </c>
      <c r="M606" s="16">
        <f>IF((OR(tbal[[#This Row],[X]]=0,tbal[[#This Row],[X]]=6)),tbal[[#This Row],[DEUDOR]],0)</f>
        <v>0</v>
      </c>
      <c r="N606" s="18">
        <f>IF((OR(tbal[[#This Row],[X]]=0,tbal[[#This Row],[X]]=5)),tbal[[#This Row],[ACREEDOR]],0)</f>
        <v>0</v>
      </c>
    </row>
    <row r="607" spans="1:14" hidden="1" x14ac:dyDescent="0.3">
      <c r="A607" s="14">
        <f>+'PLAN DE CUENTAS'!A607</f>
        <v>0</v>
      </c>
      <c r="B607" s="13">
        <f>+'PLAN DE CUENTAS'!B607</f>
        <v>0</v>
      </c>
      <c r="C607" s="13">
        <f>+'PLAN DE CUENTAS'!C607</f>
        <v>0</v>
      </c>
      <c r="D607" t="str">
        <f>IF(tbal[[#This Row],[DEBE]]+tbal[[#This Row],[HABER]]=0,"","X")</f>
        <v/>
      </c>
      <c r="E607" s="16">
        <f>SUMIF(tdiario[CUENTA],tbal[[#This Row],[CUENTA]],tdiario[DEBE])</f>
        <v>0</v>
      </c>
      <c r="F607" s="17">
        <f>SUMIF(tdiario[CUENTA],tbal[[#This Row],[CUENTA]],tdiario[HABER])</f>
        <v>0</v>
      </c>
      <c r="G607" s="16">
        <f>IF(tbal[[#This Row],[DEBE]]-tbal[[#This Row],[HABER]]&gt;0,tbal[[#This Row],[DEBE]]-tbal[[#This Row],[HABER]],0)</f>
        <v>0</v>
      </c>
      <c r="H607" s="18">
        <f>IF(tbal[[#This Row],[HABER]]-tbal[[#This Row],[DEBE]]&gt;0,tbal[[#This Row],[HABER]]-tbal[[#This Row],[DEBE]],0)</f>
        <v>0</v>
      </c>
      <c r="I607" s="16">
        <f>IF((OR(tbal[[#This Row],[X]]=1,tbal[[#This Row],[X]]=2)),tbal[[#This Row],[DEUDOR]],0)</f>
        <v>0</v>
      </c>
      <c r="J607" s="18">
        <f>IF((OR(tbal[[#This Row],[X]]=2,tbal[[#This Row],[X]]=3)),tbal[[#This Row],[ACREEDOR]],0)</f>
        <v>0</v>
      </c>
      <c r="K607" s="16">
        <f>IF((OR(tbal[[#This Row],[X]]=3,tbal[[#This Row],[X]]=5)),tbal[[#This Row],[DEUDOR]],0)</f>
        <v>0</v>
      </c>
      <c r="L607" s="18">
        <f>IF((OR(tbal[[#This Row],[X]]=3,tbal[[#This Row],[X]]=4)),tbal[[#This Row],[ACREEDOR]],0)</f>
        <v>0</v>
      </c>
      <c r="M607" s="16">
        <f>IF((OR(tbal[[#This Row],[X]]=0,tbal[[#This Row],[X]]=6)),tbal[[#This Row],[DEUDOR]],0)</f>
        <v>0</v>
      </c>
      <c r="N607" s="18">
        <f>IF((OR(tbal[[#This Row],[X]]=0,tbal[[#This Row],[X]]=5)),tbal[[#This Row],[ACREEDOR]],0)</f>
        <v>0</v>
      </c>
    </row>
    <row r="608" spans="1:14" hidden="1" x14ac:dyDescent="0.3">
      <c r="A608" s="14">
        <f>+'PLAN DE CUENTAS'!A608</f>
        <v>0</v>
      </c>
      <c r="B608" s="13">
        <f>+'PLAN DE CUENTAS'!B608</f>
        <v>0</v>
      </c>
      <c r="C608" s="13">
        <f>+'PLAN DE CUENTAS'!C608</f>
        <v>0</v>
      </c>
      <c r="D608" t="str">
        <f>IF(tbal[[#This Row],[DEBE]]+tbal[[#This Row],[HABER]]=0,"","X")</f>
        <v/>
      </c>
      <c r="E608" s="16">
        <f>SUMIF(tdiario[CUENTA],tbal[[#This Row],[CUENTA]],tdiario[DEBE])</f>
        <v>0</v>
      </c>
      <c r="F608" s="17">
        <f>SUMIF(tdiario[CUENTA],tbal[[#This Row],[CUENTA]],tdiario[HABER])</f>
        <v>0</v>
      </c>
      <c r="G608" s="16">
        <f>IF(tbal[[#This Row],[DEBE]]-tbal[[#This Row],[HABER]]&gt;0,tbal[[#This Row],[DEBE]]-tbal[[#This Row],[HABER]],0)</f>
        <v>0</v>
      </c>
      <c r="H608" s="18">
        <f>IF(tbal[[#This Row],[HABER]]-tbal[[#This Row],[DEBE]]&gt;0,tbal[[#This Row],[HABER]]-tbal[[#This Row],[DEBE]],0)</f>
        <v>0</v>
      </c>
      <c r="I608" s="16">
        <f>IF((OR(tbal[[#This Row],[X]]=1,tbal[[#This Row],[X]]=2)),tbal[[#This Row],[DEUDOR]],0)</f>
        <v>0</v>
      </c>
      <c r="J608" s="18">
        <f>IF((OR(tbal[[#This Row],[X]]=2,tbal[[#This Row],[X]]=3)),tbal[[#This Row],[ACREEDOR]],0)</f>
        <v>0</v>
      </c>
      <c r="K608" s="16">
        <f>IF((OR(tbal[[#This Row],[X]]=3,tbal[[#This Row],[X]]=5)),tbal[[#This Row],[DEUDOR]],0)</f>
        <v>0</v>
      </c>
      <c r="L608" s="18">
        <f>IF((OR(tbal[[#This Row],[X]]=3,tbal[[#This Row],[X]]=4)),tbal[[#This Row],[ACREEDOR]],0)</f>
        <v>0</v>
      </c>
      <c r="M608" s="16">
        <f>IF((OR(tbal[[#This Row],[X]]=0,tbal[[#This Row],[X]]=6)),tbal[[#This Row],[DEUDOR]],0)</f>
        <v>0</v>
      </c>
      <c r="N608" s="18">
        <f>IF((OR(tbal[[#This Row],[X]]=0,tbal[[#This Row],[X]]=5)),tbal[[#This Row],[ACREEDOR]],0)</f>
        <v>0</v>
      </c>
    </row>
    <row r="609" spans="1:14" hidden="1" x14ac:dyDescent="0.3">
      <c r="A609" s="14">
        <f>+'PLAN DE CUENTAS'!A609</f>
        <v>0</v>
      </c>
      <c r="B609" s="13">
        <f>+'PLAN DE CUENTAS'!B609</f>
        <v>0</v>
      </c>
      <c r="C609" s="13">
        <f>+'PLAN DE CUENTAS'!C609</f>
        <v>0</v>
      </c>
      <c r="D609" t="str">
        <f>IF(tbal[[#This Row],[DEBE]]+tbal[[#This Row],[HABER]]=0,"","X")</f>
        <v/>
      </c>
      <c r="E609" s="16">
        <f>SUMIF(tdiario[CUENTA],tbal[[#This Row],[CUENTA]],tdiario[DEBE])</f>
        <v>0</v>
      </c>
      <c r="F609" s="17">
        <f>SUMIF(tdiario[CUENTA],tbal[[#This Row],[CUENTA]],tdiario[HABER])</f>
        <v>0</v>
      </c>
      <c r="G609" s="16">
        <f>IF(tbal[[#This Row],[DEBE]]-tbal[[#This Row],[HABER]]&gt;0,tbal[[#This Row],[DEBE]]-tbal[[#This Row],[HABER]],0)</f>
        <v>0</v>
      </c>
      <c r="H609" s="18">
        <f>IF(tbal[[#This Row],[HABER]]-tbal[[#This Row],[DEBE]]&gt;0,tbal[[#This Row],[HABER]]-tbal[[#This Row],[DEBE]],0)</f>
        <v>0</v>
      </c>
      <c r="I609" s="16">
        <f>IF((OR(tbal[[#This Row],[X]]=1,tbal[[#This Row],[X]]=2)),tbal[[#This Row],[DEUDOR]],0)</f>
        <v>0</v>
      </c>
      <c r="J609" s="18">
        <f>IF((OR(tbal[[#This Row],[X]]=2,tbal[[#This Row],[X]]=3)),tbal[[#This Row],[ACREEDOR]],0)</f>
        <v>0</v>
      </c>
      <c r="K609" s="16">
        <f>IF((OR(tbal[[#This Row],[X]]=3,tbal[[#This Row],[X]]=5)),tbal[[#This Row],[DEUDOR]],0)</f>
        <v>0</v>
      </c>
      <c r="L609" s="18">
        <f>IF((OR(tbal[[#This Row],[X]]=3,tbal[[#This Row],[X]]=4)),tbal[[#This Row],[ACREEDOR]],0)</f>
        <v>0</v>
      </c>
      <c r="M609" s="16">
        <f>IF((OR(tbal[[#This Row],[X]]=0,tbal[[#This Row],[X]]=6)),tbal[[#This Row],[DEUDOR]],0)</f>
        <v>0</v>
      </c>
      <c r="N609" s="18">
        <f>IF((OR(tbal[[#This Row],[X]]=0,tbal[[#This Row],[X]]=5)),tbal[[#This Row],[ACREEDOR]],0)</f>
        <v>0</v>
      </c>
    </row>
    <row r="610" spans="1:14" hidden="1" x14ac:dyDescent="0.3">
      <c r="A610" s="14">
        <f>+'PLAN DE CUENTAS'!A610</f>
        <v>0</v>
      </c>
      <c r="B610" s="13">
        <f>+'PLAN DE CUENTAS'!B610</f>
        <v>0</v>
      </c>
      <c r="C610" s="13">
        <f>+'PLAN DE CUENTAS'!C610</f>
        <v>0</v>
      </c>
      <c r="D610" t="str">
        <f>IF(tbal[[#This Row],[DEBE]]+tbal[[#This Row],[HABER]]=0,"","X")</f>
        <v/>
      </c>
      <c r="E610" s="16">
        <f>SUMIF(tdiario[CUENTA],tbal[[#This Row],[CUENTA]],tdiario[DEBE])</f>
        <v>0</v>
      </c>
      <c r="F610" s="17">
        <f>SUMIF(tdiario[CUENTA],tbal[[#This Row],[CUENTA]],tdiario[HABER])</f>
        <v>0</v>
      </c>
      <c r="G610" s="16">
        <f>IF(tbal[[#This Row],[DEBE]]-tbal[[#This Row],[HABER]]&gt;0,tbal[[#This Row],[DEBE]]-tbal[[#This Row],[HABER]],0)</f>
        <v>0</v>
      </c>
      <c r="H610" s="18">
        <f>IF(tbal[[#This Row],[HABER]]-tbal[[#This Row],[DEBE]]&gt;0,tbal[[#This Row],[HABER]]-tbal[[#This Row],[DEBE]],0)</f>
        <v>0</v>
      </c>
      <c r="I610" s="16">
        <f>IF((OR(tbal[[#This Row],[X]]=1,tbal[[#This Row],[X]]=2)),tbal[[#This Row],[DEUDOR]],0)</f>
        <v>0</v>
      </c>
      <c r="J610" s="18">
        <f>IF((OR(tbal[[#This Row],[X]]=2,tbal[[#This Row],[X]]=3)),tbal[[#This Row],[ACREEDOR]],0)</f>
        <v>0</v>
      </c>
      <c r="K610" s="16">
        <f>IF((OR(tbal[[#This Row],[X]]=3,tbal[[#This Row],[X]]=5)),tbal[[#This Row],[DEUDOR]],0)</f>
        <v>0</v>
      </c>
      <c r="L610" s="18">
        <f>IF((OR(tbal[[#This Row],[X]]=3,tbal[[#This Row],[X]]=4)),tbal[[#This Row],[ACREEDOR]],0)</f>
        <v>0</v>
      </c>
      <c r="M610" s="16">
        <f>IF((OR(tbal[[#This Row],[X]]=0,tbal[[#This Row],[X]]=6)),tbal[[#This Row],[DEUDOR]],0)</f>
        <v>0</v>
      </c>
      <c r="N610" s="18">
        <f>IF((OR(tbal[[#This Row],[X]]=0,tbal[[#This Row],[X]]=5)),tbal[[#This Row],[ACREEDOR]],0)</f>
        <v>0</v>
      </c>
    </row>
    <row r="611" spans="1:14" hidden="1" x14ac:dyDescent="0.3">
      <c r="A611" s="14">
        <f>+'PLAN DE CUENTAS'!A611</f>
        <v>0</v>
      </c>
      <c r="B611" s="13">
        <f>+'PLAN DE CUENTAS'!B611</f>
        <v>0</v>
      </c>
      <c r="C611" s="13">
        <f>+'PLAN DE CUENTAS'!C611</f>
        <v>0</v>
      </c>
      <c r="D611" t="str">
        <f>IF(tbal[[#This Row],[DEBE]]+tbal[[#This Row],[HABER]]=0,"","X")</f>
        <v/>
      </c>
      <c r="E611" s="16">
        <f>SUMIF(tdiario[CUENTA],tbal[[#This Row],[CUENTA]],tdiario[DEBE])</f>
        <v>0</v>
      </c>
      <c r="F611" s="17">
        <f>SUMIF(tdiario[CUENTA],tbal[[#This Row],[CUENTA]],tdiario[HABER])</f>
        <v>0</v>
      </c>
      <c r="G611" s="16">
        <f>IF(tbal[[#This Row],[DEBE]]-tbal[[#This Row],[HABER]]&gt;0,tbal[[#This Row],[DEBE]]-tbal[[#This Row],[HABER]],0)</f>
        <v>0</v>
      </c>
      <c r="H611" s="18">
        <f>IF(tbal[[#This Row],[HABER]]-tbal[[#This Row],[DEBE]]&gt;0,tbal[[#This Row],[HABER]]-tbal[[#This Row],[DEBE]],0)</f>
        <v>0</v>
      </c>
      <c r="I611" s="16">
        <f>IF((OR(tbal[[#This Row],[X]]=1,tbal[[#This Row],[X]]=2)),tbal[[#This Row],[DEUDOR]],0)</f>
        <v>0</v>
      </c>
      <c r="J611" s="18">
        <f>IF((OR(tbal[[#This Row],[X]]=2,tbal[[#This Row],[X]]=3)),tbal[[#This Row],[ACREEDOR]],0)</f>
        <v>0</v>
      </c>
      <c r="K611" s="16">
        <f>IF((OR(tbal[[#This Row],[X]]=3,tbal[[#This Row],[X]]=5)),tbal[[#This Row],[DEUDOR]],0)</f>
        <v>0</v>
      </c>
      <c r="L611" s="18">
        <f>IF((OR(tbal[[#This Row],[X]]=3,tbal[[#This Row],[X]]=4)),tbal[[#This Row],[ACREEDOR]],0)</f>
        <v>0</v>
      </c>
      <c r="M611" s="16">
        <f>IF((OR(tbal[[#This Row],[X]]=0,tbal[[#This Row],[X]]=6)),tbal[[#This Row],[DEUDOR]],0)</f>
        <v>0</v>
      </c>
      <c r="N611" s="18">
        <f>IF((OR(tbal[[#This Row],[X]]=0,tbal[[#This Row],[X]]=5)),tbal[[#This Row],[ACREEDOR]],0)</f>
        <v>0</v>
      </c>
    </row>
    <row r="612" spans="1:14" hidden="1" x14ac:dyDescent="0.3">
      <c r="A612" s="14">
        <f>+'PLAN DE CUENTAS'!A612</f>
        <v>0</v>
      </c>
      <c r="B612" s="13">
        <f>+'PLAN DE CUENTAS'!B612</f>
        <v>0</v>
      </c>
      <c r="C612" s="13">
        <f>+'PLAN DE CUENTAS'!C612</f>
        <v>0</v>
      </c>
      <c r="D612" t="str">
        <f>IF(tbal[[#This Row],[DEBE]]+tbal[[#This Row],[HABER]]=0,"","X")</f>
        <v/>
      </c>
      <c r="E612" s="16">
        <f>SUMIF(tdiario[CUENTA],tbal[[#This Row],[CUENTA]],tdiario[DEBE])</f>
        <v>0</v>
      </c>
      <c r="F612" s="17">
        <f>SUMIF(tdiario[CUENTA],tbal[[#This Row],[CUENTA]],tdiario[HABER])</f>
        <v>0</v>
      </c>
      <c r="G612" s="16">
        <f>IF(tbal[[#This Row],[DEBE]]-tbal[[#This Row],[HABER]]&gt;0,tbal[[#This Row],[DEBE]]-tbal[[#This Row],[HABER]],0)</f>
        <v>0</v>
      </c>
      <c r="H612" s="18">
        <f>IF(tbal[[#This Row],[HABER]]-tbal[[#This Row],[DEBE]]&gt;0,tbal[[#This Row],[HABER]]-tbal[[#This Row],[DEBE]],0)</f>
        <v>0</v>
      </c>
      <c r="I612" s="16">
        <f>IF((OR(tbal[[#This Row],[X]]=1,tbal[[#This Row],[X]]=2)),tbal[[#This Row],[DEUDOR]],0)</f>
        <v>0</v>
      </c>
      <c r="J612" s="18">
        <f>IF((OR(tbal[[#This Row],[X]]=2,tbal[[#This Row],[X]]=3)),tbal[[#This Row],[ACREEDOR]],0)</f>
        <v>0</v>
      </c>
      <c r="K612" s="16">
        <f>IF((OR(tbal[[#This Row],[X]]=3,tbal[[#This Row],[X]]=5)),tbal[[#This Row],[DEUDOR]],0)</f>
        <v>0</v>
      </c>
      <c r="L612" s="18">
        <f>IF((OR(tbal[[#This Row],[X]]=3,tbal[[#This Row],[X]]=4)),tbal[[#This Row],[ACREEDOR]],0)</f>
        <v>0</v>
      </c>
      <c r="M612" s="16">
        <f>IF((OR(tbal[[#This Row],[X]]=0,tbal[[#This Row],[X]]=6)),tbal[[#This Row],[DEUDOR]],0)</f>
        <v>0</v>
      </c>
      <c r="N612" s="18">
        <f>IF((OR(tbal[[#This Row],[X]]=0,tbal[[#This Row],[X]]=5)),tbal[[#This Row],[ACREEDOR]],0)</f>
        <v>0</v>
      </c>
    </row>
    <row r="613" spans="1:14" hidden="1" x14ac:dyDescent="0.3">
      <c r="A613" s="14">
        <f>+'PLAN DE CUENTAS'!A613</f>
        <v>0</v>
      </c>
      <c r="B613" s="13">
        <f>+'PLAN DE CUENTAS'!B613</f>
        <v>0</v>
      </c>
      <c r="C613" s="13">
        <f>+'PLAN DE CUENTAS'!C613</f>
        <v>0</v>
      </c>
      <c r="D613" t="str">
        <f>IF(tbal[[#This Row],[DEBE]]+tbal[[#This Row],[HABER]]=0,"","X")</f>
        <v/>
      </c>
      <c r="E613" s="16">
        <f>SUMIF(tdiario[CUENTA],tbal[[#This Row],[CUENTA]],tdiario[DEBE])</f>
        <v>0</v>
      </c>
      <c r="F613" s="17">
        <f>SUMIF(tdiario[CUENTA],tbal[[#This Row],[CUENTA]],tdiario[HABER])</f>
        <v>0</v>
      </c>
      <c r="G613" s="16">
        <f>IF(tbal[[#This Row],[DEBE]]-tbal[[#This Row],[HABER]]&gt;0,tbal[[#This Row],[DEBE]]-tbal[[#This Row],[HABER]],0)</f>
        <v>0</v>
      </c>
      <c r="H613" s="18">
        <f>IF(tbal[[#This Row],[HABER]]-tbal[[#This Row],[DEBE]]&gt;0,tbal[[#This Row],[HABER]]-tbal[[#This Row],[DEBE]],0)</f>
        <v>0</v>
      </c>
      <c r="I613" s="16">
        <f>IF((OR(tbal[[#This Row],[X]]=1,tbal[[#This Row],[X]]=2)),tbal[[#This Row],[DEUDOR]],0)</f>
        <v>0</v>
      </c>
      <c r="J613" s="18">
        <f>IF((OR(tbal[[#This Row],[X]]=2,tbal[[#This Row],[X]]=3)),tbal[[#This Row],[ACREEDOR]],0)</f>
        <v>0</v>
      </c>
      <c r="K613" s="16">
        <f>IF((OR(tbal[[#This Row],[X]]=3,tbal[[#This Row],[X]]=5)),tbal[[#This Row],[DEUDOR]],0)</f>
        <v>0</v>
      </c>
      <c r="L613" s="18">
        <f>IF((OR(tbal[[#This Row],[X]]=3,tbal[[#This Row],[X]]=4)),tbal[[#This Row],[ACREEDOR]],0)</f>
        <v>0</v>
      </c>
      <c r="M613" s="16">
        <f>IF((OR(tbal[[#This Row],[X]]=0,tbal[[#This Row],[X]]=6)),tbal[[#This Row],[DEUDOR]],0)</f>
        <v>0</v>
      </c>
      <c r="N613" s="18">
        <f>IF((OR(tbal[[#This Row],[X]]=0,tbal[[#This Row],[X]]=5)),tbal[[#This Row],[ACREEDOR]],0)</f>
        <v>0</v>
      </c>
    </row>
    <row r="614" spans="1:14" hidden="1" x14ac:dyDescent="0.3">
      <c r="A614" s="14">
        <f>+'PLAN DE CUENTAS'!A614</f>
        <v>0</v>
      </c>
      <c r="B614" s="13">
        <f>+'PLAN DE CUENTAS'!B614</f>
        <v>0</v>
      </c>
      <c r="C614" s="13">
        <f>+'PLAN DE CUENTAS'!C614</f>
        <v>0</v>
      </c>
      <c r="D614" t="str">
        <f>IF(tbal[[#This Row],[DEBE]]+tbal[[#This Row],[HABER]]=0,"","X")</f>
        <v/>
      </c>
      <c r="E614" s="16">
        <f>SUMIF(tdiario[CUENTA],tbal[[#This Row],[CUENTA]],tdiario[DEBE])</f>
        <v>0</v>
      </c>
      <c r="F614" s="17">
        <f>SUMIF(tdiario[CUENTA],tbal[[#This Row],[CUENTA]],tdiario[HABER])</f>
        <v>0</v>
      </c>
      <c r="G614" s="16">
        <f>IF(tbal[[#This Row],[DEBE]]-tbal[[#This Row],[HABER]]&gt;0,tbal[[#This Row],[DEBE]]-tbal[[#This Row],[HABER]],0)</f>
        <v>0</v>
      </c>
      <c r="H614" s="18">
        <f>IF(tbal[[#This Row],[HABER]]-tbal[[#This Row],[DEBE]]&gt;0,tbal[[#This Row],[HABER]]-tbal[[#This Row],[DEBE]],0)</f>
        <v>0</v>
      </c>
      <c r="I614" s="16">
        <f>IF((OR(tbal[[#This Row],[X]]=1,tbal[[#This Row],[X]]=2)),tbal[[#This Row],[DEUDOR]],0)</f>
        <v>0</v>
      </c>
      <c r="J614" s="18">
        <f>IF((OR(tbal[[#This Row],[X]]=2,tbal[[#This Row],[X]]=3)),tbal[[#This Row],[ACREEDOR]],0)</f>
        <v>0</v>
      </c>
      <c r="K614" s="16">
        <f>IF((OR(tbal[[#This Row],[X]]=3,tbal[[#This Row],[X]]=5)),tbal[[#This Row],[DEUDOR]],0)</f>
        <v>0</v>
      </c>
      <c r="L614" s="18">
        <f>IF((OR(tbal[[#This Row],[X]]=3,tbal[[#This Row],[X]]=4)),tbal[[#This Row],[ACREEDOR]],0)</f>
        <v>0</v>
      </c>
      <c r="M614" s="16">
        <f>IF((OR(tbal[[#This Row],[X]]=0,tbal[[#This Row],[X]]=6)),tbal[[#This Row],[DEUDOR]],0)</f>
        <v>0</v>
      </c>
      <c r="N614" s="18">
        <f>IF((OR(tbal[[#This Row],[X]]=0,tbal[[#This Row],[X]]=5)),tbal[[#This Row],[ACREEDOR]],0)</f>
        <v>0</v>
      </c>
    </row>
    <row r="615" spans="1:14" hidden="1" x14ac:dyDescent="0.3">
      <c r="A615" s="14">
        <f>+'PLAN DE CUENTAS'!A615</f>
        <v>0</v>
      </c>
      <c r="B615" s="13">
        <f>+'PLAN DE CUENTAS'!B615</f>
        <v>0</v>
      </c>
      <c r="C615" s="13">
        <f>+'PLAN DE CUENTAS'!C615</f>
        <v>0</v>
      </c>
      <c r="D615" t="str">
        <f>IF(tbal[[#This Row],[DEBE]]+tbal[[#This Row],[HABER]]=0,"","X")</f>
        <v/>
      </c>
      <c r="E615" s="16">
        <f>SUMIF(tdiario[CUENTA],tbal[[#This Row],[CUENTA]],tdiario[DEBE])</f>
        <v>0</v>
      </c>
      <c r="F615" s="17">
        <f>SUMIF(tdiario[CUENTA],tbal[[#This Row],[CUENTA]],tdiario[HABER])</f>
        <v>0</v>
      </c>
      <c r="G615" s="16">
        <f>IF(tbal[[#This Row],[DEBE]]-tbal[[#This Row],[HABER]]&gt;0,tbal[[#This Row],[DEBE]]-tbal[[#This Row],[HABER]],0)</f>
        <v>0</v>
      </c>
      <c r="H615" s="18">
        <f>IF(tbal[[#This Row],[HABER]]-tbal[[#This Row],[DEBE]]&gt;0,tbal[[#This Row],[HABER]]-tbal[[#This Row],[DEBE]],0)</f>
        <v>0</v>
      </c>
      <c r="I615" s="16">
        <f>IF((OR(tbal[[#This Row],[X]]=1,tbal[[#This Row],[X]]=2)),tbal[[#This Row],[DEUDOR]],0)</f>
        <v>0</v>
      </c>
      <c r="J615" s="18">
        <f>IF((OR(tbal[[#This Row],[X]]=2,tbal[[#This Row],[X]]=3)),tbal[[#This Row],[ACREEDOR]],0)</f>
        <v>0</v>
      </c>
      <c r="K615" s="16">
        <f>IF((OR(tbal[[#This Row],[X]]=3,tbal[[#This Row],[X]]=5)),tbal[[#This Row],[DEUDOR]],0)</f>
        <v>0</v>
      </c>
      <c r="L615" s="18">
        <f>IF((OR(tbal[[#This Row],[X]]=3,tbal[[#This Row],[X]]=4)),tbal[[#This Row],[ACREEDOR]],0)</f>
        <v>0</v>
      </c>
      <c r="M615" s="16">
        <f>IF((OR(tbal[[#This Row],[X]]=0,tbal[[#This Row],[X]]=6)),tbal[[#This Row],[DEUDOR]],0)</f>
        <v>0</v>
      </c>
      <c r="N615" s="18">
        <f>IF((OR(tbal[[#This Row],[X]]=0,tbal[[#This Row],[X]]=5)),tbal[[#This Row],[ACREEDOR]],0)</f>
        <v>0</v>
      </c>
    </row>
    <row r="616" spans="1:14" hidden="1" x14ac:dyDescent="0.3">
      <c r="A616" s="14">
        <f>+'PLAN DE CUENTAS'!A616</f>
        <v>0</v>
      </c>
      <c r="B616" s="13">
        <f>+'PLAN DE CUENTAS'!B616</f>
        <v>0</v>
      </c>
      <c r="C616" s="13">
        <f>+'PLAN DE CUENTAS'!C616</f>
        <v>0</v>
      </c>
      <c r="D616" t="str">
        <f>IF(tbal[[#This Row],[DEBE]]+tbal[[#This Row],[HABER]]=0,"","X")</f>
        <v/>
      </c>
      <c r="E616" s="16">
        <f>SUMIF(tdiario[CUENTA],tbal[[#This Row],[CUENTA]],tdiario[DEBE])</f>
        <v>0</v>
      </c>
      <c r="F616" s="17">
        <f>SUMIF(tdiario[CUENTA],tbal[[#This Row],[CUENTA]],tdiario[HABER])</f>
        <v>0</v>
      </c>
      <c r="G616" s="16">
        <f>IF(tbal[[#This Row],[DEBE]]-tbal[[#This Row],[HABER]]&gt;0,tbal[[#This Row],[DEBE]]-tbal[[#This Row],[HABER]],0)</f>
        <v>0</v>
      </c>
      <c r="H616" s="18">
        <f>IF(tbal[[#This Row],[HABER]]-tbal[[#This Row],[DEBE]]&gt;0,tbal[[#This Row],[HABER]]-tbal[[#This Row],[DEBE]],0)</f>
        <v>0</v>
      </c>
      <c r="I616" s="16">
        <f>IF((OR(tbal[[#This Row],[X]]=1,tbal[[#This Row],[X]]=2)),tbal[[#This Row],[DEUDOR]],0)</f>
        <v>0</v>
      </c>
      <c r="J616" s="18">
        <f>IF((OR(tbal[[#This Row],[X]]=2,tbal[[#This Row],[X]]=3)),tbal[[#This Row],[ACREEDOR]],0)</f>
        <v>0</v>
      </c>
      <c r="K616" s="16">
        <f>IF((OR(tbal[[#This Row],[X]]=3,tbal[[#This Row],[X]]=5)),tbal[[#This Row],[DEUDOR]],0)</f>
        <v>0</v>
      </c>
      <c r="L616" s="18">
        <f>IF((OR(tbal[[#This Row],[X]]=3,tbal[[#This Row],[X]]=4)),tbal[[#This Row],[ACREEDOR]],0)</f>
        <v>0</v>
      </c>
      <c r="M616" s="16">
        <f>IF((OR(tbal[[#This Row],[X]]=0,tbal[[#This Row],[X]]=6)),tbal[[#This Row],[DEUDOR]],0)</f>
        <v>0</v>
      </c>
      <c r="N616" s="18">
        <f>IF((OR(tbal[[#This Row],[X]]=0,tbal[[#This Row],[X]]=5)),tbal[[#This Row],[ACREEDOR]],0)</f>
        <v>0</v>
      </c>
    </row>
    <row r="617" spans="1:14" hidden="1" x14ac:dyDescent="0.3">
      <c r="A617" s="14">
        <f>+'PLAN DE CUENTAS'!A617</f>
        <v>0</v>
      </c>
      <c r="B617" s="13">
        <f>+'PLAN DE CUENTAS'!B617</f>
        <v>0</v>
      </c>
      <c r="C617" s="13">
        <f>+'PLAN DE CUENTAS'!C617</f>
        <v>0</v>
      </c>
      <c r="D617" t="str">
        <f>IF(tbal[[#This Row],[DEBE]]+tbal[[#This Row],[HABER]]=0,"","X")</f>
        <v/>
      </c>
      <c r="E617" s="16">
        <f>SUMIF(tdiario[CUENTA],tbal[[#This Row],[CUENTA]],tdiario[DEBE])</f>
        <v>0</v>
      </c>
      <c r="F617" s="17">
        <f>SUMIF(tdiario[CUENTA],tbal[[#This Row],[CUENTA]],tdiario[HABER])</f>
        <v>0</v>
      </c>
      <c r="G617" s="16">
        <f>IF(tbal[[#This Row],[DEBE]]-tbal[[#This Row],[HABER]]&gt;0,tbal[[#This Row],[DEBE]]-tbal[[#This Row],[HABER]],0)</f>
        <v>0</v>
      </c>
      <c r="H617" s="18">
        <f>IF(tbal[[#This Row],[HABER]]-tbal[[#This Row],[DEBE]]&gt;0,tbal[[#This Row],[HABER]]-tbal[[#This Row],[DEBE]],0)</f>
        <v>0</v>
      </c>
      <c r="I617" s="16">
        <f>IF((OR(tbal[[#This Row],[X]]=1,tbal[[#This Row],[X]]=2)),tbal[[#This Row],[DEUDOR]],0)</f>
        <v>0</v>
      </c>
      <c r="J617" s="18">
        <f>IF((OR(tbal[[#This Row],[X]]=2,tbal[[#This Row],[X]]=3)),tbal[[#This Row],[ACREEDOR]],0)</f>
        <v>0</v>
      </c>
      <c r="K617" s="16">
        <f>IF((OR(tbal[[#This Row],[X]]=3,tbal[[#This Row],[X]]=5)),tbal[[#This Row],[DEUDOR]],0)</f>
        <v>0</v>
      </c>
      <c r="L617" s="18">
        <f>IF((OR(tbal[[#This Row],[X]]=3,tbal[[#This Row],[X]]=4)),tbal[[#This Row],[ACREEDOR]],0)</f>
        <v>0</v>
      </c>
      <c r="M617" s="16">
        <f>IF((OR(tbal[[#This Row],[X]]=0,tbal[[#This Row],[X]]=6)),tbal[[#This Row],[DEUDOR]],0)</f>
        <v>0</v>
      </c>
      <c r="N617" s="18">
        <f>IF((OR(tbal[[#This Row],[X]]=0,tbal[[#This Row],[X]]=5)),tbal[[#This Row],[ACREEDOR]],0)</f>
        <v>0</v>
      </c>
    </row>
    <row r="618" spans="1:14" hidden="1" x14ac:dyDescent="0.3">
      <c r="A618" s="14">
        <f>+'PLAN DE CUENTAS'!A618</f>
        <v>0</v>
      </c>
      <c r="B618" s="13">
        <f>+'PLAN DE CUENTAS'!B618</f>
        <v>0</v>
      </c>
      <c r="C618" s="13">
        <f>+'PLAN DE CUENTAS'!C618</f>
        <v>0</v>
      </c>
      <c r="D618" t="str">
        <f>IF(tbal[[#This Row],[DEBE]]+tbal[[#This Row],[HABER]]=0,"","X")</f>
        <v/>
      </c>
      <c r="E618" s="16">
        <f>SUMIF(tdiario[CUENTA],tbal[[#This Row],[CUENTA]],tdiario[DEBE])</f>
        <v>0</v>
      </c>
      <c r="F618" s="17">
        <f>SUMIF(tdiario[CUENTA],tbal[[#This Row],[CUENTA]],tdiario[HABER])</f>
        <v>0</v>
      </c>
      <c r="G618" s="16">
        <f>IF(tbal[[#This Row],[DEBE]]-tbal[[#This Row],[HABER]]&gt;0,tbal[[#This Row],[DEBE]]-tbal[[#This Row],[HABER]],0)</f>
        <v>0</v>
      </c>
      <c r="H618" s="18">
        <f>IF(tbal[[#This Row],[HABER]]-tbal[[#This Row],[DEBE]]&gt;0,tbal[[#This Row],[HABER]]-tbal[[#This Row],[DEBE]],0)</f>
        <v>0</v>
      </c>
      <c r="I618" s="16">
        <f>IF((OR(tbal[[#This Row],[X]]=1,tbal[[#This Row],[X]]=2)),tbal[[#This Row],[DEUDOR]],0)</f>
        <v>0</v>
      </c>
      <c r="J618" s="18">
        <f>IF((OR(tbal[[#This Row],[X]]=2,tbal[[#This Row],[X]]=3)),tbal[[#This Row],[ACREEDOR]],0)</f>
        <v>0</v>
      </c>
      <c r="K618" s="16">
        <f>IF((OR(tbal[[#This Row],[X]]=3,tbal[[#This Row],[X]]=5)),tbal[[#This Row],[DEUDOR]],0)</f>
        <v>0</v>
      </c>
      <c r="L618" s="18">
        <f>IF((OR(tbal[[#This Row],[X]]=3,tbal[[#This Row],[X]]=4)),tbal[[#This Row],[ACREEDOR]],0)</f>
        <v>0</v>
      </c>
      <c r="M618" s="16">
        <f>IF((OR(tbal[[#This Row],[X]]=0,tbal[[#This Row],[X]]=6)),tbal[[#This Row],[DEUDOR]],0)</f>
        <v>0</v>
      </c>
      <c r="N618" s="18">
        <f>IF((OR(tbal[[#This Row],[X]]=0,tbal[[#This Row],[X]]=5)),tbal[[#This Row],[ACREEDOR]],0)</f>
        <v>0</v>
      </c>
    </row>
    <row r="619" spans="1:14" hidden="1" x14ac:dyDescent="0.3">
      <c r="A619" s="14">
        <f>+'PLAN DE CUENTAS'!A619</f>
        <v>0</v>
      </c>
      <c r="B619" s="13">
        <f>+'PLAN DE CUENTAS'!B619</f>
        <v>0</v>
      </c>
      <c r="C619" s="13">
        <f>+'PLAN DE CUENTAS'!C619</f>
        <v>0</v>
      </c>
      <c r="D619" t="str">
        <f>IF(tbal[[#This Row],[DEBE]]+tbal[[#This Row],[HABER]]=0,"","X")</f>
        <v/>
      </c>
      <c r="E619" s="16">
        <f>SUMIF(tdiario[CUENTA],tbal[[#This Row],[CUENTA]],tdiario[DEBE])</f>
        <v>0</v>
      </c>
      <c r="F619" s="17">
        <f>SUMIF(tdiario[CUENTA],tbal[[#This Row],[CUENTA]],tdiario[HABER])</f>
        <v>0</v>
      </c>
      <c r="G619" s="16">
        <f>IF(tbal[[#This Row],[DEBE]]-tbal[[#This Row],[HABER]]&gt;0,tbal[[#This Row],[DEBE]]-tbal[[#This Row],[HABER]],0)</f>
        <v>0</v>
      </c>
      <c r="H619" s="18">
        <f>IF(tbal[[#This Row],[HABER]]-tbal[[#This Row],[DEBE]]&gt;0,tbal[[#This Row],[HABER]]-tbal[[#This Row],[DEBE]],0)</f>
        <v>0</v>
      </c>
      <c r="I619" s="16">
        <f>IF((OR(tbal[[#This Row],[X]]=1,tbal[[#This Row],[X]]=2)),tbal[[#This Row],[DEUDOR]],0)</f>
        <v>0</v>
      </c>
      <c r="J619" s="18">
        <f>IF((OR(tbal[[#This Row],[X]]=2,tbal[[#This Row],[X]]=3)),tbal[[#This Row],[ACREEDOR]],0)</f>
        <v>0</v>
      </c>
      <c r="K619" s="16">
        <f>IF((OR(tbal[[#This Row],[X]]=3,tbal[[#This Row],[X]]=5)),tbal[[#This Row],[DEUDOR]],0)</f>
        <v>0</v>
      </c>
      <c r="L619" s="18">
        <f>IF((OR(tbal[[#This Row],[X]]=3,tbal[[#This Row],[X]]=4)),tbal[[#This Row],[ACREEDOR]],0)</f>
        <v>0</v>
      </c>
      <c r="M619" s="16">
        <f>IF((OR(tbal[[#This Row],[X]]=0,tbal[[#This Row],[X]]=6)),tbal[[#This Row],[DEUDOR]],0)</f>
        <v>0</v>
      </c>
      <c r="N619" s="18">
        <f>IF((OR(tbal[[#This Row],[X]]=0,tbal[[#This Row],[X]]=5)),tbal[[#This Row],[ACREEDOR]],0)</f>
        <v>0</v>
      </c>
    </row>
    <row r="620" spans="1:14" hidden="1" x14ac:dyDescent="0.3">
      <c r="A620" s="14">
        <f>+'PLAN DE CUENTAS'!A620</f>
        <v>0</v>
      </c>
      <c r="B620" s="13">
        <f>+'PLAN DE CUENTAS'!B620</f>
        <v>0</v>
      </c>
      <c r="C620" s="13">
        <f>+'PLAN DE CUENTAS'!C620</f>
        <v>0</v>
      </c>
      <c r="D620" t="str">
        <f>IF(tbal[[#This Row],[DEBE]]+tbal[[#This Row],[HABER]]=0,"","X")</f>
        <v/>
      </c>
      <c r="E620" s="16">
        <f>SUMIF(tdiario[CUENTA],tbal[[#This Row],[CUENTA]],tdiario[DEBE])</f>
        <v>0</v>
      </c>
      <c r="F620" s="17">
        <f>SUMIF(tdiario[CUENTA],tbal[[#This Row],[CUENTA]],tdiario[HABER])</f>
        <v>0</v>
      </c>
      <c r="G620" s="16">
        <f>IF(tbal[[#This Row],[DEBE]]-tbal[[#This Row],[HABER]]&gt;0,tbal[[#This Row],[DEBE]]-tbal[[#This Row],[HABER]],0)</f>
        <v>0</v>
      </c>
      <c r="H620" s="18">
        <f>IF(tbal[[#This Row],[HABER]]-tbal[[#This Row],[DEBE]]&gt;0,tbal[[#This Row],[HABER]]-tbal[[#This Row],[DEBE]],0)</f>
        <v>0</v>
      </c>
      <c r="I620" s="16">
        <f>IF((OR(tbal[[#This Row],[X]]=1,tbal[[#This Row],[X]]=2)),tbal[[#This Row],[DEUDOR]],0)</f>
        <v>0</v>
      </c>
      <c r="J620" s="18">
        <f>IF((OR(tbal[[#This Row],[X]]=2,tbal[[#This Row],[X]]=3)),tbal[[#This Row],[ACREEDOR]],0)</f>
        <v>0</v>
      </c>
      <c r="K620" s="16">
        <f>IF((OR(tbal[[#This Row],[X]]=3,tbal[[#This Row],[X]]=5)),tbal[[#This Row],[DEUDOR]],0)</f>
        <v>0</v>
      </c>
      <c r="L620" s="18">
        <f>IF((OR(tbal[[#This Row],[X]]=3,tbal[[#This Row],[X]]=4)),tbal[[#This Row],[ACREEDOR]],0)</f>
        <v>0</v>
      </c>
      <c r="M620" s="16">
        <f>IF((OR(tbal[[#This Row],[X]]=0,tbal[[#This Row],[X]]=6)),tbal[[#This Row],[DEUDOR]],0)</f>
        <v>0</v>
      </c>
      <c r="N620" s="18">
        <f>IF((OR(tbal[[#This Row],[X]]=0,tbal[[#This Row],[X]]=5)),tbal[[#This Row],[ACREEDOR]],0)</f>
        <v>0</v>
      </c>
    </row>
    <row r="621" spans="1:14" hidden="1" x14ac:dyDescent="0.3">
      <c r="A621" s="14">
        <f>+'PLAN DE CUENTAS'!A621</f>
        <v>0</v>
      </c>
      <c r="B621" s="13">
        <f>+'PLAN DE CUENTAS'!B621</f>
        <v>0</v>
      </c>
      <c r="C621" s="13">
        <f>+'PLAN DE CUENTAS'!C621</f>
        <v>0</v>
      </c>
      <c r="D621" t="str">
        <f>IF(tbal[[#This Row],[DEBE]]+tbal[[#This Row],[HABER]]=0,"","X")</f>
        <v/>
      </c>
      <c r="E621" s="16">
        <f>SUMIF(tdiario[CUENTA],tbal[[#This Row],[CUENTA]],tdiario[DEBE])</f>
        <v>0</v>
      </c>
      <c r="F621" s="17">
        <f>SUMIF(tdiario[CUENTA],tbal[[#This Row],[CUENTA]],tdiario[HABER])</f>
        <v>0</v>
      </c>
      <c r="G621" s="16">
        <f>IF(tbal[[#This Row],[DEBE]]-tbal[[#This Row],[HABER]]&gt;0,tbal[[#This Row],[DEBE]]-tbal[[#This Row],[HABER]],0)</f>
        <v>0</v>
      </c>
      <c r="H621" s="18">
        <f>IF(tbal[[#This Row],[HABER]]-tbal[[#This Row],[DEBE]]&gt;0,tbal[[#This Row],[HABER]]-tbal[[#This Row],[DEBE]],0)</f>
        <v>0</v>
      </c>
      <c r="I621" s="16">
        <f>IF((OR(tbal[[#This Row],[X]]=1,tbal[[#This Row],[X]]=2)),tbal[[#This Row],[DEUDOR]],0)</f>
        <v>0</v>
      </c>
      <c r="J621" s="18">
        <f>IF((OR(tbal[[#This Row],[X]]=2,tbal[[#This Row],[X]]=3)),tbal[[#This Row],[ACREEDOR]],0)</f>
        <v>0</v>
      </c>
      <c r="K621" s="16">
        <f>IF((OR(tbal[[#This Row],[X]]=3,tbal[[#This Row],[X]]=5)),tbal[[#This Row],[DEUDOR]],0)</f>
        <v>0</v>
      </c>
      <c r="L621" s="18">
        <f>IF((OR(tbal[[#This Row],[X]]=3,tbal[[#This Row],[X]]=4)),tbal[[#This Row],[ACREEDOR]],0)</f>
        <v>0</v>
      </c>
      <c r="M621" s="16">
        <f>IF((OR(tbal[[#This Row],[X]]=0,tbal[[#This Row],[X]]=6)),tbal[[#This Row],[DEUDOR]],0)</f>
        <v>0</v>
      </c>
      <c r="N621" s="18">
        <f>IF((OR(tbal[[#This Row],[X]]=0,tbal[[#This Row],[X]]=5)),tbal[[#This Row],[ACREEDOR]],0)</f>
        <v>0</v>
      </c>
    </row>
    <row r="622" spans="1:14" hidden="1" x14ac:dyDescent="0.3">
      <c r="A622" s="14">
        <f>+'PLAN DE CUENTAS'!A622</f>
        <v>0</v>
      </c>
      <c r="B622" s="13">
        <f>+'PLAN DE CUENTAS'!B622</f>
        <v>0</v>
      </c>
      <c r="C622" s="13">
        <f>+'PLAN DE CUENTAS'!C622</f>
        <v>0</v>
      </c>
      <c r="D622" t="str">
        <f>IF(tbal[[#This Row],[DEBE]]+tbal[[#This Row],[HABER]]=0,"","X")</f>
        <v/>
      </c>
      <c r="E622" s="16">
        <f>SUMIF(tdiario[CUENTA],tbal[[#This Row],[CUENTA]],tdiario[DEBE])</f>
        <v>0</v>
      </c>
      <c r="F622" s="17">
        <f>SUMIF(tdiario[CUENTA],tbal[[#This Row],[CUENTA]],tdiario[HABER])</f>
        <v>0</v>
      </c>
      <c r="G622" s="16">
        <f>IF(tbal[[#This Row],[DEBE]]-tbal[[#This Row],[HABER]]&gt;0,tbal[[#This Row],[DEBE]]-tbal[[#This Row],[HABER]],0)</f>
        <v>0</v>
      </c>
      <c r="H622" s="18">
        <f>IF(tbal[[#This Row],[HABER]]-tbal[[#This Row],[DEBE]]&gt;0,tbal[[#This Row],[HABER]]-tbal[[#This Row],[DEBE]],0)</f>
        <v>0</v>
      </c>
      <c r="I622" s="16">
        <f>IF((OR(tbal[[#This Row],[X]]=1,tbal[[#This Row],[X]]=2)),tbal[[#This Row],[DEUDOR]],0)</f>
        <v>0</v>
      </c>
      <c r="J622" s="18">
        <f>IF((OR(tbal[[#This Row],[X]]=2,tbal[[#This Row],[X]]=3)),tbal[[#This Row],[ACREEDOR]],0)</f>
        <v>0</v>
      </c>
      <c r="K622" s="16">
        <f>IF((OR(tbal[[#This Row],[X]]=3,tbal[[#This Row],[X]]=5)),tbal[[#This Row],[DEUDOR]],0)</f>
        <v>0</v>
      </c>
      <c r="L622" s="18">
        <f>IF((OR(tbal[[#This Row],[X]]=3,tbal[[#This Row],[X]]=4)),tbal[[#This Row],[ACREEDOR]],0)</f>
        <v>0</v>
      </c>
      <c r="M622" s="16">
        <f>IF((OR(tbal[[#This Row],[X]]=0,tbal[[#This Row],[X]]=6)),tbal[[#This Row],[DEUDOR]],0)</f>
        <v>0</v>
      </c>
      <c r="N622" s="18">
        <f>IF((OR(tbal[[#This Row],[X]]=0,tbal[[#This Row],[X]]=5)),tbal[[#This Row],[ACREEDOR]],0)</f>
        <v>0</v>
      </c>
    </row>
    <row r="623" spans="1:14" hidden="1" x14ac:dyDescent="0.3">
      <c r="A623" s="14">
        <f>+'PLAN DE CUENTAS'!A623</f>
        <v>0</v>
      </c>
      <c r="B623" s="13">
        <f>+'PLAN DE CUENTAS'!B623</f>
        <v>0</v>
      </c>
      <c r="C623" s="13">
        <f>+'PLAN DE CUENTAS'!C623</f>
        <v>0</v>
      </c>
      <c r="D623" t="str">
        <f>IF(tbal[[#This Row],[DEBE]]+tbal[[#This Row],[HABER]]=0,"","X")</f>
        <v/>
      </c>
      <c r="E623" s="16">
        <f>SUMIF(tdiario[CUENTA],tbal[[#This Row],[CUENTA]],tdiario[DEBE])</f>
        <v>0</v>
      </c>
      <c r="F623" s="17">
        <f>SUMIF(tdiario[CUENTA],tbal[[#This Row],[CUENTA]],tdiario[HABER])</f>
        <v>0</v>
      </c>
      <c r="G623" s="16">
        <f>IF(tbal[[#This Row],[DEBE]]-tbal[[#This Row],[HABER]]&gt;0,tbal[[#This Row],[DEBE]]-tbal[[#This Row],[HABER]],0)</f>
        <v>0</v>
      </c>
      <c r="H623" s="18">
        <f>IF(tbal[[#This Row],[HABER]]-tbal[[#This Row],[DEBE]]&gt;0,tbal[[#This Row],[HABER]]-tbal[[#This Row],[DEBE]],0)</f>
        <v>0</v>
      </c>
      <c r="I623" s="16">
        <f>IF((OR(tbal[[#This Row],[X]]=1,tbal[[#This Row],[X]]=2)),tbal[[#This Row],[DEUDOR]],0)</f>
        <v>0</v>
      </c>
      <c r="J623" s="18">
        <f>IF((OR(tbal[[#This Row],[X]]=2,tbal[[#This Row],[X]]=3)),tbal[[#This Row],[ACREEDOR]],0)</f>
        <v>0</v>
      </c>
      <c r="K623" s="16">
        <f>IF((OR(tbal[[#This Row],[X]]=3,tbal[[#This Row],[X]]=5)),tbal[[#This Row],[DEUDOR]],0)</f>
        <v>0</v>
      </c>
      <c r="L623" s="18">
        <f>IF((OR(tbal[[#This Row],[X]]=3,tbal[[#This Row],[X]]=4)),tbal[[#This Row],[ACREEDOR]],0)</f>
        <v>0</v>
      </c>
      <c r="M623" s="16">
        <f>IF((OR(tbal[[#This Row],[X]]=0,tbal[[#This Row],[X]]=6)),tbal[[#This Row],[DEUDOR]],0)</f>
        <v>0</v>
      </c>
      <c r="N623" s="18">
        <f>IF((OR(tbal[[#This Row],[X]]=0,tbal[[#This Row],[X]]=5)),tbal[[#This Row],[ACREEDOR]],0)</f>
        <v>0</v>
      </c>
    </row>
    <row r="624" spans="1:14" hidden="1" x14ac:dyDescent="0.3">
      <c r="A624" s="14">
        <f>+'PLAN DE CUENTAS'!A624</f>
        <v>0</v>
      </c>
      <c r="B624" s="13">
        <f>+'PLAN DE CUENTAS'!B624</f>
        <v>0</v>
      </c>
      <c r="C624" s="13">
        <f>+'PLAN DE CUENTAS'!C624</f>
        <v>0</v>
      </c>
      <c r="D624" t="str">
        <f>IF(tbal[[#This Row],[DEBE]]+tbal[[#This Row],[HABER]]=0,"","X")</f>
        <v/>
      </c>
      <c r="E624" s="16">
        <f>SUMIF(tdiario[CUENTA],tbal[[#This Row],[CUENTA]],tdiario[DEBE])</f>
        <v>0</v>
      </c>
      <c r="F624" s="17">
        <f>SUMIF(tdiario[CUENTA],tbal[[#This Row],[CUENTA]],tdiario[HABER])</f>
        <v>0</v>
      </c>
      <c r="G624" s="16">
        <f>IF(tbal[[#This Row],[DEBE]]-tbal[[#This Row],[HABER]]&gt;0,tbal[[#This Row],[DEBE]]-tbal[[#This Row],[HABER]],0)</f>
        <v>0</v>
      </c>
      <c r="H624" s="18">
        <f>IF(tbal[[#This Row],[HABER]]-tbal[[#This Row],[DEBE]]&gt;0,tbal[[#This Row],[HABER]]-tbal[[#This Row],[DEBE]],0)</f>
        <v>0</v>
      </c>
      <c r="I624" s="16">
        <f>IF((OR(tbal[[#This Row],[X]]=1,tbal[[#This Row],[X]]=2)),tbal[[#This Row],[DEUDOR]],0)</f>
        <v>0</v>
      </c>
      <c r="J624" s="18">
        <f>IF((OR(tbal[[#This Row],[X]]=2,tbal[[#This Row],[X]]=3)),tbal[[#This Row],[ACREEDOR]],0)</f>
        <v>0</v>
      </c>
      <c r="K624" s="16">
        <f>IF((OR(tbal[[#This Row],[X]]=3,tbal[[#This Row],[X]]=5)),tbal[[#This Row],[DEUDOR]],0)</f>
        <v>0</v>
      </c>
      <c r="L624" s="18">
        <f>IF((OR(tbal[[#This Row],[X]]=3,tbal[[#This Row],[X]]=4)),tbal[[#This Row],[ACREEDOR]],0)</f>
        <v>0</v>
      </c>
      <c r="M624" s="16">
        <f>IF((OR(tbal[[#This Row],[X]]=0,tbal[[#This Row],[X]]=6)),tbal[[#This Row],[DEUDOR]],0)</f>
        <v>0</v>
      </c>
      <c r="N624" s="18">
        <f>IF((OR(tbal[[#This Row],[X]]=0,tbal[[#This Row],[X]]=5)),tbal[[#This Row],[ACREEDOR]],0)</f>
        <v>0</v>
      </c>
    </row>
    <row r="625" spans="1:14" hidden="1" x14ac:dyDescent="0.3">
      <c r="A625" s="14">
        <f>+'PLAN DE CUENTAS'!A625</f>
        <v>0</v>
      </c>
      <c r="B625" s="13">
        <f>+'PLAN DE CUENTAS'!B625</f>
        <v>0</v>
      </c>
      <c r="C625" s="13">
        <f>+'PLAN DE CUENTAS'!C625</f>
        <v>0</v>
      </c>
      <c r="D625" t="str">
        <f>IF(tbal[[#This Row],[DEBE]]+tbal[[#This Row],[HABER]]=0,"","X")</f>
        <v/>
      </c>
      <c r="E625" s="16">
        <f>SUMIF(tdiario[CUENTA],tbal[[#This Row],[CUENTA]],tdiario[DEBE])</f>
        <v>0</v>
      </c>
      <c r="F625" s="17">
        <f>SUMIF(tdiario[CUENTA],tbal[[#This Row],[CUENTA]],tdiario[HABER])</f>
        <v>0</v>
      </c>
      <c r="G625" s="16">
        <f>IF(tbal[[#This Row],[DEBE]]-tbal[[#This Row],[HABER]]&gt;0,tbal[[#This Row],[DEBE]]-tbal[[#This Row],[HABER]],0)</f>
        <v>0</v>
      </c>
      <c r="H625" s="18">
        <f>IF(tbal[[#This Row],[HABER]]-tbal[[#This Row],[DEBE]]&gt;0,tbal[[#This Row],[HABER]]-tbal[[#This Row],[DEBE]],0)</f>
        <v>0</v>
      </c>
      <c r="I625" s="16">
        <f>IF((OR(tbal[[#This Row],[X]]=1,tbal[[#This Row],[X]]=2)),tbal[[#This Row],[DEUDOR]],0)</f>
        <v>0</v>
      </c>
      <c r="J625" s="18">
        <f>IF((OR(tbal[[#This Row],[X]]=2,tbal[[#This Row],[X]]=3)),tbal[[#This Row],[ACREEDOR]],0)</f>
        <v>0</v>
      </c>
      <c r="K625" s="16">
        <f>IF((OR(tbal[[#This Row],[X]]=3,tbal[[#This Row],[X]]=5)),tbal[[#This Row],[DEUDOR]],0)</f>
        <v>0</v>
      </c>
      <c r="L625" s="18">
        <f>IF((OR(tbal[[#This Row],[X]]=3,tbal[[#This Row],[X]]=4)),tbal[[#This Row],[ACREEDOR]],0)</f>
        <v>0</v>
      </c>
      <c r="M625" s="16">
        <f>IF((OR(tbal[[#This Row],[X]]=0,tbal[[#This Row],[X]]=6)),tbal[[#This Row],[DEUDOR]],0)</f>
        <v>0</v>
      </c>
      <c r="N625" s="18">
        <f>IF((OR(tbal[[#This Row],[X]]=0,tbal[[#This Row],[X]]=5)),tbal[[#This Row],[ACREEDOR]],0)</f>
        <v>0</v>
      </c>
    </row>
    <row r="626" spans="1:14" hidden="1" x14ac:dyDescent="0.3">
      <c r="A626" s="14">
        <f>+'PLAN DE CUENTAS'!A626</f>
        <v>0</v>
      </c>
      <c r="B626" s="13">
        <f>+'PLAN DE CUENTAS'!B626</f>
        <v>0</v>
      </c>
      <c r="C626" s="13">
        <f>+'PLAN DE CUENTAS'!C626</f>
        <v>0</v>
      </c>
      <c r="D626" t="str">
        <f>IF(tbal[[#This Row],[DEBE]]+tbal[[#This Row],[HABER]]=0,"","X")</f>
        <v/>
      </c>
      <c r="E626" s="16">
        <f>SUMIF(tdiario[CUENTA],tbal[[#This Row],[CUENTA]],tdiario[DEBE])</f>
        <v>0</v>
      </c>
      <c r="F626" s="17">
        <f>SUMIF(tdiario[CUENTA],tbal[[#This Row],[CUENTA]],tdiario[HABER])</f>
        <v>0</v>
      </c>
      <c r="G626" s="16">
        <f>IF(tbal[[#This Row],[DEBE]]-tbal[[#This Row],[HABER]]&gt;0,tbal[[#This Row],[DEBE]]-tbal[[#This Row],[HABER]],0)</f>
        <v>0</v>
      </c>
      <c r="H626" s="18">
        <f>IF(tbal[[#This Row],[HABER]]-tbal[[#This Row],[DEBE]]&gt;0,tbal[[#This Row],[HABER]]-tbal[[#This Row],[DEBE]],0)</f>
        <v>0</v>
      </c>
      <c r="I626" s="16">
        <f>IF((OR(tbal[[#This Row],[X]]=1,tbal[[#This Row],[X]]=2)),tbal[[#This Row],[DEUDOR]],0)</f>
        <v>0</v>
      </c>
      <c r="J626" s="18">
        <f>IF((OR(tbal[[#This Row],[X]]=2,tbal[[#This Row],[X]]=3)),tbal[[#This Row],[ACREEDOR]],0)</f>
        <v>0</v>
      </c>
      <c r="K626" s="16">
        <f>IF((OR(tbal[[#This Row],[X]]=3,tbal[[#This Row],[X]]=5)),tbal[[#This Row],[DEUDOR]],0)</f>
        <v>0</v>
      </c>
      <c r="L626" s="18">
        <f>IF((OR(tbal[[#This Row],[X]]=3,tbal[[#This Row],[X]]=4)),tbal[[#This Row],[ACREEDOR]],0)</f>
        <v>0</v>
      </c>
      <c r="M626" s="16">
        <f>IF((OR(tbal[[#This Row],[X]]=0,tbal[[#This Row],[X]]=6)),tbal[[#This Row],[DEUDOR]],0)</f>
        <v>0</v>
      </c>
      <c r="N626" s="18">
        <f>IF((OR(tbal[[#This Row],[X]]=0,tbal[[#This Row],[X]]=5)),tbal[[#This Row],[ACREEDOR]],0)</f>
        <v>0</v>
      </c>
    </row>
    <row r="627" spans="1:14" hidden="1" x14ac:dyDescent="0.3">
      <c r="A627" s="14">
        <f>+'PLAN DE CUENTAS'!A627</f>
        <v>0</v>
      </c>
      <c r="B627" s="13">
        <f>+'PLAN DE CUENTAS'!B627</f>
        <v>0</v>
      </c>
      <c r="C627" s="13">
        <f>+'PLAN DE CUENTAS'!C627</f>
        <v>0</v>
      </c>
      <c r="D627" t="str">
        <f>IF(tbal[[#This Row],[DEBE]]+tbal[[#This Row],[HABER]]=0,"","X")</f>
        <v/>
      </c>
      <c r="E627" s="16">
        <f>SUMIF(tdiario[CUENTA],tbal[[#This Row],[CUENTA]],tdiario[DEBE])</f>
        <v>0</v>
      </c>
      <c r="F627" s="17">
        <f>SUMIF(tdiario[CUENTA],tbal[[#This Row],[CUENTA]],tdiario[HABER])</f>
        <v>0</v>
      </c>
      <c r="G627" s="16">
        <f>IF(tbal[[#This Row],[DEBE]]-tbal[[#This Row],[HABER]]&gt;0,tbal[[#This Row],[DEBE]]-tbal[[#This Row],[HABER]],0)</f>
        <v>0</v>
      </c>
      <c r="H627" s="18">
        <f>IF(tbal[[#This Row],[HABER]]-tbal[[#This Row],[DEBE]]&gt;0,tbal[[#This Row],[HABER]]-tbal[[#This Row],[DEBE]],0)</f>
        <v>0</v>
      </c>
      <c r="I627" s="16">
        <f>IF((OR(tbal[[#This Row],[X]]=1,tbal[[#This Row],[X]]=2)),tbal[[#This Row],[DEUDOR]],0)</f>
        <v>0</v>
      </c>
      <c r="J627" s="18">
        <f>IF((OR(tbal[[#This Row],[X]]=2,tbal[[#This Row],[X]]=3)),tbal[[#This Row],[ACREEDOR]],0)</f>
        <v>0</v>
      </c>
      <c r="K627" s="16">
        <f>IF((OR(tbal[[#This Row],[X]]=3,tbal[[#This Row],[X]]=5)),tbal[[#This Row],[DEUDOR]],0)</f>
        <v>0</v>
      </c>
      <c r="L627" s="18">
        <f>IF((OR(tbal[[#This Row],[X]]=3,tbal[[#This Row],[X]]=4)),tbal[[#This Row],[ACREEDOR]],0)</f>
        <v>0</v>
      </c>
      <c r="M627" s="16">
        <f>IF((OR(tbal[[#This Row],[X]]=0,tbal[[#This Row],[X]]=6)),tbal[[#This Row],[DEUDOR]],0)</f>
        <v>0</v>
      </c>
      <c r="N627" s="18">
        <f>IF((OR(tbal[[#This Row],[X]]=0,tbal[[#This Row],[X]]=5)),tbal[[#This Row],[ACREEDOR]],0)</f>
        <v>0</v>
      </c>
    </row>
    <row r="628" spans="1:14" hidden="1" x14ac:dyDescent="0.3">
      <c r="A628" s="14">
        <f>+'PLAN DE CUENTAS'!A628</f>
        <v>0</v>
      </c>
      <c r="B628" s="13">
        <f>+'PLAN DE CUENTAS'!B628</f>
        <v>0</v>
      </c>
      <c r="C628" s="13">
        <f>+'PLAN DE CUENTAS'!C628</f>
        <v>0</v>
      </c>
      <c r="D628" t="str">
        <f>IF(tbal[[#This Row],[DEBE]]+tbal[[#This Row],[HABER]]=0,"","X")</f>
        <v/>
      </c>
      <c r="E628" s="16">
        <f>SUMIF(tdiario[CUENTA],tbal[[#This Row],[CUENTA]],tdiario[DEBE])</f>
        <v>0</v>
      </c>
      <c r="F628" s="17">
        <f>SUMIF(tdiario[CUENTA],tbal[[#This Row],[CUENTA]],tdiario[HABER])</f>
        <v>0</v>
      </c>
      <c r="G628" s="16">
        <f>IF(tbal[[#This Row],[DEBE]]-tbal[[#This Row],[HABER]]&gt;0,tbal[[#This Row],[DEBE]]-tbal[[#This Row],[HABER]],0)</f>
        <v>0</v>
      </c>
      <c r="H628" s="18">
        <f>IF(tbal[[#This Row],[HABER]]-tbal[[#This Row],[DEBE]]&gt;0,tbal[[#This Row],[HABER]]-tbal[[#This Row],[DEBE]],0)</f>
        <v>0</v>
      </c>
      <c r="I628" s="16">
        <f>IF((OR(tbal[[#This Row],[X]]=1,tbal[[#This Row],[X]]=2)),tbal[[#This Row],[DEUDOR]],0)</f>
        <v>0</v>
      </c>
      <c r="J628" s="18">
        <f>IF((OR(tbal[[#This Row],[X]]=2,tbal[[#This Row],[X]]=3)),tbal[[#This Row],[ACREEDOR]],0)</f>
        <v>0</v>
      </c>
      <c r="K628" s="16">
        <f>IF((OR(tbal[[#This Row],[X]]=3,tbal[[#This Row],[X]]=5)),tbal[[#This Row],[DEUDOR]],0)</f>
        <v>0</v>
      </c>
      <c r="L628" s="18">
        <f>IF((OR(tbal[[#This Row],[X]]=3,tbal[[#This Row],[X]]=4)),tbal[[#This Row],[ACREEDOR]],0)</f>
        <v>0</v>
      </c>
      <c r="M628" s="16">
        <f>IF((OR(tbal[[#This Row],[X]]=0,tbal[[#This Row],[X]]=6)),tbal[[#This Row],[DEUDOR]],0)</f>
        <v>0</v>
      </c>
      <c r="N628" s="18">
        <f>IF((OR(tbal[[#This Row],[X]]=0,tbal[[#This Row],[X]]=5)),tbal[[#This Row],[ACREEDOR]],0)</f>
        <v>0</v>
      </c>
    </row>
    <row r="629" spans="1:14" hidden="1" x14ac:dyDescent="0.3">
      <c r="A629" s="14">
        <f>+'PLAN DE CUENTAS'!A629</f>
        <v>0</v>
      </c>
      <c r="B629" s="13">
        <f>+'PLAN DE CUENTAS'!B629</f>
        <v>0</v>
      </c>
      <c r="C629" s="13">
        <f>+'PLAN DE CUENTAS'!C629</f>
        <v>0</v>
      </c>
      <c r="D629" t="str">
        <f>IF(tbal[[#This Row],[DEBE]]+tbal[[#This Row],[HABER]]=0,"","X")</f>
        <v/>
      </c>
      <c r="E629" s="16">
        <f>SUMIF(tdiario[CUENTA],tbal[[#This Row],[CUENTA]],tdiario[DEBE])</f>
        <v>0</v>
      </c>
      <c r="F629" s="17">
        <f>SUMIF(tdiario[CUENTA],tbal[[#This Row],[CUENTA]],tdiario[HABER])</f>
        <v>0</v>
      </c>
      <c r="G629" s="16">
        <f>IF(tbal[[#This Row],[DEBE]]-tbal[[#This Row],[HABER]]&gt;0,tbal[[#This Row],[DEBE]]-tbal[[#This Row],[HABER]],0)</f>
        <v>0</v>
      </c>
      <c r="H629" s="18">
        <f>IF(tbal[[#This Row],[HABER]]-tbal[[#This Row],[DEBE]]&gt;0,tbal[[#This Row],[HABER]]-tbal[[#This Row],[DEBE]],0)</f>
        <v>0</v>
      </c>
      <c r="I629" s="16">
        <f>IF((OR(tbal[[#This Row],[X]]=1,tbal[[#This Row],[X]]=2)),tbal[[#This Row],[DEUDOR]],0)</f>
        <v>0</v>
      </c>
      <c r="J629" s="18">
        <f>IF((OR(tbal[[#This Row],[X]]=2,tbal[[#This Row],[X]]=3)),tbal[[#This Row],[ACREEDOR]],0)</f>
        <v>0</v>
      </c>
      <c r="K629" s="16">
        <f>IF((OR(tbal[[#This Row],[X]]=3,tbal[[#This Row],[X]]=5)),tbal[[#This Row],[DEUDOR]],0)</f>
        <v>0</v>
      </c>
      <c r="L629" s="18">
        <f>IF((OR(tbal[[#This Row],[X]]=3,tbal[[#This Row],[X]]=4)),tbal[[#This Row],[ACREEDOR]],0)</f>
        <v>0</v>
      </c>
      <c r="M629" s="16">
        <f>IF((OR(tbal[[#This Row],[X]]=0,tbal[[#This Row],[X]]=6)),tbal[[#This Row],[DEUDOR]],0)</f>
        <v>0</v>
      </c>
      <c r="N629" s="18">
        <f>IF((OR(tbal[[#This Row],[X]]=0,tbal[[#This Row],[X]]=5)),tbal[[#This Row],[ACREEDOR]],0)</f>
        <v>0</v>
      </c>
    </row>
    <row r="630" spans="1:14" hidden="1" x14ac:dyDescent="0.3">
      <c r="A630" s="14">
        <f>+'PLAN DE CUENTAS'!A630</f>
        <v>0</v>
      </c>
      <c r="B630" s="13">
        <f>+'PLAN DE CUENTAS'!B630</f>
        <v>0</v>
      </c>
      <c r="C630" s="13">
        <f>+'PLAN DE CUENTAS'!C630</f>
        <v>0</v>
      </c>
      <c r="D630" t="str">
        <f>IF(tbal[[#This Row],[DEBE]]+tbal[[#This Row],[HABER]]=0,"","X")</f>
        <v/>
      </c>
      <c r="E630" s="16">
        <f>SUMIF(tdiario[CUENTA],tbal[[#This Row],[CUENTA]],tdiario[DEBE])</f>
        <v>0</v>
      </c>
      <c r="F630" s="17">
        <f>SUMIF(tdiario[CUENTA],tbal[[#This Row],[CUENTA]],tdiario[HABER])</f>
        <v>0</v>
      </c>
      <c r="G630" s="16">
        <f>IF(tbal[[#This Row],[DEBE]]-tbal[[#This Row],[HABER]]&gt;0,tbal[[#This Row],[DEBE]]-tbal[[#This Row],[HABER]],0)</f>
        <v>0</v>
      </c>
      <c r="H630" s="18">
        <f>IF(tbal[[#This Row],[HABER]]-tbal[[#This Row],[DEBE]]&gt;0,tbal[[#This Row],[HABER]]-tbal[[#This Row],[DEBE]],0)</f>
        <v>0</v>
      </c>
      <c r="I630" s="16">
        <f>IF((OR(tbal[[#This Row],[X]]=1,tbal[[#This Row],[X]]=2)),tbal[[#This Row],[DEUDOR]],0)</f>
        <v>0</v>
      </c>
      <c r="J630" s="18">
        <f>IF((OR(tbal[[#This Row],[X]]=2,tbal[[#This Row],[X]]=3)),tbal[[#This Row],[ACREEDOR]],0)</f>
        <v>0</v>
      </c>
      <c r="K630" s="16">
        <f>IF((OR(tbal[[#This Row],[X]]=3,tbal[[#This Row],[X]]=5)),tbal[[#This Row],[DEUDOR]],0)</f>
        <v>0</v>
      </c>
      <c r="L630" s="18">
        <f>IF((OR(tbal[[#This Row],[X]]=3,tbal[[#This Row],[X]]=4)),tbal[[#This Row],[ACREEDOR]],0)</f>
        <v>0</v>
      </c>
      <c r="M630" s="16">
        <f>IF((OR(tbal[[#This Row],[X]]=0,tbal[[#This Row],[X]]=6)),tbal[[#This Row],[DEUDOR]],0)</f>
        <v>0</v>
      </c>
      <c r="N630" s="18">
        <f>IF((OR(tbal[[#This Row],[X]]=0,tbal[[#This Row],[X]]=5)),tbal[[#This Row],[ACREEDOR]],0)</f>
        <v>0</v>
      </c>
    </row>
    <row r="631" spans="1:14" hidden="1" x14ac:dyDescent="0.3">
      <c r="A631" s="14">
        <f>+'PLAN DE CUENTAS'!A631</f>
        <v>0</v>
      </c>
      <c r="B631" s="13">
        <f>+'PLAN DE CUENTAS'!B631</f>
        <v>0</v>
      </c>
      <c r="C631" s="13">
        <f>+'PLAN DE CUENTAS'!C631</f>
        <v>0</v>
      </c>
      <c r="D631" t="str">
        <f>IF(tbal[[#This Row],[DEBE]]+tbal[[#This Row],[HABER]]=0,"","X")</f>
        <v/>
      </c>
      <c r="E631" s="16">
        <f>SUMIF(tdiario[CUENTA],tbal[[#This Row],[CUENTA]],tdiario[DEBE])</f>
        <v>0</v>
      </c>
      <c r="F631" s="17">
        <f>SUMIF(tdiario[CUENTA],tbal[[#This Row],[CUENTA]],tdiario[HABER])</f>
        <v>0</v>
      </c>
      <c r="G631" s="16">
        <f>IF(tbal[[#This Row],[DEBE]]-tbal[[#This Row],[HABER]]&gt;0,tbal[[#This Row],[DEBE]]-tbal[[#This Row],[HABER]],0)</f>
        <v>0</v>
      </c>
      <c r="H631" s="18">
        <f>IF(tbal[[#This Row],[HABER]]-tbal[[#This Row],[DEBE]]&gt;0,tbal[[#This Row],[HABER]]-tbal[[#This Row],[DEBE]],0)</f>
        <v>0</v>
      </c>
      <c r="I631" s="16">
        <f>IF((OR(tbal[[#This Row],[X]]=1,tbal[[#This Row],[X]]=2)),tbal[[#This Row],[DEUDOR]],0)</f>
        <v>0</v>
      </c>
      <c r="J631" s="18">
        <f>IF((OR(tbal[[#This Row],[X]]=2,tbal[[#This Row],[X]]=3)),tbal[[#This Row],[ACREEDOR]],0)</f>
        <v>0</v>
      </c>
      <c r="K631" s="16">
        <f>IF((OR(tbal[[#This Row],[X]]=3,tbal[[#This Row],[X]]=5)),tbal[[#This Row],[DEUDOR]],0)</f>
        <v>0</v>
      </c>
      <c r="L631" s="18">
        <f>IF((OR(tbal[[#This Row],[X]]=3,tbal[[#This Row],[X]]=4)),tbal[[#This Row],[ACREEDOR]],0)</f>
        <v>0</v>
      </c>
      <c r="M631" s="16">
        <f>IF((OR(tbal[[#This Row],[X]]=0,tbal[[#This Row],[X]]=6)),tbal[[#This Row],[DEUDOR]],0)</f>
        <v>0</v>
      </c>
      <c r="N631" s="18">
        <f>IF((OR(tbal[[#This Row],[X]]=0,tbal[[#This Row],[X]]=5)),tbal[[#This Row],[ACREEDOR]],0)</f>
        <v>0</v>
      </c>
    </row>
    <row r="632" spans="1:14" hidden="1" x14ac:dyDescent="0.3">
      <c r="A632" s="14">
        <f>+'PLAN DE CUENTAS'!A632</f>
        <v>0</v>
      </c>
      <c r="B632" s="13">
        <f>+'PLAN DE CUENTAS'!B632</f>
        <v>0</v>
      </c>
      <c r="C632" s="13">
        <f>+'PLAN DE CUENTAS'!C632</f>
        <v>0</v>
      </c>
      <c r="D632" t="str">
        <f>IF(tbal[[#This Row],[DEBE]]+tbal[[#This Row],[HABER]]=0,"","X")</f>
        <v/>
      </c>
      <c r="E632" s="16">
        <f>SUMIF(tdiario[CUENTA],tbal[[#This Row],[CUENTA]],tdiario[DEBE])</f>
        <v>0</v>
      </c>
      <c r="F632" s="17">
        <f>SUMIF(tdiario[CUENTA],tbal[[#This Row],[CUENTA]],tdiario[HABER])</f>
        <v>0</v>
      </c>
      <c r="G632" s="16">
        <f>IF(tbal[[#This Row],[DEBE]]-tbal[[#This Row],[HABER]]&gt;0,tbal[[#This Row],[DEBE]]-tbal[[#This Row],[HABER]],0)</f>
        <v>0</v>
      </c>
      <c r="H632" s="18">
        <f>IF(tbal[[#This Row],[HABER]]-tbal[[#This Row],[DEBE]]&gt;0,tbal[[#This Row],[HABER]]-tbal[[#This Row],[DEBE]],0)</f>
        <v>0</v>
      </c>
      <c r="I632" s="16">
        <f>IF((OR(tbal[[#This Row],[X]]=1,tbal[[#This Row],[X]]=2)),tbal[[#This Row],[DEUDOR]],0)</f>
        <v>0</v>
      </c>
      <c r="J632" s="18">
        <f>IF((OR(tbal[[#This Row],[X]]=2,tbal[[#This Row],[X]]=3)),tbal[[#This Row],[ACREEDOR]],0)</f>
        <v>0</v>
      </c>
      <c r="K632" s="16">
        <f>IF((OR(tbal[[#This Row],[X]]=3,tbal[[#This Row],[X]]=5)),tbal[[#This Row],[DEUDOR]],0)</f>
        <v>0</v>
      </c>
      <c r="L632" s="18">
        <f>IF((OR(tbal[[#This Row],[X]]=3,tbal[[#This Row],[X]]=4)),tbal[[#This Row],[ACREEDOR]],0)</f>
        <v>0</v>
      </c>
      <c r="M632" s="16">
        <f>IF((OR(tbal[[#This Row],[X]]=0,tbal[[#This Row],[X]]=6)),tbal[[#This Row],[DEUDOR]],0)</f>
        <v>0</v>
      </c>
      <c r="N632" s="18">
        <f>IF((OR(tbal[[#This Row],[X]]=0,tbal[[#This Row],[X]]=5)),tbal[[#This Row],[ACREEDOR]],0)</f>
        <v>0</v>
      </c>
    </row>
    <row r="633" spans="1:14" hidden="1" x14ac:dyDescent="0.3">
      <c r="A633" s="14">
        <f>+'PLAN DE CUENTAS'!A633</f>
        <v>0</v>
      </c>
      <c r="B633" s="13">
        <f>+'PLAN DE CUENTAS'!B633</f>
        <v>0</v>
      </c>
      <c r="C633" s="13">
        <f>+'PLAN DE CUENTAS'!C633</f>
        <v>0</v>
      </c>
      <c r="D633" t="str">
        <f>IF(tbal[[#This Row],[DEBE]]+tbal[[#This Row],[HABER]]=0,"","X")</f>
        <v/>
      </c>
      <c r="E633" s="16">
        <f>SUMIF(tdiario[CUENTA],tbal[[#This Row],[CUENTA]],tdiario[DEBE])</f>
        <v>0</v>
      </c>
      <c r="F633" s="17">
        <f>SUMIF(tdiario[CUENTA],tbal[[#This Row],[CUENTA]],tdiario[HABER])</f>
        <v>0</v>
      </c>
      <c r="G633" s="16">
        <f>IF(tbal[[#This Row],[DEBE]]-tbal[[#This Row],[HABER]]&gt;0,tbal[[#This Row],[DEBE]]-tbal[[#This Row],[HABER]],0)</f>
        <v>0</v>
      </c>
      <c r="H633" s="18">
        <f>IF(tbal[[#This Row],[HABER]]-tbal[[#This Row],[DEBE]]&gt;0,tbal[[#This Row],[HABER]]-tbal[[#This Row],[DEBE]],0)</f>
        <v>0</v>
      </c>
      <c r="I633" s="16">
        <f>IF((OR(tbal[[#This Row],[X]]=1,tbal[[#This Row],[X]]=2)),tbal[[#This Row],[DEUDOR]],0)</f>
        <v>0</v>
      </c>
      <c r="J633" s="18">
        <f>IF((OR(tbal[[#This Row],[X]]=2,tbal[[#This Row],[X]]=3)),tbal[[#This Row],[ACREEDOR]],0)</f>
        <v>0</v>
      </c>
      <c r="K633" s="16">
        <f>IF((OR(tbal[[#This Row],[X]]=3,tbal[[#This Row],[X]]=5)),tbal[[#This Row],[DEUDOR]],0)</f>
        <v>0</v>
      </c>
      <c r="L633" s="18">
        <f>IF((OR(tbal[[#This Row],[X]]=3,tbal[[#This Row],[X]]=4)),tbal[[#This Row],[ACREEDOR]],0)</f>
        <v>0</v>
      </c>
      <c r="M633" s="16">
        <f>IF((OR(tbal[[#This Row],[X]]=0,tbal[[#This Row],[X]]=6)),tbal[[#This Row],[DEUDOR]],0)</f>
        <v>0</v>
      </c>
      <c r="N633" s="18">
        <f>IF((OR(tbal[[#This Row],[X]]=0,tbal[[#This Row],[X]]=5)),tbal[[#This Row],[ACREEDOR]],0)</f>
        <v>0</v>
      </c>
    </row>
    <row r="634" spans="1:14" hidden="1" x14ac:dyDescent="0.3">
      <c r="A634" s="14">
        <f>+'PLAN DE CUENTAS'!A634</f>
        <v>0</v>
      </c>
      <c r="B634" s="13">
        <f>+'PLAN DE CUENTAS'!B634</f>
        <v>0</v>
      </c>
      <c r="C634" s="13">
        <f>+'PLAN DE CUENTAS'!C634</f>
        <v>0</v>
      </c>
      <c r="D634" t="str">
        <f>IF(tbal[[#This Row],[DEBE]]+tbal[[#This Row],[HABER]]=0,"","X")</f>
        <v/>
      </c>
      <c r="E634" s="16">
        <f>SUMIF(tdiario[CUENTA],tbal[[#This Row],[CUENTA]],tdiario[DEBE])</f>
        <v>0</v>
      </c>
      <c r="F634" s="17">
        <f>SUMIF(tdiario[CUENTA],tbal[[#This Row],[CUENTA]],tdiario[HABER])</f>
        <v>0</v>
      </c>
      <c r="G634" s="16">
        <f>IF(tbal[[#This Row],[DEBE]]-tbal[[#This Row],[HABER]]&gt;0,tbal[[#This Row],[DEBE]]-tbal[[#This Row],[HABER]],0)</f>
        <v>0</v>
      </c>
      <c r="H634" s="18">
        <f>IF(tbal[[#This Row],[HABER]]-tbal[[#This Row],[DEBE]]&gt;0,tbal[[#This Row],[HABER]]-tbal[[#This Row],[DEBE]],0)</f>
        <v>0</v>
      </c>
      <c r="I634" s="16">
        <f>IF((OR(tbal[[#This Row],[X]]=1,tbal[[#This Row],[X]]=2)),tbal[[#This Row],[DEUDOR]],0)</f>
        <v>0</v>
      </c>
      <c r="J634" s="18">
        <f>IF((OR(tbal[[#This Row],[X]]=2,tbal[[#This Row],[X]]=3)),tbal[[#This Row],[ACREEDOR]],0)</f>
        <v>0</v>
      </c>
      <c r="K634" s="16">
        <f>IF((OR(tbal[[#This Row],[X]]=3,tbal[[#This Row],[X]]=5)),tbal[[#This Row],[DEUDOR]],0)</f>
        <v>0</v>
      </c>
      <c r="L634" s="18">
        <f>IF((OR(tbal[[#This Row],[X]]=3,tbal[[#This Row],[X]]=4)),tbal[[#This Row],[ACREEDOR]],0)</f>
        <v>0</v>
      </c>
      <c r="M634" s="16">
        <f>IF((OR(tbal[[#This Row],[X]]=0,tbal[[#This Row],[X]]=6)),tbal[[#This Row],[DEUDOR]],0)</f>
        <v>0</v>
      </c>
      <c r="N634" s="18">
        <f>IF((OR(tbal[[#This Row],[X]]=0,tbal[[#This Row],[X]]=5)),tbal[[#This Row],[ACREEDOR]],0)</f>
        <v>0</v>
      </c>
    </row>
    <row r="635" spans="1:14" ht="42" hidden="1" customHeight="1" x14ac:dyDescent="0.3">
      <c r="A635" s="14">
        <f>+'PLAN DE CUENTAS'!A635</f>
        <v>0</v>
      </c>
      <c r="B635" s="13">
        <f>+'PLAN DE CUENTAS'!B635</f>
        <v>0</v>
      </c>
      <c r="C635" s="13">
        <f>+'PLAN DE CUENTAS'!C635</f>
        <v>0</v>
      </c>
      <c r="D635" t="str">
        <f>IF(tbal[[#This Row],[DEBE]]+tbal[[#This Row],[HABER]]=0,"","X")</f>
        <v/>
      </c>
      <c r="E635" s="16">
        <f>SUMIF(tdiario[CUENTA],tbal[[#This Row],[CUENTA]],tdiario[DEBE])</f>
        <v>0</v>
      </c>
      <c r="F635" s="17">
        <f>SUMIF(tdiario[CUENTA],tbal[[#This Row],[CUENTA]],tdiario[HABER])</f>
        <v>0</v>
      </c>
      <c r="G635" s="16">
        <f>IF(tbal[[#This Row],[DEBE]]-tbal[[#This Row],[HABER]]&gt;0,tbal[[#This Row],[DEBE]]-tbal[[#This Row],[HABER]],0)</f>
        <v>0</v>
      </c>
      <c r="H635" s="18">
        <f>IF(tbal[[#This Row],[HABER]]-tbal[[#This Row],[DEBE]]&gt;0,tbal[[#This Row],[HABER]]-tbal[[#This Row],[DEBE]],0)</f>
        <v>0</v>
      </c>
      <c r="I635" s="16">
        <f>IF((OR(tbal[[#This Row],[X]]=1,tbal[[#This Row],[X]]=2)),tbal[[#This Row],[DEUDOR]],0)</f>
        <v>0</v>
      </c>
      <c r="J635" s="18">
        <f>IF((OR(tbal[[#This Row],[X]]=2,tbal[[#This Row],[X]]=3)),tbal[[#This Row],[ACREEDOR]],0)</f>
        <v>0</v>
      </c>
      <c r="K635" s="16">
        <f>IF((OR(tbal[[#This Row],[X]]=3,tbal[[#This Row],[X]]=5)),tbal[[#This Row],[DEUDOR]],0)</f>
        <v>0</v>
      </c>
      <c r="L635" s="18">
        <f>IF((OR(tbal[[#This Row],[X]]=3,tbal[[#This Row],[X]]=4)),tbal[[#This Row],[ACREEDOR]],0)</f>
        <v>0</v>
      </c>
      <c r="M635" s="16">
        <f>IF((OR(tbal[[#This Row],[X]]=0,tbal[[#This Row],[X]]=6)),tbal[[#This Row],[DEUDOR]],0)</f>
        <v>0</v>
      </c>
      <c r="N635" s="18">
        <f>IF((OR(tbal[[#This Row],[X]]=0,tbal[[#This Row],[X]]=5)),tbal[[#This Row],[ACREEDOR]],0)</f>
        <v>0</v>
      </c>
    </row>
    <row r="636" spans="1:14" ht="23.25" hidden="1" customHeight="1" x14ac:dyDescent="0.3">
      <c r="A636" s="14">
        <f>+'PLAN DE CUENTAS'!A636</f>
        <v>0</v>
      </c>
      <c r="B636" s="13">
        <f>+'PLAN DE CUENTAS'!B636</f>
        <v>0</v>
      </c>
      <c r="C636" s="13">
        <f>+'PLAN DE CUENTAS'!C636</f>
        <v>0</v>
      </c>
      <c r="D636" t="str">
        <f>IF(tbal[[#This Row],[DEBE]]+tbal[[#This Row],[HABER]]=0,"","X")</f>
        <v/>
      </c>
      <c r="E636" s="16">
        <f>SUMIF(tdiario[CUENTA],tbal[[#This Row],[CUENTA]],tdiario[DEBE])</f>
        <v>0</v>
      </c>
      <c r="F636" s="17">
        <f>SUMIF(tdiario[CUENTA],tbal[[#This Row],[CUENTA]],tdiario[HABER])</f>
        <v>0</v>
      </c>
      <c r="G636" s="16">
        <f>IF(tbal[[#This Row],[DEBE]]-tbal[[#This Row],[HABER]]&gt;0,tbal[[#This Row],[DEBE]]-tbal[[#This Row],[HABER]],0)</f>
        <v>0</v>
      </c>
      <c r="H636" s="18">
        <f>IF(tbal[[#This Row],[HABER]]-tbal[[#This Row],[DEBE]]&gt;0,tbal[[#This Row],[HABER]]-tbal[[#This Row],[DEBE]],0)</f>
        <v>0</v>
      </c>
      <c r="I636" s="16">
        <f>IF((OR(tbal[[#This Row],[X]]=1,tbal[[#This Row],[X]]=2)),tbal[[#This Row],[DEUDOR]],0)</f>
        <v>0</v>
      </c>
      <c r="J636" s="18">
        <f>IF((OR(tbal[[#This Row],[X]]=2,tbal[[#This Row],[X]]=3)),tbal[[#This Row],[ACREEDOR]],0)</f>
        <v>0</v>
      </c>
      <c r="K636" s="16">
        <f>IF((OR(tbal[[#This Row],[X]]=3,tbal[[#This Row],[X]]=5)),tbal[[#This Row],[DEUDOR]],0)</f>
        <v>0</v>
      </c>
      <c r="L636" s="18">
        <f>IF((OR(tbal[[#This Row],[X]]=3,tbal[[#This Row],[X]]=4)),tbal[[#This Row],[ACREEDOR]],0)</f>
        <v>0</v>
      </c>
      <c r="M636" s="16">
        <f>IF((OR(tbal[[#This Row],[X]]=0,tbal[[#This Row],[X]]=6)),tbal[[#This Row],[DEUDOR]],0)</f>
        <v>0</v>
      </c>
      <c r="N636" s="18">
        <f>IF((OR(tbal[[#This Row],[X]]=0,tbal[[#This Row],[X]]=5)),tbal[[#This Row],[ACREEDOR]],0)</f>
        <v>0</v>
      </c>
    </row>
    <row r="637" spans="1:14" ht="18.75" hidden="1" customHeight="1" x14ac:dyDescent="0.3">
      <c r="A637" s="14">
        <f>+'PLAN DE CUENTAS'!A637</f>
        <v>0</v>
      </c>
      <c r="B637" s="13">
        <f>+'PLAN DE CUENTAS'!B637</f>
        <v>0</v>
      </c>
      <c r="C637" s="13">
        <f>+'PLAN DE CUENTAS'!C637</f>
        <v>0</v>
      </c>
      <c r="D637" t="str">
        <f>IF(tbal[[#This Row],[DEBE]]+tbal[[#This Row],[HABER]]=0,"","X")</f>
        <v/>
      </c>
      <c r="E637" s="16">
        <f>SUMIF(tdiario[CUENTA],tbal[[#This Row],[CUENTA]],tdiario[DEBE])</f>
        <v>0</v>
      </c>
      <c r="F637" s="17">
        <f>SUMIF(tdiario[CUENTA],tbal[[#This Row],[CUENTA]],tdiario[HABER])</f>
        <v>0</v>
      </c>
      <c r="G637" s="16">
        <f>IF(tbal[[#This Row],[DEBE]]-tbal[[#This Row],[HABER]]&gt;0,tbal[[#This Row],[DEBE]]-tbal[[#This Row],[HABER]],0)</f>
        <v>0</v>
      </c>
      <c r="H637" s="18">
        <f>IF(tbal[[#This Row],[HABER]]-tbal[[#This Row],[DEBE]]&gt;0,tbal[[#This Row],[HABER]]-tbal[[#This Row],[DEBE]],0)</f>
        <v>0</v>
      </c>
      <c r="I637" s="16">
        <f>IF((OR(tbal[[#This Row],[X]]=1,tbal[[#This Row],[X]]=2)),tbal[[#This Row],[DEUDOR]],0)</f>
        <v>0</v>
      </c>
      <c r="J637" s="18">
        <f>IF((OR(tbal[[#This Row],[X]]=2,tbal[[#This Row],[X]]=3)),tbal[[#This Row],[ACREEDOR]],0)</f>
        <v>0</v>
      </c>
      <c r="K637" s="16">
        <f>IF((OR(tbal[[#This Row],[X]]=3,tbal[[#This Row],[X]]=5)),tbal[[#This Row],[DEUDOR]],0)</f>
        <v>0</v>
      </c>
      <c r="L637" s="18">
        <f>IF((OR(tbal[[#This Row],[X]]=3,tbal[[#This Row],[X]]=4)),tbal[[#This Row],[ACREEDOR]],0)</f>
        <v>0</v>
      </c>
      <c r="M637" s="16">
        <f>IF((OR(tbal[[#This Row],[X]]=0,tbal[[#This Row],[X]]=6)),tbal[[#This Row],[DEUDOR]],0)</f>
        <v>0</v>
      </c>
      <c r="N637" s="18">
        <f>IF((OR(tbal[[#This Row],[X]]=0,tbal[[#This Row],[X]]=5)),tbal[[#This Row],[ACREEDOR]],0)</f>
        <v>0</v>
      </c>
    </row>
    <row r="638" spans="1:14" hidden="1" x14ac:dyDescent="0.3">
      <c r="A638" s="14">
        <f>+'PLAN DE CUENTAS'!A638</f>
        <v>0</v>
      </c>
      <c r="B638" s="13">
        <f>+'PLAN DE CUENTAS'!B638</f>
        <v>0</v>
      </c>
      <c r="C638" s="13">
        <f>+'PLAN DE CUENTAS'!C638</f>
        <v>0</v>
      </c>
      <c r="D638" t="str">
        <f>IF(tbal[[#This Row],[DEBE]]+tbal[[#This Row],[HABER]]=0,"","X")</f>
        <v/>
      </c>
      <c r="E638" s="16">
        <f>SUMIF(tdiario[CUENTA],tbal[[#This Row],[CUENTA]],tdiario[DEBE])</f>
        <v>0</v>
      </c>
      <c r="F638" s="17">
        <f>SUMIF(tdiario[CUENTA],tbal[[#This Row],[CUENTA]],tdiario[HABER])</f>
        <v>0</v>
      </c>
      <c r="G638" s="16">
        <f>IF(tbal[[#This Row],[DEBE]]-tbal[[#This Row],[HABER]]&gt;0,tbal[[#This Row],[DEBE]]-tbal[[#This Row],[HABER]],0)</f>
        <v>0</v>
      </c>
      <c r="H638" s="18">
        <f>IF(tbal[[#This Row],[HABER]]-tbal[[#This Row],[DEBE]]&gt;0,tbal[[#This Row],[HABER]]-tbal[[#This Row],[DEBE]],0)</f>
        <v>0</v>
      </c>
      <c r="I638" s="16">
        <f>IF((OR(tbal[[#This Row],[X]]=1,tbal[[#This Row],[X]]=2)),tbal[[#This Row],[DEUDOR]],0)</f>
        <v>0</v>
      </c>
      <c r="J638" s="18">
        <f>IF((OR(tbal[[#This Row],[X]]=2,tbal[[#This Row],[X]]=3)),tbal[[#This Row],[ACREEDOR]],0)</f>
        <v>0</v>
      </c>
      <c r="K638" s="16">
        <f>IF((OR(tbal[[#This Row],[X]]=3,tbal[[#This Row],[X]]=5)),tbal[[#This Row],[DEUDOR]],0)</f>
        <v>0</v>
      </c>
      <c r="L638" s="18">
        <f>IF((OR(tbal[[#This Row],[X]]=3,tbal[[#This Row],[X]]=4)),tbal[[#This Row],[ACREEDOR]],0)</f>
        <v>0</v>
      </c>
      <c r="M638" s="16">
        <f>IF((OR(tbal[[#This Row],[X]]=0,tbal[[#This Row],[X]]=6)),tbal[[#This Row],[DEUDOR]],0)</f>
        <v>0</v>
      </c>
      <c r="N638" s="18">
        <f>IF((OR(tbal[[#This Row],[X]]=0,tbal[[#This Row],[X]]=5)),tbal[[#This Row],[ACREEDOR]],0)</f>
        <v>0</v>
      </c>
    </row>
    <row r="639" spans="1:14" hidden="1" x14ac:dyDescent="0.3">
      <c r="A639" s="14">
        <f>+'PLAN DE CUENTAS'!A639</f>
        <v>0</v>
      </c>
      <c r="B639" s="13">
        <f>+'PLAN DE CUENTAS'!B639</f>
        <v>0</v>
      </c>
      <c r="C639" s="13">
        <f>+'PLAN DE CUENTAS'!C639</f>
        <v>0</v>
      </c>
      <c r="D639" t="str">
        <f>IF(tbal[[#This Row],[DEBE]]+tbal[[#This Row],[HABER]]=0,"","X")</f>
        <v/>
      </c>
      <c r="E639" s="16">
        <f>SUMIF(tdiario[CUENTA],tbal[[#This Row],[CUENTA]],tdiario[DEBE])</f>
        <v>0</v>
      </c>
      <c r="F639" s="17">
        <f>SUMIF(tdiario[CUENTA],tbal[[#This Row],[CUENTA]],tdiario[HABER])</f>
        <v>0</v>
      </c>
      <c r="G639" s="16">
        <f>IF(tbal[[#This Row],[DEBE]]-tbal[[#This Row],[HABER]]&gt;0,tbal[[#This Row],[DEBE]]-tbal[[#This Row],[HABER]],0)</f>
        <v>0</v>
      </c>
      <c r="H639" s="18">
        <f>IF(tbal[[#This Row],[HABER]]-tbal[[#This Row],[DEBE]]&gt;0,tbal[[#This Row],[HABER]]-tbal[[#This Row],[DEBE]],0)</f>
        <v>0</v>
      </c>
      <c r="I639" s="16">
        <f>IF((OR(tbal[[#This Row],[X]]=1,tbal[[#This Row],[X]]=2)),tbal[[#This Row],[DEUDOR]],0)</f>
        <v>0</v>
      </c>
      <c r="J639" s="18">
        <f>IF((OR(tbal[[#This Row],[X]]=2,tbal[[#This Row],[X]]=3)),tbal[[#This Row],[ACREEDOR]],0)</f>
        <v>0</v>
      </c>
      <c r="K639" s="16">
        <f>IF((OR(tbal[[#This Row],[X]]=3,tbal[[#This Row],[X]]=5)),tbal[[#This Row],[DEUDOR]],0)</f>
        <v>0</v>
      </c>
      <c r="L639" s="18">
        <f>IF((OR(tbal[[#This Row],[X]]=3,tbal[[#This Row],[X]]=4)),tbal[[#This Row],[ACREEDOR]],0)</f>
        <v>0</v>
      </c>
      <c r="M639" s="16">
        <f>IF((OR(tbal[[#This Row],[X]]=0,tbal[[#This Row],[X]]=6)),tbal[[#This Row],[DEUDOR]],0)</f>
        <v>0</v>
      </c>
      <c r="N639" s="18">
        <f>IF((OR(tbal[[#This Row],[X]]=0,tbal[[#This Row],[X]]=5)),tbal[[#This Row],[ACREEDOR]],0)</f>
        <v>0</v>
      </c>
    </row>
    <row r="640" spans="1:14" hidden="1" x14ac:dyDescent="0.3">
      <c r="A640" s="14">
        <f>+'PLAN DE CUENTAS'!A640</f>
        <v>0</v>
      </c>
      <c r="B640" s="13">
        <f>+'PLAN DE CUENTAS'!B640</f>
        <v>0</v>
      </c>
      <c r="C640" s="13">
        <f>+'PLAN DE CUENTAS'!C640</f>
        <v>0</v>
      </c>
      <c r="D640" t="str">
        <f>IF(tbal[[#This Row],[DEBE]]+tbal[[#This Row],[HABER]]=0,"","X")</f>
        <v/>
      </c>
      <c r="E640" s="16">
        <f>SUMIF(tdiario[CUENTA],tbal[[#This Row],[CUENTA]],tdiario[DEBE])</f>
        <v>0</v>
      </c>
      <c r="F640" s="17">
        <f>SUMIF(tdiario[CUENTA],tbal[[#This Row],[CUENTA]],tdiario[HABER])</f>
        <v>0</v>
      </c>
      <c r="G640" s="16">
        <f>IF(tbal[[#This Row],[DEBE]]-tbal[[#This Row],[HABER]]&gt;0,tbal[[#This Row],[DEBE]]-tbal[[#This Row],[HABER]],0)</f>
        <v>0</v>
      </c>
      <c r="H640" s="18">
        <f>IF(tbal[[#This Row],[HABER]]-tbal[[#This Row],[DEBE]]&gt;0,tbal[[#This Row],[HABER]]-tbal[[#This Row],[DEBE]],0)</f>
        <v>0</v>
      </c>
      <c r="I640" s="16">
        <f>IF((OR(tbal[[#This Row],[X]]=1,tbal[[#This Row],[X]]=2)),tbal[[#This Row],[DEUDOR]],0)</f>
        <v>0</v>
      </c>
      <c r="J640" s="18">
        <f>IF((OR(tbal[[#This Row],[X]]=2,tbal[[#This Row],[X]]=3)),tbal[[#This Row],[ACREEDOR]],0)</f>
        <v>0</v>
      </c>
      <c r="K640" s="16">
        <f>IF((OR(tbal[[#This Row],[X]]=3,tbal[[#This Row],[X]]=5)),tbal[[#This Row],[DEUDOR]],0)</f>
        <v>0</v>
      </c>
      <c r="L640" s="18">
        <f>IF((OR(tbal[[#This Row],[X]]=3,tbal[[#This Row],[X]]=4)),tbal[[#This Row],[ACREEDOR]],0)</f>
        <v>0</v>
      </c>
      <c r="M640" s="16">
        <f>IF((OR(tbal[[#This Row],[X]]=0,tbal[[#This Row],[X]]=6)),tbal[[#This Row],[DEUDOR]],0)</f>
        <v>0</v>
      </c>
      <c r="N640" s="18">
        <f>IF((OR(tbal[[#This Row],[X]]=0,tbal[[#This Row],[X]]=5)),tbal[[#This Row],[ACREEDOR]],0)</f>
        <v>0</v>
      </c>
    </row>
    <row r="641" spans="1:14" hidden="1" x14ac:dyDescent="0.3">
      <c r="A641" s="14">
        <f>+'PLAN DE CUENTAS'!A641</f>
        <v>0</v>
      </c>
      <c r="B641" s="13">
        <f>+'PLAN DE CUENTAS'!B641</f>
        <v>0</v>
      </c>
      <c r="C641" s="13">
        <f>+'PLAN DE CUENTAS'!C641</f>
        <v>0</v>
      </c>
      <c r="D641" t="str">
        <f>IF(tbal[[#This Row],[DEBE]]+tbal[[#This Row],[HABER]]=0,"","X")</f>
        <v/>
      </c>
      <c r="E641" s="16">
        <f>SUMIF(tdiario[CUENTA],tbal[[#This Row],[CUENTA]],tdiario[DEBE])</f>
        <v>0</v>
      </c>
      <c r="F641" s="17">
        <f>SUMIF(tdiario[CUENTA],tbal[[#This Row],[CUENTA]],tdiario[HABER])</f>
        <v>0</v>
      </c>
      <c r="G641" s="16">
        <f>IF(tbal[[#This Row],[DEBE]]-tbal[[#This Row],[HABER]]&gt;0,tbal[[#This Row],[DEBE]]-tbal[[#This Row],[HABER]],0)</f>
        <v>0</v>
      </c>
      <c r="H641" s="18">
        <f>IF(tbal[[#This Row],[HABER]]-tbal[[#This Row],[DEBE]]&gt;0,tbal[[#This Row],[HABER]]-tbal[[#This Row],[DEBE]],0)</f>
        <v>0</v>
      </c>
      <c r="I641" s="16">
        <f>IF((OR(tbal[[#This Row],[X]]=1,tbal[[#This Row],[X]]=2)),tbal[[#This Row],[DEUDOR]],0)</f>
        <v>0</v>
      </c>
      <c r="J641" s="18">
        <f>IF((OR(tbal[[#This Row],[X]]=2,tbal[[#This Row],[X]]=3)),tbal[[#This Row],[ACREEDOR]],0)</f>
        <v>0</v>
      </c>
      <c r="K641" s="16">
        <f>IF((OR(tbal[[#This Row],[X]]=3,tbal[[#This Row],[X]]=5)),tbal[[#This Row],[DEUDOR]],0)</f>
        <v>0</v>
      </c>
      <c r="L641" s="18">
        <f>IF((OR(tbal[[#This Row],[X]]=3,tbal[[#This Row],[X]]=4)),tbal[[#This Row],[ACREEDOR]],0)</f>
        <v>0</v>
      </c>
      <c r="M641" s="16">
        <f>IF((OR(tbal[[#This Row],[X]]=0,tbal[[#This Row],[X]]=6)),tbal[[#This Row],[DEUDOR]],0)</f>
        <v>0</v>
      </c>
      <c r="N641" s="18">
        <f>IF((OR(tbal[[#This Row],[X]]=0,tbal[[#This Row],[X]]=5)),tbal[[#This Row],[ACREEDOR]],0)</f>
        <v>0</v>
      </c>
    </row>
    <row r="642" spans="1:14" hidden="1" x14ac:dyDescent="0.3">
      <c r="A642" s="14">
        <f>+'PLAN DE CUENTAS'!A642</f>
        <v>0</v>
      </c>
      <c r="B642" s="13">
        <f>+'PLAN DE CUENTAS'!B642</f>
        <v>0</v>
      </c>
      <c r="C642" s="13">
        <f>+'PLAN DE CUENTAS'!C642</f>
        <v>0</v>
      </c>
      <c r="D642" t="str">
        <f>IF(tbal[[#This Row],[DEBE]]+tbal[[#This Row],[HABER]]=0,"","X")</f>
        <v/>
      </c>
      <c r="E642" s="16">
        <f>SUMIF(tdiario[CUENTA],tbal[[#This Row],[CUENTA]],tdiario[DEBE])</f>
        <v>0</v>
      </c>
      <c r="F642" s="17">
        <f>SUMIF(tdiario[CUENTA],tbal[[#This Row],[CUENTA]],tdiario[HABER])</f>
        <v>0</v>
      </c>
      <c r="G642" s="16">
        <f>IF(tbal[[#This Row],[DEBE]]-tbal[[#This Row],[HABER]]&gt;0,tbal[[#This Row],[DEBE]]-tbal[[#This Row],[HABER]],0)</f>
        <v>0</v>
      </c>
      <c r="H642" s="18">
        <f>IF(tbal[[#This Row],[HABER]]-tbal[[#This Row],[DEBE]]&gt;0,tbal[[#This Row],[HABER]]-tbal[[#This Row],[DEBE]],0)</f>
        <v>0</v>
      </c>
      <c r="I642" s="16">
        <f>IF((OR(tbal[[#This Row],[X]]=1,tbal[[#This Row],[X]]=2)),tbal[[#This Row],[DEUDOR]],0)</f>
        <v>0</v>
      </c>
      <c r="J642" s="18">
        <f>IF((OR(tbal[[#This Row],[X]]=2,tbal[[#This Row],[X]]=3)),tbal[[#This Row],[ACREEDOR]],0)</f>
        <v>0</v>
      </c>
      <c r="K642" s="16">
        <f>IF((OR(tbal[[#This Row],[X]]=3,tbal[[#This Row],[X]]=5)),tbal[[#This Row],[DEUDOR]],0)</f>
        <v>0</v>
      </c>
      <c r="L642" s="18">
        <f>IF((OR(tbal[[#This Row],[X]]=3,tbal[[#This Row],[X]]=4)),tbal[[#This Row],[ACREEDOR]],0)</f>
        <v>0</v>
      </c>
      <c r="M642" s="16">
        <f>IF((OR(tbal[[#This Row],[X]]=0,tbal[[#This Row],[X]]=6)),tbal[[#This Row],[DEUDOR]],0)</f>
        <v>0</v>
      </c>
      <c r="N642" s="18">
        <f>IF((OR(tbal[[#This Row],[X]]=0,tbal[[#This Row],[X]]=5)),tbal[[#This Row],[ACREEDOR]],0)</f>
        <v>0</v>
      </c>
    </row>
    <row r="643" spans="1:14" hidden="1" x14ac:dyDescent="0.3">
      <c r="A643" s="14">
        <f>+'PLAN DE CUENTAS'!A643</f>
        <v>0</v>
      </c>
      <c r="B643" s="13">
        <f>+'PLAN DE CUENTAS'!B643</f>
        <v>0</v>
      </c>
      <c r="C643" s="13">
        <f>+'PLAN DE CUENTAS'!C643</f>
        <v>0</v>
      </c>
      <c r="D643" t="str">
        <f>IF(tbal[[#This Row],[DEBE]]+tbal[[#This Row],[HABER]]=0,"","X")</f>
        <v/>
      </c>
      <c r="E643" s="16">
        <f>SUMIF(tdiario[CUENTA],tbal[[#This Row],[CUENTA]],tdiario[DEBE])</f>
        <v>0</v>
      </c>
      <c r="F643" s="17">
        <f>SUMIF(tdiario[CUENTA],tbal[[#This Row],[CUENTA]],tdiario[HABER])</f>
        <v>0</v>
      </c>
      <c r="G643" s="16">
        <f>IF(tbal[[#This Row],[DEBE]]-tbal[[#This Row],[HABER]]&gt;0,tbal[[#This Row],[DEBE]]-tbal[[#This Row],[HABER]],0)</f>
        <v>0</v>
      </c>
      <c r="H643" s="18">
        <f>IF(tbal[[#This Row],[HABER]]-tbal[[#This Row],[DEBE]]&gt;0,tbal[[#This Row],[HABER]]-tbal[[#This Row],[DEBE]],0)</f>
        <v>0</v>
      </c>
      <c r="I643" s="16">
        <f>IF((OR(tbal[[#This Row],[X]]=1,tbal[[#This Row],[X]]=2)),tbal[[#This Row],[DEUDOR]],0)</f>
        <v>0</v>
      </c>
      <c r="J643" s="18">
        <f>IF((OR(tbal[[#This Row],[X]]=2,tbal[[#This Row],[X]]=3)),tbal[[#This Row],[ACREEDOR]],0)</f>
        <v>0</v>
      </c>
      <c r="K643" s="16">
        <f>IF((OR(tbal[[#This Row],[X]]=3,tbal[[#This Row],[X]]=5)),tbal[[#This Row],[DEUDOR]],0)</f>
        <v>0</v>
      </c>
      <c r="L643" s="18">
        <f>IF((OR(tbal[[#This Row],[X]]=3,tbal[[#This Row],[X]]=4)),tbal[[#This Row],[ACREEDOR]],0)</f>
        <v>0</v>
      </c>
      <c r="M643" s="16">
        <f>IF((OR(tbal[[#This Row],[X]]=0,tbal[[#This Row],[X]]=6)),tbal[[#This Row],[DEUDOR]],0)</f>
        <v>0</v>
      </c>
      <c r="N643" s="18">
        <f>IF((OR(tbal[[#This Row],[X]]=0,tbal[[#This Row],[X]]=5)),tbal[[#This Row],[ACREEDOR]],0)</f>
        <v>0</v>
      </c>
    </row>
    <row r="644" spans="1:14" hidden="1" x14ac:dyDescent="0.3">
      <c r="A644" s="14">
        <f>+'PLAN DE CUENTAS'!A644</f>
        <v>0</v>
      </c>
      <c r="B644" s="13">
        <f>+'PLAN DE CUENTAS'!B644</f>
        <v>0</v>
      </c>
      <c r="C644" s="13">
        <f>+'PLAN DE CUENTAS'!C644</f>
        <v>0</v>
      </c>
      <c r="D644" t="str">
        <f>IF(tbal[[#This Row],[DEBE]]+tbal[[#This Row],[HABER]]=0,"","X")</f>
        <v/>
      </c>
      <c r="E644" s="16">
        <f>SUMIF(tdiario[CUENTA],tbal[[#This Row],[CUENTA]],tdiario[DEBE])</f>
        <v>0</v>
      </c>
      <c r="F644" s="17">
        <f>SUMIF(tdiario[CUENTA],tbal[[#This Row],[CUENTA]],tdiario[HABER])</f>
        <v>0</v>
      </c>
      <c r="G644" s="16">
        <f>IF(tbal[[#This Row],[DEBE]]-tbal[[#This Row],[HABER]]&gt;0,tbal[[#This Row],[DEBE]]-tbal[[#This Row],[HABER]],0)</f>
        <v>0</v>
      </c>
      <c r="H644" s="18">
        <f>IF(tbal[[#This Row],[HABER]]-tbal[[#This Row],[DEBE]]&gt;0,tbal[[#This Row],[HABER]]-tbal[[#This Row],[DEBE]],0)</f>
        <v>0</v>
      </c>
      <c r="I644" s="16">
        <f>IF((OR(tbal[[#This Row],[X]]=1,tbal[[#This Row],[X]]=2)),tbal[[#This Row],[DEUDOR]],0)</f>
        <v>0</v>
      </c>
      <c r="J644" s="18">
        <f>IF((OR(tbal[[#This Row],[X]]=2,tbal[[#This Row],[X]]=3)),tbal[[#This Row],[ACREEDOR]],0)</f>
        <v>0</v>
      </c>
      <c r="K644" s="16">
        <f>IF((OR(tbal[[#This Row],[X]]=3,tbal[[#This Row],[X]]=5)),tbal[[#This Row],[DEUDOR]],0)</f>
        <v>0</v>
      </c>
      <c r="L644" s="18">
        <f>IF((OR(tbal[[#This Row],[X]]=3,tbal[[#This Row],[X]]=4)),tbal[[#This Row],[ACREEDOR]],0)</f>
        <v>0</v>
      </c>
      <c r="M644" s="16">
        <f>IF((OR(tbal[[#This Row],[X]]=0,tbal[[#This Row],[X]]=6)),tbal[[#This Row],[DEUDOR]],0)</f>
        <v>0</v>
      </c>
      <c r="N644" s="18">
        <f>IF((OR(tbal[[#This Row],[X]]=0,tbal[[#This Row],[X]]=5)),tbal[[#This Row],[ACREEDOR]],0)</f>
        <v>0</v>
      </c>
    </row>
    <row r="645" spans="1:14" hidden="1" x14ac:dyDescent="0.3">
      <c r="A645" s="14">
        <f>+'PLAN DE CUENTAS'!A645</f>
        <v>0</v>
      </c>
      <c r="B645" s="13">
        <f>+'PLAN DE CUENTAS'!B645</f>
        <v>0</v>
      </c>
      <c r="C645" s="13">
        <f>+'PLAN DE CUENTAS'!C645</f>
        <v>0</v>
      </c>
      <c r="D645" t="str">
        <f>IF(tbal[[#This Row],[DEBE]]+tbal[[#This Row],[HABER]]=0,"","X")</f>
        <v/>
      </c>
      <c r="E645" s="16">
        <f>SUMIF(tdiario[CUENTA],tbal[[#This Row],[CUENTA]],tdiario[DEBE])</f>
        <v>0</v>
      </c>
      <c r="F645" s="17">
        <f>SUMIF(tdiario[CUENTA],tbal[[#This Row],[CUENTA]],tdiario[HABER])</f>
        <v>0</v>
      </c>
      <c r="G645" s="16">
        <f>IF(tbal[[#This Row],[DEBE]]-tbal[[#This Row],[HABER]]&gt;0,tbal[[#This Row],[DEBE]]-tbal[[#This Row],[HABER]],0)</f>
        <v>0</v>
      </c>
      <c r="H645" s="18">
        <f>IF(tbal[[#This Row],[HABER]]-tbal[[#This Row],[DEBE]]&gt;0,tbal[[#This Row],[HABER]]-tbal[[#This Row],[DEBE]],0)</f>
        <v>0</v>
      </c>
      <c r="I645" s="16">
        <f>IF((OR(tbal[[#This Row],[X]]=1,tbal[[#This Row],[X]]=2)),tbal[[#This Row],[DEUDOR]],0)</f>
        <v>0</v>
      </c>
      <c r="J645" s="18">
        <f>IF((OR(tbal[[#This Row],[X]]=2,tbal[[#This Row],[X]]=3)),tbal[[#This Row],[ACREEDOR]],0)</f>
        <v>0</v>
      </c>
      <c r="K645" s="16">
        <f>IF((OR(tbal[[#This Row],[X]]=3,tbal[[#This Row],[X]]=5)),tbal[[#This Row],[DEUDOR]],0)</f>
        <v>0</v>
      </c>
      <c r="L645" s="18">
        <f>IF((OR(tbal[[#This Row],[X]]=3,tbal[[#This Row],[X]]=4)),tbal[[#This Row],[ACREEDOR]],0)</f>
        <v>0</v>
      </c>
      <c r="M645" s="16">
        <f>IF((OR(tbal[[#This Row],[X]]=0,tbal[[#This Row],[X]]=6)),tbal[[#This Row],[DEUDOR]],0)</f>
        <v>0</v>
      </c>
      <c r="N645" s="18">
        <f>IF((OR(tbal[[#This Row],[X]]=0,tbal[[#This Row],[X]]=5)),tbal[[#This Row],[ACREEDOR]],0)</f>
        <v>0</v>
      </c>
    </row>
    <row r="646" spans="1:14" hidden="1" x14ac:dyDescent="0.3">
      <c r="A646" s="14">
        <f>+'PLAN DE CUENTAS'!A646</f>
        <v>0</v>
      </c>
      <c r="B646" s="13">
        <f>+'PLAN DE CUENTAS'!B646</f>
        <v>0</v>
      </c>
      <c r="C646" s="13">
        <f>+'PLAN DE CUENTAS'!C646</f>
        <v>0</v>
      </c>
      <c r="D646" t="str">
        <f>IF(tbal[[#This Row],[DEBE]]+tbal[[#This Row],[HABER]]=0,"","X")</f>
        <v/>
      </c>
      <c r="E646" s="16">
        <f>SUMIF(tdiario[CUENTA],tbal[[#This Row],[CUENTA]],tdiario[DEBE])</f>
        <v>0</v>
      </c>
      <c r="F646" s="17">
        <f>SUMIF(tdiario[CUENTA],tbal[[#This Row],[CUENTA]],tdiario[HABER])</f>
        <v>0</v>
      </c>
      <c r="G646" s="16">
        <f>IF(tbal[[#This Row],[DEBE]]-tbal[[#This Row],[HABER]]&gt;0,tbal[[#This Row],[DEBE]]-tbal[[#This Row],[HABER]],0)</f>
        <v>0</v>
      </c>
      <c r="H646" s="18">
        <f>IF(tbal[[#This Row],[HABER]]-tbal[[#This Row],[DEBE]]&gt;0,tbal[[#This Row],[HABER]]-tbal[[#This Row],[DEBE]],0)</f>
        <v>0</v>
      </c>
      <c r="I646" s="16">
        <f>IF((OR(tbal[[#This Row],[X]]=1,tbal[[#This Row],[X]]=2)),tbal[[#This Row],[DEUDOR]],0)</f>
        <v>0</v>
      </c>
      <c r="J646" s="18">
        <f>IF((OR(tbal[[#This Row],[X]]=2,tbal[[#This Row],[X]]=3)),tbal[[#This Row],[ACREEDOR]],0)</f>
        <v>0</v>
      </c>
      <c r="K646" s="16">
        <f>IF((OR(tbal[[#This Row],[X]]=3,tbal[[#This Row],[X]]=5)),tbal[[#This Row],[DEUDOR]],0)</f>
        <v>0</v>
      </c>
      <c r="L646" s="18">
        <f>IF((OR(tbal[[#This Row],[X]]=3,tbal[[#This Row],[X]]=4)),tbal[[#This Row],[ACREEDOR]],0)</f>
        <v>0</v>
      </c>
      <c r="M646" s="16">
        <f>IF((OR(tbal[[#This Row],[X]]=0,tbal[[#This Row],[X]]=6)),tbal[[#This Row],[DEUDOR]],0)</f>
        <v>0</v>
      </c>
      <c r="N646" s="18">
        <f>IF((OR(tbal[[#This Row],[X]]=0,tbal[[#This Row],[X]]=5)),tbal[[#This Row],[ACREEDOR]],0)</f>
        <v>0</v>
      </c>
    </row>
    <row r="647" spans="1:14" hidden="1" x14ac:dyDescent="0.3">
      <c r="A647" s="14">
        <f>+'PLAN DE CUENTAS'!A647</f>
        <v>0</v>
      </c>
      <c r="B647" s="13">
        <f>+'PLAN DE CUENTAS'!B647</f>
        <v>0</v>
      </c>
      <c r="C647" s="13">
        <f>+'PLAN DE CUENTAS'!C647</f>
        <v>0</v>
      </c>
      <c r="D647" t="str">
        <f>IF(tbal[[#This Row],[DEBE]]+tbal[[#This Row],[HABER]]=0,"","X")</f>
        <v/>
      </c>
      <c r="E647" s="16">
        <f>SUMIF(tdiario[CUENTA],tbal[[#This Row],[CUENTA]],tdiario[DEBE])</f>
        <v>0</v>
      </c>
      <c r="F647" s="17">
        <f>SUMIF(tdiario[CUENTA],tbal[[#This Row],[CUENTA]],tdiario[HABER])</f>
        <v>0</v>
      </c>
      <c r="G647" s="16">
        <f>IF(tbal[[#This Row],[DEBE]]-tbal[[#This Row],[HABER]]&gt;0,tbal[[#This Row],[DEBE]]-tbal[[#This Row],[HABER]],0)</f>
        <v>0</v>
      </c>
      <c r="H647" s="18">
        <f>IF(tbal[[#This Row],[HABER]]-tbal[[#This Row],[DEBE]]&gt;0,tbal[[#This Row],[HABER]]-tbal[[#This Row],[DEBE]],0)</f>
        <v>0</v>
      </c>
      <c r="I647" s="16">
        <f>IF((OR(tbal[[#This Row],[X]]=1,tbal[[#This Row],[X]]=2)),tbal[[#This Row],[DEUDOR]],0)</f>
        <v>0</v>
      </c>
      <c r="J647" s="18">
        <f>IF((OR(tbal[[#This Row],[X]]=2,tbal[[#This Row],[X]]=3)),tbal[[#This Row],[ACREEDOR]],0)</f>
        <v>0</v>
      </c>
      <c r="K647" s="16">
        <f>IF((OR(tbal[[#This Row],[X]]=3,tbal[[#This Row],[X]]=5)),tbal[[#This Row],[DEUDOR]],0)</f>
        <v>0</v>
      </c>
      <c r="L647" s="18">
        <f>IF((OR(tbal[[#This Row],[X]]=3,tbal[[#This Row],[X]]=4)),tbal[[#This Row],[ACREEDOR]],0)</f>
        <v>0</v>
      </c>
      <c r="M647" s="16">
        <f>IF((OR(tbal[[#This Row],[X]]=0,tbal[[#This Row],[X]]=6)),tbal[[#This Row],[DEUDOR]],0)</f>
        <v>0</v>
      </c>
      <c r="N647" s="18">
        <f>IF((OR(tbal[[#This Row],[X]]=0,tbal[[#This Row],[X]]=5)),tbal[[#This Row],[ACREEDOR]],0)</f>
        <v>0</v>
      </c>
    </row>
    <row r="648" spans="1:14" hidden="1" x14ac:dyDescent="0.3">
      <c r="A648" s="14">
        <f>+'PLAN DE CUENTAS'!A648</f>
        <v>0</v>
      </c>
      <c r="B648" s="13">
        <f>+'PLAN DE CUENTAS'!B648</f>
        <v>0</v>
      </c>
      <c r="C648" s="13">
        <f>+'PLAN DE CUENTAS'!C648</f>
        <v>0</v>
      </c>
      <c r="D648" t="str">
        <f>IF(tbal[[#This Row],[DEBE]]+tbal[[#This Row],[HABER]]=0,"","X")</f>
        <v/>
      </c>
      <c r="E648" s="16">
        <f>SUMIF(tdiario[CUENTA],tbal[[#This Row],[CUENTA]],tdiario[DEBE])</f>
        <v>0</v>
      </c>
      <c r="F648" s="17">
        <f>SUMIF(tdiario[CUENTA],tbal[[#This Row],[CUENTA]],tdiario[HABER])</f>
        <v>0</v>
      </c>
      <c r="G648" s="16">
        <f>IF(tbal[[#This Row],[DEBE]]-tbal[[#This Row],[HABER]]&gt;0,tbal[[#This Row],[DEBE]]-tbal[[#This Row],[HABER]],0)</f>
        <v>0</v>
      </c>
      <c r="H648" s="18">
        <f>IF(tbal[[#This Row],[HABER]]-tbal[[#This Row],[DEBE]]&gt;0,tbal[[#This Row],[HABER]]-tbal[[#This Row],[DEBE]],0)</f>
        <v>0</v>
      </c>
      <c r="I648" s="16">
        <f>IF((OR(tbal[[#This Row],[X]]=1,tbal[[#This Row],[X]]=2)),tbal[[#This Row],[DEUDOR]],0)</f>
        <v>0</v>
      </c>
      <c r="J648" s="18">
        <f>IF((OR(tbal[[#This Row],[X]]=2,tbal[[#This Row],[X]]=3)),tbal[[#This Row],[ACREEDOR]],0)</f>
        <v>0</v>
      </c>
      <c r="K648" s="16">
        <f>IF((OR(tbal[[#This Row],[X]]=3,tbal[[#This Row],[X]]=5)),tbal[[#This Row],[DEUDOR]],0)</f>
        <v>0</v>
      </c>
      <c r="L648" s="18">
        <f>IF((OR(tbal[[#This Row],[X]]=3,tbal[[#This Row],[X]]=4)),tbal[[#This Row],[ACREEDOR]],0)</f>
        <v>0</v>
      </c>
      <c r="M648" s="16">
        <f>IF((OR(tbal[[#This Row],[X]]=0,tbal[[#This Row],[X]]=6)),tbal[[#This Row],[DEUDOR]],0)</f>
        <v>0</v>
      </c>
      <c r="N648" s="18">
        <f>IF((OR(tbal[[#This Row],[X]]=0,tbal[[#This Row],[X]]=5)),tbal[[#This Row],[ACREEDOR]],0)</f>
        <v>0</v>
      </c>
    </row>
    <row r="649" spans="1:14" hidden="1" x14ac:dyDescent="0.3">
      <c r="A649" s="14">
        <f>+'PLAN DE CUENTAS'!A649</f>
        <v>0</v>
      </c>
      <c r="B649" s="13">
        <f>+'PLAN DE CUENTAS'!B649</f>
        <v>0</v>
      </c>
      <c r="C649" s="13">
        <f>+'PLAN DE CUENTAS'!C649</f>
        <v>0</v>
      </c>
      <c r="D649" t="str">
        <f>IF(tbal[[#This Row],[DEBE]]+tbal[[#This Row],[HABER]]=0,"","X")</f>
        <v/>
      </c>
      <c r="E649" s="16">
        <f>SUMIF(tdiario[CUENTA],tbal[[#This Row],[CUENTA]],tdiario[DEBE])</f>
        <v>0</v>
      </c>
      <c r="F649" s="17">
        <f>SUMIF(tdiario[CUENTA],tbal[[#This Row],[CUENTA]],tdiario[HABER])</f>
        <v>0</v>
      </c>
      <c r="G649" s="16">
        <f>IF(tbal[[#This Row],[DEBE]]-tbal[[#This Row],[HABER]]&gt;0,tbal[[#This Row],[DEBE]]-tbal[[#This Row],[HABER]],0)</f>
        <v>0</v>
      </c>
      <c r="H649" s="18">
        <f>IF(tbal[[#This Row],[HABER]]-tbal[[#This Row],[DEBE]]&gt;0,tbal[[#This Row],[HABER]]-tbal[[#This Row],[DEBE]],0)</f>
        <v>0</v>
      </c>
      <c r="I649" s="16">
        <f>IF((OR(tbal[[#This Row],[X]]=1,tbal[[#This Row],[X]]=2)),tbal[[#This Row],[DEUDOR]],0)</f>
        <v>0</v>
      </c>
      <c r="J649" s="18">
        <f>IF((OR(tbal[[#This Row],[X]]=2,tbal[[#This Row],[X]]=3)),tbal[[#This Row],[ACREEDOR]],0)</f>
        <v>0</v>
      </c>
      <c r="K649" s="16">
        <f>IF((OR(tbal[[#This Row],[X]]=3,tbal[[#This Row],[X]]=5)),tbal[[#This Row],[DEUDOR]],0)</f>
        <v>0</v>
      </c>
      <c r="L649" s="18">
        <f>IF((OR(tbal[[#This Row],[X]]=3,tbal[[#This Row],[X]]=4)),tbal[[#This Row],[ACREEDOR]],0)</f>
        <v>0</v>
      </c>
      <c r="M649" s="16">
        <f>IF((OR(tbal[[#This Row],[X]]=0,tbal[[#This Row],[X]]=6)),tbal[[#This Row],[DEUDOR]],0)</f>
        <v>0</v>
      </c>
      <c r="N649" s="18">
        <f>IF((OR(tbal[[#This Row],[X]]=0,tbal[[#This Row],[X]]=5)),tbal[[#This Row],[ACREEDOR]],0)</f>
        <v>0</v>
      </c>
    </row>
    <row r="650" spans="1:14" hidden="1" x14ac:dyDescent="0.3">
      <c r="A650" s="14">
        <f>+'PLAN DE CUENTAS'!A650</f>
        <v>0</v>
      </c>
      <c r="B650" s="13">
        <f>+'PLAN DE CUENTAS'!B650</f>
        <v>0</v>
      </c>
      <c r="C650" s="13">
        <f>+'PLAN DE CUENTAS'!C650</f>
        <v>0</v>
      </c>
      <c r="D650" t="str">
        <f>IF(tbal[[#This Row],[DEBE]]+tbal[[#This Row],[HABER]]=0,"","X")</f>
        <v/>
      </c>
      <c r="E650" s="16">
        <f>SUMIF(tdiario[CUENTA],tbal[[#This Row],[CUENTA]],tdiario[DEBE])</f>
        <v>0</v>
      </c>
      <c r="F650" s="17">
        <f>SUMIF(tdiario[CUENTA],tbal[[#This Row],[CUENTA]],tdiario[HABER])</f>
        <v>0</v>
      </c>
      <c r="G650" s="16">
        <f>IF(tbal[[#This Row],[DEBE]]-tbal[[#This Row],[HABER]]&gt;0,tbal[[#This Row],[DEBE]]-tbal[[#This Row],[HABER]],0)</f>
        <v>0</v>
      </c>
      <c r="H650" s="18">
        <f>IF(tbal[[#This Row],[HABER]]-tbal[[#This Row],[DEBE]]&gt;0,tbal[[#This Row],[HABER]]-tbal[[#This Row],[DEBE]],0)</f>
        <v>0</v>
      </c>
      <c r="I650" s="16">
        <f>IF((OR(tbal[[#This Row],[X]]=1,tbal[[#This Row],[X]]=2)),tbal[[#This Row],[DEUDOR]],0)</f>
        <v>0</v>
      </c>
      <c r="J650" s="18">
        <f>IF((OR(tbal[[#This Row],[X]]=2,tbal[[#This Row],[X]]=3)),tbal[[#This Row],[ACREEDOR]],0)</f>
        <v>0</v>
      </c>
      <c r="K650" s="16">
        <f>IF((OR(tbal[[#This Row],[X]]=3,tbal[[#This Row],[X]]=5)),tbal[[#This Row],[DEUDOR]],0)</f>
        <v>0</v>
      </c>
      <c r="L650" s="18">
        <f>IF((OR(tbal[[#This Row],[X]]=3,tbal[[#This Row],[X]]=4)),tbal[[#This Row],[ACREEDOR]],0)</f>
        <v>0</v>
      </c>
      <c r="M650" s="16">
        <f>IF((OR(tbal[[#This Row],[X]]=0,tbal[[#This Row],[X]]=6)),tbal[[#This Row],[DEUDOR]],0)</f>
        <v>0</v>
      </c>
      <c r="N650" s="18">
        <f>IF((OR(tbal[[#This Row],[X]]=0,tbal[[#This Row],[X]]=5)),tbal[[#This Row],[ACREEDOR]],0)</f>
        <v>0</v>
      </c>
    </row>
    <row r="651" spans="1:14" hidden="1" x14ac:dyDescent="0.3">
      <c r="A651" s="14">
        <f>+'PLAN DE CUENTAS'!A651</f>
        <v>0</v>
      </c>
      <c r="B651" s="13">
        <f>+'PLAN DE CUENTAS'!B651</f>
        <v>0</v>
      </c>
      <c r="C651" s="13">
        <f>+'PLAN DE CUENTAS'!C651</f>
        <v>0</v>
      </c>
      <c r="D651" t="str">
        <f>IF(tbal[[#This Row],[DEBE]]+tbal[[#This Row],[HABER]]=0,"","X")</f>
        <v/>
      </c>
      <c r="E651" s="16">
        <f>SUMIF(tdiario[CUENTA],tbal[[#This Row],[CUENTA]],tdiario[DEBE])</f>
        <v>0</v>
      </c>
      <c r="F651" s="17">
        <f>SUMIF(tdiario[CUENTA],tbal[[#This Row],[CUENTA]],tdiario[HABER])</f>
        <v>0</v>
      </c>
      <c r="G651" s="16">
        <f>IF(tbal[[#This Row],[DEBE]]-tbal[[#This Row],[HABER]]&gt;0,tbal[[#This Row],[DEBE]]-tbal[[#This Row],[HABER]],0)</f>
        <v>0</v>
      </c>
      <c r="H651" s="18">
        <f>IF(tbal[[#This Row],[HABER]]-tbal[[#This Row],[DEBE]]&gt;0,tbal[[#This Row],[HABER]]-tbal[[#This Row],[DEBE]],0)</f>
        <v>0</v>
      </c>
      <c r="I651" s="16">
        <f>IF((OR(tbal[[#This Row],[X]]=1,tbal[[#This Row],[X]]=2)),tbal[[#This Row],[DEUDOR]],0)</f>
        <v>0</v>
      </c>
      <c r="J651" s="18">
        <f>IF((OR(tbal[[#This Row],[X]]=2,tbal[[#This Row],[X]]=3)),tbal[[#This Row],[ACREEDOR]],0)</f>
        <v>0</v>
      </c>
      <c r="K651" s="16">
        <f>IF((OR(tbal[[#This Row],[X]]=3,tbal[[#This Row],[X]]=5)),tbal[[#This Row],[DEUDOR]],0)</f>
        <v>0</v>
      </c>
      <c r="L651" s="18">
        <f>IF((OR(tbal[[#This Row],[X]]=3,tbal[[#This Row],[X]]=4)),tbal[[#This Row],[ACREEDOR]],0)</f>
        <v>0</v>
      </c>
      <c r="M651" s="16">
        <f>IF((OR(tbal[[#This Row],[X]]=0,tbal[[#This Row],[X]]=6)),tbal[[#This Row],[DEUDOR]],0)</f>
        <v>0</v>
      </c>
      <c r="N651" s="18">
        <f>IF((OR(tbal[[#This Row],[X]]=0,tbal[[#This Row],[X]]=5)),tbal[[#This Row],[ACREEDOR]],0)</f>
        <v>0</v>
      </c>
    </row>
    <row r="652" spans="1:14" hidden="1" x14ac:dyDescent="0.3">
      <c r="A652" s="14">
        <f>+'PLAN DE CUENTAS'!A652</f>
        <v>0</v>
      </c>
      <c r="B652" s="13">
        <f>+'PLAN DE CUENTAS'!B652</f>
        <v>0</v>
      </c>
      <c r="C652" s="13">
        <f>+'PLAN DE CUENTAS'!C652</f>
        <v>0</v>
      </c>
      <c r="D652" t="str">
        <f>IF(tbal[[#This Row],[DEBE]]+tbal[[#This Row],[HABER]]=0,"","X")</f>
        <v/>
      </c>
      <c r="E652" s="16">
        <f>SUMIF(tdiario[CUENTA],tbal[[#This Row],[CUENTA]],tdiario[DEBE])</f>
        <v>0</v>
      </c>
      <c r="F652" s="17">
        <f>SUMIF(tdiario[CUENTA],tbal[[#This Row],[CUENTA]],tdiario[HABER])</f>
        <v>0</v>
      </c>
      <c r="G652" s="16">
        <f>IF(tbal[[#This Row],[DEBE]]-tbal[[#This Row],[HABER]]&gt;0,tbal[[#This Row],[DEBE]]-tbal[[#This Row],[HABER]],0)</f>
        <v>0</v>
      </c>
      <c r="H652" s="18">
        <f>IF(tbal[[#This Row],[HABER]]-tbal[[#This Row],[DEBE]]&gt;0,tbal[[#This Row],[HABER]]-tbal[[#This Row],[DEBE]],0)</f>
        <v>0</v>
      </c>
      <c r="I652" s="16">
        <f>IF((OR(tbal[[#This Row],[X]]=1,tbal[[#This Row],[X]]=2)),tbal[[#This Row],[DEUDOR]],0)</f>
        <v>0</v>
      </c>
      <c r="J652" s="18">
        <f>IF((OR(tbal[[#This Row],[X]]=2,tbal[[#This Row],[X]]=3)),tbal[[#This Row],[ACREEDOR]],0)</f>
        <v>0</v>
      </c>
      <c r="K652" s="16">
        <f>IF((OR(tbal[[#This Row],[X]]=3,tbal[[#This Row],[X]]=5)),tbal[[#This Row],[DEUDOR]],0)</f>
        <v>0</v>
      </c>
      <c r="L652" s="18">
        <f>IF((OR(tbal[[#This Row],[X]]=3,tbal[[#This Row],[X]]=4)),tbal[[#This Row],[ACREEDOR]],0)</f>
        <v>0</v>
      </c>
      <c r="M652" s="16">
        <f>IF((OR(tbal[[#This Row],[X]]=0,tbal[[#This Row],[X]]=6)),tbal[[#This Row],[DEUDOR]],0)</f>
        <v>0</v>
      </c>
      <c r="N652" s="18">
        <f>IF((OR(tbal[[#This Row],[X]]=0,tbal[[#This Row],[X]]=5)),tbal[[#This Row],[ACREEDOR]],0)</f>
        <v>0</v>
      </c>
    </row>
    <row r="653" spans="1:14" hidden="1" x14ac:dyDescent="0.3">
      <c r="A653" s="14">
        <f>+'PLAN DE CUENTAS'!A653</f>
        <v>0</v>
      </c>
      <c r="B653" s="13">
        <f>+'PLAN DE CUENTAS'!B653</f>
        <v>0</v>
      </c>
      <c r="C653" s="13">
        <f>+'PLAN DE CUENTAS'!C653</f>
        <v>0</v>
      </c>
      <c r="D653" t="str">
        <f>IF(tbal[[#This Row],[DEBE]]+tbal[[#This Row],[HABER]]=0,"","X")</f>
        <v/>
      </c>
      <c r="E653" s="16">
        <f>SUMIF(tdiario[CUENTA],tbal[[#This Row],[CUENTA]],tdiario[DEBE])</f>
        <v>0</v>
      </c>
      <c r="F653" s="17">
        <f>SUMIF(tdiario[CUENTA],tbal[[#This Row],[CUENTA]],tdiario[HABER])</f>
        <v>0</v>
      </c>
      <c r="G653" s="16">
        <f>IF(tbal[[#This Row],[DEBE]]-tbal[[#This Row],[HABER]]&gt;0,tbal[[#This Row],[DEBE]]-tbal[[#This Row],[HABER]],0)</f>
        <v>0</v>
      </c>
      <c r="H653" s="18">
        <f>IF(tbal[[#This Row],[HABER]]-tbal[[#This Row],[DEBE]]&gt;0,tbal[[#This Row],[HABER]]-tbal[[#This Row],[DEBE]],0)</f>
        <v>0</v>
      </c>
      <c r="I653" s="16">
        <f>IF((OR(tbal[[#This Row],[X]]=1,tbal[[#This Row],[X]]=2)),tbal[[#This Row],[DEUDOR]],0)</f>
        <v>0</v>
      </c>
      <c r="J653" s="18">
        <f>IF((OR(tbal[[#This Row],[X]]=2,tbal[[#This Row],[X]]=3)),tbal[[#This Row],[ACREEDOR]],0)</f>
        <v>0</v>
      </c>
      <c r="K653" s="16">
        <f>IF((OR(tbal[[#This Row],[X]]=3,tbal[[#This Row],[X]]=5)),tbal[[#This Row],[DEUDOR]],0)</f>
        <v>0</v>
      </c>
      <c r="L653" s="18">
        <f>IF((OR(tbal[[#This Row],[X]]=3,tbal[[#This Row],[X]]=4)),tbal[[#This Row],[ACREEDOR]],0)</f>
        <v>0</v>
      </c>
      <c r="M653" s="16">
        <f>IF((OR(tbal[[#This Row],[X]]=0,tbal[[#This Row],[X]]=6)),tbal[[#This Row],[DEUDOR]],0)</f>
        <v>0</v>
      </c>
      <c r="N653" s="18">
        <f>IF((OR(tbal[[#This Row],[X]]=0,tbal[[#This Row],[X]]=5)),tbal[[#This Row],[ACREEDOR]],0)</f>
        <v>0</v>
      </c>
    </row>
    <row r="654" spans="1:14" hidden="1" x14ac:dyDescent="0.3">
      <c r="A654" s="14">
        <f>+'PLAN DE CUENTAS'!A654</f>
        <v>0</v>
      </c>
      <c r="B654" s="13">
        <f>+'PLAN DE CUENTAS'!B654</f>
        <v>0</v>
      </c>
      <c r="C654" s="13">
        <f>+'PLAN DE CUENTAS'!C654</f>
        <v>0</v>
      </c>
      <c r="D654" t="str">
        <f>IF(tbal[[#This Row],[DEBE]]+tbal[[#This Row],[HABER]]=0,"","X")</f>
        <v/>
      </c>
      <c r="E654" s="16">
        <f>SUMIF(tdiario[CUENTA],tbal[[#This Row],[CUENTA]],tdiario[DEBE])</f>
        <v>0</v>
      </c>
      <c r="F654" s="17">
        <f>SUMIF(tdiario[CUENTA],tbal[[#This Row],[CUENTA]],tdiario[HABER])</f>
        <v>0</v>
      </c>
      <c r="G654" s="16">
        <f>IF(tbal[[#This Row],[DEBE]]-tbal[[#This Row],[HABER]]&gt;0,tbal[[#This Row],[DEBE]]-tbal[[#This Row],[HABER]],0)</f>
        <v>0</v>
      </c>
      <c r="H654" s="18">
        <f>IF(tbal[[#This Row],[HABER]]-tbal[[#This Row],[DEBE]]&gt;0,tbal[[#This Row],[HABER]]-tbal[[#This Row],[DEBE]],0)</f>
        <v>0</v>
      </c>
      <c r="I654" s="16">
        <f>IF((OR(tbal[[#This Row],[X]]=1,tbal[[#This Row],[X]]=2)),tbal[[#This Row],[DEUDOR]],0)</f>
        <v>0</v>
      </c>
      <c r="J654" s="18">
        <f>IF((OR(tbal[[#This Row],[X]]=2,tbal[[#This Row],[X]]=3)),tbal[[#This Row],[ACREEDOR]],0)</f>
        <v>0</v>
      </c>
      <c r="K654" s="16">
        <f>IF((OR(tbal[[#This Row],[X]]=3,tbal[[#This Row],[X]]=5)),tbal[[#This Row],[DEUDOR]],0)</f>
        <v>0</v>
      </c>
      <c r="L654" s="18">
        <f>IF((OR(tbal[[#This Row],[X]]=3,tbal[[#This Row],[X]]=4)),tbal[[#This Row],[ACREEDOR]],0)</f>
        <v>0</v>
      </c>
      <c r="M654" s="16">
        <f>IF((OR(tbal[[#This Row],[X]]=0,tbal[[#This Row],[X]]=6)),tbal[[#This Row],[DEUDOR]],0)</f>
        <v>0</v>
      </c>
      <c r="N654" s="18">
        <f>IF((OR(tbal[[#This Row],[X]]=0,tbal[[#This Row],[X]]=5)),tbal[[#This Row],[ACREEDOR]],0)</f>
        <v>0</v>
      </c>
    </row>
    <row r="655" spans="1:14" hidden="1" x14ac:dyDescent="0.3">
      <c r="A655" s="14">
        <f>+'PLAN DE CUENTAS'!A655</f>
        <v>0</v>
      </c>
      <c r="B655" s="13">
        <f>+'PLAN DE CUENTAS'!B655</f>
        <v>0</v>
      </c>
      <c r="C655" s="13">
        <f>+'PLAN DE CUENTAS'!C655</f>
        <v>0</v>
      </c>
      <c r="D655" t="str">
        <f>IF(tbal[[#This Row],[DEBE]]+tbal[[#This Row],[HABER]]=0,"","X")</f>
        <v/>
      </c>
      <c r="E655" s="16">
        <f>SUMIF(tdiario[CUENTA],tbal[[#This Row],[CUENTA]],tdiario[DEBE])</f>
        <v>0</v>
      </c>
      <c r="F655" s="17">
        <f>SUMIF(tdiario[CUENTA],tbal[[#This Row],[CUENTA]],tdiario[HABER])</f>
        <v>0</v>
      </c>
      <c r="G655" s="16">
        <f>IF(tbal[[#This Row],[DEBE]]-tbal[[#This Row],[HABER]]&gt;0,tbal[[#This Row],[DEBE]]-tbal[[#This Row],[HABER]],0)</f>
        <v>0</v>
      </c>
      <c r="H655" s="18">
        <f>IF(tbal[[#This Row],[HABER]]-tbal[[#This Row],[DEBE]]&gt;0,tbal[[#This Row],[HABER]]-tbal[[#This Row],[DEBE]],0)</f>
        <v>0</v>
      </c>
      <c r="I655" s="16">
        <f>IF((OR(tbal[[#This Row],[X]]=1,tbal[[#This Row],[X]]=2)),tbal[[#This Row],[DEUDOR]],0)</f>
        <v>0</v>
      </c>
      <c r="J655" s="18">
        <f>IF((OR(tbal[[#This Row],[X]]=2,tbal[[#This Row],[X]]=3)),tbal[[#This Row],[ACREEDOR]],0)</f>
        <v>0</v>
      </c>
      <c r="K655" s="16">
        <f>IF((OR(tbal[[#This Row],[X]]=3,tbal[[#This Row],[X]]=5)),tbal[[#This Row],[DEUDOR]],0)</f>
        <v>0</v>
      </c>
      <c r="L655" s="18">
        <f>IF((OR(tbal[[#This Row],[X]]=3,tbal[[#This Row],[X]]=4)),tbal[[#This Row],[ACREEDOR]],0)</f>
        <v>0</v>
      </c>
      <c r="M655" s="16">
        <f>IF((OR(tbal[[#This Row],[X]]=0,tbal[[#This Row],[X]]=6)),tbal[[#This Row],[DEUDOR]],0)</f>
        <v>0</v>
      </c>
      <c r="N655" s="18">
        <f>IF((OR(tbal[[#This Row],[X]]=0,tbal[[#This Row],[X]]=5)),tbal[[#This Row],[ACREEDOR]],0)</f>
        <v>0</v>
      </c>
    </row>
    <row r="656" spans="1:14" hidden="1" x14ac:dyDescent="0.3">
      <c r="A656" s="14">
        <f>+'PLAN DE CUENTAS'!A656</f>
        <v>0</v>
      </c>
      <c r="B656" s="13">
        <f>+'PLAN DE CUENTAS'!B656</f>
        <v>0</v>
      </c>
      <c r="C656" s="13">
        <f>+'PLAN DE CUENTAS'!C656</f>
        <v>0</v>
      </c>
      <c r="D656" t="str">
        <f>IF(tbal[[#This Row],[DEBE]]+tbal[[#This Row],[HABER]]=0,"","X")</f>
        <v/>
      </c>
      <c r="E656" s="16">
        <f>SUMIF(tdiario[CUENTA],tbal[[#This Row],[CUENTA]],tdiario[DEBE])</f>
        <v>0</v>
      </c>
      <c r="F656" s="17">
        <f>SUMIF(tdiario[CUENTA],tbal[[#This Row],[CUENTA]],tdiario[HABER])</f>
        <v>0</v>
      </c>
      <c r="G656" s="16">
        <f>IF(tbal[[#This Row],[DEBE]]-tbal[[#This Row],[HABER]]&gt;0,tbal[[#This Row],[DEBE]]-tbal[[#This Row],[HABER]],0)</f>
        <v>0</v>
      </c>
      <c r="H656" s="18">
        <f>IF(tbal[[#This Row],[HABER]]-tbal[[#This Row],[DEBE]]&gt;0,tbal[[#This Row],[HABER]]-tbal[[#This Row],[DEBE]],0)</f>
        <v>0</v>
      </c>
      <c r="I656" s="16">
        <f>IF((OR(tbal[[#This Row],[X]]=1,tbal[[#This Row],[X]]=2)),tbal[[#This Row],[DEUDOR]],0)</f>
        <v>0</v>
      </c>
      <c r="J656" s="18">
        <f>IF((OR(tbal[[#This Row],[X]]=2,tbal[[#This Row],[X]]=3)),tbal[[#This Row],[ACREEDOR]],0)</f>
        <v>0</v>
      </c>
      <c r="K656" s="16">
        <f>IF((OR(tbal[[#This Row],[X]]=3,tbal[[#This Row],[X]]=5)),tbal[[#This Row],[DEUDOR]],0)</f>
        <v>0</v>
      </c>
      <c r="L656" s="18">
        <f>IF((OR(tbal[[#This Row],[X]]=3,tbal[[#This Row],[X]]=4)),tbal[[#This Row],[ACREEDOR]],0)</f>
        <v>0</v>
      </c>
      <c r="M656" s="16">
        <f>IF((OR(tbal[[#This Row],[X]]=0,tbal[[#This Row],[X]]=6)),tbal[[#This Row],[DEUDOR]],0)</f>
        <v>0</v>
      </c>
      <c r="N656" s="18">
        <f>IF((OR(tbal[[#This Row],[X]]=0,tbal[[#This Row],[X]]=5)),tbal[[#This Row],[ACREEDOR]],0)</f>
        <v>0</v>
      </c>
    </row>
    <row r="657" spans="1:14" hidden="1" x14ac:dyDescent="0.3">
      <c r="A657" s="14">
        <f>+'PLAN DE CUENTAS'!A657</f>
        <v>0</v>
      </c>
      <c r="B657" s="13">
        <f>+'PLAN DE CUENTAS'!B657</f>
        <v>0</v>
      </c>
      <c r="C657" s="13">
        <f>+'PLAN DE CUENTAS'!C657</f>
        <v>0</v>
      </c>
      <c r="D657" t="str">
        <f>IF(tbal[[#This Row],[DEBE]]+tbal[[#This Row],[HABER]]=0,"","X")</f>
        <v/>
      </c>
      <c r="E657" s="16">
        <f>SUMIF(tdiario[CUENTA],tbal[[#This Row],[CUENTA]],tdiario[DEBE])</f>
        <v>0</v>
      </c>
      <c r="F657" s="17">
        <f>SUMIF(tdiario[CUENTA],tbal[[#This Row],[CUENTA]],tdiario[HABER])</f>
        <v>0</v>
      </c>
      <c r="G657" s="16">
        <f>IF(tbal[[#This Row],[DEBE]]-tbal[[#This Row],[HABER]]&gt;0,tbal[[#This Row],[DEBE]]-tbal[[#This Row],[HABER]],0)</f>
        <v>0</v>
      </c>
      <c r="H657" s="18">
        <f>IF(tbal[[#This Row],[HABER]]-tbal[[#This Row],[DEBE]]&gt;0,tbal[[#This Row],[HABER]]-tbal[[#This Row],[DEBE]],0)</f>
        <v>0</v>
      </c>
      <c r="I657" s="16">
        <f>IF((OR(tbal[[#This Row],[X]]=1,tbal[[#This Row],[X]]=2)),tbal[[#This Row],[DEUDOR]],0)</f>
        <v>0</v>
      </c>
      <c r="J657" s="18">
        <f>IF((OR(tbal[[#This Row],[X]]=2,tbal[[#This Row],[X]]=3)),tbal[[#This Row],[ACREEDOR]],0)</f>
        <v>0</v>
      </c>
      <c r="K657" s="16">
        <f>IF((OR(tbal[[#This Row],[X]]=3,tbal[[#This Row],[X]]=5)),tbal[[#This Row],[DEUDOR]],0)</f>
        <v>0</v>
      </c>
      <c r="L657" s="18">
        <f>IF((OR(tbal[[#This Row],[X]]=3,tbal[[#This Row],[X]]=4)),tbal[[#This Row],[ACREEDOR]],0)</f>
        <v>0</v>
      </c>
      <c r="M657" s="16">
        <f>IF((OR(tbal[[#This Row],[X]]=0,tbal[[#This Row],[X]]=6)),tbal[[#This Row],[DEUDOR]],0)</f>
        <v>0</v>
      </c>
      <c r="N657" s="18">
        <f>IF((OR(tbal[[#This Row],[X]]=0,tbal[[#This Row],[X]]=5)),tbal[[#This Row],[ACREEDOR]],0)</f>
        <v>0</v>
      </c>
    </row>
    <row r="658" spans="1:14" hidden="1" x14ac:dyDescent="0.3">
      <c r="A658" s="14">
        <f>+'PLAN DE CUENTAS'!A658</f>
        <v>0</v>
      </c>
      <c r="B658" s="13">
        <f>+'PLAN DE CUENTAS'!B658</f>
        <v>0</v>
      </c>
      <c r="C658" s="13">
        <f>+'PLAN DE CUENTAS'!C658</f>
        <v>0</v>
      </c>
      <c r="D658" t="str">
        <f>IF(tbal[[#This Row],[DEBE]]+tbal[[#This Row],[HABER]]=0,"","X")</f>
        <v/>
      </c>
      <c r="E658" s="16">
        <f>SUMIF(tdiario[CUENTA],tbal[[#This Row],[CUENTA]],tdiario[DEBE])</f>
        <v>0</v>
      </c>
      <c r="F658" s="17">
        <f>SUMIF(tdiario[CUENTA],tbal[[#This Row],[CUENTA]],tdiario[HABER])</f>
        <v>0</v>
      </c>
      <c r="G658" s="16">
        <f>IF(tbal[[#This Row],[DEBE]]-tbal[[#This Row],[HABER]]&gt;0,tbal[[#This Row],[DEBE]]-tbal[[#This Row],[HABER]],0)</f>
        <v>0</v>
      </c>
      <c r="H658" s="18">
        <f>IF(tbal[[#This Row],[HABER]]-tbal[[#This Row],[DEBE]]&gt;0,tbal[[#This Row],[HABER]]-tbal[[#This Row],[DEBE]],0)</f>
        <v>0</v>
      </c>
      <c r="I658" s="16">
        <f>IF((OR(tbal[[#This Row],[X]]=1,tbal[[#This Row],[X]]=2)),tbal[[#This Row],[DEUDOR]],0)</f>
        <v>0</v>
      </c>
      <c r="J658" s="18">
        <f>IF((OR(tbal[[#This Row],[X]]=2,tbal[[#This Row],[X]]=3)),tbal[[#This Row],[ACREEDOR]],0)</f>
        <v>0</v>
      </c>
      <c r="K658" s="16">
        <f>IF((OR(tbal[[#This Row],[X]]=3,tbal[[#This Row],[X]]=5)),tbal[[#This Row],[DEUDOR]],0)</f>
        <v>0</v>
      </c>
      <c r="L658" s="18">
        <f>IF((OR(tbal[[#This Row],[X]]=3,tbal[[#This Row],[X]]=4)),tbal[[#This Row],[ACREEDOR]],0)</f>
        <v>0</v>
      </c>
      <c r="M658" s="16">
        <f>IF((OR(tbal[[#This Row],[X]]=0,tbal[[#This Row],[X]]=6)),tbal[[#This Row],[DEUDOR]],0)</f>
        <v>0</v>
      </c>
      <c r="N658" s="18">
        <f>IF((OR(tbal[[#This Row],[X]]=0,tbal[[#This Row],[X]]=5)),tbal[[#This Row],[ACREEDOR]],0)</f>
        <v>0</v>
      </c>
    </row>
    <row r="659" spans="1:14" hidden="1" x14ac:dyDescent="0.3">
      <c r="A659" s="14">
        <f>+'PLAN DE CUENTAS'!A659</f>
        <v>0</v>
      </c>
      <c r="B659" s="13">
        <f>+'PLAN DE CUENTAS'!B659</f>
        <v>0</v>
      </c>
      <c r="C659" s="13">
        <f>+'PLAN DE CUENTAS'!C659</f>
        <v>0</v>
      </c>
      <c r="D659" t="str">
        <f>IF(tbal[[#This Row],[DEBE]]+tbal[[#This Row],[HABER]]=0,"","X")</f>
        <v/>
      </c>
      <c r="E659" s="16">
        <f>SUMIF(tdiario[CUENTA],tbal[[#This Row],[CUENTA]],tdiario[DEBE])</f>
        <v>0</v>
      </c>
      <c r="F659" s="17">
        <f>SUMIF(tdiario[CUENTA],tbal[[#This Row],[CUENTA]],tdiario[HABER])</f>
        <v>0</v>
      </c>
      <c r="G659" s="16">
        <f>IF(tbal[[#This Row],[DEBE]]-tbal[[#This Row],[HABER]]&gt;0,tbal[[#This Row],[DEBE]]-tbal[[#This Row],[HABER]],0)</f>
        <v>0</v>
      </c>
      <c r="H659" s="18">
        <f>IF(tbal[[#This Row],[HABER]]-tbal[[#This Row],[DEBE]]&gt;0,tbal[[#This Row],[HABER]]-tbal[[#This Row],[DEBE]],0)</f>
        <v>0</v>
      </c>
      <c r="I659" s="16">
        <f>IF((OR(tbal[[#This Row],[X]]=1,tbal[[#This Row],[X]]=2)),tbal[[#This Row],[DEUDOR]],0)</f>
        <v>0</v>
      </c>
      <c r="J659" s="18">
        <f>IF((OR(tbal[[#This Row],[X]]=2,tbal[[#This Row],[X]]=3)),tbal[[#This Row],[ACREEDOR]],0)</f>
        <v>0</v>
      </c>
      <c r="K659" s="16">
        <f>IF((OR(tbal[[#This Row],[X]]=3,tbal[[#This Row],[X]]=5)),tbal[[#This Row],[DEUDOR]],0)</f>
        <v>0</v>
      </c>
      <c r="L659" s="18">
        <f>IF((OR(tbal[[#This Row],[X]]=3,tbal[[#This Row],[X]]=4)),tbal[[#This Row],[ACREEDOR]],0)</f>
        <v>0</v>
      </c>
      <c r="M659" s="16">
        <f>IF((OR(tbal[[#This Row],[X]]=0,tbal[[#This Row],[X]]=6)),tbal[[#This Row],[DEUDOR]],0)</f>
        <v>0</v>
      </c>
      <c r="N659" s="18">
        <f>IF((OR(tbal[[#This Row],[X]]=0,tbal[[#This Row],[X]]=5)),tbal[[#This Row],[ACREEDOR]],0)</f>
        <v>0</v>
      </c>
    </row>
    <row r="660" spans="1:14" hidden="1" x14ac:dyDescent="0.3">
      <c r="A660" s="14">
        <f>+'PLAN DE CUENTAS'!A660</f>
        <v>0</v>
      </c>
      <c r="B660" s="13">
        <f>+'PLAN DE CUENTAS'!B660</f>
        <v>0</v>
      </c>
      <c r="C660" s="13">
        <f>+'PLAN DE CUENTAS'!C660</f>
        <v>0</v>
      </c>
      <c r="D660" t="str">
        <f>IF(tbal[[#This Row],[DEBE]]+tbal[[#This Row],[HABER]]=0,"","X")</f>
        <v/>
      </c>
      <c r="E660" s="16">
        <f>SUMIF(tdiario[CUENTA],tbal[[#This Row],[CUENTA]],tdiario[DEBE])</f>
        <v>0</v>
      </c>
      <c r="F660" s="17">
        <f>SUMIF(tdiario[CUENTA],tbal[[#This Row],[CUENTA]],tdiario[HABER])</f>
        <v>0</v>
      </c>
      <c r="G660" s="16">
        <f>IF(tbal[[#This Row],[DEBE]]-tbal[[#This Row],[HABER]]&gt;0,tbal[[#This Row],[DEBE]]-tbal[[#This Row],[HABER]],0)</f>
        <v>0</v>
      </c>
      <c r="H660" s="18">
        <f>IF(tbal[[#This Row],[HABER]]-tbal[[#This Row],[DEBE]]&gt;0,tbal[[#This Row],[HABER]]-tbal[[#This Row],[DEBE]],0)</f>
        <v>0</v>
      </c>
      <c r="I660" s="16">
        <f>IF((OR(tbal[[#This Row],[X]]=1,tbal[[#This Row],[X]]=2)),tbal[[#This Row],[DEUDOR]],0)</f>
        <v>0</v>
      </c>
      <c r="J660" s="18">
        <f>IF((OR(tbal[[#This Row],[X]]=2,tbal[[#This Row],[X]]=3)),tbal[[#This Row],[ACREEDOR]],0)</f>
        <v>0</v>
      </c>
      <c r="K660" s="16">
        <f>IF((OR(tbal[[#This Row],[X]]=3,tbal[[#This Row],[X]]=5)),tbal[[#This Row],[DEUDOR]],0)</f>
        <v>0</v>
      </c>
      <c r="L660" s="18">
        <f>IF((OR(tbal[[#This Row],[X]]=3,tbal[[#This Row],[X]]=4)),tbal[[#This Row],[ACREEDOR]],0)</f>
        <v>0</v>
      </c>
      <c r="M660" s="16">
        <f>IF((OR(tbal[[#This Row],[X]]=0,tbal[[#This Row],[X]]=6)),tbal[[#This Row],[DEUDOR]],0)</f>
        <v>0</v>
      </c>
      <c r="N660" s="18">
        <f>IF((OR(tbal[[#This Row],[X]]=0,tbal[[#This Row],[X]]=5)),tbal[[#This Row],[ACREEDOR]],0)</f>
        <v>0</v>
      </c>
    </row>
    <row r="661" spans="1:14" hidden="1" x14ac:dyDescent="0.3">
      <c r="A661" s="14">
        <f>+'PLAN DE CUENTAS'!A661</f>
        <v>0</v>
      </c>
      <c r="B661" s="13">
        <f>+'PLAN DE CUENTAS'!B661</f>
        <v>0</v>
      </c>
      <c r="C661" s="13">
        <f>+'PLAN DE CUENTAS'!C661</f>
        <v>0</v>
      </c>
      <c r="D661" t="str">
        <f>IF(tbal[[#This Row],[DEBE]]+tbal[[#This Row],[HABER]]=0,"","X")</f>
        <v/>
      </c>
      <c r="E661" s="16">
        <f>SUMIF(tdiario[CUENTA],tbal[[#This Row],[CUENTA]],tdiario[DEBE])</f>
        <v>0</v>
      </c>
      <c r="F661" s="17">
        <f>SUMIF(tdiario[CUENTA],tbal[[#This Row],[CUENTA]],tdiario[HABER])</f>
        <v>0</v>
      </c>
      <c r="G661" s="16">
        <f>IF(tbal[[#This Row],[DEBE]]-tbal[[#This Row],[HABER]]&gt;0,tbal[[#This Row],[DEBE]]-tbal[[#This Row],[HABER]],0)</f>
        <v>0</v>
      </c>
      <c r="H661" s="18">
        <f>IF(tbal[[#This Row],[HABER]]-tbal[[#This Row],[DEBE]]&gt;0,tbal[[#This Row],[HABER]]-tbal[[#This Row],[DEBE]],0)</f>
        <v>0</v>
      </c>
      <c r="I661" s="16">
        <f>IF((OR(tbal[[#This Row],[X]]=1,tbal[[#This Row],[X]]=2)),tbal[[#This Row],[DEUDOR]],0)</f>
        <v>0</v>
      </c>
      <c r="J661" s="18">
        <f>IF((OR(tbal[[#This Row],[X]]=2,tbal[[#This Row],[X]]=3)),tbal[[#This Row],[ACREEDOR]],0)</f>
        <v>0</v>
      </c>
      <c r="K661" s="16">
        <f>IF((OR(tbal[[#This Row],[X]]=3,tbal[[#This Row],[X]]=5)),tbal[[#This Row],[DEUDOR]],0)</f>
        <v>0</v>
      </c>
      <c r="L661" s="18">
        <f>IF((OR(tbal[[#This Row],[X]]=3,tbal[[#This Row],[X]]=4)),tbal[[#This Row],[ACREEDOR]],0)</f>
        <v>0</v>
      </c>
      <c r="M661" s="16">
        <f>IF((OR(tbal[[#This Row],[X]]=0,tbal[[#This Row],[X]]=6)),tbal[[#This Row],[DEUDOR]],0)</f>
        <v>0</v>
      </c>
      <c r="N661" s="18">
        <f>IF((OR(tbal[[#This Row],[X]]=0,tbal[[#This Row],[X]]=5)),tbal[[#This Row],[ACREEDOR]],0)</f>
        <v>0</v>
      </c>
    </row>
    <row r="662" spans="1:14" hidden="1" x14ac:dyDescent="0.3">
      <c r="A662" s="14">
        <f>+'PLAN DE CUENTAS'!A662</f>
        <v>0</v>
      </c>
      <c r="B662" s="13">
        <f>+'PLAN DE CUENTAS'!B662</f>
        <v>0</v>
      </c>
      <c r="C662" s="13">
        <f>+'PLAN DE CUENTAS'!C662</f>
        <v>0</v>
      </c>
      <c r="D662" t="str">
        <f>IF(tbal[[#This Row],[DEBE]]+tbal[[#This Row],[HABER]]=0,"","X")</f>
        <v/>
      </c>
      <c r="E662" s="16">
        <f>SUMIF(tdiario[CUENTA],tbal[[#This Row],[CUENTA]],tdiario[DEBE])</f>
        <v>0</v>
      </c>
      <c r="F662" s="17">
        <f>SUMIF(tdiario[CUENTA],tbal[[#This Row],[CUENTA]],tdiario[HABER])</f>
        <v>0</v>
      </c>
      <c r="G662" s="16">
        <f>IF(tbal[[#This Row],[DEBE]]-tbal[[#This Row],[HABER]]&gt;0,tbal[[#This Row],[DEBE]]-tbal[[#This Row],[HABER]],0)</f>
        <v>0</v>
      </c>
      <c r="H662" s="18">
        <f>IF(tbal[[#This Row],[HABER]]-tbal[[#This Row],[DEBE]]&gt;0,tbal[[#This Row],[HABER]]-tbal[[#This Row],[DEBE]],0)</f>
        <v>0</v>
      </c>
      <c r="I662" s="16">
        <f>IF((OR(tbal[[#This Row],[X]]=1,tbal[[#This Row],[X]]=2)),tbal[[#This Row],[DEUDOR]],0)</f>
        <v>0</v>
      </c>
      <c r="J662" s="18">
        <f>IF((OR(tbal[[#This Row],[X]]=2,tbal[[#This Row],[X]]=3)),tbal[[#This Row],[ACREEDOR]],0)</f>
        <v>0</v>
      </c>
      <c r="K662" s="16">
        <f>IF((OR(tbal[[#This Row],[X]]=3,tbal[[#This Row],[X]]=5)),tbal[[#This Row],[DEUDOR]],0)</f>
        <v>0</v>
      </c>
      <c r="L662" s="18">
        <f>IF((OR(tbal[[#This Row],[X]]=3,tbal[[#This Row],[X]]=4)),tbal[[#This Row],[ACREEDOR]],0)</f>
        <v>0</v>
      </c>
      <c r="M662" s="16">
        <f>IF((OR(tbal[[#This Row],[X]]=0,tbal[[#This Row],[X]]=6)),tbal[[#This Row],[DEUDOR]],0)</f>
        <v>0</v>
      </c>
      <c r="N662" s="18">
        <f>IF((OR(tbal[[#This Row],[X]]=0,tbal[[#This Row],[X]]=5)),tbal[[#This Row],[ACREEDOR]],0)</f>
        <v>0</v>
      </c>
    </row>
    <row r="663" spans="1:14" hidden="1" x14ac:dyDescent="0.3">
      <c r="A663" s="14">
        <f>+'PLAN DE CUENTAS'!A663</f>
        <v>0</v>
      </c>
      <c r="B663" s="13">
        <f>+'PLAN DE CUENTAS'!B663</f>
        <v>0</v>
      </c>
      <c r="C663" s="13">
        <f>+'PLAN DE CUENTAS'!C663</f>
        <v>0</v>
      </c>
      <c r="D663" t="str">
        <f>IF(tbal[[#This Row],[DEBE]]+tbal[[#This Row],[HABER]]=0,"","X")</f>
        <v/>
      </c>
      <c r="E663" s="16">
        <f>SUMIF(tdiario[CUENTA],tbal[[#This Row],[CUENTA]],tdiario[DEBE])</f>
        <v>0</v>
      </c>
      <c r="F663" s="17">
        <f>SUMIF(tdiario[CUENTA],tbal[[#This Row],[CUENTA]],tdiario[HABER])</f>
        <v>0</v>
      </c>
      <c r="G663" s="16">
        <f>IF(tbal[[#This Row],[DEBE]]-tbal[[#This Row],[HABER]]&gt;0,tbal[[#This Row],[DEBE]]-tbal[[#This Row],[HABER]],0)</f>
        <v>0</v>
      </c>
      <c r="H663" s="18">
        <f>IF(tbal[[#This Row],[HABER]]-tbal[[#This Row],[DEBE]]&gt;0,tbal[[#This Row],[HABER]]-tbal[[#This Row],[DEBE]],0)</f>
        <v>0</v>
      </c>
      <c r="I663" s="16">
        <f>IF((OR(tbal[[#This Row],[X]]=1,tbal[[#This Row],[X]]=2)),tbal[[#This Row],[DEUDOR]],0)</f>
        <v>0</v>
      </c>
      <c r="J663" s="18">
        <f>IF((OR(tbal[[#This Row],[X]]=2,tbal[[#This Row],[X]]=3)),tbal[[#This Row],[ACREEDOR]],0)</f>
        <v>0</v>
      </c>
      <c r="K663" s="16">
        <f>IF((OR(tbal[[#This Row],[X]]=3,tbal[[#This Row],[X]]=5)),tbal[[#This Row],[DEUDOR]],0)</f>
        <v>0</v>
      </c>
      <c r="L663" s="18">
        <f>IF((OR(tbal[[#This Row],[X]]=3,tbal[[#This Row],[X]]=4)),tbal[[#This Row],[ACREEDOR]],0)</f>
        <v>0</v>
      </c>
      <c r="M663" s="16">
        <f>IF((OR(tbal[[#This Row],[X]]=0,tbal[[#This Row],[X]]=6)),tbal[[#This Row],[DEUDOR]],0)</f>
        <v>0</v>
      </c>
      <c r="N663" s="18">
        <f>IF((OR(tbal[[#This Row],[X]]=0,tbal[[#This Row],[X]]=5)),tbal[[#This Row],[ACREEDOR]],0)</f>
        <v>0</v>
      </c>
    </row>
    <row r="664" spans="1:14" hidden="1" x14ac:dyDescent="0.3">
      <c r="A664" s="14">
        <f>+'PLAN DE CUENTAS'!A664</f>
        <v>0</v>
      </c>
      <c r="B664" s="13">
        <f>+'PLAN DE CUENTAS'!B664</f>
        <v>0</v>
      </c>
      <c r="C664" s="13">
        <f>+'PLAN DE CUENTAS'!C664</f>
        <v>0</v>
      </c>
      <c r="D664" t="str">
        <f>IF(tbal[[#This Row],[DEBE]]+tbal[[#This Row],[HABER]]=0,"","X")</f>
        <v/>
      </c>
      <c r="E664" s="16">
        <f>SUMIF(tdiario[CUENTA],tbal[[#This Row],[CUENTA]],tdiario[DEBE])</f>
        <v>0</v>
      </c>
      <c r="F664" s="17">
        <f>SUMIF(tdiario[CUENTA],tbal[[#This Row],[CUENTA]],tdiario[HABER])</f>
        <v>0</v>
      </c>
      <c r="G664" s="16">
        <f>IF(tbal[[#This Row],[DEBE]]-tbal[[#This Row],[HABER]]&gt;0,tbal[[#This Row],[DEBE]]-tbal[[#This Row],[HABER]],0)</f>
        <v>0</v>
      </c>
      <c r="H664" s="18">
        <f>IF(tbal[[#This Row],[HABER]]-tbal[[#This Row],[DEBE]]&gt;0,tbal[[#This Row],[HABER]]-tbal[[#This Row],[DEBE]],0)</f>
        <v>0</v>
      </c>
      <c r="I664" s="16">
        <f>IF((OR(tbal[[#This Row],[X]]=1,tbal[[#This Row],[X]]=2)),tbal[[#This Row],[DEUDOR]],0)</f>
        <v>0</v>
      </c>
      <c r="J664" s="18">
        <f>IF((OR(tbal[[#This Row],[X]]=2,tbal[[#This Row],[X]]=3)),tbal[[#This Row],[ACREEDOR]],0)</f>
        <v>0</v>
      </c>
      <c r="K664" s="16">
        <f>IF((OR(tbal[[#This Row],[X]]=3,tbal[[#This Row],[X]]=5)),tbal[[#This Row],[DEUDOR]],0)</f>
        <v>0</v>
      </c>
      <c r="L664" s="18">
        <f>IF((OR(tbal[[#This Row],[X]]=3,tbal[[#This Row],[X]]=4)),tbal[[#This Row],[ACREEDOR]],0)</f>
        <v>0</v>
      </c>
      <c r="M664" s="16">
        <f>IF((OR(tbal[[#This Row],[X]]=0,tbal[[#This Row],[X]]=6)),tbal[[#This Row],[DEUDOR]],0)</f>
        <v>0</v>
      </c>
      <c r="N664" s="18">
        <f>IF((OR(tbal[[#This Row],[X]]=0,tbal[[#This Row],[X]]=5)),tbal[[#This Row],[ACREEDOR]],0)</f>
        <v>0</v>
      </c>
    </row>
    <row r="665" spans="1:14" hidden="1" x14ac:dyDescent="0.3">
      <c r="A665" s="14">
        <f>+'PLAN DE CUENTAS'!A665</f>
        <v>0</v>
      </c>
      <c r="B665" s="13">
        <f>+'PLAN DE CUENTAS'!B665</f>
        <v>0</v>
      </c>
      <c r="C665" s="13">
        <f>+'PLAN DE CUENTAS'!C665</f>
        <v>0</v>
      </c>
      <c r="D665" t="str">
        <f>IF(tbal[[#This Row],[DEBE]]+tbal[[#This Row],[HABER]]=0,"","X")</f>
        <v/>
      </c>
      <c r="E665" s="16">
        <f>SUMIF(tdiario[CUENTA],tbal[[#This Row],[CUENTA]],tdiario[DEBE])</f>
        <v>0</v>
      </c>
      <c r="F665" s="17">
        <f>SUMIF(tdiario[CUENTA],tbal[[#This Row],[CUENTA]],tdiario[HABER])</f>
        <v>0</v>
      </c>
      <c r="G665" s="16">
        <f>IF(tbal[[#This Row],[DEBE]]-tbal[[#This Row],[HABER]]&gt;0,tbal[[#This Row],[DEBE]]-tbal[[#This Row],[HABER]],0)</f>
        <v>0</v>
      </c>
      <c r="H665" s="18">
        <f>IF(tbal[[#This Row],[HABER]]-tbal[[#This Row],[DEBE]]&gt;0,tbal[[#This Row],[HABER]]-tbal[[#This Row],[DEBE]],0)</f>
        <v>0</v>
      </c>
      <c r="I665" s="16">
        <f>IF((OR(tbal[[#This Row],[X]]=1,tbal[[#This Row],[X]]=2)),tbal[[#This Row],[DEUDOR]],0)</f>
        <v>0</v>
      </c>
      <c r="J665" s="18">
        <f>IF((OR(tbal[[#This Row],[X]]=2,tbal[[#This Row],[X]]=3)),tbal[[#This Row],[ACREEDOR]],0)</f>
        <v>0</v>
      </c>
      <c r="K665" s="16">
        <f>IF((OR(tbal[[#This Row],[X]]=3,tbal[[#This Row],[X]]=5)),tbal[[#This Row],[DEUDOR]],0)</f>
        <v>0</v>
      </c>
      <c r="L665" s="18">
        <f>IF((OR(tbal[[#This Row],[X]]=3,tbal[[#This Row],[X]]=4)),tbal[[#This Row],[ACREEDOR]],0)</f>
        <v>0</v>
      </c>
      <c r="M665" s="16">
        <f>IF((OR(tbal[[#This Row],[X]]=0,tbal[[#This Row],[X]]=6)),tbal[[#This Row],[DEUDOR]],0)</f>
        <v>0</v>
      </c>
      <c r="N665" s="18">
        <f>IF((OR(tbal[[#This Row],[X]]=0,tbal[[#This Row],[X]]=5)),tbal[[#This Row],[ACREEDOR]],0)</f>
        <v>0</v>
      </c>
    </row>
    <row r="666" spans="1:14" hidden="1" x14ac:dyDescent="0.3">
      <c r="A666" s="14">
        <f>+'PLAN DE CUENTAS'!A666</f>
        <v>0</v>
      </c>
      <c r="B666" s="13">
        <f>+'PLAN DE CUENTAS'!B666</f>
        <v>0</v>
      </c>
      <c r="C666" s="13">
        <f>+'PLAN DE CUENTAS'!C666</f>
        <v>0</v>
      </c>
      <c r="D666" t="str">
        <f>IF(tbal[[#This Row],[DEBE]]+tbal[[#This Row],[HABER]]=0,"","X")</f>
        <v/>
      </c>
      <c r="E666" s="16">
        <f>SUMIF(tdiario[CUENTA],tbal[[#This Row],[CUENTA]],tdiario[DEBE])</f>
        <v>0</v>
      </c>
      <c r="F666" s="17">
        <f>SUMIF(tdiario[CUENTA],tbal[[#This Row],[CUENTA]],tdiario[HABER])</f>
        <v>0</v>
      </c>
      <c r="G666" s="16">
        <f>IF(tbal[[#This Row],[DEBE]]-tbal[[#This Row],[HABER]]&gt;0,tbal[[#This Row],[DEBE]]-tbal[[#This Row],[HABER]],0)</f>
        <v>0</v>
      </c>
      <c r="H666" s="18">
        <f>IF(tbal[[#This Row],[HABER]]-tbal[[#This Row],[DEBE]]&gt;0,tbal[[#This Row],[HABER]]-tbal[[#This Row],[DEBE]],0)</f>
        <v>0</v>
      </c>
      <c r="I666" s="16">
        <f>IF((OR(tbal[[#This Row],[X]]=1,tbal[[#This Row],[X]]=2)),tbal[[#This Row],[DEUDOR]],0)</f>
        <v>0</v>
      </c>
      <c r="J666" s="18">
        <f>IF((OR(tbal[[#This Row],[X]]=2,tbal[[#This Row],[X]]=3)),tbal[[#This Row],[ACREEDOR]],0)</f>
        <v>0</v>
      </c>
      <c r="K666" s="16">
        <f>IF((OR(tbal[[#This Row],[X]]=3,tbal[[#This Row],[X]]=5)),tbal[[#This Row],[DEUDOR]],0)</f>
        <v>0</v>
      </c>
      <c r="L666" s="18">
        <f>IF((OR(tbal[[#This Row],[X]]=3,tbal[[#This Row],[X]]=4)),tbal[[#This Row],[ACREEDOR]],0)</f>
        <v>0</v>
      </c>
      <c r="M666" s="16">
        <f>IF((OR(tbal[[#This Row],[X]]=0,tbal[[#This Row],[X]]=6)),tbal[[#This Row],[DEUDOR]],0)</f>
        <v>0</v>
      </c>
      <c r="N666" s="18">
        <f>IF((OR(tbal[[#This Row],[X]]=0,tbal[[#This Row],[X]]=5)),tbal[[#This Row],[ACREEDOR]],0)</f>
        <v>0</v>
      </c>
    </row>
    <row r="667" spans="1:14" hidden="1" x14ac:dyDescent="0.3">
      <c r="A667" s="14">
        <f>+'PLAN DE CUENTAS'!A667</f>
        <v>0</v>
      </c>
      <c r="B667" s="13">
        <f>+'PLAN DE CUENTAS'!B667</f>
        <v>0</v>
      </c>
      <c r="C667" s="13">
        <f>+'PLAN DE CUENTAS'!C667</f>
        <v>0</v>
      </c>
      <c r="D667" t="str">
        <f>IF(tbal[[#This Row],[DEBE]]+tbal[[#This Row],[HABER]]=0,"","X")</f>
        <v/>
      </c>
      <c r="E667" s="16">
        <f>SUMIF(tdiario[CUENTA],tbal[[#This Row],[CUENTA]],tdiario[DEBE])</f>
        <v>0</v>
      </c>
      <c r="F667" s="17">
        <f>SUMIF(tdiario[CUENTA],tbal[[#This Row],[CUENTA]],tdiario[HABER])</f>
        <v>0</v>
      </c>
      <c r="G667" s="16">
        <f>IF(tbal[[#This Row],[DEBE]]-tbal[[#This Row],[HABER]]&gt;0,tbal[[#This Row],[DEBE]]-tbal[[#This Row],[HABER]],0)</f>
        <v>0</v>
      </c>
      <c r="H667" s="18">
        <f>IF(tbal[[#This Row],[HABER]]-tbal[[#This Row],[DEBE]]&gt;0,tbal[[#This Row],[HABER]]-tbal[[#This Row],[DEBE]],0)</f>
        <v>0</v>
      </c>
      <c r="I667" s="16">
        <f>IF((OR(tbal[[#This Row],[X]]=1,tbal[[#This Row],[X]]=2)),tbal[[#This Row],[DEUDOR]],0)</f>
        <v>0</v>
      </c>
      <c r="J667" s="18">
        <f>IF((OR(tbal[[#This Row],[X]]=2,tbal[[#This Row],[X]]=3)),tbal[[#This Row],[ACREEDOR]],0)</f>
        <v>0</v>
      </c>
      <c r="K667" s="16">
        <f>IF((OR(tbal[[#This Row],[X]]=3,tbal[[#This Row],[X]]=5)),tbal[[#This Row],[DEUDOR]],0)</f>
        <v>0</v>
      </c>
      <c r="L667" s="18">
        <f>IF((OR(tbal[[#This Row],[X]]=3,tbal[[#This Row],[X]]=4)),tbal[[#This Row],[ACREEDOR]],0)</f>
        <v>0</v>
      </c>
      <c r="M667" s="16">
        <f>IF((OR(tbal[[#This Row],[X]]=0,tbal[[#This Row],[X]]=6)),tbal[[#This Row],[DEUDOR]],0)</f>
        <v>0</v>
      </c>
      <c r="N667" s="18">
        <f>IF((OR(tbal[[#This Row],[X]]=0,tbal[[#This Row],[X]]=5)),tbal[[#This Row],[ACREEDOR]],0)</f>
        <v>0</v>
      </c>
    </row>
    <row r="668" spans="1:14" hidden="1" x14ac:dyDescent="0.3">
      <c r="A668" s="14">
        <f>+'PLAN DE CUENTAS'!A668</f>
        <v>0</v>
      </c>
      <c r="B668" s="13">
        <f>+'PLAN DE CUENTAS'!B668</f>
        <v>0</v>
      </c>
      <c r="C668" s="13">
        <f>+'PLAN DE CUENTAS'!C668</f>
        <v>0</v>
      </c>
      <c r="D668" t="str">
        <f>IF(tbal[[#This Row],[DEBE]]+tbal[[#This Row],[HABER]]=0,"","X")</f>
        <v/>
      </c>
      <c r="E668" s="16">
        <f>SUMIF(tdiario[CUENTA],tbal[[#This Row],[CUENTA]],tdiario[DEBE])</f>
        <v>0</v>
      </c>
      <c r="F668" s="17">
        <f>SUMIF(tdiario[CUENTA],tbal[[#This Row],[CUENTA]],tdiario[HABER])</f>
        <v>0</v>
      </c>
      <c r="G668" s="16">
        <f>IF(tbal[[#This Row],[DEBE]]-tbal[[#This Row],[HABER]]&gt;0,tbal[[#This Row],[DEBE]]-tbal[[#This Row],[HABER]],0)</f>
        <v>0</v>
      </c>
      <c r="H668" s="18">
        <f>IF(tbal[[#This Row],[HABER]]-tbal[[#This Row],[DEBE]]&gt;0,tbal[[#This Row],[HABER]]-tbal[[#This Row],[DEBE]],0)</f>
        <v>0</v>
      </c>
      <c r="I668" s="16">
        <f>IF((OR(tbal[[#This Row],[X]]=1,tbal[[#This Row],[X]]=2)),tbal[[#This Row],[DEUDOR]],0)</f>
        <v>0</v>
      </c>
      <c r="J668" s="18">
        <f>IF((OR(tbal[[#This Row],[X]]=2,tbal[[#This Row],[X]]=3)),tbal[[#This Row],[ACREEDOR]],0)</f>
        <v>0</v>
      </c>
      <c r="K668" s="16">
        <f>IF((OR(tbal[[#This Row],[X]]=3,tbal[[#This Row],[X]]=5)),tbal[[#This Row],[DEUDOR]],0)</f>
        <v>0</v>
      </c>
      <c r="L668" s="18">
        <f>IF((OR(tbal[[#This Row],[X]]=3,tbal[[#This Row],[X]]=4)),tbal[[#This Row],[ACREEDOR]],0)</f>
        <v>0</v>
      </c>
      <c r="M668" s="16">
        <f>IF((OR(tbal[[#This Row],[X]]=0,tbal[[#This Row],[X]]=6)),tbal[[#This Row],[DEUDOR]],0)</f>
        <v>0</v>
      </c>
      <c r="N668" s="18">
        <f>IF((OR(tbal[[#This Row],[X]]=0,tbal[[#This Row],[X]]=5)),tbal[[#This Row],[ACREEDOR]],0)</f>
        <v>0</v>
      </c>
    </row>
    <row r="669" spans="1:14" hidden="1" x14ac:dyDescent="0.3">
      <c r="A669" s="14">
        <f>+'PLAN DE CUENTAS'!A669</f>
        <v>0</v>
      </c>
      <c r="B669" s="13">
        <f>+'PLAN DE CUENTAS'!B669</f>
        <v>0</v>
      </c>
      <c r="C669" s="13">
        <f>+'PLAN DE CUENTAS'!C669</f>
        <v>0</v>
      </c>
      <c r="D669" t="str">
        <f>IF(tbal[[#This Row],[DEBE]]+tbal[[#This Row],[HABER]]=0,"","X")</f>
        <v/>
      </c>
      <c r="E669" s="16">
        <f>SUMIF(tdiario[CUENTA],tbal[[#This Row],[CUENTA]],tdiario[DEBE])</f>
        <v>0</v>
      </c>
      <c r="F669" s="17">
        <f>SUMIF(tdiario[CUENTA],tbal[[#This Row],[CUENTA]],tdiario[HABER])</f>
        <v>0</v>
      </c>
      <c r="G669" s="16">
        <f>IF(tbal[[#This Row],[DEBE]]-tbal[[#This Row],[HABER]]&gt;0,tbal[[#This Row],[DEBE]]-tbal[[#This Row],[HABER]],0)</f>
        <v>0</v>
      </c>
      <c r="H669" s="18">
        <f>IF(tbal[[#This Row],[HABER]]-tbal[[#This Row],[DEBE]]&gt;0,tbal[[#This Row],[HABER]]-tbal[[#This Row],[DEBE]],0)</f>
        <v>0</v>
      </c>
      <c r="I669" s="16">
        <f>IF((OR(tbal[[#This Row],[X]]=1,tbal[[#This Row],[X]]=2)),tbal[[#This Row],[DEUDOR]],0)</f>
        <v>0</v>
      </c>
      <c r="J669" s="18">
        <f>IF((OR(tbal[[#This Row],[X]]=2,tbal[[#This Row],[X]]=3)),tbal[[#This Row],[ACREEDOR]],0)</f>
        <v>0</v>
      </c>
      <c r="K669" s="16">
        <f>IF((OR(tbal[[#This Row],[X]]=3,tbal[[#This Row],[X]]=5)),tbal[[#This Row],[DEUDOR]],0)</f>
        <v>0</v>
      </c>
      <c r="L669" s="18">
        <f>IF((OR(tbal[[#This Row],[X]]=3,tbal[[#This Row],[X]]=4)),tbal[[#This Row],[ACREEDOR]],0)</f>
        <v>0</v>
      </c>
      <c r="M669" s="16">
        <f>IF((OR(tbal[[#This Row],[X]]=0,tbal[[#This Row],[X]]=6)),tbal[[#This Row],[DEUDOR]],0)</f>
        <v>0</v>
      </c>
      <c r="N669" s="18">
        <f>IF((OR(tbal[[#This Row],[X]]=0,tbal[[#This Row],[X]]=5)),tbal[[#This Row],[ACREEDOR]],0)</f>
        <v>0</v>
      </c>
    </row>
    <row r="670" spans="1:14" hidden="1" x14ac:dyDescent="0.3">
      <c r="A670" s="14">
        <f>+'PLAN DE CUENTAS'!A670</f>
        <v>0</v>
      </c>
      <c r="B670" s="13">
        <f>+'PLAN DE CUENTAS'!B670</f>
        <v>0</v>
      </c>
      <c r="C670" s="13">
        <f>+'PLAN DE CUENTAS'!C670</f>
        <v>0</v>
      </c>
      <c r="D670" t="str">
        <f>IF(tbal[[#This Row],[DEBE]]+tbal[[#This Row],[HABER]]=0,"","X")</f>
        <v/>
      </c>
      <c r="E670" s="16">
        <f>SUMIF(tdiario[CUENTA],tbal[[#This Row],[CUENTA]],tdiario[DEBE])</f>
        <v>0</v>
      </c>
      <c r="F670" s="17">
        <f>SUMIF(tdiario[CUENTA],tbal[[#This Row],[CUENTA]],tdiario[HABER])</f>
        <v>0</v>
      </c>
      <c r="G670" s="16">
        <f>IF(tbal[[#This Row],[DEBE]]-tbal[[#This Row],[HABER]]&gt;0,tbal[[#This Row],[DEBE]]-tbal[[#This Row],[HABER]],0)</f>
        <v>0</v>
      </c>
      <c r="H670" s="18">
        <f>IF(tbal[[#This Row],[HABER]]-tbal[[#This Row],[DEBE]]&gt;0,tbal[[#This Row],[HABER]]-tbal[[#This Row],[DEBE]],0)</f>
        <v>0</v>
      </c>
      <c r="I670" s="16">
        <f>IF((OR(tbal[[#This Row],[X]]=1,tbal[[#This Row],[X]]=2)),tbal[[#This Row],[DEUDOR]],0)</f>
        <v>0</v>
      </c>
      <c r="J670" s="18">
        <f>IF((OR(tbal[[#This Row],[X]]=2,tbal[[#This Row],[X]]=3)),tbal[[#This Row],[ACREEDOR]],0)</f>
        <v>0</v>
      </c>
      <c r="K670" s="16">
        <f>IF((OR(tbal[[#This Row],[X]]=3,tbal[[#This Row],[X]]=5)),tbal[[#This Row],[DEUDOR]],0)</f>
        <v>0</v>
      </c>
      <c r="L670" s="18">
        <f>IF((OR(tbal[[#This Row],[X]]=3,tbal[[#This Row],[X]]=4)),tbal[[#This Row],[ACREEDOR]],0)</f>
        <v>0</v>
      </c>
      <c r="M670" s="16">
        <f>IF((OR(tbal[[#This Row],[X]]=0,tbal[[#This Row],[X]]=6)),tbal[[#This Row],[DEUDOR]],0)</f>
        <v>0</v>
      </c>
      <c r="N670" s="18">
        <f>IF((OR(tbal[[#This Row],[X]]=0,tbal[[#This Row],[X]]=5)),tbal[[#This Row],[ACREEDOR]],0)</f>
        <v>0</v>
      </c>
    </row>
    <row r="671" spans="1:14" hidden="1" x14ac:dyDescent="0.3">
      <c r="A671" s="14">
        <f>+'PLAN DE CUENTAS'!A671</f>
        <v>0</v>
      </c>
      <c r="B671" s="13">
        <f>+'PLAN DE CUENTAS'!B671</f>
        <v>0</v>
      </c>
      <c r="C671" s="13">
        <f>+'PLAN DE CUENTAS'!C671</f>
        <v>0</v>
      </c>
      <c r="D671" t="str">
        <f>IF(tbal[[#This Row],[DEBE]]+tbal[[#This Row],[HABER]]=0,"","X")</f>
        <v/>
      </c>
      <c r="E671" s="16">
        <f>SUMIF(tdiario[CUENTA],tbal[[#This Row],[CUENTA]],tdiario[DEBE])</f>
        <v>0</v>
      </c>
      <c r="F671" s="17">
        <f>SUMIF(tdiario[CUENTA],tbal[[#This Row],[CUENTA]],tdiario[HABER])</f>
        <v>0</v>
      </c>
      <c r="G671" s="16">
        <f>IF(tbal[[#This Row],[DEBE]]-tbal[[#This Row],[HABER]]&gt;0,tbal[[#This Row],[DEBE]]-tbal[[#This Row],[HABER]],0)</f>
        <v>0</v>
      </c>
      <c r="H671" s="18">
        <f>IF(tbal[[#This Row],[HABER]]-tbal[[#This Row],[DEBE]]&gt;0,tbal[[#This Row],[HABER]]-tbal[[#This Row],[DEBE]],0)</f>
        <v>0</v>
      </c>
      <c r="I671" s="16">
        <f>IF((OR(tbal[[#This Row],[X]]=1,tbal[[#This Row],[X]]=2)),tbal[[#This Row],[DEUDOR]],0)</f>
        <v>0</v>
      </c>
      <c r="J671" s="18">
        <f>IF((OR(tbal[[#This Row],[X]]=2,tbal[[#This Row],[X]]=3)),tbal[[#This Row],[ACREEDOR]],0)</f>
        <v>0</v>
      </c>
      <c r="K671" s="16">
        <f>IF((OR(tbal[[#This Row],[X]]=3,tbal[[#This Row],[X]]=5)),tbal[[#This Row],[DEUDOR]],0)</f>
        <v>0</v>
      </c>
      <c r="L671" s="18">
        <f>IF((OR(tbal[[#This Row],[X]]=3,tbal[[#This Row],[X]]=4)),tbal[[#This Row],[ACREEDOR]],0)</f>
        <v>0</v>
      </c>
      <c r="M671" s="16">
        <f>IF((OR(tbal[[#This Row],[X]]=0,tbal[[#This Row],[X]]=6)),tbal[[#This Row],[DEUDOR]],0)</f>
        <v>0</v>
      </c>
      <c r="N671" s="18">
        <f>IF((OR(tbal[[#This Row],[X]]=0,tbal[[#This Row],[X]]=5)),tbal[[#This Row],[ACREEDOR]],0)</f>
        <v>0</v>
      </c>
    </row>
    <row r="672" spans="1:14" hidden="1" x14ac:dyDescent="0.3">
      <c r="A672" s="14">
        <f>+'PLAN DE CUENTAS'!A672</f>
        <v>0</v>
      </c>
      <c r="B672" s="13">
        <f>+'PLAN DE CUENTAS'!B672</f>
        <v>0</v>
      </c>
      <c r="C672" s="13">
        <f>+'PLAN DE CUENTAS'!C672</f>
        <v>0</v>
      </c>
      <c r="D672" t="str">
        <f>IF(tbal[[#This Row],[DEBE]]+tbal[[#This Row],[HABER]]=0,"","X")</f>
        <v/>
      </c>
      <c r="E672" s="16">
        <f>SUMIF(tdiario[CUENTA],tbal[[#This Row],[CUENTA]],tdiario[DEBE])</f>
        <v>0</v>
      </c>
      <c r="F672" s="17">
        <f>SUMIF(tdiario[CUENTA],tbal[[#This Row],[CUENTA]],tdiario[HABER])</f>
        <v>0</v>
      </c>
      <c r="G672" s="16">
        <f>IF(tbal[[#This Row],[DEBE]]-tbal[[#This Row],[HABER]]&gt;0,tbal[[#This Row],[DEBE]]-tbal[[#This Row],[HABER]],0)</f>
        <v>0</v>
      </c>
      <c r="H672" s="18">
        <f>IF(tbal[[#This Row],[HABER]]-tbal[[#This Row],[DEBE]]&gt;0,tbal[[#This Row],[HABER]]-tbal[[#This Row],[DEBE]],0)</f>
        <v>0</v>
      </c>
      <c r="I672" s="16">
        <f>IF((OR(tbal[[#This Row],[X]]=1,tbal[[#This Row],[X]]=2)),tbal[[#This Row],[DEUDOR]],0)</f>
        <v>0</v>
      </c>
      <c r="J672" s="18">
        <f>IF((OR(tbal[[#This Row],[X]]=2,tbal[[#This Row],[X]]=3)),tbal[[#This Row],[ACREEDOR]],0)</f>
        <v>0</v>
      </c>
      <c r="K672" s="16">
        <f>IF((OR(tbal[[#This Row],[X]]=3,tbal[[#This Row],[X]]=5)),tbal[[#This Row],[DEUDOR]],0)</f>
        <v>0</v>
      </c>
      <c r="L672" s="18">
        <f>IF((OR(tbal[[#This Row],[X]]=3,tbal[[#This Row],[X]]=4)),tbal[[#This Row],[ACREEDOR]],0)</f>
        <v>0</v>
      </c>
      <c r="M672" s="16">
        <f>IF((OR(tbal[[#This Row],[X]]=0,tbal[[#This Row],[X]]=6)),tbal[[#This Row],[DEUDOR]],0)</f>
        <v>0</v>
      </c>
      <c r="N672" s="18">
        <f>IF((OR(tbal[[#This Row],[X]]=0,tbal[[#This Row],[X]]=5)),tbal[[#This Row],[ACREEDOR]],0)</f>
        <v>0</v>
      </c>
    </row>
    <row r="673" spans="1:14" hidden="1" x14ac:dyDescent="0.3">
      <c r="A673" s="14">
        <f>+'PLAN DE CUENTAS'!A673</f>
        <v>0</v>
      </c>
      <c r="B673" s="13">
        <f>+'PLAN DE CUENTAS'!B673</f>
        <v>0</v>
      </c>
      <c r="C673" s="13">
        <f>+'PLAN DE CUENTAS'!C673</f>
        <v>0</v>
      </c>
      <c r="D673" t="str">
        <f>IF(tbal[[#This Row],[DEBE]]+tbal[[#This Row],[HABER]]=0,"","X")</f>
        <v/>
      </c>
      <c r="E673" s="16">
        <f>SUMIF(tdiario[CUENTA],tbal[[#This Row],[CUENTA]],tdiario[DEBE])</f>
        <v>0</v>
      </c>
      <c r="F673" s="17">
        <f>SUMIF(tdiario[CUENTA],tbal[[#This Row],[CUENTA]],tdiario[HABER])</f>
        <v>0</v>
      </c>
      <c r="G673" s="16">
        <f>IF(tbal[[#This Row],[DEBE]]-tbal[[#This Row],[HABER]]&gt;0,tbal[[#This Row],[DEBE]]-tbal[[#This Row],[HABER]],0)</f>
        <v>0</v>
      </c>
      <c r="H673" s="18">
        <f>IF(tbal[[#This Row],[HABER]]-tbal[[#This Row],[DEBE]]&gt;0,tbal[[#This Row],[HABER]]-tbal[[#This Row],[DEBE]],0)</f>
        <v>0</v>
      </c>
      <c r="I673" s="16">
        <f>IF((OR(tbal[[#This Row],[X]]=1,tbal[[#This Row],[X]]=2)),tbal[[#This Row],[DEUDOR]],0)</f>
        <v>0</v>
      </c>
      <c r="J673" s="18">
        <f>IF((OR(tbal[[#This Row],[X]]=2,tbal[[#This Row],[X]]=3)),tbal[[#This Row],[ACREEDOR]],0)</f>
        <v>0</v>
      </c>
      <c r="K673" s="16">
        <f>IF((OR(tbal[[#This Row],[X]]=3,tbal[[#This Row],[X]]=5)),tbal[[#This Row],[DEUDOR]],0)</f>
        <v>0</v>
      </c>
      <c r="L673" s="18">
        <f>IF((OR(tbal[[#This Row],[X]]=3,tbal[[#This Row],[X]]=4)),tbal[[#This Row],[ACREEDOR]],0)</f>
        <v>0</v>
      </c>
      <c r="M673" s="16">
        <f>IF((OR(tbal[[#This Row],[X]]=0,tbal[[#This Row],[X]]=6)),tbal[[#This Row],[DEUDOR]],0)</f>
        <v>0</v>
      </c>
      <c r="N673" s="18">
        <f>IF((OR(tbal[[#This Row],[X]]=0,tbal[[#This Row],[X]]=5)),tbal[[#This Row],[ACREEDOR]],0)</f>
        <v>0</v>
      </c>
    </row>
    <row r="674" spans="1:14" hidden="1" x14ac:dyDescent="0.3">
      <c r="A674" s="14">
        <f>+'PLAN DE CUENTAS'!A674</f>
        <v>0</v>
      </c>
      <c r="B674" s="13">
        <f>+'PLAN DE CUENTAS'!B674</f>
        <v>0</v>
      </c>
      <c r="C674" s="13">
        <f>+'PLAN DE CUENTAS'!C674</f>
        <v>0</v>
      </c>
      <c r="D674" t="str">
        <f>IF(tbal[[#This Row],[DEBE]]+tbal[[#This Row],[HABER]]=0,"","X")</f>
        <v/>
      </c>
      <c r="E674" s="16">
        <f>SUMIF(tdiario[CUENTA],tbal[[#This Row],[CUENTA]],tdiario[DEBE])</f>
        <v>0</v>
      </c>
      <c r="F674" s="17">
        <f>SUMIF(tdiario[CUENTA],tbal[[#This Row],[CUENTA]],tdiario[HABER])</f>
        <v>0</v>
      </c>
      <c r="G674" s="16">
        <f>IF(tbal[[#This Row],[DEBE]]-tbal[[#This Row],[HABER]]&gt;0,tbal[[#This Row],[DEBE]]-tbal[[#This Row],[HABER]],0)</f>
        <v>0</v>
      </c>
      <c r="H674" s="18">
        <f>IF(tbal[[#This Row],[HABER]]-tbal[[#This Row],[DEBE]]&gt;0,tbal[[#This Row],[HABER]]-tbal[[#This Row],[DEBE]],0)</f>
        <v>0</v>
      </c>
      <c r="I674" s="16">
        <f>IF((OR(tbal[[#This Row],[X]]=1,tbal[[#This Row],[X]]=2)),tbal[[#This Row],[DEUDOR]],0)</f>
        <v>0</v>
      </c>
      <c r="J674" s="18">
        <f>IF((OR(tbal[[#This Row],[X]]=2,tbal[[#This Row],[X]]=3)),tbal[[#This Row],[ACREEDOR]],0)</f>
        <v>0</v>
      </c>
      <c r="K674" s="16">
        <f>IF((OR(tbal[[#This Row],[X]]=3,tbal[[#This Row],[X]]=5)),tbal[[#This Row],[DEUDOR]],0)</f>
        <v>0</v>
      </c>
      <c r="L674" s="18">
        <f>IF((OR(tbal[[#This Row],[X]]=3,tbal[[#This Row],[X]]=4)),tbal[[#This Row],[ACREEDOR]],0)</f>
        <v>0</v>
      </c>
      <c r="M674" s="16">
        <f>IF((OR(tbal[[#This Row],[X]]=0,tbal[[#This Row],[X]]=6)),tbal[[#This Row],[DEUDOR]],0)</f>
        <v>0</v>
      </c>
      <c r="N674" s="18">
        <f>IF((OR(tbal[[#This Row],[X]]=0,tbal[[#This Row],[X]]=5)),tbal[[#This Row],[ACREEDOR]],0)</f>
        <v>0</v>
      </c>
    </row>
    <row r="675" spans="1:14" hidden="1" x14ac:dyDescent="0.3">
      <c r="A675" s="14">
        <f>+'PLAN DE CUENTAS'!A675</f>
        <v>0</v>
      </c>
      <c r="B675" s="13">
        <f>+'PLAN DE CUENTAS'!B675</f>
        <v>0</v>
      </c>
      <c r="C675" s="13">
        <f>+'PLAN DE CUENTAS'!C675</f>
        <v>0</v>
      </c>
      <c r="D675" t="str">
        <f>IF(tbal[[#This Row],[DEBE]]+tbal[[#This Row],[HABER]]=0,"","X")</f>
        <v/>
      </c>
      <c r="E675" s="16">
        <f>SUMIF(tdiario[CUENTA],tbal[[#This Row],[CUENTA]],tdiario[DEBE])</f>
        <v>0</v>
      </c>
      <c r="F675" s="17">
        <f>SUMIF(tdiario[CUENTA],tbal[[#This Row],[CUENTA]],tdiario[HABER])</f>
        <v>0</v>
      </c>
      <c r="G675" s="16">
        <f>IF(tbal[[#This Row],[DEBE]]-tbal[[#This Row],[HABER]]&gt;0,tbal[[#This Row],[DEBE]]-tbal[[#This Row],[HABER]],0)</f>
        <v>0</v>
      </c>
      <c r="H675" s="18">
        <f>IF(tbal[[#This Row],[HABER]]-tbal[[#This Row],[DEBE]]&gt;0,tbal[[#This Row],[HABER]]-tbal[[#This Row],[DEBE]],0)</f>
        <v>0</v>
      </c>
      <c r="I675" s="16">
        <f>IF((OR(tbal[[#This Row],[X]]=1,tbal[[#This Row],[X]]=2)),tbal[[#This Row],[DEUDOR]],0)</f>
        <v>0</v>
      </c>
      <c r="J675" s="18">
        <f>IF((OR(tbal[[#This Row],[X]]=2,tbal[[#This Row],[X]]=3)),tbal[[#This Row],[ACREEDOR]],0)</f>
        <v>0</v>
      </c>
      <c r="K675" s="16">
        <f>IF((OR(tbal[[#This Row],[X]]=3,tbal[[#This Row],[X]]=5)),tbal[[#This Row],[DEUDOR]],0)</f>
        <v>0</v>
      </c>
      <c r="L675" s="18">
        <f>IF((OR(tbal[[#This Row],[X]]=3,tbal[[#This Row],[X]]=4)),tbal[[#This Row],[ACREEDOR]],0)</f>
        <v>0</v>
      </c>
      <c r="M675" s="16">
        <f>IF((OR(tbal[[#This Row],[X]]=0,tbal[[#This Row],[X]]=6)),tbal[[#This Row],[DEUDOR]],0)</f>
        <v>0</v>
      </c>
      <c r="N675" s="18">
        <f>IF((OR(tbal[[#This Row],[X]]=0,tbal[[#This Row],[X]]=5)),tbal[[#This Row],[ACREEDOR]],0)</f>
        <v>0</v>
      </c>
    </row>
    <row r="676" spans="1:14" hidden="1" x14ac:dyDescent="0.3">
      <c r="A676" s="14">
        <f>+'PLAN DE CUENTAS'!A676</f>
        <v>0</v>
      </c>
      <c r="B676" s="13">
        <f>+'PLAN DE CUENTAS'!B676</f>
        <v>0</v>
      </c>
      <c r="C676" s="13">
        <f>+'PLAN DE CUENTAS'!C676</f>
        <v>0</v>
      </c>
      <c r="D676" t="str">
        <f>IF(tbal[[#This Row],[DEBE]]+tbal[[#This Row],[HABER]]=0,"","X")</f>
        <v/>
      </c>
      <c r="E676" s="16">
        <f>SUMIF(tdiario[CUENTA],tbal[[#This Row],[CUENTA]],tdiario[DEBE])</f>
        <v>0</v>
      </c>
      <c r="F676" s="17">
        <f>SUMIF(tdiario[CUENTA],tbal[[#This Row],[CUENTA]],tdiario[HABER])</f>
        <v>0</v>
      </c>
      <c r="G676" s="16">
        <f>IF(tbal[[#This Row],[DEBE]]-tbal[[#This Row],[HABER]]&gt;0,tbal[[#This Row],[DEBE]]-tbal[[#This Row],[HABER]],0)</f>
        <v>0</v>
      </c>
      <c r="H676" s="18">
        <f>IF(tbal[[#This Row],[HABER]]-tbal[[#This Row],[DEBE]]&gt;0,tbal[[#This Row],[HABER]]-tbal[[#This Row],[DEBE]],0)</f>
        <v>0</v>
      </c>
      <c r="I676" s="16">
        <f>IF((OR(tbal[[#This Row],[X]]=1,tbal[[#This Row],[X]]=2)),tbal[[#This Row],[DEUDOR]],0)</f>
        <v>0</v>
      </c>
      <c r="J676" s="18">
        <f>IF((OR(tbal[[#This Row],[X]]=2,tbal[[#This Row],[X]]=3)),tbal[[#This Row],[ACREEDOR]],0)</f>
        <v>0</v>
      </c>
      <c r="K676" s="16">
        <f>IF((OR(tbal[[#This Row],[X]]=3,tbal[[#This Row],[X]]=5)),tbal[[#This Row],[DEUDOR]],0)</f>
        <v>0</v>
      </c>
      <c r="L676" s="18">
        <f>IF((OR(tbal[[#This Row],[X]]=3,tbal[[#This Row],[X]]=4)),tbal[[#This Row],[ACREEDOR]],0)</f>
        <v>0</v>
      </c>
      <c r="M676" s="16">
        <f>IF((OR(tbal[[#This Row],[X]]=0,tbal[[#This Row],[X]]=6)),tbal[[#This Row],[DEUDOR]],0)</f>
        <v>0</v>
      </c>
      <c r="N676" s="18">
        <f>IF((OR(tbal[[#This Row],[X]]=0,tbal[[#This Row],[X]]=5)),tbal[[#This Row],[ACREEDOR]],0)</f>
        <v>0</v>
      </c>
    </row>
    <row r="677" spans="1:14" hidden="1" x14ac:dyDescent="0.3">
      <c r="A677" s="14">
        <f>+'PLAN DE CUENTAS'!A677</f>
        <v>0</v>
      </c>
      <c r="B677" s="13">
        <f>+'PLAN DE CUENTAS'!B677</f>
        <v>0</v>
      </c>
      <c r="C677" s="13">
        <f>+'PLAN DE CUENTAS'!C677</f>
        <v>0</v>
      </c>
      <c r="D677" t="str">
        <f>IF(tbal[[#This Row],[DEBE]]+tbal[[#This Row],[HABER]]=0,"","X")</f>
        <v/>
      </c>
      <c r="E677" s="16">
        <f>SUMIF(tdiario[CUENTA],tbal[[#This Row],[CUENTA]],tdiario[DEBE])</f>
        <v>0</v>
      </c>
      <c r="F677" s="17">
        <f>SUMIF(tdiario[CUENTA],tbal[[#This Row],[CUENTA]],tdiario[HABER])</f>
        <v>0</v>
      </c>
      <c r="G677" s="16">
        <f>IF(tbal[[#This Row],[DEBE]]-tbal[[#This Row],[HABER]]&gt;0,tbal[[#This Row],[DEBE]]-tbal[[#This Row],[HABER]],0)</f>
        <v>0</v>
      </c>
      <c r="H677" s="18">
        <f>IF(tbal[[#This Row],[HABER]]-tbal[[#This Row],[DEBE]]&gt;0,tbal[[#This Row],[HABER]]-tbal[[#This Row],[DEBE]],0)</f>
        <v>0</v>
      </c>
      <c r="I677" s="16">
        <f>IF((OR(tbal[[#This Row],[X]]=1,tbal[[#This Row],[X]]=2)),tbal[[#This Row],[DEUDOR]],0)</f>
        <v>0</v>
      </c>
      <c r="J677" s="18">
        <f>IF((OR(tbal[[#This Row],[X]]=2,tbal[[#This Row],[X]]=3)),tbal[[#This Row],[ACREEDOR]],0)</f>
        <v>0</v>
      </c>
      <c r="K677" s="16">
        <f>IF((OR(tbal[[#This Row],[X]]=3,tbal[[#This Row],[X]]=5)),tbal[[#This Row],[DEUDOR]],0)</f>
        <v>0</v>
      </c>
      <c r="L677" s="18">
        <f>IF((OR(tbal[[#This Row],[X]]=3,tbal[[#This Row],[X]]=4)),tbal[[#This Row],[ACREEDOR]],0)</f>
        <v>0</v>
      </c>
      <c r="M677" s="16">
        <f>IF((OR(tbal[[#This Row],[X]]=0,tbal[[#This Row],[X]]=6)),tbal[[#This Row],[DEUDOR]],0)</f>
        <v>0</v>
      </c>
      <c r="N677" s="18">
        <f>IF((OR(tbal[[#This Row],[X]]=0,tbal[[#This Row],[X]]=5)),tbal[[#This Row],[ACREEDOR]],0)</f>
        <v>0</v>
      </c>
    </row>
    <row r="678" spans="1:14" hidden="1" x14ac:dyDescent="0.3">
      <c r="A678" s="14">
        <f>+'PLAN DE CUENTAS'!A678</f>
        <v>0</v>
      </c>
      <c r="B678" s="13">
        <f>+'PLAN DE CUENTAS'!B678</f>
        <v>0</v>
      </c>
      <c r="C678" s="13">
        <f>+'PLAN DE CUENTAS'!C678</f>
        <v>0</v>
      </c>
      <c r="D678" t="str">
        <f>IF(tbal[[#This Row],[DEBE]]+tbal[[#This Row],[HABER]]=0,"","X")</f>
        <v/>
      </c>
      <c r="E678" s="16">
        <f>SUMIF(tdiario[CUENTA],tbal[[#This Row],[CUENTA]],tdiario[DEBE])</f>
        <v>0</v>
      </c>
      <c r="F678" s="17">
        <f>SUMIF(tdiario[CUENTA],tbal[[#This Row],[CUENTA]],tdiario[HABER])</f>
        <v>0</v>
      </c>
      <c r="G678" s="16">
        <f>IF(tbal[[#This Row],[DEBE]]-tbal[[#This Row],[HABER]]&gt;0,tbal[[#This Row],[DEBE]]-tbal[[#This Row],[HABER]],0)</f>
        <v>0</v>
      </c>
      <c r="H678" s="18">
        <f>IF(tbal[[#This Row],[HABER]]-tbal[[#This Row],[DEBE]]&gt;0,tbal[[#This Row],[HABER]]-tbal[[#This Row],[DEBE]],0)</f>
        <v>0</v>
      </c>
      <c r="I678" s="16">
        <f>IF((OR(tbal[[#This Row],[X]]=1,tbal[[#This Row],[X]]=2)),tbal[[#This Row],[DEUDOR]],0)</f>
        <v>0</v>
      </c>
      <c r="J678" s="18">
        <f>IF((OR(tbal[[#This Row],[X]]=2,tbal[[#This Row],[X]]=3)),tbal[[#This Row],[ACREEDOR]],0)</f>
        <v>0</v>
      </c>
      <c r="K678" s="16">
        <f>IF((OR(tbal[[#This Row],[X]]=3,tbal[[#This Row],[X]]=5)),tbal[[#This Row],[DEUDOR]],0)</f>
        <v>0</v>
      </c>
      <c r="L678" s="18">
        <f>IF((OR(tbal[[#This Row],[X]]=3,tbal[[#This Row],[X]]=4)),tbal[[#This Row],[ACREEDOR]],0)</f>
        <v>0</v>
      </c>
      <c r="M678" s="16">
        <f>IF((OR(tbal[[#This Row],[X]]=0,tbal[[#This Row],[X]]=6)),tbal[[#This Row],[DEUDOR]],0)</f>
        <v>0</v>
      </c>
      <c r="N678" s="18">
        <f>IF((OR(tbal[[#This Row],[X]]=0,tbal[[#This Row],[X]]=5)),tbal[[#This Row],[ACREEDOR]],0)</f>
        <v>0</v>
      </c>
    </row>
    <row r="679" spans="1:14" hidden="1" x14ac:dyDescent="0.3">
      <c r="A679" s="14">
        <f>+'PLAN DE CUENTAS'!A679</f>
        <v>0</v>
      </c>
      <c r="B679" s="13">
        <f>+'PLAN DE CUENTAS'!B679</f>
        <v>0</v>
      </c>
      <c r="C679" s="13">
        <f>+'PLAN DE CUENTAS'!C679</f>
        <v>0</v>
      </c>
      <c r="D679" t="str">
        <f>IF(tbal[[#This Row],[DEBE]]+tbal[[#This Row],[HABER]]=0,"","X")</f>
        <v/>
      </c>
      <c r="E679" s="16">
        <f>SUMIF(tdiario[CUENTA],tbal[[#This Row],[CUENTA]],tdiario[DEBE])</f>
        <v>0</v>
      </c>
      <c r="F679" s="17">
        <f>SUMIF(tdiario[CUENTA],tbal[[#This Row],[CUENTA]],tdiario[HABER])</f>
        <v>0</v>
      </c>
      <c r="G679" s="16">
        <f>IF(tbal[[#This Row],[DEBE]]-tbal[[#This Row],[HABER]]&gt;0,tbal[[#This Row],[DEBE]]-tbal[[#This Row],[HABER]],0)</f>
        <v>0</v>
      </c>
      <c r="H679" s="18">
        <f>IF(tbal[[#This Row],[HABER]]-tbal[[#This Row],[DEBE]]&gt;0,tbal[[#This Row],[HABER]]-tbal[[#This Row],[DEBE]],0)</f>
        <v>0</v>
      </c>
      <c r="I679" s="16">
        <f>IF((OR(tbal[[#This Row],[X]]=1,tbal[[#This Row],[X]]=2)),tbal[[#This Row],[DEUDOR]],0)</f>
        <v>0</v>
      </c>
      <c r="J679" s="18">
        <f>IF((OR(tbal[[#This Row],[X]]=2,tbal[[#This Row],[X]]=3)),tbal[[#This Row],[ACREEDOR]],0)</f>
        <v>0</v>
      </c>
      <c r="K679" s="16">
        <f>IF((OR(tbal[[#This Row],[X]]=3,tbal[[#This Row],[X]]=5)),tbal[[#This Row],[DEUDOR]],0)</f>
        <v>0</v>
      </c>
      <c r="L679" s="18">
        <f>IF((OR(tbal[[#This Row],[X]]=3,tbal[[#This Row],[X]]=4)),tbal[[#This Row],[ACREEDOR]],0)</f>
        <v>0</v>
      </c>
      <c r="M679" s="16">
        <f>IF((OR(tbal[[#This Row],[X]]=0,tbal[[#This Row],[X]]=6)),tbal[[#This Row],[DEUDOR]],0)</f>
        <v>0</v>
      </c>
      <c r="N679" s="18">
        <f>IF((OR(tbal[[#This Row],[X]]=0,tbal[[#This Row],[X]]=5)),tbal[[#This Row],[ACREEDOR]],0)</f>
        <v>0</v>
      </c>
    </row>
    <row r="680" spans="1:14" hidden="1" x14ac:dyDescent="0.3">
      <c r="A680" s="14">
        <f>+'PLAN DE CUENTAS'!A680</f>
        <v>0</v>
      </c>
      <c r="B680" s="13">
        <f>+'PLAN DE CUENTAS'!B680</f>
        <v>0</v>
      </c>
      <c r="C680" s="13">
        <f>+'PLAN DE CUENTAS'!C680</f>
        <v>0</v>
      </c>
      <c r="D680" t="str">
        <f>IF(tbal[[#This Row],[DEBE]]+tbal[[#This Row],[HABER]]=0,"","X")</f>
        <v/>
      </c>
      <c r="E680" s="16">
        <f>SUMIF(tdiario[CUENTA],tbal[[#This Row],[CUENTA]],tdiario[DEBE])</f>
        <v>0</v>
      </c>
      <c r="F680" s="17">
        <f>SUMIF(tdiario[CUENTA],tbal[[#This Row],[CUENTA]],tdiario[HABER])</f>
        <v>0</v>
      </c>
      <c r="G680" s="16">
        <f>IF(tbal[[#This Row],[DEBE]]-tbal[[#This Row],[HABER]]&gt;0,tbal[[#This Row],[DEBE]]-tbal[[#This Row],[HABER]],0)</f>
        <v>0</v>
      </c>
      <c r="H680" s="18">
        <f>IF(tbal[[#This Row],[HABER]]-tbal[[#This Row],[DEBE]]&gt;0,tbal[[#This Row],[HABER]]-tbal[[#This Row],[DEBE]],0)</f>
        <v>0</v>
      </c>
      <c r="I680" s="16">
        <f>IF((OR(tbal[[#This Row],[X]]=1,tbal[[#This Row],[X]]=2)),tbal[[#This Row],[DEUDOR]],0)</f>
        <v>0</v>
      </c>
      <c r="J680" s="18">
        <f>IF((OR(tbal[[#This Row],[X]]=2,tbal[[#This Row],[X]]=3)),tbal[[#This Row],[ACREEDOR]],0)</f>
        <v>0</v>
      </c>
      <c r="K680" s="16">
        <f>IF((OR(tbal[[#This Row],[X]]=3,tbal[[#This Row],[X]]=5)),tbal[[#This Row],[DEUDOR]],0)</f>
        <v>0</v>
      </c>
      <c r="L680" s="18">
        <f>IF((OR(tbal[[#This Row],[X]]=3,tbal[[#This Row],[X]]=4)),tbal[[#This Row],[ACREEDOR]],0)</f>
        <v>0</v>
      </c>
      <c r="M680" s="16">
        <f>IF((OR(tbal[[#This Row],[X]]=0,tbal[[#This Row],[X]]=6)),tbal[[#This Row],[DEUDOR]],0)</f>
        <v>0</v>
      </c>
      <c r="N680" s="18">
        <f>IF((OR(tbal[[#This Row],[X]]=0,tbal[[#This Row],[X]]=5)),tbal[[#This Row],[ACREEDOR]],0)</f>
        <v>0</v>
      </c>
    </row>
    <row r="681" spans="1:14" hidden="1" x14ac:dyDescent="0.3">
      <c r="A681" s="14">
        <f>+'PLAN DE CUENTAS'!A681</f>
        <v>0</v>
      </c>
      <c r="B681" s="13">
        <f>+'PLAN DE CUENTAS'!B681</f>
        <v>0</v>
      </c>
      <c r="C681" s="13">
        <f>+'PLAN DE CUENTAS'!C681</f>
        <v>0</v>
      </c>
      <c r="D681" t="str">
        <f>IF(tbal[[#This Row],[DEBE]]+tbal[[#This Row],[HABER]]=0,"","X")</f>
        <v/>
      </c>
      <c r="E681" s="16">
        <f>SUMIF(tdiario[CUENTA],tbal[[#This Row],[CUENTA]],tdiario[DEBE])</f>
        <v>0</v>
      </c>
      <c r="F681" s="17">
        <f>SUMIF(tdiario[CUENTA],tbal[[#This Row],[CUENTA]],tdiario[HABER])</f>
        <v>0</v>
      </c>
      <c r="G681" s="16">
        <f>IF(tbal[[#This Row],[DEBE]]-tbal[[#This Row],[HABER]]&gt;0,tbal[[#This Row],[DEBE]]-tbal[[#This Row],[HABER]],0)</f>
        <v>0</v>
      </c>
      <c r="H681" s="18">
        <f>IF(tbal[[#This Row],[HABER]]-tbal[[#This Row],[DEBE]]&gt;0,tbal[[#This Row],[HABER]]-tbal[[#This Row],[DEBE]],0)</f>
        <v>0</v>
      </c>
      <c r="I681" s="16">
        <f>IF((OR(tbal[[#This Row],[X]]=1,tbal[[#This Row],[X]]=2)),tbal[[#This Row],[DEUDOR]],0)</f>
        <v>0</v>
      </c>
      <c r="J681" s="18">
        <f>IF((OR(tbal[[#This Row],[X]]=2,tbal[[#This Row],[X]]=3)),tbal[[#This Row],[ACREEDOR]],0)</f>
        <v>0</v>
      </c>
      <c r="K681" s="16">
        <f>IF((OR(tbal[[#This Row],[X]]=3,tbal[[#This Row],[X]]=5)),tbal[[#This Row],[DEUDOR]],0)</f>
        <v>0</v>
      </c>
      <c r="L681" s="18">
        <f>IF((OR(tbal[[#This Row],[X]]=3,tbal[[#This Row],[X]]=4)),tbal[[#This Row],[ACREEDOR]],0)</f>
        <v>0</v>
      </c>
      <c r="M681" s="16">
        <f>IF((OR(tbal[[#This Row],[X]]=0,tbal[[#This Row],[X]]=6)),tbal[[#This Row],[DEUDOR]],0)</f>
        <v>0</v>
      </c>
      <c r="N681" s="18">
        <f>IF((OR(tbal[[#This Row],[X]]=0,tbal[[#This Row],[X]]=5)),tbal[[#This Row],[ACREEDOR]],0)</f>
        <v>0</v>
      </c>
    </row>
    <row r="682" spans="1:14" hidden="1" x14ac:dyDescent="0.3">
      <c r="A682" s="14">
        <f>+'PLAN DE CUENTAS'!A682</f>
        <v>0</v>
      </c>
      <c r="B682" s="13">
        <f>+'PLAN DE CUENTAS'!B682</f>
        <v>0</v>
      </c>
      <c r="C682" s="13">
        <f>+'PLAN DE CUENTAS'!C682</f>
        <v>0</v>
      </c>
      <c r="D682" t="str">
        <f>IF(tbal[[#This Row],[DEBE]]+tbal[[#This Row],[HABER]]=0,"","X")</f>
        <v/>
      </c>
      <c r="E682" s="16">
        <f>SUMIF(tdiario[CUENTA],tbal[[#This Row],[CUENTA]],tdiario[DEBE])</f>
        <v>0</v>
      </c>
      <c r="F682" s="17">
        <f>SUMIF(tdiario[CUENTA],tbal[[#This Row],[CUENTA]],tdiario[HABER])</f>
        <v>0</v>
      </c>
      <c r="G682" s="16">
        <f>IF(tbal[[#This Row],[DEBE]]-tbal[[#This Row],[HABER]]&gt;0,tbal[[#This Row],[DEBE]]-tbal[[#This Row],[HABER]],0)</f>
        <v>0</v>
      </c>
      <c r="H682" s="18">
        <f>IF(tbal[[#This Row],[HABER]]-tbal[[#This Row],[DEBE]]&gt;0,tbal[[#This Row],[HABER]]-tbal[[#This Row],[DEBE]],0)</f>
        <v>0</v>
      </c>
      <c r="I682" s="16">
        <f>IF((OR(tbal[[#This Row],[X]]=1,tbal[[#This Row],[X]]=2)),tbal[[#This Row],[DEUDOR]],0)</f>
        <v>0</v>
      </c>
      <c r="J682" s="18">
        <f>IF((OR(tbal[[#This Row],[X]]=2,tbal[[#This Row],[X]]=3)),tbal[[#This Row],[ACREEDOR]],0)</f>
        <v>0</v>
      </c>
      <c r="K682" s="16">
        <f>IF((OR(tbal[[#This Row],[X]]=3,tbal[[#This Row],[X]]=5)),tbal[[#This Row],[DEUDOR]],0)</f>
        <v>0</v>
      </c>
      <c r="L682" s="18">
        <f>IF((OR(tbal[[#This Row],[X]]=3,tbal[[#This Row],[X]]=4)),tbal[[#This Row],[ACREEDOR]],0)</f>
        <v>0</v>
      </c>
      <c r="M682" s="16">
        <f>IF((OR(tbal[[#This Row],[X]]=0,tbal[[#This Row],[X]]=6)),tbal[[#This Row],[DEUDOR]],0)</f>
        <v>0</v>
      </c>
      <c r="N682" s="18">
        <f>IF((OR(tbal[[#This Row],[X]]=0,tbal[[#This Row],[X]]=5)),tbal[[#This Row],[ACREEDOR]],0)</f>
        <v>0</v>
      </c>
    </row>
    <row r="683" spans="1:14" hidden="1" x14ac:dyDescent="0.3">
      <c r="A683" s="14">
        <f>+'PLAN DE CUENTAS'!A683</f>
        <v>0</v>
      </c>
      <c r="B683" s="13">
        <f>+'PLAN DE CUENTAS'!B683</f>
        <v>0</v>
      </c>
      <c r="C683" s="13">
        <f>+'PLAN DE CUENTAS'!C683</f>
        <v>0</v>
      </c>
      <c r="D683" t="str">
        <f>IF(tbal[[#This Row],[DEBE]]+tbal[[#This Row],[HABER]]=0,"","X")</f>
        <v/>
      </c>
      <c r="E683" s="16">
        <f>SUMIF(tdiario[CUENTA],tbal[[#This Row],[CUENTA]],tdiario[DEBE])</f>
        <v>0</v>
      </c>
      <c r="F683" s="17">
        <f>SUMIF(tdiario[CUENTA],tbal[[#This Row],[CUENTA]],tdiario[HABER])</f>
        <v>0</v>
      </c>
      <c r="G683" s="16">
        <f>IF(tbal[[#This Row],[DEBE]]-tbal[[#This Row],[HABER]]&gt;0,tbal[[#This Row],[DEBE]]-tbal[[#This Row],[HABER]],0)</f>
        <v>0</v>
      </c>
      <c r="H683" s="18">
        <f>IF(tbal[[#This Row],[HABER]]-tbal[[#This Row],[DEBE]]&gt;0,tbal[[#This Row],[HABER]]-tbal[[#This Row],[DEBE]],0)</f>
        <v>0</v>
      </c>
      <c r="I683" s="16">
        <f>IF((OR(tbal[[#This Row],[X]]=1,tbal[[#This Row],[X]]=2)),tbal[[#This Row],[DEUDOR]],0)</f>
        <v>0</v>
      </c>
      <c r="J683" s="18">
        <f>IF((OR(tbal[[#This Row],[X]]=2,tbal[[#This Row],[X]]=3)),tbal[[#This Row],[ACREEDOR]],0)</f>
        <v>0</v>
      </c>
      <c r="K683" s="16">
        <f>IF((OR(tbal[[#This Row],[X]]=3,tbal[[#This Row],[X]]=5)),tbal[[#This Row],[DEUDOR]],0)</f>
        <v>0</v>
      </c>
      <c r="L683" s="18">
        <f>IF((OR(tbal[[#This Row],[X]]=3,tbal[[#This Row],[X]]=4)),tbal[[#This Row],[ACREEDOR]],0)</f>
        <v>0</v>
      </c>
      <c r="M683" s="16">
        <f>IF((OR(tbal[[#This Row],[X]]=0,tbal[[#This Row],[X]]=6)),tbal[[#This Row],[DEUDOR]],0)</f>
        <v>0</v>
      </c>
      <c r="N683" s="18">
        <f>IF((OR(tbal[[#This Row],[X]]=0,tbal[[#This Row],[X]]=5)),tbal[[#This Row],[ACREEDOR]],0)</f>
        <v>0</v>
      </c>
    </row>
    <row r="684" spans="1:14" hidden="1" x14ac:dyDescent="0.3">
      <c r="A684" s="14">
        <f>+'PLAN DE CUENTAS'!A684</f>
        <v>0</v>
      </c>
      <c r="B684" s="13">
        <f>+'PLAN DE CUENTAS'!B684</f>
        <v>0</v>
      </c>
      <c r="C684" s="13">
        <f>+'PLAN DE CUENTAS'!C684</f>
        <v>0</v>
      </c>
      <c r="D684" t="str">
        <f>IF(tbal[[#This Row],[DEBE]]+tbal[[#This Row],[HABER]]=0,"","X")</f>
        <v/>
      </c>
      <c r="E684" s="16">
        <f>SUMIF(tdiario[CUENTA],tbal[[#This Row],[CUENTA]],tdiario[DEBE])</f>
        <v>0</v>
      </c>
      <c r="F684" s="17">
        <f>SUMIF(tdiario[CUENTA],tbal[[#This Row],[CUENTA]],tdiario[HABER])</f>
        <v>0</v>
      </c>
      <c r="G684" s="16">
        <f>IF(tbal[[#This Row],[DEBE]]-tbal[[#This Row],[HABER]]&gt;0,tbal[[#This Row],[DEBE]]-tbal[[#This Row],[HABER]],0)</f>
        <v>0</v>
      </c>
      <c r="H684" s="18">
        <f>IF(tbal[[#This Row],[HABER]]-tbal[[#This Row],[DEBE]]&gt;0,tbal[[#This Row],[HABER]]-tbal[[#This Row],[DEBE]],0)</f>
        <v>0</v>
      </c>
      <c r="I684" s="16">
        <f>IF((OR(tbal[[#This Row],[X]]=1,tbal[[#This Row],[X]]=2)),tbal[[#This Row],[DEUDOR]],0)</f>
        <v>0</v>
      </c>
      <c r="J684" s="18">
        <f>IF((OR(tbal[[#This Row],[X]]=2,tbal[[#This Row],[X]]=3)),tbal[[#This Row],[ACREEDOR]],0)</f>
        <v>0</v>
      </c>
      <c r="K684" s="16">
        <f>IF((OR(tbal[[#This Row],[X]]=3,tbal[[#This Row],[X]]=5)),tbal[[#This Row],[DEUDOR]],0)</f>
        <v>0</v>
      </c>
      <c r="L684" s="18">
        <f>IF((OR(tbal[[#This Row],[X]]=3,tbal[[#This Row],[X]]=4)),tbal[[#This Row],[ACREEDOR]],0)</f>
        <v>0</v>
      </c>
      <c r="M684" s="16">
        <f>IF((OR(tbal[[#This Row],[X]]=0,tbal[[#This Row],[X]]=6)),tbal[[#This Row],[DEUDOR]],0)</f>
        <v>0</v>
      </c>
      <c r="N684" s="18">
        <f>IF((OR(tbal[[#This Row],[X]]=0,tbal[[#This Row],[X]]=5)),tbal[[#This Row],[ACREEDOR]],0)</f>
        <v>0</v>
      </c>
    </row>
    <row r="685" spans="1:14" hidden="1" x14ac:dyDescent="0.3">
      <c r="A685" s="14">
        <f>+'PLAN DE CUENTAS'!A685</f>
        <v>0</v>
      </c>
      <c r="B685" s="13">
        <f>+'PLAN DE CUENTAS'!B685</f>
        <v>0</v>
      </c>
      <c r="C685" s="13">
        <f>+'PLAN DE CUENTAS'!C685</f>
        <v>0</v>
      </c>
      <c r="D685" t="str">
        <f>IF(tbal[[#This Row],[DEBE]]+tbal[[#This Row],[HABER]]=0,"","X")</f>
        <v/>
      </c>
      <c r="E685" s="16">
        <f>SUMIF(tdiario[CUENTA],tbal[[#This Row],[CUENTA]],tdiario[DEBE])</f>
        <v>0</v>
      </c>
      <c r="F685" s="17">
        <f>SUMIF(tdiario[CUENTA],tbal[[#This Row],[CUENTA]],tdiario[HABER])</f>
        <v>0</v>
      </c>
      <c r="G685" s="16">
        <f>IF(tbal[[#This Row],[DEBE]]-tbal[[#This Row],[HABER]]&gt;0,tbal[[#This Row],[DEBE]]-tbal[[#This Row],[HABER]],0)</f>
        <v>0</v>
      </c>
      <c r="H685" s="18">
        <f>IF(tbal[[#This Row],[HABER]]-tbal[[#This Row],[DEBE]]&gt;0,tbal[[#This Row],[HABER]]-tbal[[#This Row],[DEBE]],0)</f>
        <v>0</v>
      </c>
      <c r="I685" s="16">
        <f>IF((OR(tbal[[#This Row],[X]]=1,tbal[[#This Row],[X]]=2)),tbal[[#This Row],[DEUDOR]],0)</f>
        <v>0</v>
      </c>
      <c r="J685" s="18">
        <f>IF((OR(tbal[[#This Row],[X]]=2,tbal[[#This Row],[X]]=3)),tbal[[#This Row],[ACREEDOR]],0)</f>
        <v>0</v>
      </c>
      <c r="K685" s="16">
        <f>IF((OR(tbal[[#This Row],[X]]=3,tbal[[#This Row],[X]]=5)),tbal[[#This Row],[DEUDOR]],0)</f>
        <v>0</v>
      </c>
      <c r="L685" s="18">
        <f>IF((OR(tbal[[#This Row],[X]]=3,tbal[[#This Row],[X]]=4)),tbal[[#This Row],[ACREEDOR]],0)</f>
        <v>0</v>
      </c>
      <c r="M685" s="16">
        <f>IF((OR(tbal[[#This Row],[X]]=0,tbal[[#This Row],[X]]=6)),tbal[[#This Row],[DEUDOR]],0)</f>
        <v>0</v>
      </c>
      <c r="N685" s="18">
        <f>IF((OR(tbal[[#This Row],[X]]=0,tbal[[#This Row],[X]]=5)),tbal[[#This Row],[ACREEDOR]],0)</f>
        <v>0</v>
      </c>
    </row>
    <row r="686" spans="1:14" hidden="1" x14ac:dyDescent="0.3">
      <c r="A686" s="14">
        <f>+'PLAN DE CUENTAS'!A686</f>
        <v>0</v>
      </c>
      <c r="B686" s="13">
        <f>+'PLAN DE CUENTAS'!B686</f>
        <v>0</v>
      </c>
      <c r="C686" s="13">
        <f>+'PLAN DE CUENTAS'!C686</f>
        <v>0</v>
      </c>
      <c r="D686" t="str">
        <f>IF(tbal[[#This Row],[DEBE]]+tbal[[#This Row],[HABER]]=0,"","X")</f>
        <v/>
      </c>
      <c r="E686" s="16">
        <f>SUMIF(tdiario[CUENTA],tbal[[#This Row],[CUENTA]],tdiario[DEBE])</f>
        <v>0</v>
      </c>
      <c r="F686" s="17">
        <f>SUMIF(tdiario[CUENTA],tbal[[#This Row],[CUENTA]],tdiario[HABER])</f>
        <v>0</v>
      </c>
      <c r="G686" s="16">
        <f>IF(tbal[[#This Row],[DEBE]]-tbal[[#This Row],[HABER]]&gt;0,tbal[[#This Row],[DEBE]]-tbal[[#This Row],[HABER]],0)</f>
        <v>0</v>
      </c>
      <c r="H686" s="18">
        <f>IF(tbal[[#This Row],[HABER]]-tbal[[#This Row],[DEBE]]&gt;0,tbal[[#This Row],[HABER]]-tbal[[#This Row],[DEBE]],0)</f>
        <v>0</v>
      </c>
      <c r="I686" s="16">
        <f>IF((OR(tbal[[#This Row],[X]]=1,tbal[[#This Row],[X]]=2)),tbal[[#This Row],[DEUDOR]],0)</f>
        <v>0</v>
      </c>
      <c r="J686" s="18">
        <f>IF((OR(tbal[[#This Row],[X]]=2,tbal[[#This Row],[X]]=3)),tbal[[#This Row],[ACREEDOR]],0)</f>
        <v>0</v>
      </c>
      <c r="K686" s="16">
        <f>IF((OR(tbal[[#This Row],[X]]=3,tbal[[#This Row],[X]]=5)),tbal[[#This Row],[DEUDOR]],0)</f>
        <v>0</v>
      </c>
      <c r="L686" s="18">
        <f>IF((OR(tbal[[#This Row],[X]]=3,tbal[[#This Row],[X]]=4)),tbal[[#This Row],[ACREEDOR]],0)</f>
        <v>0</v>
      </c>
      <c r="M686" s="16">
        <f>IF((OR(tbal[[#This Row],[X]]=0,tbal[[#This Row],[X]]=6)),tbal[[#This Row],[DEUDOR]],0)</f>
        <v>0</v>
      </c>
      <c r="N686" s="18">
        <f>IF((OR(tbal[[#This Row],[X]]=0,tbal[[#This Row],[X]]=5)),tbal[[#This Row],[ACREEDOR]],0)</f>
        <v>0</v>
      </c>
    </row>
    <row r="687" spans="1:14" hidden="1" x14ac:dyDescent="0.3">
      <c r="A687" s="14">
        <f>+'PLAN DE CUENTAS'!A687</f>
        <v>0</v>
      </c>
      <c r="B687" s="13">
        <f>+'PLAN DE CUENTAS'!B687</f>
        <v>0</v>
      </c>
      <c r="C687" s="13">
        <f>+'PLAN DE CUENTAS'!C687</f>
        <v>0</v>
      </c>
      <c r="D687" t="str">
        <f>IF(tbal[[#This Row],[DEBE]]+tbal[[#This Row],[HABER]]=0,"","X")</f>
        <v/>
      </c>
      <c r="E687" s="16">
        <f>SUMIF(tdiario[CUENTA],tbal[[#This Row],[CUENTA]],tdiario[DEBE])</f>
        <v>0</v>
      </c>
      <c r="F687" s="17">
        <f>SUMIF(tdiario[CUENTA],tbal[[#This Row],[CUENTA]],tdiario[HABER])</f>
        <v>0</v>
      </c>
      <c r="G687" s="16">
        <f>IF(tbal[[#This Row],[DEBE]]-tbal[[#This Row],[HABER]]&gt;0,tbal[[#This Row],[DEBE]]-tbal[[#This Row],[HABER]],0)</f>
        <v>0</v>
      </c>
      <c r="H687" s="18">
        <f>IF(tbal[[#This Row],[HABER]]-tbal[[#This Row],[DEBE]]&gt;0,tbal[[#This Row],[HABER]]-tbal[[#This Row],[DEBE]],0)</f>
        <v>0</v>
      </c>
      <c r="I687" s="16">
        <f>IF((OR(tbal[[#This Row],[X]]=1,tbal[[#This Row],[X]]=2)),tbal[[#This Row],[DEUDOR]],0)</f>
        <v>0</v>
      </c>
      <c r="J687" s="18">
        <f>IF((OR(tbal[[#This Row],[X]]=2,tbal[[#This Row],[X]]=3)),tbal[[#This Row],[ACREEDOR]],0)</f>
        <v>0</v>
      </c>
      <c r="K687" s="16">
        <f>IF((OR(tbal[[#This Row],[X]]=3,tbal[[#This Row],[X]]=5)),tbal[[#This Row],[DEUDOR]],0)</f>
        <v>0</v>
      </c>
      <c r="L687" s="18">
        <f>IF((OR(tbal[[#This Row],[X]]=3,tbal[[#This Row],[X]]=4)),tbal[[#This Row],[ACREEDOR]],0)</f>
        <v>0</v>
      </c>
      <c r="M687" s="16">
        <f>IF((OR(tbal[[#This Row],[X]]=0,tbal[[#This Row],[X]]=6)),tbal[[#This Row],[DEUDOR]],0)</f>
        <v>0</v>
      </c>
      <c r="N687" s="18">
        <f>IF((OR(tbal[[#This Row],[X]]=0,tbal[[#This Row],[X]]=5)),tbal[[#This Row],[ACREEDOR]],0)</f>
        <v>0</v>
      </c>
    </row>
    <row r="688" spans="1:14" hidden="1" x14ac:dyDescent="0.3">
      <c r="A688" s="14">
        <f>+'PLAN DE CUENTAS'!A688</f>
        <v>0</v>
      </c>
      <c r="B688" s="13">
        <f>+'PLAN DE CUENTAS'!B688</f>
        <v>0</v>
      </c>
      <c r="C688" s="13">
        <f>+'PLAN DE CUENTAS'!C688</f>
        <v>0</v>
      </c>
      <c r="D688" t="str">
        <f>IF(tbal[[#This Row],[DEBE]]+tbal[[#This Row],[HABER]]=0,"","X")</f>
        <v/>
      </c>
      <c r="E688" s="16">
        <f>SUMIF(tdiario[CUENTA],tbal[[#This Row],[CUENTA]],tdiario[DEBE])</f>
        <v>0</v>
      </c>
      <c r="F688" s="17">
        <f>SUMIF(tdiario[CUENTA],tbal[[#This Row],[CUENTA]],tdiario[HABER])</f>
        <v>0</v>
      </c>
      <c r="G688" s="16">
        <f>IF(tbal[[#This Row],[DEBE]]-tbal[[#This Row],[HABER]]&gt;0,tbal[[#This Row],[DEBE]]-tbal[[#This Row],[HABER]],0)</f>
        <v>0</v>
      </c>
      <c r="H688" s="18">
        <f>IF(tbal[[#This Row],[HABER]]-tbal[[#This Row],[DEBE]]&gt;0,tbal[[#This Row],[HABER]]-tbal[[#This Row],[DEBE]],0)</f>
        <v>0</v>
      </c>
      <c r="I688" s="16">
        <f>IF((OR(tbal[[#This Row],[X]]=1,tbal[[#This Row],[X]]=2)),tbal[[#This Row],[DEUDOR]],0)</f>
        <v>0</v>
      </c>
      <c r="J688" s="18">
        <f>IF((OR(tbal[[#This Row],[X]]=2,tbal[[#This Row],[X]]=3)),tbal[[#This Row],[ACREEDOR]],0)</f>
        <v>0</v>
      </c>
      <c r="K688" s="16">
        <f>IF((OR(tbal[[#This Row],[X]]=3,tbal[[#This Row],[X]]=5)),tbal[[#This Row],[DEUDOR]],0)</f>
        <v>0</v>
      </c>
      <c r="L688" s="18">
        <f>IF((OR(tbal[[#This Row],[X]]=3,tbal[[#This Row],[X]]=4)),tbal[[#This Row],[ACREEDOR]],0)</f>
        <v>0</v>
      </c>
      <c r="M688" s="16">
        <f>IF((OR(tbal[[#This Row],[X]]=0,tbal[[#This Row],[X]]=6)),tbal[[#This Row],[DEUDOR]],0)</f>
        <v>0</v>
      </c>
      <c r="N688" s="18">
        <f>IF((OR(tbal[[#This Row],[X]]=0,tbal[[#This Row],[X]]=5)),tbal[[#This Row],[ACREEDOR]],0)</f>
        <v>0</v>
      </c>
    </row>
    <row r="689" spans="1:14" hidden="1" x14ac:dyDescent="0.3">
      <c r="A689" s="14">
        <f>+'PLAN DE CUENTAS'!A689</f>
        <v>0</v>
      </c>
      <c r="B689" s="13">
        <f>+'PLAN DE CUENTAS'!B689</f>
        <v>0</v>
      </c>
      <c r="C689" s="13">
        <f>+'PLAN DE CUENTAS'!C689</f>
        <v>0</v>
      </c>
      <c r="D689" t="str">
        <f>IF(tbal[[#This Row],[DEBE]]+tbal[[#This Row],[HABER]]=0,"","X")</f>
        <v/>
      </c>
      <c r="E689" s="16">
        <f>SUMIF(tdiario[CUENTA],tbal[[#This Row],[CUENTA]],tdiario[DEBE])</f>
        <v>0</v>
      </c>
      <c r="F689" s="17">
        <f>SUMIF(tdiario[CUENTA],tbal[[#This Row],[CUENTA]],tdiario[HABER])</f>
        <v>0</v>
      </c>
      <c r="G689" s="16">
        <f>IF(tbal[[#This Row],[DEBE]]-tbal[[#This Row],[HABER]]&gt;0,tbal[[#This Row],[DEBE]]-tbal[[#This Row],[HABER]],0)</f>
        <v>0</v>
      </c>
      <c r="H689" s="18">
        <f>IF(tbal[[#This Row],[HABER]]-tbal[[#This Row],[DEBE]]&gt;0,tbal[[#This Row],[HABER]]-tbal[[#This Row],[DEBE]],0)</f>
        <v>0</v>
      </c>
      <c r="I689" s="16">
        <f>IF((OR(tbal[[#This Row],[X]]=1,tbal[[#This Row],[X]]=2)),tbal[[#This Row],[DEUDOR]],0)</f>
        <v>0</v>
      </c>
      <c r="J689" s="18">
        <f>IF((OR(tbal[[#This Row],[X]]=2,tbal[[#This Row],[X]]=3)),tbal[[#This Row],[ACREEDOR]],0)</f>
        <v>0</v>
      </c>
      <c r="K689" s="16">
        <f>IF((OR(tbal[[#This Row],[X]]=3,tbal[[#This Row],[X]]=5)),tbal[[#This Row],[DEUDOR]],0)</f>
        <v>0</v>
      </c>
      <c r="L689" s="18">
        <f>IF((OR(tbal[[#This Row],[X]]=3,tbal[[#This Row],[X]]=4)),tbal[[#This Row],[ACREEDOR]],0)</f>
        <v>0</v>
      </c>
      <c r="M689" s="16">
        <f>IF((OR(tbal[[#This Row],[X]]=0,tbal[[#This Row],[X]]=6)),tbal[[#This Row],[DEUDOR]],0)</f>
        <v>0</v>
      </c>
      <c r="N689" s="18">
        <f>IF((OR(tbal[[#This Row],[X]]=0,tbal[[#This Row],[X]]=5)),tbal[[#This Row],[ACREEDOR]],0)</f>
        <v>0</v>
      </c>
    </row>
    <row r="690" spans="1:14" hidden="1" x14ac:dyDescent="0.3">
      <c r="A690" s="14">
        <f>+'PLAN DE CUENTAS'!A690</f>
        <v>0</v>
      </c>
      <c r="B690" s="13">
        <f>+'PLAN DE CUENTAS'!B690</f>
        <v>0</v>
      </c>
      <c r="C690" s="13">
        <f>+'PLAN DE CUENTAS'!C690</f>
        <v>0</v>
      </c>
      <c r="D690" t="str">
        <f>IF(tbal[[#This Row],[DEBE]]+tbal[[#This Row],[HABER]]=0,"","X")</f>
        <v/>
      </c>
      <c r="E690" s="16">
        <f>SUMIF(tdiario[CUENTA],tbal[[#This Row],[CUENTA]],tdiario[DEBE])</f>
        <v>0</v>
      </c>
      <c r="F690" s="17">
        <f>SUMIF(tdiario[CUENTA],tbal[[#This Row],[CUENTA]],tdiario[HABER])</f>
        <v>0</v>
      </c>
      <c r="G690" s="16">
        <f>IF(tbal[[#This Row],[DEBE]]-tbal[[#This Row],[HABER]]&gt;0,tbal[[#This Row],[DEBE]]-tbal[[#This Row],[HABER]],0)</f>
        <v>0</v>
      </c>
      <c r="H690" s="18">
        <f>IF(tbal[[#This Row],[HABER]]-tbal[[#This Row],[DEBE]]&gt;0,tbal[[#This Row],[HABER]]-tbal[[#This Row],[DEBE]],0)</f>
        <v>0</v>
      </c>
      <c r="I690" s="16">
        <f>IF((OR(tbal[[#This Row],[X]]=1,tbal[[#This Row],[X]]=2)),tbal[[#This Row],[DEUDOR]],0)</f>
        <v>0</v>
      </c>
      <c r="J690" s="18">
        <f>IF((OR(tbal[[#This Row],[X]]=2,tbal[[#This Row],[X]]=3)),tbal[[#This Row],[ACREEDOR]],0)</f>
        <v>0</v>
      </c>
      <c r="K690" s="16">
        <f>IF((OR(tbal[[#This Row],[X]]=3,tbal[[#This Row],[X]]=5)),tbal[[#This Row],[DEUDOR]],0)</f>
        <v>0</v>
      </c>
      <c r="L690" s="18">
        <f>IF((OR(tbal[[#This Row],[X]]=3,tbal[[#This Row],[X]]=4)),tbal[[#This Row],[ACREEDOR]],0)</f>
        <v>0</v>
      </c>
      <c r="M690" s="16">
        <f>IF((OR(tbal[[#This Row],[X]]=0,tbal[[#This Row],[X]]=6)),tbal[[#This Row],[DEUDOR]],0)</f>
        <v>0</v>
      </c>
      <c r="N690" s="18">
        <f>IF((OR(tbal[[#This Row],[X]]=0,tbal[[#This Row],[X]]=5)),tbal[[#This Row],[ACREEDOR]],0)</f>
        <v>0</v>
      </c>
    </row>
    <row r="691" spans="1:14" hidden="1" x14ac:dyDescent="0.3">
      <c r="A691" s="14">
        <f>+'PLAN DE CUENTAS'!A691</f>
        <v>0</v>
      </c>
      <c r="B691" s="13">
        <f>+'PLAN DE CUENTAS'!B691</f>
        <v>0</v>
      </c>
      <c r="C691" s="13">
        <f>+'PLAN DE CUENTAS'!C691</f>
        <v>0</v>
      </c>
      <c r="D691" t="str">
        <f>IF(tbal[[#This Row],[DEBE]]+tbal[[#This Row],[HABER]]=0,"","X")</f>
        <v/>
      </c>
      <c r="E691" s="16">
        <f>SUMIF(tdiario[CUENTA],tbal[[#This Row],[CUENTA]],tdiario[DEBE])</f>
        <v>0</v>
      </c>
      <c r="F691" s="17">
        <f>SUMIF(tdiario[CUENTA],tbal[[#This Row],[CUENTA]],tdiario[HABER])</f>
        <v>0</v>
      </c>
      <c r="G691" s="16">
        <f>IF(tbal[[#This Row],[DEBE]]-tbal[[#This Row],[HABER]]&gt;0,tbal[[#This Row],[DEBE]]-tbal[[#This Row],[HABER]],0)</f>
        <v>0</v>
      </c>
      <c r="H691" s="18">
        <f>IF(tbal[[#This Row],[HABER]]-tbal[[#This Row],[DEBE]]&gt;0,tbal[[#This Row],[HABER]]-tbal[[#This Row],[DEBE]],0)</f>
        <v>0</v>
      </c>
      <c r="I691" s="16">
        <f>IF((OR(tbal[[#This Row],[X]]=1,tbal[[#This Row],[X]]=2)),tbal[[#This Row],[DEUDOR]],0)</f>
        <v>0</v>
      </c>
      <c r="J691" s="18">
        <f>IF((OR(tbal[[#This Row],[X]]=2,tbal[[#This Row],[X]]=3)),tbal[[#This Row],[ACREEDOR]],0)</f>
        <v>0</v>
      </c>
      <c r="K691" s="16">
        <f>IF((OR(tbal[[#This Row],[X]]=3,tbal[[#This Row],[X]]=5)),tbal[[#This Row],[DEUDOR]],0)</f>
        <v>0</v>
      </c>
      <c r="L691" s="18">
        <f>IF((OR(tbal[[#This Row],[X]]=3,tbal[[#This Row],[X]]=4)),tbal[[#This Row],[ACREEDOR]],0)</f>
        <v>0</v>
      </c>
      <c r="M691" s="16">
        <f>IF((OR(tbal[[#This Row],[X]]=0,tbal[[#This Row],[X]]=6)),tbal[[#This Row],[DEUDOR]],0)</f>
        <v>0</v>
      </c>
      <c r="N691" s="18">
        <f>IF((OR(tbal[[#This Row],[X]]=0,tbal[[#This Row],[X]]=5)),tbal[[#This Row],[ACREEDOR]],0)</f>
        <v>0</v>
      </c>
    </row>
    <row r="692" spans="1:14" hidden="1" x14ac:dyDescent="0.3">
      <c r="A692" s="14">
        <f>+'PLAN DE CUENTAS'!A692</f>
        <v>0</v>
      </c>
      <c r="B692" s="13">
        <f>+'PLAN DE CUENTAS'!B692</f>
        <v>0</v>
      </c>
      <c r="C692" s="13">
        <f>+'PLAN DE CUENTAS'!C692</f>
        <v>0</v>
      </c>
      <c r="D692" t="str">
        <f>IF(tbal[[#This Row],[DEBE]]+tbal[[#This Row],[HABER]]=0,"","X")</f>
        <v/>
      </c>
      <c r="E692" s="16">
        <f>SUMIF(tdiario[CUENTA],tbal[[#This Row],[CUENTA]],tdiario[DEBE])</f>
        <v>0</v>
      </c>
      <c r="F692" s="17">
        <f>SUMIF(tdiario[CUENTA],tbal[[#This Row],[CUENTA]],tdiario[HABER])</f>
        <v>0</v>
      </c>
      <c r="G692" s="16">
        <f>IF(tbal[[#This Row],[DEBE]]-tbal[[#This Row],[HABER]]&gt;0,tbal[[#This Row],[DEBE]]-tbal[[#This Row],[HABER]],0)</f>
        <v>0</v>
      </c>
      <c r="H692" s="18">
        <f>IF(tbal[[#This Row],[HABER]]-tbal[[#This Row],[DEBE]]&gt;0,tbal[[#This Row],[HABER]]-tbal[[#This Row],[DEBE]],0)</f>
        <v>0</v>
      </c>
      <c r="I692" s="16">
        <f>IF((OR(tbal[[#This Row],[X]]=1,tbal[[#This Row],[X]]=2)),tbal[[#This Row],[DEUDOR]],0)</f>
        <v>0</v>
      </c>
      <c r="J692" s="18">
        <f>IF((OR(tbal[[#This Row],[X]]=2,tbal[[#This Row],[X]]=3)),tbal[[#This Row],[ACREEDOR]],0)</f>
        <v>0</v>
      </c>
      <c r="K692" s="16">
        <f>IF((OR(tbal[[#This Row],[X]]=3,tbal[[#This Row],[X]]=5)),tbal[[#This Row],[DEUDOR]],0)</f>
        <v>0</v>
      </c>
      <c r="L692" s="18">
        <f>IF((OR(tbal[[#This Row],[X]]=3,tbal[[#This Row],[X]]=4)),tbal[[#This Row],[ACREEDOR]],0)</f>
        <v>0</v>
      </c>
      <c r="M692" s="16">
        <f>IF((OR(tbal[[#This Row],[X]]=0,tbal[[#This Row],[X]]=6)),tbal[[#This Row],[DEUDOR]],0)</f>
        <v>0</v>
      </c>
      <c r="N692" s="18">
        <f>IF((OR(tbal[[#This Row],[X]]=0,tbal[[#This Row],[X]]=5)),tbal[[#This Row],[ACREEDOR]],0)</f>
        <v>0</v>
      </c>
    </row>
    <row r="693" spans="1:14" hidden="1" x14ac:dyDescent="0.3">
      <c r="A693" s="14">
        <f>+'PLAN DE CUENTAS'!A693</f>
        <v>0</v>
      </c>
      <c r="B693" s="13">
        <f>+'PLAN DE CUENTAS'!B693</f>
        <v>0</v>
      </c>
      <c r="C693" s="13">
        <f>+'PLAN DE CUENTAS'!C693</f>
        <v>0</v>
      </c>
      <c r="D693" t="str">
        <f>IF(tbal[[#This Row],[DEBE]]+tbal[[#This Row],[HABER]]=0,"","X")</f>
        <v/>
      </c>
      <c r="E693" s="16">
        <f>SUMIF(tdiario[CUENTA],tbal[[#This Row],[CUENTA]],tdiario[DEBE])</f>
        <v>0</v>
      </c>
      <c r="F693" s="17">
        <f>SUMIF(tdiario[CUENTA],tbal[[#This Row],[CUENTA]],tdiario[HABER])</f>
        <v>0</v>
      </c>
      <c r="G693" s="16">
        <f>IF(tbal[[#This Row],[DEBE]]-tbal[[#This Row],[HABER]]&gt;0,tbal[[#This Row],[DEBE]]-tbal[[#This Row],[HABER]],0)</f>
        <v>0</v>
      </c>
      <c r="H693" s="18">
        <f>IF(tbal[[#This Row],[HABER]]-tbal[[#This Row],[DEBE]]&gt;0,tbal[[#This Row],[HABER]]-tbal[[#This Row],[DEBE]],0)</f>
        <v>0</v>
      </c>
      <c r="I693" s="16">
        <f>IF((OR(tbal[[#This Row],[X]]=1,tbal[[#This Row],[X]]=2)),tbal[[#This Row],[DEUDOR]],0)</f>
        <v>0</v>
      </c>
      <c r="J693" s="18">
        <f>IF((OR(tbal[[#This Row],[X]]=2,tbal[[#This Row],[X]]=3)),tbal[[#This Row],[ACREEDOR]],0)</f>
        <v>0</v>
      </c>
      <c r="K693" s="16">
        <f>IF((OR(tbal[[#This Row],[X]]=3,tbal[[#This Row],[X]]=5)),tbal[[#This Row],[DEUDOR]],0)</f>
        <v>0</v>
      </c>
      <c r="L693" s="18">
        <f>IF((OR(tbal[[#This Row],[X]]=3,tbal[[#This Row],[X]]=4)),tbal[[#This Row],[ACREEDOR]],0)</f>
        <v>0</v>
      </c>
      <c r="M693" s="16">
        <f>IF((OR(tbal[[#This Row],[X]]=0,tbal[[#This Row],[X]]=6)),tbal[[#This Row],[DEUDOR]],0)</f>
        <v>0</v>
      </c>
      <c r="N693" s="18">
        <f>IF((OR(tbal[[#This Row],[X]]=0,tbal[[#This Row],[X]]=5)),tbal[[#This Row],[ACREEDOR]],0)</f>
        <v>0</v>
      </c>
    </row>
    <row r="694" spans="1:14" hidden="1" x14ac:dyDescent="0.3">
      <c r="A694" s="14">
        <f>+'PLAN DE CUENTAS'!A694</f>
        <v>0</v>
      </c>
      <c r="B694" s="13">
        <f>+'PLAN DE CUENTAS'!B694</f>
        <v>0</v>
      </c>
      <c r="C694" s="13">
        <f>+'PLAN DE CUENTAS'!C694</f>
        <v>0</v>
      </c>
      <c r="D694" t="str">
        <f>IF(tbal[[#This Row],[DEBE]]+tbal[[#This Row],[HABER]]=0,"","X")</f>
        <v/>
      </c>
      <c r="E694" s="16">
        <f>SUMIF(tdiario[CUENTA],tbal[[#This Row],[CUENTA]],tdiario[DEBE])</f>
        <v>0</v>
      </c>
      <c r="F694" s="17">
        <f>SUMIF(tdiario[CUENTA],tbal[[#This Row],[CUENTA]],tdiario[HABER])</f>
        <v>0</v>
      </c>
      <c r="G694" s="16">
        <f>IF(tbal[[#This Row],[DEBE]]-tbal[[#This Row],[HABER]]&gt;0,tbal[[#This Row],[DEBE]]-tbal[[#This Row],[HABER]],0)</f>
        <v>0</v>
      </c>
      <c r="H694" s="18">
        <f>IF(tbal[[#This Row],[HABER]]-tbal[[#This Row],[DEBE]]&gt;0,tbal[[#This Row],[HABER]]-tbal[[#This Row],[DEBE]],0)</f>
        <v>0</v>
      </c>
      <c r="I694" s="16">
        <f>IF((OR(tbal[[#This Row],[X]]=1,tbal[[#This Row],[X]]=2)),tbal[[#This Row],[DEUDOR]],0)</f>
        <v>0</v>
      </c>
      <c r="J694" s="18">
        <f>IF((OR(tbal[[#This Row],[X]]=2,tbal[[#This Row],[X]]=3)),tbal[[#This Row],[ACREEDOR]],0)</f>
        <v>0</v>
      </c>
      <c r="K694" s="16">
        <f>IF((OR(tbal[[#This Row],[X]]=3,tbal[[#This Row],[X]]=5)),tbal[[#This Row],[DEUDOR]],0)</f>
        <v>0</v>
      </c>
      <c r="L694" s="18">
        <f>IF((OR(tbal[[#This Row],[X]]=3,tbal[[#This Row],[X]]=4)),tbal[[#This Row],[ACREEDOR]],0)</f>
        <v>0</v>
      </c>
      <c r="M694" s="16">
        <f>IF((OR(tbal[[#This Row],[X]]=0,tbal[[#This Row],[X]]=6)),tbal[[#This Row],[DEUDOR]],0)</f>
        <v>0</v>
      </c>
      <c r="N694" s="18">
        <f>IF((OR(tbal[[#This Row],[X]]=0,tbal[[#This Row],[X]]=5)),tbal[[#This Row],[ACREEDOR]],0)</f>
        <v>0</v>
      </c>
    </row>
    <row r="695" spans="1:14" hidden="1" x14ac:dyDescent="0.3">
      <c r="A695" s="14">
        <f>+'PLAN DE CUENTAS'!A695</f>
        <v>0</v>
      </c>
      <c r="B695" s="13">
        <f>+'PLAN DE CUENTAS'!B695</f>
        <v>0</v>
      </c>
      <c r="C695" s="13">
        <f>+'PLAN DE CUENTAS'!C695</f>
        <v>0</v>
      </c>
      <c r="D695" t="str">
        <f>IF(tbal[[#This Row],[DEBE]]+tbal[[#This Row],[HABER]]=0,"","X")</f>
        <v/>
      </c>
      <c r="E695" s="16">
        <f>SUMIF(tdiario[CUENTA],tbal[[#This Row],[CUENTA]],tdiario[DEBE])</f>
        <v>0</v>
      </c>
      <c r="F695" s="17">
        <f>SUMIF(tdiario[CUENTA],tbal[[#This Row],[CUENTA]],tdiario[HABER])</f>
        <v>0</v>
      </c>
      <c r="G695" s="16">
        <f>IF(tbal[[#This Row],[DEBE]]-tbal[[#This Row],[HABER]]&gt;0,tbal[[#This Row],[DEBE]]-tbal[[#This Row],[HABER]],0)</f>
        <v>0</v>
      </c>
      <c r="H695" s="18">
        <f>IF(tbal[[#This Row],[HABER]]-tbal[[#This Row],[DEBE]]&gt;0,tbal[[#This Row],[HABER]]-tbal[[#This Row],[DEBE]],0)</f>
        <v>0</v>
      </c>
      <c r="I695" s="16">
        <f>IF((OR(tbal[[#This Row],[X]]=1,tbal[[#This Row],[X]]=2)),tbal[[#This Row],[DEUDOR]],0)</f>
        <v>0</v>
      </c>
      <c r="J695" s="18">
        <f>IF((OR(tbal[[#This Row],[X]]=2,tbal[[#This Row],[X]]=3)),tbal[[#This Row],[ACREEDOR]],0)</f>
        <v>0</v>
      </c>
      <c r="K695" s="16">
        <f>IF((OR(tbal[[#This Row],[X]]=3,tbal[[#This Row],[X]]=5)),tbal[[#This Row],[DEUDOR]],0)</f>
        <v>0</v>
      </c>
      <c r="L695" s="18">
        <f>IF((OR(tbal[[#This Row],[X]]=3,tbal[[#This Row],[X]]=4)),tbal[[#This Row],[ACREEDOR]],0)</f>
        <v>0</v>
      </c>
      <c r="M695" s="16">
        <f>IF((OR(tbal[[#This Row],[X]]=0,tbal[[#This Row],[X]]=6)),tbal[[#This Row],[DEUDOR]],0)</f>
        <v>0</v>
      </c>
      <c r="N695" s="18">
        <f>IF((OR(tbal[[#This Row],[X]]=0,tbal[[#This Row],[X]]=5)),tbal[[#This Row],[ACREEDOR]],0)</f>
        <v>0</v>
      </c>
    </row>
    <row r="696" spans="1:14" hidden="1" x14ac:dyDescent="0.3">
      <c r="A696" s="14">
        <f>+'PLAN DE CUENTAS'!A696</f>
        <v>0</v>
      </c>
      <c r="B696" s="13">
        <f>+'PLAN DE CUENTAS'!B696</f>
        <v>0</v>
      </c>
      <c r="C696" s="13">
        <f>+'PLAN DE CUENTAS'!C696</f>
        <v>0</v>
      </c>
      <c r="D696" t="str">
        <f>IF(tbal[[#This Row],[DEBE]]+tbal[[#This Row],[HABER]]=0,"","X")</f>
        <v/>
      </c>
      <c r="E696" s="16">
        <f>SUMIF(tdiario[CUENTA],tbal[[#This Row],[CUENTA]],tdiario[DEBE])</f>
        <v>0</v>
      </c>
      <c r="F696" s="17">
        <f>SUMIF(tdiario[CUENTA],tbal[[#This Row],[CUENTA]],tdiario[HABER])</f>
        <v>0</v>
      </c>
      <c r="G696" s="16">
        <f>IF(tbal[[#This Row],[DEBE]]-tbal[[#This Row],[HABER]]&gt;0,tbal[[#This Row],[DEBE]]-tbal[[#This Row],[HABER]],0)</f>
        <v>0</v>
      </c>
      <c r="H696" s="18">
        <f>IF(tbal[[#This Row],[HABER]]-tbal[[#This Row],[DEBE]]&gt;0,tbal[[#This Row],[HABER]]-tbal[[#This Row],[DEBE]],0)</f>
        <v>0</v>
      </c>
      <c r="I696" s="16">
        <f>IF((OR(tbal[[#This Row],[X]]=1,tbal[[#This Row],[X]]=2)),tbal[[#This Row],[DEUDOR]],0)</f>
        <v>0</v>
      </c>
      <c r="J696" s="18">
        <f>IF((OR(tbal[[#This Row],[X]]=2,tbal[[#This Row],[X]]=3)),tbal[[#This Row],[ACREEDOR]],0)</f>
        <v>0</v>
      </c>
      <c r="K696" s="16">
        <f>IF((OR(tbal[[#This Row],[X]]=3,tbal[[#This Row],[X]]=5)),tbal[[#This Row],[DEUDOR]],0)</f>
        <v>0</v>
      </c>
      <c r="L696" s="18">
        <f>IF((OR(tbal[[#This Row],[X]]=3,tbal[[#This Row],[X]]=4)),tbal[[#This Row],[ACREEDOR]],0)</f>
        <v>0</v>
      </c>
      <c r="M696" s="16">
        <f>IF((OR(tbal[[#This Row],[X]]=0,tbal[[#This Row],[X]]=6)),tbal[[#This Row],[DEUDOR]],0)</f>
        <v>0</v>
      </c>
      <c r="N696" s="18">
        <f>IF((OR(tbal[[#This Row],[X]]=0,tbal[[#This Row],[X]]=5)),tbal[[#This Row],[ACREEDOR]],0)</f>
        <v>0</v>
      </c>
    </row>
    <row r="697" spans="1:14" hidden="1" x14ac:dyDescent="0.3">
      <c r="A697" s="14">
        <f>+'PLAN DE CUENTAS'!A697</f>
        <v>0</v>
      </c>
      <c r="B697" s="13">
        <f>+'PLAN DE CUENTAS'!B697</f>
        <v>0</v>
      </c>
      <c r="C697" s="13">
        <f>+'PLAN DE CUENTAS'!C697</f>
        <v>0</v>
      </c>
      <c r="D697" t="str">
        <f>IF(tbal[[#This Row],[DEBE]]+tbal[[#This Row],[HABER]]=0,"","X")</f>
        <v/>
      </c>
      <c r="E697" s="16">
        <f>SUMIF(tdiario[CUENTA],tbal[[#This Row],[CUENTA]],tdiario[DEBE])</f>
        <v>0</v>
      </c>
      <c r="F697" s="17">
        <f>SUMIF(tdiario[CUENTA],tbal[[#This Row],[CUENTA]],tdiario[HABER])</f>
        <v>0</v>
      </c>
      <c r="G697" s="16">
        <f>IF(tbal[[#This Row],[DEBE]]-tbal[[#This Row],[HABER]]&gt;0,tbal[[#This Row],[DEBE]]-tbal[[#This Row],[HABER]],0)</f>
        <v>0</v>
      </c>
      <c r="H697" s="18">
        <f>IF(tbal[[#This Row],[HABER]]-tbal[[#This Row],[DEBE]]&gt;0,tbal[[#This Row],[HABER]]-tbal[[#This Row],[DEBE]],0)</f>
        <v>0</v>
      </c>
      <c r="I697" s="16">
        <f>IF((OR(tbal[[#This Row],[X]]=1,tbal[[#This Row],[X]]=2)),tbal[[#This Row],[DEUDOR]],0)</f>
        <v>0</v>
      </c>
      <c r="J697" s="18">
        <f>IF((OR(tbal[[#This Row],[X]]=2,tbal[[#This Row],[X]]=3)),tbal[[#This Row],[ACREEDOR]],0)</f>
        <v>0</v>
      </c>
      <c r="K697" s="16">
        <f>IF((OR(tbal[[#This Row],[X]]=3,tbal[[#This Row],[X]]=5)),tbal[[#This Row],[DEUDOR]],0)</f>
        <v>0</v>
      </c>
      <c r="L697" s="18">
        <f>IF((OR(tbal[[#This Row],[X]]=3,tbal[[#This Row],[X]]=4)),tbal[[#This Row],[ACREEDOR]],0)</f>
        <v>0</v>
      </c>
      <c r="M697" s="16">
        <f>IF((OR(tbal[[#This Row],[X]]=0,tbal[[#This Row],[X]]=6)),tbal[[#This Row],[DEUDOR]],0)</f>
        <v>0</v>
      </c>
      <c r="N697" s="18">
        <f>IF((OR(tbal[[#This Row],[X]]=0,tbal[[#This Row],[X]]=5)),tbal[[#This Row],[ACREEDOR]],0)</f>
        <v>0</v>
      </c>
    </row>
    <row r="698" spans="1:14" hidden="1" x14ac:dyDescent="0.3">
      <c r="A698" s="14">
        <f>+'PLAN DE CUENTAS'!A698</f>
        <v>0</v>
      </c>
      <c r="B698" s="13">
        <f>+'PLAN DE CUENTAS'!B698</f>
        <v>0</v>
      </c>
      <c r="C698" s="13">
        <f>+'PLAN DE CUENTAS'!C698</f>
        <v>0</v>
      </c>
      <c r="D698" t="str">
        <f>IF(tbal[[#This Row],[DEBE]]+tbal[[#This Row],[HABER]]=0,"","X")</f>
        <v/>
      </c>
      <c r="E698" s="16">
        <f>SUMIF(tdiario[CUENTA],tbal[[#This Row],[CUENTA]],tdiario[DEBE])</f>
        <v>0</v>
      </c>
      <c r="F698" s="17">
        <f>SUMIF(tdiario[CUENTA],tbal[[#This Row],[CUENTA]],tdiario[HABER])</f>
        <v>0</v>
      </c>
      <c r="G698" s="16">
        <f>IF(tbal[[#This Row],[DEBE]]-tbal[[#This Row],[HABER]]&gt;0,tbal[[#This Row],[DEBE]]-tbal[[#This Row],[HABER]],0)</f>
        <v>0</v>
      </c>
      <c r="H698" s="18">
        <f>IF(tbal[[#This Row],[HABER]]-tbal[[#This Row],[DEBE]]&gt;0,tbal[[#This Row],[HABER]]-tbal[[#This Row],[DEBE]],0)</f>
        <v>0</v>
      </c>
      <c r="I698" s="16">
        <f>IF((OR(tbal[[#This Row],[X]]=1,tbal[[#This Row],[X]]=2)),tbal[[#This Row],[DEUDOR]],0)</f>
        <v>0</v>
      </c>
      <c r="J698" s="18">
        <f>IF((OR(tbal[[#This Row],[X]]=2,tbal[[#This Row],[X]]=3)),tbal[[#This Row],[ACREEDOR]],0)</f>
        <v>0</v>
      </c>
      <c r="K698" s="16">
        <f>IF((OR(tbal[[#This Row],[X]]=3,tbal[[#This Row],[X]]=5)),tbal[[#This Row],[DEUDOR]],0)</f>
        <v>0</v>
      </c>
      <c r="L698" s="18">
        <f>IF((OR(tbal[[#This Row],[X]]=3,tbal[[#This Row],[X]]=4)),tbal[[#This Row],[ACREEDOR]],0)</f>
        <v>0</v>
      </c>
      <c r="M698" s="16">
        <f>IF((OR(tbal[[#This Row],[X]]=0,tbal[[#This Row],[X]]=6)),tbal[[#This Row],[DEUDOR]],0)</f>
        <v>0</v>
      </c>
      <c r="N698" s="18">
        <f>IF((OR(tbal[[#This Row],[X]]=0,tbal[[#This Row],[X]]=5)),tbal[[#This Row],[ACREEDOR]],0)</f>
        <v>0</v>
      </c>
    </row>
    <row r="699" spans="1:14" hidden="1" x14ac:dyDescent="0.3">
      <c r="A699" s="14">
        <f>+'PLAN DE CUENTAS'!A699</f>
        <v>0</v>
      </c>
      <c r="B699" s="13">
        <f>+'PLAN DE CUENTAS'!B699</f>
        <v>0</v>
      </c>
      <c r="C699" s="13">
        <f>+'PLAN DE CUENTAS'!C699</f>
        <v>0</v>
      </c>
      <c r="D699" t="str">
        <f>IF(tbal[[#This Row],[DEBE]]+tbal[[#This Row],[HABER]]=0,"","X")</f>
        <v/>
      </c>
      <c r="E699" s="16">
        <f>SUMIF(tdiario[CUENTA],tbal[[#This Row],[CUENTA]],tdiario[DEBE])</f>
        <v>0</v>
      </c>
      <c r="F699" s="17">
        <f>SUMIF(tdiario[CUENTA],tbal[[#This Row],[CUENTA]],tdiario[HABER])</f>
        <v>0</v>
      </c>
      <c r="G699" s="16">
        <f>IF(tbal[[#This Row],[DEBE]]-tbal[[#This Row],[HABER]]&gt;0,tbal[[#This Row],[DEBE]]-tbal[[#This Row],[HABER]],0)</f>
        <v>0</v>
      </c>
      <c r="H699" s="18">
        <f>IF(tbal[[#This Row],[HABER]]-tbal[[#This Row],[DEBE]]&gt;0,tbal[[#This Row],[HABER]]-tbal[[#This Row],[DEBE]],0)</f>
        <v>0</v>
      </c>
      <c r="I699" s="16">
        <f>IF((OR(tbal[[#This Row],[X]]=1,tbal[[#This Row],[X]]=2)),tbal[[#This Row],[DEUDOR]],0)</f>
        <v>0</v>
      </c>
      <c r="J699" s="18">
        <f>IF((OR(tbal[[#This Row],[X]]=2,tbal[[#This Row],[X]]=3)),tbal[[#This Row],[ACREEDOR]],0)</f>
        <v>0</v>
      </c>
      <c r="K699" s="16">
        <f>IF((OR(tbal[[#This Row],[X]]=3,tbal[[#This Row],[X]]=5)),tbal[[#This Row],[DEUDOR]],0)</f>
        <v>0</v>
      </c>
      <c r="L699" s="18">
        <f>IF((OR(tbal[[#This Row],[X]]=3,tbal[[#This Row],[X]]=4)),tbal[[#This Row],[ACREEDOR]],0)</f>
        <v>0</v>
      </c>
      <c r="M699" s="16">
        <f>IF((OR(tbal[[#This Row],[X]]=0,tbal[[#This Row],[X]]=6)),tbal[[#This Row],[DEUDOR]],0)</f>
        <v>0</v>
      </c>
      <c r="N699" s="18">
        <f>IF((OR(tbal[[#This Row],[X]]=0,tbal[[#This Row],[X]]=5)),tbal[[#This Row],[ACREEDOR]],0)</f>
        <v>0</v>
      </c>
    </row>
    <row r="700" spans="1:14" hidden="1" x14ac:dyDescent="0.3">
      <c r="A700" s="14">
        <f>+'PLAN DE CUENTAS'!A700</f>
        <v>0</v>
      </c>
      <c r="B700" s="13">
        <f>+'PLAN DE CUENTAS'!B700</f>
        <v>0</v>
      </c>
      <c r="C700" s="13">
        <f>+'PLAN DE CUENTAS'!C700</f>
        <v>0</v>
      </c>
      <c r="D700" t="str">
        <f>IF(tbal[[#This Row],[DEBE]]+tbal[[#This Row],[HABER]]=0,"","X")</f>
        <v/>
      </c>
      <c r="E700" s="16">
        <f>SUMIF(tdiario[CUENTA],tbal[[#This Row],[CUENTA]],tdiario[DEBE])</f>
        <v>0</v>
      </c>
      <c r="F700" s="17">
        <f>SUMIF(tdiario[CUENTA],tbal[[#This Row],[CUENTA]],tdiario[HABER])</f>
        <v>0</v>
      </c>
      <c r="G700" s="16">
        <f>IF(tbal[[#This Row],[DEBE]]-tbal[[#This Row],[HABER]]&gt;0,tbal[[#This Row],[DEBE]]-tbal[[#This Row],[HABER]],0)</f>
        <v>0</v>
      </c>
      <c r="H700" s="18">
        <f>IF(tbal[[#This Row],[HABER]]-tbal[[#This Row],[DEBE]]&gt;0,tbal[[#This Row],[HABER]]-tbal[[#This Row],[DEBE]],0)</f>
        <v>0</v>
      </c>
      <c r="I700" s="16">
        <f>IF((OR(tbal[[#This Row],[X]]=1,tbal[[#This Row],[X]]=2)),tbal[[#This Row],[DEUDOR]],0)</f>
        <v>0</v>
      </c>
      <c r="J700" s="18">
        <f>IF((OR(tbal[[#This Row],[X]]=2,tbal[[#This Row],[X]]=3)),tbal[[#This Row],[ACREEDOR]],0)</f>
        <v>0</v>
      </c>
      <c r="K700" s="16">
        <f>IF((OR(tbal[[#This Row],[X]]=3,tbal[[#This Row],[X]]=5)),tbal[[#This Row],[DEUDOR]],0)</f>
        <v>0</v>
      </c>
      <c r="L700" s="18">
        <f>IF((OR(tbal[[#This Row],[X]]=3,tbal[[#This Row],[X]]=4)),tbal[[#This Row],[ACREEDOR]],0)</f>
        <v>0</v>
      </c>
      <c r="M700" s="16">
        <f>IF((OR(tbal[[#This Row],[X]]=0,tbal[[#This Row],[X]]=6)),tbal[[#This Row],[DEUDOR]],0)</f>
        <v>0</v>
      </c>
      <c r="N700" s="18">
        <f>IF((OR(tbal[[#This Row],[X]]=0,tbal[[#This Row],[X]]=5)),tbal[[#This Row],[ACREEDOR]],0)</f>
        <v>0</v>
      </c>
    </row>
    <row r="701" spans="1:14" hidden="1" x14ac:dyDescent="0.3">
      <c r="A701" s="14">
        <f>+'PLAN DE CUENTAS'!A701</f>
        <v>0</v>
      </c>
      <c r="B701" s="13">
        <f>+'PLAN DE CUENTAS'!B701</f>
        <v>0</v>
      </c>
      <c r="C701" s="13">
        <f>+'PLAN DE CUENTAS'!C701</f>
        <v>0</v>
      </c>
      <c r="D701" t="str">
        <f>IF(tbal[[#This Row],[DEBE]]+tbal[[#This Row],[HABER]]=0,"","X")</f>
        <v/>
      </c>
      <c r="E701" s="16">
        <f>SUMIF(tdiario[CUENTA],tbal[[#This Row],[CUENTA]],tdiario[DEBE])</f>
        <v>0</v>
      </c>
      <c r="F701" s="17">
        <f>SUMIF(tdiario[CUENTA],tbal[[#This Row],[CUENTA]],tdiario[HABER])</f>
        <v>0</v>
      </c>
      <c r="G701" s="16">
        <f>IF(tbal[[#This Row],[DEBE]]-tbal[[#This Row],[HABER]]&gt;0,tbal[[#This Row],[DEBE]]-tbal[[#This Row],[HABER]],0)</f>
        <v>0</v>
      </c>
      <c r="H701" s="18">
        <f>IF(tbal[[#This Row],[HABER]]-tbal[[#This Row],[DEBE]]&gt;0,tbal[[#This Row],[HABER]]-tbal[[#This Row],[DEBE]],0)</f>
        <v>0</v>
      </c>
      <c r="I701" s="16">
        <f>IF((OR(tbal[[#This Row],[X]]=1,tbal[[#This Row],[X]]=2)),tbal[[#This Row],[DEUDOR]],0)</f>
        <v>0</v>
      </c>
      <c r="J701" s="18">
        <f>IF((OR(tbal[[#This Row],[X]]=2,tbal[[#This Row],[X]]=3)),tbal[[#This Row],[ACREEDOR]],0)</f>
        <v>0</v>
      </c>
      <c r="K701" s="16">
        <f>IF((OR(tbal[[#This Row],[X]]=3,tbal[[#This Row],[X]]=5)),tbal[[#This Row],[DEUDOR]],0)</f>
        <v>0</v>
      </c>
      <c r="L701" s="18">
        <f>IF((OR(tbal[[#This Row],[X]]=3,tbal[[#This Row],[X]]=4)),tbal[[#This Row],[ACREEDOR]],0)</f>
        <v>0</v>
      </c>
      <c r="M701" s="16">
        <f>IF((OR(tbal[[#This Row],[X]]=0,tbal[[#This Row],[X]]=6)),tbal[[#This Row],[DEUDOR]],0)</f>
        <v>0</v>
      </c>
      <c r="N701" s="18">
        <f>IF((OR(tbal[[#This Row],[X]]=0,tbal[[#This Row],[X]]=5)),tbal[[#This Row],[ACREEDOR]],0)</f>
        <v>0</v>
      </c>
    </row>
    <row r="702" spans="1:14" hidden="1" x14ac:dyDescent="0.3">
      <c r="A702" s="14">
        <f>+'PLAN DE CUENTAS'!A702</f>
        <v>0</v>
      </c>
      <c r="B702" s="13">
        <f>+'PLAN DE CUENTAS'!B702</f>
        <v>0</v>
      </c>
      <c r="C702" s="13">
        <f>+'PLAN DE CUENTAS'!C702</f>
        <v>0</v>
      </c>
      <c r="D702" t="str">
        <f>IF(tbal[[#This Row],[DEBE]]+tbal[[#This Row],[HABER]]=0,"","X")</f>
        <v/>
      </c>
      <c r="E702" s="16">
        <f>SUMIF(tdiario[CUENTA],tbal[[#This Row],[CUENTA]],tdiario[DEBE])</f>
        <v>0</v>
      </c>
      <c r="F702" s="17">
        <f>SUMIF(tdiario[CUENTA],tbal[[#This Row],[CUENTA]],tdiario[HABER])</f>
        <v>0</v>
      </c>
      <c r="G702" s="16">
        <f>IF(tbal[[#This Row],[DEBE]]-tbal[[#This Row],[HABER]]&gt;0,tbal[[#This Row],[DEBE]]-tbal[[#This Row],[HABER]],0)</f>
        <v>0</v>
      </c>
      <c r="H702" s="18">
        <f>IF(tbal[[#This Row],[HABER]]-tbal[[#This Row],[DEBE]]&gt;0,tbal[[#This Row],[HABER]]-tbal[[#This Row],[DEBE]],0)</f>
        <v>0</v>
      </c>
      <c r="I702" s="16">
        <f>IF((OR(tbal[[#This Row],[X]]=1,tbal[[#This Row],[X]]=2)),tbal[[#This Row],[DEUDOR]],0)</f>
        <v>0</v>
      </c>
      <c r="J702" s="18">
        <f>IF((OR(tbal[[#This Row],[X]]=2,tbal[[#This Row],[X]]=3)),tbal[[#This Row],[ACREEDOR]],0)</f>
        <v>0</v>
      </c>
      <c r="K702" s="16">
        <f>IF((OR(tbal[[#This Row],[X]]=3,tbal[[#This Row],[X]]=5)),tbal[[#This Row],[DEUDOR]],0)</f>
        <v>0</v>
      </c>
      <c r="L702" s="18">
        <f>IF((OR(tbal[[#This Row],[X]]=3,tbal[[#This Row],[X]]=4)),tbal[[#This Row],[ACREEDOR]],0)</f>
        <v>0</v>
      </c>
      <c r="M702" s="16">
        <f>IF((OR(tbal[[#This Row],[X]]=0,tbal[[#This Row],[X]]=6)),tbal[[#This Row],[DEUDOR]],0)</f>
        <v>0</v>
      </c>
      <c r="N702" s="18">
        <f>IF((OR(tbal[[#This Row],[X]]=0,tbal[[#This Row],[X]]=5)),tbal[[#This Row],[ACREEDOR]],0)</f>
        <v>0</v>
      </c>
    </row>
    <row r="703" spans="1:14" hidden="1" x14ac:dyDescent="0.3">
      <c r="A703" s="14">
        <f>+'PLAN DE CUENTAS'!A703</f>
        <v>0</v>
      </c>
      <c r="B703" s="13">
        <f>+'PLAN DE CUENTAS'!B703</f>
        <v>0</v>
      </c>
      <c r="C703" s="13">
        <f>+'PLAN DE CUENTAS'!C703</f>
        <v>0</v>
      </c>
      <c r="D703" t="str">
        <f>IF(tbal[[#This Row],[DEBE]]+tbal[[#This Row],[HABER]]=0,"","X")</f>
        <v/>
      </c>
      <c r="E703" s="16">
        <f>SUMIF(tdiario[CUENTA],tbal[[#This Row],[CUENTA]],tdiario[DEBE])</f>
        <v>0</v>
      </c>
      <c r="F703" s="17">
        <f>SUMIF(tdiario[CUENTA],tbal[[#This Row],[CUENTA]],tdiario[HABER])</f>
        <v>0</v>
      </c>
      <c r="G703" s="16">
        <f>IF(tbal[[#This Row],[DEBE]]-tbal[[#This Row],[HABER]]&gt;0,tbal[[#This Row],[DEBE]]-tbal[[#This Row],[HABER]],0)</f>
        <v>0</v>
      </c>
      <c r="H703" s="18">
        <f>IF(tbal[[#This Row],[HABER]]-tbal[[#This Row],[DEBE]]&gt;0,tbal[[#This Row],[HABER]]-tbal[[#This Row],[DEBE]],0)</f>
        <v>0</v>
      </c>
      <c r="I703" s="16">
        <f>IF((OR(tbal[[#This Row],[X]]=1,tbal[[#This Row],[X]]=2)),tbal[[#This Row],[DEUDOR]],0)</f>
        <v>0</v>
      </c>
      <c r="J703" s="18">
        <f>IF((OR(tbal[[#This Row],[X]]=2,tbal[[#This Row],[X]]=3)),tbal[[#This Row],[ACREEDOR]],0)</f>
        <v>0</v>
      </c>
      <c r="K703" s="16">
        <f>IF((OR(tbal[[#This Row],[X]]=3,tbal[[#This Row],[X]]=5)),tbal[[#This Row],[DEUDOR]],0)</f>
        <v>0</v>
      </c>
      <c r="L703" s="18">
        <f>IF((OR(tbal[[#This Row],[X]]=3,tbal[[#This Row],[X]]=4)),tbal[[#This Row],[ACREEDOR]],0)</f>
        <v>0</v>
      </c>
      <c r="M703" s="16">
        <f>IF((OR(tbal[[#This Row],[X]]=0,tbal[[#This Row],[X]]=6)),tbal[[#This Row],[DEUDOR]],0)</f>
        <v>0</v>
      </c>
      <c r="N703" s="18">
        <f>IF((OR(tbal[[#This Row],[X]]=0,tbal[[#This Row],[X]]=5)),tbal[[#This Row],[ACREEDOR]],0)</f>
        <v>0</v>
      </c>
    </row>
    <row r="704" spans="1:14" hidden="1" x14ac:dyDescent="0.3">
      <c r="A704" s="14">
        <f>+'PLAN DE CUENTAS'!A704</f>
        <v>0</v>
      </c>
      <c r="B704" s="13">
        <f>+'PLAN DE CUENTAS'!B704</f>
        <v>0</v>
      </c>
      <c r="C704" s="13">
        <f>+'PLAN DE CUENTAS'!C704</f>
        <v>0</v>
      </c>
      <c r="D704" t="str">
        <f>IF(tbal[[#This Row],[DEBE]]+tbal[[#This Row],[HABER]]=0,"","X")</f>
        <v/>
      </c>
      <c r="E704" s="16">
        <f>SUMIF(tdiario[CUENTA],tbal[[#This Row],[CUENTA]],tdiario[DEBE])</f>
        <v>0</v>
      </c>
      <c r="F704" s="17">
        <f>SUMIF(tdiario[CUENTA],tbal[[#This Row],[CUENTA]],tdiario[HABER])</f>
        <v>0</v>
      </c>
      <c r="G704" s="16">
        <f>IF(tbal[[#This Row],[DEBE]]-tbal[[#This Row],[HABER]]&gt;0,tbal[[#This Row],[DEBE]]-tbal[[#This Row],[HABER]],0)</f>
        <v>0</v>
      </c>
      <c r="H704" s="18">
        <f>IF(tbal[[#This Row],[HABER]]-tbal[[#This Row],[DEBE]]&gt;0,tbal[[#This Row],[HABER]]-tbal[[#This Row],[DEBE]],0)</f>
        <v>0</v>
      </c>
      <c r="I704" s="16">
        <f>IF((OR(tbal[[#This Row],[X]]=1,tbal[[#This Row],[X]]=2)),tbal[[#This Row],[DEUDOR]],0)</f>
        <v>0</v>
      </c>
      <c r="J704" s="18">
        <f>IF((OR(tbal[[#This Row],[X]]=2,tbal[[#This Row],[X]]=3)),tbal[[#This Row],[ACREEDOR]],0)</f>
        <v>0</v>
      </c>
      <c r="K704" s="16">
        <f>IF((OR(tbal[[#This Row],[X]]=3,tbal[[#This Row],[X]]=5)),tbal[[#This Row],[DEUDOR]],0)</f>
        <v>0</v>
      </c>
      <c r="L704" s="18">
        <f>IF((OR(tbal[[#This Row],[X]]=3,tbal[[#This Row],[X]]=4)),tbal[[#This Row],[ACREEDOR]],0)</f>
        <v>0</v>
      </c>
      <c r="M704" s="16">
        <f>IF((OR(tbal[[#This Row],[X]]=0,tbal[[#This Row],[X]]=6)),tbal[[#This Row],[DEUDOR]],0)</f>
        <v>0</v>
      </c>
      <c r="N704" s="18">
        <f>IF((OR(tbal[[#This Row],[X]]=0,tbal[[#This Row],[X]]=5)),tbal[[#This Row],[ACREEDOR]],0)</f>
        <v>0</v>
      </c>
    </row>
    <row r="705" spans="1:14" hidden="1" x14ac:dyDescent="0.3">
      <c r="A705" s="14">
        <f>+'PLAN DE CUENTAS'!A705</f>
        <v>0</v>
      </c>
      <c r="B705" s="13">
        <f>+'PLAN DE CUENTAS'!B705</f>
        <v>0</v>
      </c>
      <c r="C705" s="13">
        <f>+'PLAN DE CUENTAS'!C705</f>
        <v>0</v>
      </c>
      <c r="D705" t="str">
        <f>IF(tbal[[#This Row],[DEBE]]+tbal[[#This Row],[HABER]]=0,"","X")</f>
        <v/>
      </c>
      <c r="E705" s="16">
        <f>SUMIF(tdiario[CUENTA],tbal[[#This Row],[CUENTA]],tdiario[DEBE])</f>
        <v>0</v>
      </c>
      <c r="F705" s="17">
        <f>SUMIF(tdiario[CUENTA],tbal[[#This Row],[CUENTA]],tdiario[HABER])</f>
        <v>0</v>
      </c>
      <c r="G705" s="16">
        <f>IF(tbal[[#This Row],[DEBE]]-tbal[[#This Row],[HABER]]&gt;0,tbal[[#This Row],[DEBE]]-tbal[[#This Row],[HABER]],0)</f>
        <v>0</v>
      </c>
      <c r="H705" s="18">
        <f>IF(tbal[[#This Row],[HABER]]-tbal[[#This Row],[DEBE]]&gt;0,tbal[[#This Row],[HABER]]-tbal[[#This Row],[DEBE]],0)</f>
        <v>0</v>
      </c>
      <c r="I705" s="16">
        <f>IF((OR(tbal[[#This Row],[X]]=1,tbal[[#This Row],[X]]=2)),tbal[[#This Row],[DEUDOR]],0)</f>
        <v>0</v>
      </c>
      <c r="J705" s="18">
        <f>IF((OR(tbal[[#This Row],[X]]=2,tbal[[#This Row],[X]]=3)),tbal[[#This Row],[ACREEDOR]],0)</f>
        <v>0</v>
      </c>
      <c r="K705" s="16">
        <f>IF((OR(tbal[[#This Row],[X]]=3,tbal[[#This Row],[X]]=5)),tbal[[#This Row],[DEUDOR]],0)</f>
        <v>0</v>
      </c>
      <c r="L705" s="18">
        <f>IF((OR(tbal[[#This Row],[X]]=3,tbal[[#This Row],[X]]=4)),tbal[[#This Row],[ACREEDOR]],0)</f>
        <v>0</v>
      </c>
      <c r="M705" s="16">
        <f>IF((OR(tbal[[#This Row],[X]]=0,tbal[[#This Row],[X]]=6)),tbal[[#This Row],[DEUDOR]],0)</f>
        <v>0</v>
      </c>
      <c r="N705" s="18">
        <f>IF((OR(tbal[[#This Row],[X]]=0,tbal[[#This Row],[X]]=5)),tbal[[#This Row],[ACREEDOR]],0)</f>
        <v>0</v>
      </c>
    </row>
    <row r="706" spans="1:14" hidden="1" x14ac:dyDescent="0.3">
      <c r="A706" s="14">
        <f>+'PLAN DE CUENTAS'!A706</f>
        <v>0</v>
      </c>
      <c r="B706" s="13">
        <f>+'PLAN DE CUENTAS'!B706</f>
        <v>0</v>
      </c>
      <c r="C706" s="13">
        <f>+'PLAN DE CUENTAS'!C706</f>
        <v>0</v>
      </c>
      <c r="D706" t="str">
        <f>IF(tbal[[#This Row],[DEBE]]+tbal[[#This Row],[HABER]]=0,"","X")</f>
        <v/>
      </c>
      <c r="E706" s="16">
        <f>SUMIF(tdiario[CUENTA],tbal[[#This Row],[CUENTA]],tdiario[DEBE])</f>
        <v>0</v>
      </c>
      <c r="F706" s="17">
        <f>SUMIF(tdiario[CUENTA],tbal[[#This Row],[CUENTA]],tdiario[HABER])</f>
        <v>0</v>
      </c>
      <c r="G706" s="16">
        <f>IF(tbal[[#This Row],[DEBE]]-tbal[[#This Row],[HABER]]&gt;0,tbal[[#This Row],[DEBE]]-tbal[[#This Row],[HABER]],0)</f>
        <v>0</v>
      </c>
      <c r="H706" s="18">
        <f>IF(tbal[[#This Row],[HABER]]-tbal[[#This Row],[DEBE]]&gt;0,tbal[[#This Row],[HABER]]-tbal[[#This Row],[DEBE]],0)</f>
        <v>0</v>
      </c>
      <c r="I706" s="16">
        <f>IF((OR(tbal[[#This Row],[X]]=1,tbal[[#This Row],[X]]=2)),tbal[[#This Row],[DEUDOR]],0)</f>
        <v>0</v>
      </c>
      <c r="J706" s="18">
        <f>IF((OR(tbal[[#This Row],[X]]=2,tbal[[#This Row],[X]]=3)),tbal[[#This Row],[ACREEDOR]],0)</f>
        <v>0</v>
      </c>
      <c r="K706" s="16">
        <f>IF((OR(tbal[[#This Row],[X]]=3,tbal[[#This Row],[X]]=5)),tbal[[#This Row],[DEUDOR]],0)</f>
        <v>0</v>
      </c>
      <c r="L706" s="18">
        <f>IF((OR(tbal[[#This Row],[X]]=3,tbal[[#This Row],[X]]=4)),tbal[[#This Row],[ACREEDOR]],0)</f>
        <v>0</v>
      </c>
      <c r="M706" s="16">
        <f>IF((OR(tbal[[#This Row],[X]]=0,tbal[[#This Row],[X]]=6)),tbal[[#This Row],[DEUDOR]],0)</f>
        <v>0</v>
      </c>
      <c r="N706" s="18">
        <f>IF((OR(tbal[[#This Row],[X]]=0,tbal[[#This Row],[X]]=5)),tbal[[#This Row],[ACREEDOR]],0)</f>
        <v>0</v>
      </c>
    </row>
    <row r="707" spans="1:14" hidden="1" x14ac:dyDescent="0.3">
      <c r="A707" s="14">
        <f>+'PLAN DE CUENTAS'!A707</f>
        <v>0</v>
      </c>
      <c r="B707" s="13">
        <f>+'PLAN DE CUENTAS'!B707</f>
        <v>0</v>
      </c>
      <c r="C707" s="13">
        <f>+'PLAN DE CUENTAS'!C707</f>
        <v>0</v>
      </c>
      <c r="D707" t="str">
        <f>IF(tbal[[#This Row],[DEBE]]+tbal[[#This Row],[HABER]]=0,"","X")</f>
        <v/>
      </c>
      <c r="E707" s="16">
        <f>SUMIF(tdiario[CUENTA],tbal[[#This Row],[CUENTA]],tdiario[DEBE])</f>
        <v>0</v>
      </c>
      <c r="F707" s="17">
        <f>SUMIF(tdiario[CUENTA],tbal[[#This Row],[CUENTA]],tdiario[HABER])</f>
        <v>0</v>
      </c>
      <c r="G707" s="16">
        <f>IF(tbal[[#This Row],[DEBE]]-tbal[[#This Row],[HABER]]&gt;0,tbal[[#This Row],[DEBE]]-tbal[[#This Row],[HABER]],0)</f>
        <v>0</v>
      </c>
      <c r="H707" s="18">
        <f>IF(tbal[[#This Row],[HABER]]-tbal[[#This Row],[DEBE]]&gt;0,tbal[[#This Row],[HABER]]-tbal[[#This Row],[DEBE]],0)</f>
        <v>0</v>
      </c>
      <c r="I707" s="16">
        <f>IF((OR(tbal[[#This Row],[X]]=1,tbal[[#This Row],[X]]=2)),tbal[[#This Row],[DEUDOR]],0)</f>
        <v>0</v>
      </c>
      <c r="J707" s="18">
        <f>IF((OR(tbal[[#This Row],[X]]=2,tbal[[#This Row],[X]]=3)),tbal[[#This Row],[ACREEDOR]],0)</f>
        <v>0</v>
      </c>
      <c r="K707" s="16">
        <f>IF((OR(tbal[[#This Row],[X]]=3,tbal[[#This Row],[X]]=5)),tbal[[#This Row],[DEUDOR]],0)</f>
        <v>0</v>
      </c>
      <c r="L707" s="18">
        <f>IF((OR(tbal[[#This Row],[X]]=3,tbal[[#This Row],[X]]=4)),tbal[[#This Row],[ACREEDOR]],0)</f>
        <v>0</v>
      </c>
      <c r="M707" s="16">
        <f>IF((OR(tbal[[#This Row],[X]]=0,tbal[[#This Row],[X]]=6)),tbal[[#This Row],[DEUDOR]],0)</f>
        <v>0</v>
      </c>
      <c r="N707" s="18">
        <f>IF((OR(tbal[[#This Row],[X]]=0,tbal[[#This Row],[X]]=5)),tbal[[#This Row],[ACREEDOR]],0)</f>
        <v>0</v>
      </c>
    </row>
    <row r="708" spans="1:14" hidden="1" x14ac:dyDescent="0.3">
      <c r="A708" s="14">
        <f>+'PLAN DE CUENTAS'!A708</f>
        <v>0</v>
      </c>
      <c r="B708" s="13">
        <f>+'PLAN DE CUENTAS'!B708</f>
        <v>0</v>
      </c>
      <c r="C708" s="13">
        <f>+'PLAN DE CUENTAS'!C708</f>
        <v>0</v>
      </c>
      <c r="D708" t="str">
        <f>IF(tbal[[#This Row],[DEBE]]+tbal[[#This Row],[HABER]]=0,"","X")</f>
        <v/>
      </c>
      <c r="E708" s="16">
        <f>SUMIF(tdiario[CUENTA],tbal[[#This Row],[CUENTA]],tdiario[DEBE])</f>
        <v>0</v>
      </c>
      <c r="F708" s="17">
        <f>SUMIF(tdiario[CUENTA],tbal[[#This Row],[CUENTA]],tdiario[HABER])</f>
        <v>0</v>
      </c>
      <c r="G708" s="16">
        <f>IF(tbal[[#This Row],[DEBE]]-tbal[[#This Row],[HABER]]&gt;0,tbal[[#This Row],[DEBE]]-tbal[[#This Row],[HABER]],0)</f>
        <v>0</v>
      </c>
      <c r="H708" s="18">
        <f>IF(tbal[[#This Row],[HABER]]-tbal[[#This Row],[DEBE]]&gt;0,tbal[[#This Row],[HABER]]-tbal[[#This Row],[DEBE]],0)</f>
        <v>0</v>
      </c>
      <c r="I708" s="16">
        <f>IF((OR(tbal[[#This Row],[X]]=1,tbal[[#This Row],[X]]=2)),tbal[[#This Row],[DEUDOR]],0)</f>
        <v>0</v>
      </c>
      <c r="J708" s="18">
        <f>IF((OR(tbal[[#This Row],[X]]=2,tbal[[#This Row],[X]]=3)),tbal[[#This Row],[ACREEDOR]],0)</f>
        <v>0</v>
      </c>
      <c r="K708" s="16">
        <f>IF((OR(tbal[[#This Row],[X]]=3,tbal[[#This Row],[X]]=5)),tbal[[#This Row],[DEUDOR]],0)</f>
        <v>0</v>
      </c>
      <c r="L708" s="18">
        <f>IF((OR(tbal[[#This Row],[X]]=3,tbal[[#This Row],[X]]=4)),tbal[[#This Row],[ACREEDOR]],0)</f>
        <v>0</v>
      </c>
      <c r="M708" s="16">
        <f>IF((OR(tbal[[#This Row],[X]]=0,tbal[[#This Row],[X]]=6)),tbal[[#This Row],[DEUDOR]],0)</f>
        <v>0</v>
      </c>
      <c r="N708" s="18">
        <f>IF((OR(tbal[[#This Row],[X]]=0,tbal[[#This Row],[X]]=5)),tbal[[#This Row],[ACREEDOR]],0)</f>
        <v>0</v>
      </c>
    </row>
    <row r="709" spans="1:14" hidden="1" x14ac:dyDescent="0.3">
      <c r="A709" s="14">
        <f>+'PLAN DE CUENTAS'!A709</f>
        <v>0</v>
      </c>
      <c r="B709" s="13">
        <f>+'PLAN DE CUENTAS'!B709</f>
        <v>0</v>
      </c>
      <c r="C709" s="13">
        <f>+'PLAN DE CUENTAS'!C709</f>
        <v>0</v>
      </c>
      <c r="D709" t="str">
        <f>IF(tbal[[#This Row],[DEBE]]+tbal[[#This Row],[HABER]]=0,"","X")</f>
        <v/>
      </c>
      <c r="E709" s="16">
        <f>SUMIF(tdiario[CUENTA],tbal[[#This Row],[CUENTA]],tdiario[DEBE])</f>
        <v>0</v>
      </c>
      <c r="F709" s="17">
        <f>SUMIF(tdiario[CUENTA],tbal[[#This Row],[CUENTA]],tdiario[HABER])</f>
        <v>0</v>
      </c>
      <c r="G709" s="16">
        <f>IF(tbal[[#This Row],[DEBE]]-tbal[[#This Row],[HABER]]&gt;0,tbal[[#This Row],[DEBE]]-tbal[[#This Row],[HABER]],0)</f>
        <v>0</v>
      </c>
      <c r="H709" s="18">
        <f>IF(tbal[[#This Row],[HABER]]-tbal[[#This Row],[DEBE]]&gt;0,tbal[[#This Row],[HABER]]-tbal[[#This Row],[DEBE]],0)</f>
        <v>0</v>
      </c>
      <c r="I709" s="16">
        <f>IF((OR(tbal[[#This Row],[X]]=1,tbal[[#This Row],[X]]=2)),tbal[[#This Row],[DEUDOR]],0)</f>
        <v>0</v>
      </c>
      <c r="J709" s="18">
        <f>IF((OR(tbal[[#This Row],[X]]=2,tbal[[#This Row],[X]]=3)),tbal[[#This Row],[ACREEDOR]],0)</f>
        <v>0</v>
      </c>
      <c r="K709" s="16">
        <f>IF((OR(tbal[[#This Row],[X]]=3,tbal[[#This Row],[X]]=5)),tbal[[#This Row],[DEUDOR]],0)</f>
        <v>0</v>
      </c>
      <c r="L709" s="18">
        <f>IF((OR(tbal[[#This Row],[X]]=3,tbal[[#This Row],[X]]=4)),tbal[[#This Row],[ACREEDOR]],0)</f>
        <v>0</v>
      </c>
      <c r="M709" s="16">
        <f>IF((OR(tbal[[#This Row],[X]]=0,tbal[[#This Row],[X]]=6)),tbal[[#This Row],[DEUDOR]],0)</f>
        <v>0</v>
      </c>
      <c r="N709" s="18">
        <f>IF((OR(tbal[[#This Row],[X]]=0,tbal[[#This Row],[X]]=5)),tbal[[#This Row],[ACREEDOR]],0)</f>
        <v>0</v>
      </c>
    </row>
    <row r="710" spans="1:14" hidden="1" x14ac:dyDescent="0.3">
      <c r="A710" s="14">
        <f>+'PLAN DE CUENTAS'!A710</f>
        <v>0</v>
      </c>
      <c r="B710" s="13">
        <f>+'PLAN DE CUENTAS'!B710</f>
        <v>0</v>
      </c>
      <c r="C710" s="13">
        <f>+'PLAN DE CUENTAS'!C710</f>
        <v>0</v>
      </c>
      <c r="D710" t="str">
        <f>IF(tbal[[#This Row],[DEBE]]+tbal[[#This Row],[HABER]]=0,"","X")</f>
        <v/>
      </c>
      <c r="E710" s="16">
        <f>SUMIF(tdiario[CUENTA],tbal[[#This Row],[CUENTA]],tdiario[DEBE])</f>
        <v>0</v>
      </c>
      <c r="F710" s="17">
        <f>SUMIF(tdiario[CUENTA],tbal[[#This Row],[CUENTA]],tdiario[HABER])</f>
        <v>0</v>
      </c>
      <c r="G710" s="16">
        <f>IF(tbal[[#This Row],[DEBE]]-tbal[[#This Row],[HABER]]&gt;0,tbal[[#This Row],[DEBE]]-tbal[[#This Row],[HABER]],0)</f>
        <v>0</v>
      </c>
      <c r="H710" s="18">
        <f>IF(tbal[[#This Row],[HABER]]-tbal[[#This Row],[DEBE]]&gt;0,tbal[[#This Row],[HABER]]-tbal[[#This Row],[DEBE]],0)</f>
        <v>0</v>
      </c>
      <c r="I710" s="16">
        <f>IF((OR(tbal[[#This Row],[X]]=1,tbal[[#This Row],[X]]=2)),tbal[[#This Row],[DEUDOR]],0)</f>
        <v>0</v>
      </c>
      <c r="J710" s="18">
        <f>IF((OR(tbal[[#This Row],[X]]=2,tbal[[#This Row],[X]]=3)),tbal[[#This Row],[ACREEDOR]],0)</f>
        <v>0</v>
      </c>
      <c r="K710" s="16">
        <f>IF((OR(tbal[[#This Row],[X]]=3,tbal[[#This Row],[X]]=5)),tbal[[#This Row],[DEUDOR]],0)</f>
        <v>0</v>
      </c>
      <c r="L710" s="18">
        <f>IF((OR(tbal[[#This Row],[X]]=3,tbal[[#This Row],[X]]=4)),tbal[[#This Row],[ACREEDOR]],0)</f>
        <v>0</v>
      </c>
      <c r="M710" s="16">
        <f>IF((OR(tbal[[#This Row],[X]]=0,tbal[[#This Row],[X]]=6)),tbal[[#This Row],[DEUDOR]],0)</f>
        <v>0</v>
      </c>
      <c r="N710" s="18">
        <f>IF((OR(tbal[[#This Row],[X]]=0,tbal[[#This Row],[X]]=5)),tbal[[#This Row],[ACREEDOR]],0)</f>
        <v>0</v>
      </c>
    </row>
    <row r="711" spans="1:14" hidden="1" x14ac:dyDescent="0.3">
      <c r="A711" s="14">
        <f>+'PLAN DE CUENTAS'!A711</f>
        <v>0</v>
      </c>
      <c r="B711" s="13">
        <f>+'PLAN DE CUENTAS'!B711</f>
        <v>0</v>
      </c>
      <c r="C711" s="13">
        <f>+'PLAN DE CUENTAS'!C711</f>
        <v>0</v>
      </c>
      <c r="D711" t="str">
        <f>IF(tbal[[#This Row],[DEBE]]+tbal[[#This Row],[HABER]]=0,"","X")</f>
        <v/>
      </c>
      <c r="E711" s="16">
        <f>SUMIF(tdiario[CUENTA],tbal[[#This Row],[CUENTA]],tdiario[DEBE])</f>
        <v>0</v>
      </c>
      <c r="F711" s="17">
        <f>SUMIF(tdiario[CUENTA],tbal[[#This Row],[CUENTA]],tdiario[HABER])</f>
        <v>0</v>
      </c>
      <c r="G711" s="16">
        <f>IF(tbal[[#This Row],[DEBE]]-tbal[[#This Row],[HABER]]&gt;0,tbal[[#This Row],[DEBE]]-tbal[[#This Row],[HABER]],0)</f>
        <v>0</v>
      </c>
      <c r="H711" s="18">
        <f>IF(tbal[[#This Row],[HABER]]-tbal[[#This Row],[DEBE]]&gt;0,tbal[[#This Row],[HABER]]-tbal[[#This Row],[DEBE]],0)</f>
        <v>0</v>
      </c>
      <c r="I711" s="16">
        <f>IF((OR(tbal[[#This Row],[X]]=1,tbal[[#This Row],[X]]=2)),tbal[[#This Row],[DEUDOR]],0)</f>
        <v>0</v>
      </c>
      <c r="J711" s="18">
        <f>IF((OR(tbal[[#This Row],[X]]=2,tbal[[#This Row],[X]]=3)),tbal[[#This Row],[ACREEDOR]],0)</f>
        <v>0</v>
      </c>
      <c r="K711" s="16">
        <f>IF((OR(tbal[[#This Row],[X]]=3,tbal[[#This Row],[X]]=5)),tbal[[#This Row],[DEUDOR]],0)</f>
        <v>0</v>
      </c>
      <c r="L711" s="18">
        <f>IF((OR(tbal[[#This Row],[X]]=3,tbal[[#This Row],[X]]=4)),tbal[[#This Row],[ACREEDOR]],0)</f>
        <v>0</v>
      </c>
      <c r="M711" s="16">
        <f>IF((OR(tbal[[#This Row],[X]]=0,tbal[[#This Row],[X]]=6)),tbal[[#This Row],[DEUDOR]],0)</f>
        <v>0</v>
      </c>
      <c r="N711" s="18">
        <f>IF((OR(tbal[[#This Row],[X]]=0,tbal[[#This Row],[X]]=5)),tbal[[#This Row],[ACREEDOR]],0)</f>
        <v>0</v>
      </c>
    </row>
    <row r="712" spans="1:14" hidden="1" x14ac:dyDescent="0.3">
      <c r="A712" s="14">
        <f>+'PLAN DE CUENTAS'!A712</f>
        <v>0</v>
      </c>
      <c r="B712" s="13">
        <f>+'PLAN DE CUENTAS'!B712</f>
        <v>0</v>
      </c>
      <c r="C712" s="13">
        <f>+'PLAN DE CUENTAS'!C712</f>
        <v>0</v>
      </c>
      <c r="D712" t="str">
        <f>IF(tbal[[#This Row],[DEBE]]+tbal[[#This Row],[HABER]]=0,"","X")</f>
        <v/>
      </c>
      <c r="E712" s="16">
        <f>SUMIF(tdiario[CUENTA],tbal[[#This Row],[CUENTA]],tdiario[DEBE])</f>
        <v>0</v>
      </c>
      <c r="F712" s="17">
        <f>SUMIF(tdiario[CUENTA],tbal[[#This Row],[CUENTA]],tdiario[HABER])</f>
        <v>0</v>
      </c>
      <c r="G712" s="16">
        <f>IF(tbal[[#This Row],[DEBE]]-tbal[[#This Row],[HABER]]&gt;0,tbal[[#This Row],[DEBE]]-tbal[[#This Row],[HABER]],0)</f>
        <v>0</v>
      </c>
      <c r="H712" s="18">
        <f>IF(tbal[[#This Row],[HABER]]-tbal[[#This Row],[DEBE]]&gt;0,tbal[[#This Row],[HABER]]-tbal[[#This Row],[DEBE]],0)</f>
        <v>0</v>
      </c>
      <c r="I712" s="16">
        <f>IF((OR(tbal[[#This Row],[X]]=1,tbal[[#This Row],[X]]=2)),tbal[[#This Row],[DEUDOR]],0)</f>
        <v>0</v>
      </c>
      <c r="J712" s="18">
        <f>IF((OR(tbal[[#This Row],[X]]=2,tbal[[#This Row],[X]]=3)),tbal[[#This Row],[ACREEDOR]],0)</f>
        <v>0</v>
      </c>
      <c r="K712" s="16">
        <f>IF((OR(tbal[[#This Row],[X]]=3,tbal[[#This Row],[X]]=5)),tbal[[#This Row],[DEUDOR]],0)</f>
        <v>0</v>
      </c>
      <c r="L712" s="18">
        <f>IF((OR(tbal[[#This Row],[X]]=3,tbal[[#This Row],[X]]=4)),tbal[[#This Row],[ACREEDOR]],0)</f>
        <v>0</v>
      </c>
      <c r="M712" s="16">
        <f>IF((OR(tbal[[#This Row],[X]]=0,tbal[[#This Row],[X]]=6)),tbal[[#This Row],[DEUDOR]],0)</f>
        <v>0</v>
      </c>
      <c r="N712" s="18">
        <f>IF((OR(tbal[[#This Row],[X]]=0,tbal[[#This Row],[X]]=5)),tbal[[#This Row],[ACREEDOR]],0)</f>
        <v>0</v>
      </c>
    </row>
    <row r="713" spans="1:14" hidden="1" x14ac:dyDescent="0.3">
      <c r="A713" s="14">
        <f>+'PLAN DE CUENTAS'!A713</f>
        <v>0</v>
      </c>
      <c r="B713" s="13">
        <f>+'PLAN DE CUENTAS'!B713</f>
        <v>0</v>
      </c>
      <c r="C713" s="13">
        <f>+'PLAN DE CUENTAS'!C713</f>
        <v>0</v>
      </c>
      <c r="D713" t="str">
        <f>IF(tbal[[#This Row],[DEBE]]+tbal[[#This Row],[HABER]]=0,"","X")</f>
        <v/>
      </c>
      <c r="E713" s="16">
        <f>SUMIF(tdiario[CUENTA],tbal[[#This Row],[CUENTA]],tdiario[DEBE])</f>
        <v>0</v>
      </c>
      <c r="F713" s="17">
        <f>SUMIF(tdiario[CUENTA],tbal[[#This Row],[CUENTA]],tdiario[HABER])</f>
        <v>0</v>
      </c>
      <c r="G713" s="16">
        <f>IF(tbal[[#This Row],[DEBE]]-tbal[[#This Row],[HABER]]&gt;0,tbal[[#This Row],[DEBE]]-tbal[[#This Row],[HABER]],0)</f>
        <v>0</v>
      </c>
      <c r="H713" s="18">
        <f>IF(tbal[[#This Row],[HABER]]-tbal[[#This Row],[DEBE]]&gt;0,tbal[[#This Row],[HABER]]-tbal[[#This Row],[DEBE]],0)</f>
        <v>0</v>
      </c>
      <c r="I713" s="16">
        <f>IF((OR(tbal[[#This Row],[X]]=1,tbal[[#This Row],[X]]=2)),tbal[[#This Row],[DEUDOR]],0)</f>
        <v>0</v>
      </c>
      <c r="J713" s="18">
        <f>IF((OR(tbal[[#This Row],[X]]=2,tbal[[#This Row],[X]]=3)),tbal[[#This Row],[ACREEDOR]],0)</f>
        <v>0</v>
      </c>
      <c r="K713" s="16">
        <f>IF((OR(tbal[[#This Row],[X]]=3,tbal[[#This Row],[X]]=5)),tbal[[#This Row],[DEUDOR]],0)</f>
        <v>0</v>
      </c>
      <c r="L713" s="18">
        <f>IF((OR(tbal[[#This Row],[X]]=3,tbal[[#This Row],[X]]=4)),tbal[[#This Row],[ACREEDOR]],0)</f>
        <v>0</v>
      </c>
      <c r="M713" s="16">
        <f>IF((OR(tbal[[#This Row],[X]]=0,tbal[[#This Row],[X]]=6)),tbal[[#This Row],[DEUDOR]],0)</f>
        <v>0</v>
      </c>
      <c r="N713" s="18">
        <f>IF((OR(tbal[[#This Row],[X]]=0,tbal[[#This Row],[X]]=5)),tbal[[#This Row],[ACREEDOR]],0)</f>
        <v>0</v>
      </c>
    </row>
    <row r="714" spans="1:14" hidden="1" x14ac:dyDescent="0.3">
      <c r="A714" s="14">
        <f>+'PLAN DE CUENTAS'!A714</f>
        <v>0</v>
      </c>
      <c r="B714" s="13">
        <f>+'PLAN DE CUENTAS'!B714</f>
        <v>0</v>
      </c>
      <c r="C714" s="13">
        <f>+'PLAN DE CUENTAS'!C714</f>
        <v>0</v>
      </c>
      <c r="D714" t="str">
        <f>IF(tbal[[#This Row],[DEBE]]+tbal[[#This Row],[HABER]]=0,"","X")</f>
        <v/>
      </c>
      <c r="E714" s="16">
        <f>SUMIF(tdiario[CUENTA],tbal[[#This Row],[CUENTA]],tdiario[DEBE])</f>
        <v>0</v>
      </c>
      <c r="F714" s="17">
        <f>SUMIF(tdiario[CUENTA],tbal[[#This Row],[CUENTA]],tdiario[HABER])</f>
        <v>0</v>
      </c>
      <c r="G714" s="16">
        <f>IF(tbal[[#This Row],[DEBE]]-tbal[[#This Row],[HABER]]&gt;0,tbal[[#This Row],[DEBE]]-tbal[[#This Row],[HABER]],0)</f>
        <v>0</v>
      </c>
      <c r="H714" s="18">
        <f>IF(tbal[[#This Row],[HABER]]-tbal[[#This Row],[DEBE]]&gt;0,tbal[[#This Row],[HABER]]-tbal[[#This Row],[DEBE]],0)</f>
        <v>0</v>
      </c>
      <c r="I714" s="16">
        <f>IF((OR(tbal[[#This Row],[X]]=1,tbal[[#This Row],[X]]=2)),tbal[[#This Row],[DEUDOR]],0)</f>
        <v>0</v>
      </c>
      <c r="J714" s="18">
        <f>IF((OR(tbal[[#This Row],[X]]=2,tbal[[#This Row],[X]]=3)),tbal[[#This Row],[ACREEDOR]],0)</f>
        <v>0</v>
      </c>
      <c r="K714" s="16">
        <f>IF((OR(tbal[[#This Row],[X]]=3,tbal[[#This Row],[X]]=5)),tbal[[#This Row],[DEUDOR]],0)</f>
        <v>0</v>
      </c>
      <c r="L714" s="18">
        <f>IF((OR(tbal[[#This Row],[X]]=3,tbal[[#This Row],[X]]=4)),tbal[[#This Row],[ACREEDOR]],0)</f>
        <v>0</v>
      </c>
      <c r="M714" s="16">
        <f>IF((OR(tbal[[#This Row],[X]]=0,tbal[[#This Row],[X]]=6)),tbal[[#This Row],[DEUDOR]],0)</f>
        <v>0</v>
      </c>
      <c r="N714" s="18">
        <f>IF((OR(tbal[[#This Row],[X]]=0,tbal[[#This Row],[X]]=5)),tbal[[#This Row],[ACREEDOR]],0)</f>
        <v>0</v>
      </c>
    </row>
    <row r="715" spans="1:14" hidden="1" x14ac:dyDescent="0.3">
      <c r="A715" s="14">
        <f>+'PLAN DE CUENTAS'!A715</f>
        <v>0</v>
      </c>
      <c r="B715" s="13">
        <f>+'PLAN DE CUENTAS'!B715</f>
        <v>0</v>
      </c>
      <c r="C715" s="13">
        <f>+'PLAN DE CUENTAS'!C715</f>
        <v>0</v>
      </c>
      <c r="D715" t="str">
        <f>IF(tbal[[#This Row],[DEBE]]+tbal[[#This Row],[HABER]]=0,"","X")</f>
        <v/>
      </c>
      <c r="E715" s="16">
        <f>SUMIF(tdiario[CUENTA],tbal[[#This Row],[CUENTA]],tdiario[DEBE])</f>
        <v>0</v>
      </c>
      <c r="F715" s="17">
        <f>SUMIF(tdiario[CUENTA],tbal[[#This Row],[CUENTA]],tdiario[HABER])</f>
        <v>0</v>
      </c>
      <c r="G715" s="16">
        <f>IF(tbal[[#This Row],[DEBE]]-tbal[[#This Row],[HABER]]&gt;0,tbal[[#This Row],[DEBE]]-tbal[[#This Row],[HABER]],0)</f>
        <v>0</v>
      </c>
      <c r="H715" s="18">
        <f>IF(tbal[[#This Row],[HABER]]-tbal[[#This Row],[DEBE]]&gt;0,tbal[[#This Row],[HABER]]-tbal[[#This Row],[DEBE]],0)</f>
        <v>0</v>
      </c>
      <c r="I715" s="16">
        <f>IF((OR(tbal[[#This Row],[X]]=1,tbal[[#This Row],[X]]=2)),tbal[[#This Row],[DEUDOR]],0)</f>
        <v>0</v>
      </c>
      <c r="J715" s="18">
        <f>IF((OR(tbal[[#This Row],[X]]=2,tbal[[#This Row],[X]]=3)),tbal[[#This Row],[ACREEDOR]],0)</f>
        <v>0</v>
      </c>
      <c r="K715" s="16">
        <f>IF((OR(tbal[[#This Row],[X]]=3,tbal[[#This Row],[X]]=5)),tbal[[#This Row],[DEUDOR]],0)</f>
        <v>0</v>
      </c>
      <c r="L715" s="18">
        <f>IF((OR(tbal[[#This Row],[X]]=3,tbal[[#This Row],[X]]=4)),tbal[[#This Row],[ACREEDOR]],0)</f>
        <v>0</v>
      </c>
      <c r="M715" s="16">
        <f>IF((OR(tbal[[#This Row],[X]]=0,tbal[[#This Row],[X]]=6)),tbal[[#This Row],[DEUDOR]],0)</f>
        <v>0</v>
      </c>
      <c r="N715" s="18">
        <f>IF((OR(tbal[[#This Row],[X]]=0,tbal[[#This Row],[X]]=5)),tbal[[#This Row],[ACREEDOR]],0)</f>
        <v>0</v>
      </c>
    </row>
    <row r="716" spans="1:14" hidden="1" x14ac:dyDescent="0.3">
      <c r="A716" s="14">
        <f>+'PLAN DE CUENTAS'!A716</f>
        <v>0</v>
      </c>
      <c r="B716" s="13">
        <f>+'PLAN DE CUENTAS'!B716</f>
        <v>0</v>
      </c>
      <c r="C716" s="13">
        <f>+'PLAN DE CUENTAS'!C716</f>
        <v>0</v>
      </c>
      <c r="D716" t="str">
        <f>IF(tbal[[#This Row],[DEBE]]+tbal[[#This Row],[HABER]]=0,"","X")</f>
        <v/>
      </c>
      <c r="E716" s="16">
        <f>SUMIF(tdiario[CUENTA],tbal[[#This Row],[CUENTA]],tdiario[DEBE])</f>
        <v>0</v>
      </c>
      <c r="F716" s="17">
        <f>SUMIF(tdiario[CUENTA],tbal[[#This Row],[CUENTA]],tdiario[HABER])</f>
        <v>0</v>
      </c>
      <c r="G716" s="16">
        <f>IF(tbal[[#This Row],[DEBE]]-tbal[[#This Row],[HABER]]&gt;0,tbal[[#This Row],[DEBE]]-tbal[[#This Row],[HABER]],0)</f>
        <v>0</v>
      </c>
      <c r="H716" s="18">
        <f>IF(tbal[[#This Row],[HABER]]-tbal[[#This Row],[DEBE]]&gt;0,tbal[[#This Row],[HABER]]-tbal[[#This Row],[DEBE]],0)</f>
        <v>0</v>
      </c>
      <c r="I716" s="16">
        <f>IF((OR(tbal[[#This Row],[X]]=1,tbal[[#This Row],[X]]=2)),tbal[[#This Row],[DEUDOR]],0)</f>
        <v>0</v>
      </c>
      <c r="J716" s="18">
        <f>IF((OR(tbal[[#This Row],[X]]=2,tbal[[#This Row],[X]]=3)),tbal[[#This Row],[ACREEDOR]],0)</f>
        <v>0</v>
      </c>
      <c r="K716" s="16">
        <f>IF((OR(tbal[[#This Row],[X]]=3,tbal[[#This Row],[X]]=5)),tbal[[#This Row],[DEUDOR]],0)</f>
        <v>0</v>
      </c>
      <c r="L716" s="18">
        <f>IF((OR(tbal[[#This Row],[X]]=3,tbal[[#This Row],[X]]=4)),tbal[[#This Row],[ACREEDOR]],0)</f>
        <v>0</v>
      </c>
      <c r="M716" s="16">
        <f>IF((OR(tbal[[#This Row],[X]]=0,tbal[[#This Row],[X]]=6)),tbal[[#This Row],[DEUDOR]],0)</f>
        <v>0</v>
      </c>
      <c r="N716" s="18">
        <f>IF((OR(tbal[[#This Row],[X]]=0,tbal[[#This Row],[X]]=5)),tbal[[#This Row],[ACREEDOR]],0)</f>
        <v>0</v>
      </c>
    </row>
    <row r="717" spans="1:14" hidden="1" x14ac:dyDescent="0.3">
      <c r="A717" s="14">
        <f>+'PLAN DE CUENTAS'!A717</f>
        <v>0</v>
      </c>
      <c r="B717" s="13">
        <f>+'PLAN DE CUENTAS'!B717</f>
        <v>0</v>
      </c>
      <c r="C717" s="13">
        <f>+'PLAN DE CUENTAS'!C717</f>
        <v>0</v>
      </c>
      <c r="D717" t="str">
        <f>IF(tbal[[#This Row],[DEBE]]+tbal[[#This Row],[HABER]]=0,"","X")</f>
        <v/>
      </c>
      <c r="E717" s="16">
        <f>SUMIF(tdiario[CUENTA],tbal[[#This Row],[CUENTA]],tdiario[DEBE])</f>
        <v>0</v>
      </c>
      <c r="F717" s="17">
        <f>SUMIF(tdiario[CUENTA],tbal[[#This Row],[CUENTA]],tdiario[HABER])</f>
        <v>0</v>
      </c>
      <c r="G717" s="16">
        <f>IF(tbal[[#This Row],[DEBE]]-tbal[[#This Row],[HABER]]&gt;0,tbal[[#This Row],[DEBE]]-tbal[[#This Row],[HABER]],0)</f>
        <v>0</v>
      </c>
      <c r="H717" s="18">
        <f>IF(tbal[[#This Row],[HABER]]-tbal[[#This Row],[DEBE]]&gt;0,tbal[[#This Row],[HABER]]-tbal[[#This Row],[DEBE]],0)</f>
        <v>0</v>
      </c>
      <c r="I717" s="16">
        <f>IF((OR(tbal[[#This Row],[X]]=1,tbal[[#This Row],[X]]=2)),tbal[[#This Row],[DEUDOR]],0)</f>
        <v>0</v>
      </c>
      <c r="J717" s="18">
        <f>IF((OR(tbal[[#This Row],[X]]=2,tbal[[#This Row],[X]]=3)),tbal[[#This Row],[ACREEDOR]],0)</f>
        <v>0</v>
      </c>
      <c r="K717" s="16">
        <f>IF((OR(tbal[[#This Row],[X]]=3,tbal[[#This Row],[X]]=5)),tbal[[#This Row],[DEUDOR]],0)</f>
        <v>0</v>
      </c>
      <c r="L717" s="18">
        <f>IF((OR(tbal[[#This Row],[X]]=3,tbal[[#This Row],[X]]=4)),tbal[[#This Row],[ACREEDOR]],0)</f>
        <v>0</v>
      </c>
      <c r="M717" s="16">
        <f>IF((OR(tbal[[#This Row],[X]]=0,tbal[[#This Row],[X]]=6)),tbal[[#This Row],[DEUDOR]],0)</f>
        <v>0</v>
      </c>
      <c r="N717" s="18">
        <f>IF((OR(tbal[[#This Row],[X]]=0,tbal[[#This Row],[X]]=5)),tbal[[#This Row],[ACREEDOR]],0)</f>
        <v>0</v>
      </c>
    </row>
    <row r="718" spans="1:14" hidden="1" x14ac:dyDescent="0.3">
      <c r="A718" s="14">
        <f>+'PLAN DE CUENTAS'!A718</f>
        <v>0</v>
      </c>
      <c r="B718" s="13">
        <f>+'PLAN DE CUENTAS'!B718</f>
        <v>0</v>
      </c>
      <c r="C718" s="13">
        <f>+'PLAN DE CUENTAS'!C718</f>
        <v>0</v>
      </c>
      <c r="D718" t="str">
        <f>IF(tbal[[#This Row],[DEBE]]+tbal[[#This Row],[HABER]]=0,"","X")</f>
        <v/>
      </c>
      <c r="E718" s="16">
        <f>SUMIF(tdiario[CUENTA],tbal[[#This Row],[CUENTA]],tdiario[DEBE])</f>
        <v>0</v>
      </c>
      <c r="F718" s="17">
        <f>SUMIF(tdiario[CUENTA],tbal[[#This Row],[CUENTA]],tdiario[HABER])</f>
        <v>0</v>
      </c>
      <c r="G718" s="16">
        <f>IF(tbal[[#This Row],[DEBE]]-tbal[[#This Row],[HABER]]&gt;0,tbal[[#This Row],[DEBE]]-tbal[[#This Row],[HABER]],0)</f>
        <v>0</v>
      </c>
      <c r="H718" s="18">
        <f>IF(tbal[[#This Row],[HABER]]-tbal[[#This Row],[DEBE]]&gt;0,tbal[[#This Row],[HABER]]-tbal[[#This Row],[DEBE]],0)</f>
        <v>0</v>
      </c>
      <c r="I718" s="16">
        <f>IF((OR(tbal[[#This Row],[X]]=1,tbal[[#This Row],[X]]=2)),tbal[[#This Row],[DEUDOR]],0)</f>
        <v>0</v>
      </c>
      <c r="J718" s="18">
        <f>IF((OR(tbal[[#This Row],[X]]=2,tbal[[#This Row],[X]]=3)),tbal[[#This Row],[ACREEDOR]],0)</f>
        <v>0</v>
      </c>
      <c r="K718" s="16">
        <f>IF((OR(tbal[[#This Row],[X]]=3,tbal[[#This Row],[X]]=5)),tbal[[#This Row],[DEUDOR]],0)</f>
        <v>0</v>
      </c>
      <c r="L718" s="18">
        <f>IF((OR(tbal[[#This Row],[X]]=3,tbal[[#This Row],[X]]=4)),tbal[[#This Row],[ACREEDOR]],0)</f>
        <v>0</v>
      </c>
      <c r="M718" s="16">
        <f>IF((OR(tbal[[#This Row],[X]]=0,tbal[[#This Row],[X]]=6)),tbal[[#This Row],[DEUDOR]],0)</f>
        <v>0</v>
      </c>
      <c r="N718" s="18">
        <f>IF((OR(tbal[[#This Row],[X]]=0,tbal[[#This Row],[X]]=5)),tbal[[#This Row],[ACREEDOR]],0)</f>
        <v>0</v>
      </c>
    </row>
    <row r="719" spans="1:14" hidden="1" x14ac:dyDescent="0.3">
      <c r="A719" s="14">
        <f>+'PLAN DE CUENTAS'!A719</f>
        <v>0</v>
      </c>
      <c r="B719" s="13">
        <f>+'PLAN DE CUENTAS'!B719</f>
        <v>0</v>
      </c>
      <c r="C719" s="13">
        <f>+'PLAN DE CUENTAS'!C719</f>
        <v>0</v>
      </c>
      <c r="D719" t="str">
        <f>IF(tbal[[#This Row],[DEBE]]+tbal[[#This Row],[HABER]]=0,"","X")</f>
        <v/>
      </c>
      <c r="E719" s="16">
        <f>SUMIF(tdiario[CUENTA],tbal[[#This Row],[CUENTA]],tdiario[DEBE])</f>
        <v>0</v>
      </c>
      <c r="F719" s="17">
        <f>SUMIF(tdiario[CUENTA],tbal[[#This Row],[CUENTA]],tdiario[HABER])</f>
        <v>0</v>
      </c>
      <c r="G719" s="16">
        <f>IF(tbal[[#This Row],[DEBE]]-tbal[[#This Row],[HABER]]&gt;0,tbal[[#This Row],[DEBE]]-tbal[[#This Row],[HABER]],0)</f>
        <v>0</v>
      </c>
      <c r="H719" s="18">
        <f>IF(tbal[[#This Row],[HABER]]-tbal[[#This Row],[DEBE]]&gt;0,tbal[[#This Row],[HABER]]-tbal[[#This Row],[DEBE]],0)</f>
        <v>0</v>
      </c>
      <c r="I719" s="16">
        <f>IF((OR(tbal[[#This Row],[X]]=1,tbal[[#This Row],[X]]=2)),tbal[[#This Row],[DEUDOR]],0)</f>
        <v>0</v>
      </c>
      <c r="J719" s="18">
        <f>IF((OR(tbal[[#This Row],[X]]=2,tbal[[#This Row],[X]]=3)),tbal[[#This Row],[ACREEDOR]],0)</f>
        <v>0</v>
      </c>
      <c r="K719" s="16">
        <f>IF((OR(tbal[[#This Row],[X]]=3,tbal[[#This Row],[X]]=5)),tbal[[#This Row],[DEUDOR]],0)</f>
        <v>0</v>
      </c>
      <c r="L719" s="18">
        <f>IF((OR(tbal[[#This Row],[X]]=3,tbal[[#This Row],[X]]=4)),tbal[[#This Row],[ACREEDOR]],0)</f>
        <v>0</v>
      </c>
      <c r="M719" s="16">
        <f>IF((OR(tbal[[#This Row],[X]]=0,tbal[[#This Row],[X]]=6)),tbal[[#This Row],[DEUDOR]],0)</f>
        <v>0</v>
      </c>
      <c r="N719" s="18">
        <f>IF((OR(tbal[[#This Row],[X]]=0,tbal[[#This Row],[X]]=5)),tbal[[#This Row],[ACREEDOR]],0)</f>
        <v>0</v>
      </c>
    </row>
    <row r="720" spans="1:14" hidden="1" x14ac:dyDescent="0.3">
      <c r="A720" s="14">
        <f>+'PLAN DE CUENTAS'!A720</f>
        <v>0</v>
      </c>
      <c r="B720" s="13">
        <f>+'PLAN DE CUENTAS'!B720</f>
        <v>0</v>
      </c>
      <c r="C720" s="13">
        <f>+'PLAN DE CUENTAS'!C720</f>
        <v>0</v>
      </c>
      <c r="D720" t="str">
        <f>IF(tbal[[#This Row],[DEBE]]+tbal[[#This Row],[HABER]]=0,"","X")</f>
        <v/>
      </c>
      <c r="E720" s="16">
        <f>SUMIF(tdiario[CUENTA],tbal[[#This Row],[CUENTA]],tdiario[DEBE])</f>
        <v>0</v>
      </c>
      <c r="F720" s="17">
        <f>SUMIF(tdiario[CUENTA],tbal[[#This Row],[CUENTA]],tdiario[HABER])</f>
        <v>0</v>
      </c>
      <c r="G720" s="16">
        <f>IF(tbal[[#This Row],[DEBE]]-tbal[[#This Row],[HABER]]&gt;0,tbal[[#This Row],[DEBE]]-tbal[[#This Row],[HABER]],0)</f>
        <v>0</v>
      </c>
      <c r="H720" s="18">
        <f>IF(tbal[[#This Row],[HABER]]-tbal[[#This Row],[DEBE]]&gt;0,tbal[[#This Row],[HABER]]-tbal[[#This Row],[DEBE]],0)</f>
        <v>0</v>
      </c>
      <c r="I720" s="16">
        <f>IF((OR(tbal[[#This Row],[X]]=1,tbal[[#This Row],[X]]=2)),tbal[[#This Row],[DEUDOR]],0)</f>
        <v>0</v>
      </c>
      <c r="J720" s="18">
        <f>IF((OR(tbal[[#This Row],[X]]=2,tbal[[#This Row],[X]]=3)),tbal[[#This Row],[ACREEDOR]],0)</f>
        <v>0</v>
      </c>
      <c r="K720" s="16">
        <f>IF((OR(tbal[[#This Row],[X]]=3,tbal[[#This Row],[X]]=5)),tbal[[#This Row],[DEUDOR]],0)</f>
        <v>0</v>
      </c>
      <c r="L720" s="18">
        <f>IF((OR(tbal[[#This Row],[X]]=3,tbal[[#This Row],[X]]=4)),tbal[[#This Row],[ACREEDOR]],0)</f>
        <v>0</v>
      </c>
      <c r="M720" s="16">
        <f>IF((OR(tbal[[#This Row],[X]]=0,tbal[[#This Row],[X]]=6)),tbal[[#This Row],[DEUDOR]],0)</f>
        <v>0</v>
      </c>
      <c r="N720" s="18">
        <f>IF((OR(tbal[[#This Row],[X]]=0,tbal[[#This Row],[X]]=5)),tbal[[#This Row],[ACREEDOR]],0)</f>
        <v>0</v>
      </c>
    </row>
    <row r="721" spans="1:14" hidden="1" x14ac:dyDescent="0.3">
      <c r="A721" s="14">
        <f>+'PLAN DE CUENTAS'!A721</f>
        <v>0</v>
      </c>
      <c r="B721" s="13">
        <f>+'PLAN DE CUENTAS'!B721</f>
        <v>0</v>
      </c>
      <c r="C721" s="13">
        <f>+'PLAN DE CUENTAS'!C721</f>
        <v>0</v>
      </c>
      <c r="D721" t="str">
        <f>IF(tbal[[#This Row],[DEBE]]+tbal[[#This Row],[HABER]]=0,"","X")</f>
        <v/>
      </c>
      <c r="E721" s="16">
        <f>SUMIF(tdiario[CUENTA],tbal[[#This Row],[CUENTA]],tdiario[DEBE])</f>
        <v>0</v>
      </c>
      <c r="F721" s="17">
        <f>SUMIF(tdiario[CUENTA],tbal[[#This Row],[CUENTA]],tdiario[HABER])</f>
        <v>0</v>
      </c>
      <c r="G721" s="16">
        <f>IF(tbal[[#This Row],[DEBE]]-tbal[[#This Row],[HABER]]&gt;0,tbal[[#This Row],[DEBE]]-tbal[[#This Row],[HABER]],0)</f>
        <v>0</v>
      </c>
      <c r="H721" s="18">
        <f>IF(tbal[[#This Row],[HABER]]-tbal[[#This Row],[DEBE]]&gt;0,tbal[[#This Row],[HABER]]-tbal[[#This Row],[DEBE]],0)</f>
        <v>0</v>
      </c>
      <c r="I721" s="16">
        <f>IF((OR(tbal[[#This Row],[X]]=1,tbal[[#This Row],[X]]=2)),tbal[[#This Row],[DEUDOR]],0)</f>
        <v>0</v>
      </c>
      <c r="J721" s="18">
        <f>IF((OR(tbal[[#This Row],[X]]=2,tbal[[#This Row],[X]]=3)),tbal[[#This Row],[ACREEDOR]],0)</f>
        <v>0</v>
      </c>
      <c r="K721" s="16">
        <f>IF((OR(tbal[[#This Row],[X]]=3,tbal[[#This Row],[X]]=5)),tbal[[#This Row],[DEUDOR]],0)</f>
        <v>0</v>
      </c>
      <c r="L721" s="18">
        <f>IF((OR(tbal[[#This Row],[X]]=3,tbal[[#This Row],[X]]=4)),tbal[[#This Row],[ACREEDOR]],0)</f>
        <v>0</v>
      </c>
      <c r="M721" s="16">
        <f>IF((OR(tbal[[#This Row],[X]]=0,tbal[[#This Row],[X]]=6)),tbal[[#This Row],[DEUDOR]],0)</f>
        <v>0</v>
      </c>
      <c r="N721" s="18">
        <f>IF((OR(tbal[[#This Row],[X]]=0,tbal[[#This Row],[X]]=5)),tbal[[#This Row],[ACREEDOR]],0)</f>
        <v>0</v>
      </c>
    </row>
    <row r="722" spans="1:14" hidden="1" x14ac:dyDescent="0.3">
      <c r="A722" s="14">
        <f>+'PLAN DE CUENTAS'!A722</f>
        <v>0</v>
      </c>
      <c r="B722" s="13">
        <f>+'PLAN DE CUENTAS'!B722</f>
        <v>0</v>
      </c>
      <c r="C722" s="13">
        <f>+'PLAN DE CUENTAS'!C722</f>
        <v>0</v>
      </c>
      <c r="D722" t="str">
        <f>IF(tbal[[#This Row],[DEBE]]+tbal[[#This Row],[HABER]]=0,"","X")</f>
        <v/>
      </c>
      <c r="E722" s="16">
        <f>SUMIF(tdiario[CUENTA],tbal[[#This Row],[CUENTA]],tdiario[DEBE])</f>
        <v>0</v>
      </c>
      <c r="F722" s="17">
        <f>SUMIF(tdiario[CUENTA],tbal[[#This Row],[CUENTA]],tdiario[HABER])</f>
        <v>0</v>
      </c>
      <c r="G722" s="16">
        <f>IF(tbal[[#This Row],[DEBE]]-tbal[[#This Row],[HABER]]&gt;0,tbal[[#This Row],[DEBE]]-tbal[[#This Row],[HABER]],0)</f>
        <v>0</v>
      </c>
      <c r="H722" s="18">
        <f>IF(tbal[[#This Row],[HABER]]-tbal[[#This Row],[DEBE]]&gt;0,tbal[[#This Row],[HABER]]-tbal[[#This Row],[DEBE]],0)</f>
        <v>0</v>
      </c>
      <c r="I722" s="16">
        <f>IF((OR(tbal[[#This Row],[X]]=1,tbal[[#This Row],[X]]=2)),tbal[[#This Row],[DEUDOR]],0)</f>
        <v>0</v>
      </c>
      <c r="J722" s="18">
        <f>IF((OR(tbal[[#This Row],[X]]=2,tbal[[#This Row],[X]]=3)),tbal[[#This Row],[ACREEDOR]],0)</f>
        <v>0</v>
      </c>
      <c r="K722" s="16">
        <f>IF((OR(tbal[[#This Row],[X]]=3,tbal[[#This Row],[X]]=5)),tbal[[#This Row],[DEUDOR]],0)</f>
        <v>0</v>
      </c>
      <c r="L722" s="18">
        <f>IF((OR(tbal[[#This Row],[X]]=3,tbal[[#This Row],[X]]=4)),tbal[[#This Row],[ACREEDOR]],0)</f>
        <v>0</v>
      </c>
      <c r="M722" s="16">
        <f>IF((OR(tbal[[#This Row],[X]]=0,tbal[[#This Row],[X]]=6)),tbal[[#This Row],[DEUDOR]],0)</f>
        <v>0</v>
      </c>
      <c r="N722" s="18">
        <f>IF((OR(tbal[[#This Row],[X]]=0,tbal[[#This Row],[X]]=5)),tbal[[#This Row],[ACREEDOR]],0)</f>
        <v>0</v>
      </c>
    </row>
    <row r="723" spans="1:14" hidden="1" x14ac:dyDescent="0.3">
      <c r="A723" s="14">
        <f>+'PLAN DE CUENTAS'!A723</f>
        <v>0</v>
      </c>
      <c r="B723" s="13">
        <f>+'PLAN DE CUENTAS'!B723</f>
        <v>0</v>
      </c>
      <c r="C723" s="13">
        <f>+'PLAN DE CUENTAS'!C723</f>
        <v>0</v>
      </c>
      <c r="D723" t="str">
        <f>IF(tbal[[#This Row],[DEBE]]+tbal[[#This Row],[HABER]]=0,"","X")</f>
        <v/>
      </c>
      <c r="E723" s="16">
        <f>SUMIF(tdiario[CUENTA],tbal[[#This Row],[CUENTA]],tdiario[DEBE])</f>
        <v>0</v>
      </c>
      <c r="F723" s="17">
        <f>SUMIF(tdiario[CUENTA],tbal[[#This Row],[CUENTA]],tdiario[HABER])</f>
        <v>0</v>
      </c>
      <c r="G723" s="16">
        <f>IF(tbal[[#This Row],[DEBE]]-tbal[[#This Row],[HABER]]&gt;0,tbal[[#This Row],[DEBE]]-tbal[[#This Row],[HABER]],0)</f>
        <v>0</v>
      </c>
      <c r="H723" s="18">
        <f>IF(tbal[[#This Row],[HABER]]-tbal[[#This Row],[DEBE]]&gt;0,tbal[[#This Row],[HABER]]-tbal[[#This Row],[DEBE]],0)</f>
        <v>0</v>
      </c>
      <c r="I723" s="16">
        <f>IF((OR(tbal[[#This Row],[X]]=1,tbal[[#This Row],[X]]=2)),tbal[[#This Row],[DEUDOR]],0)</f>
        <v>0</v>
      </c>
      <c r="J723" s="18">
        <f>IF((OR(tbal[[#This Row],[X]]=2,tbal[[#This Row],[X]]=3)),tbal[[#This Row],[ACREEDOR]],0)</f>
        <v>0</v>
      </c>
      <c r="K723" s="16">
        <f>IF((OR(tbal[[#This Row],[X]]=3,tbal[[#This Row],[X]]=5)),tbal[[#This Row],[DEUDOR]],0)</f>
        <v>0</v>
      </c>
      <c r="L723" s="18">
        <f>IF((OR(tbal[[#This Row],[X]]=3,tbal[[#This Row],[X]]=4)),tbal[[#This Row],[ACREEDOR]],0)</f>
        <v>0</v>
      </c>
      <c r="M723" s="16">
        <f>IF((OR(tbal[[#This Row],[X]]=0,tbal[[#This Row],[X]]=6)),tbal[[#This Row],[DEUDOR]],0)</f>
        <v>0</v>
      </c>
      <c r="N723" s="18">
        <f>IF((OR(tbal[[#This Row],[X]]=0,tbal[[#This Row],[X]]=5)),tbal[[#This Row],[ACREEDOR]],0)</f>
        <v>0</v>
      </c>
    </row>
    <row r="724" spans="1:14" hidden="1" x14ac:dyDescent="0.3">
      <c r="A724" s="14">
        <f>+'PLAN DE CUENTAS'!A724</f>
        <v>0</v>
      </c>
      <c r="B724" s="13">
        <f>+'PLAN DE CUENTAS'!B724</f>
        <v>0</v>
      </c>
      <c r="C724" s="13">
        <f>+'PLAN DE CUENTAS'!C724</f>
        <v>0</v>
      </c>
      <c r="D724" t="str">
        <f>IF(tbal[[#This Row],[DEBE]]+tbal[[#This Row],[HABER]]=0,"","X")</f>
        <v/>
      </c>
      <c r="E724" s="16">
        <f>SUMIF(tdiario[CUENTA],tbal[[#This Row],[CUENTA]],tdiario[DEBE])</f>
        <v>0</v>
      </c>
      <c r="F724" s="17">
        <f>SUMIF(tdiario[CUENTA],tbal[[#This Row],[CUENTA]],tdiario[HABER])</f>
        <v>0</v>
      </c>
      <c r="G724" s="16">
        <f>IF(tbal[[#This Row],[DEBE]]-tbal[[#This Row],[HABER]]&gt;0,tbal[[#This Row],[DEBE]]-tbal[[#This Row],[HABER]],0)</f>
        <v>0</v>
      </c>
      <c r="H724" s="18">
        <f>IF(tbal[[#This Row],[HABER]]-tbal[[#This Row],[DEBE]]&gt;0,tbal[[#This Row],[HABER]]-tbal[[#This Row],[DEBE]],0)</f>
        <v>0</v>
      </c>
      <c r="I724" s="16">
        <f>IF((OR(tbal[[#This Row],[X]]=1,tbal[[#This Row],[X]]=2)),tbal[[#This Row],[DEUDOR]],0)</f>
        <v>0</v>
      </c>
      <c r="J724" s="18">
        <f>IF((OR(tbal[[#This Row],[X]]=2,tbal[[#This Row],[X]]=3)),tbal[[#This Row],[ACREEDOR]],0)</f>
        <v>0</v>
      </c>
      <c r="K724" s="16">
        <f>IF((OR(tbal[[#This Row],[X]]=3,tbal[[#This Row],[X]]=5)),tbal[[#This Row],[DEUDOR]],0)</f>
        <v>0</v>
      </c>
      <c r="L724" s="18">
        <f>IF((OR(tbal[[#This Row],[X]]=3,tbal[[#This Row],[X]]=4)),tbal[[#This Row],[ACREEDOR]],0)</f>
        <v>0</v>
      </c>
      <c r="M724" s="16">
        <f>IF((OR(tbal[[#This Row],[X]]=0,tbal[[#This Row],[X]]=6)),tbal[[#This Row],[DEUDOR]],0)</f>
        <v>0</v>
      </c>
      <c r="N724" s="18">
        <f>IF((OR(tbal[[#This Row],[X]]=0,tbal[[#This Row],[X]]=5)),tbal[[#This Row],[ACREEDOR]],0)</f>
        <v>0</v>
      </c>
    </row>
    <row r="725" spans="1:14" hidden="1" x14ac:dyDescent="0.3">
      <c r="A725" s="14">
        <f>+'PLAN DE CUENTAS'!A725</f>
        <v>0</v>
      </c>
      <c r="B725" s="13">
        <f>+'PLAN DE CUENTAS'!B725</f>
        <v>0</v>
      </c>
      <c r="C725" s="13">
        <f>+'PLAN DE CUENTAS'!C725</f>
        <v>0</v>
      </c>
      <c r="D725" t="str">
        <f>IF(tbal[[#This Row],[DEBE]]+tbal[[#This Row],[HABER]]=0,"","X")</f>
        <v/>
      </c>
      <c r="E725" s="16">
        <f>SUMIF(tdiario[CUENTA],tbal[[#This Row],[CUENTA]],tdiario[DEBE])</f>
        <v>0</v>
      </c>
      <c r="F725" s="17">
        <f>SUMIF(tdiario[CUENTA],tbal[[#This Row],[CUENTA]],tdiario[HABER])</f>
        <v>0</v>
      </c>
      <c r="G725" s="16">
        <f>IF(tbal[[#This Row],[DEBE]]-tbal[[#This Row],[HABER]]&gt;0,tbal[[#This Row],[DEBE]]-tbal[[#This Row],[HABER]],0)</f>
        <v>0</v>
      </c>
      <c r="H725" s="18">
        <f>IF(tbal[[#This Row],[HABER]]-tbal[[#This Row],[DEBE]]&gt;0,tbal[[#This Row],[HABER]]-tbal[[#This Row],[DEBE]],0)</f>
        <v>0</v>
      </c>
      <c r="I725" s="16">
        <f>IF((OR(tbal[[#This Row],[X]]=1,tbal[[#This Row],[X]]=2)),tbal[[#This Row],[DEUDOR]],0)</f>
        <v>0</v>
      </c>
      <c r="J725" s="18">
        <f>IF((OR(tbal[[#This Row],[X]]=2,tbal[[#This Row],[X]]=3)),tbal[[#This Row],[ACREEDOR]],0)</f>
        <v>0</v>
      </c>
      <c r="K725" s="16">
        <f>IF((OR(tbal[[#This Row],[X]]=3,tbal[[#This Row],[X]]=5)),tbal[[#This Row],[DEUDOR]],0)</f>
        <v>0</v>
      </c>
      <c r="L725" s="18">
        <f>IF((OR(tbal[[#This Row],[X]]=3,tbal[[#This Row],[X]]=4)),tbal[[#This Row],[ACREEDOR]],0)</f>
        <v>0</v>
      </c>
      <c r="M725" s="16">
        <f>IF((OR(tbal[[#This Row],[X]]=0,tbal[[#This Row],[X]]=6)),tbal[[#This Row],[DEUDOR]],0)</f>
        <v>0</v>
      </c>
      <c r="N725" s="18">
        <f>IF((OR(tbal[[#This Row],[X]]=0,tbal[[#This Row],[X]]=5)),tbal[[#This Row],[ACREEDOR]],0)</f>
        <v>0</v>
      </c>
    </row>
    <row r="726" spans="1:14" hidden="1" x14ac:dyDescent="0.3">
      <c r="A726" s="14">
        <f>+'PLAN DE CUENTAS'!A726</f>
        <v>0</v>
      </c>
      <c r="B726" s="13">
        <f>+'PLAN DE CUENTAS'!B726</f>
        <v>0</v>
      </c>
      <c r="C726" s="13">
        <f>+'PLAN DE CUENTAS'!C726</f>
        <v>0</v>
      </c>
      <c r="D726" t="str">
        <f>IF(tbal[[#This Row],[DEBE]]+tbal[[#This Row],[HABER]]=0,"","X")</f>
        <v/>
      </c>
      <c r="E726" s="16">
        <f>SUMIF(tdiario[CUENTA],tbal[[#This Row],[CUENTA]],tdiario[DEBE])</f>
        <v>0</v>
      </c>
      <c r="F726" s="17">
        <f>SUMIF(tdiario[CUENTA],tbal[[#This Row],[CUENTA]],tdiario[HABER])</f>
        <v>0</v>
      </c>
      <c r="G726" s="16">
        <f>IF(tbal[[#This Row],[DEBE]]-tbal[[#This Row],[HABER]]&gt;0,tbal[[#This Row],[DEBE]]-tbal[[#This Row],[HABER]],0)</f>
        <v>0</v>
      </c>
      <c r="H726" s="18">
        <f>IF(tbal[[#This Row],[HABER]]-tbal[[#This Row],[DEBE]]&gt;0,tbal[[#This Row],[HABER]]-tbal[[#This Row],[DEBE]],0)</f>
        <v>0</v>
      </c>
      <c r="I726" s="16">
        <f>IF((OR(tbal[[#This Row],[X]]=1,tbal[[#This Row],[X]]=2)),tbal[[#This Row],[DEUDOR]],0)</f>
        <v>0</v>
      </c>
      <c r="J726" s="18">
        <f>IF((OR(tbal[[#This Row],[X]]=2,tbal[[#This Row],[X]]=3)),tbal[[#This Row],[ACREEDOR]],0)</f>
        <v>0</v>
      </c>
      <c r="K726" s="16">
        <f>IF((OR(tbal[[#This Row],[X]]=3,tbal[[#This Row],[X]]=5)),tbal[[#This Row],[DEUDOR]],0)</f>
        <v>0</v>
      </c>
      <c r="L726" s="18">
        <f>IF((OR(tbal[[#This Row],[X]]=3,tbal[[#This Row],[X]]=4)),tbal[[#This Row],[ACREEDOR]],0)</f>
        <v>0</v>
      </c>
      <c r="M726" s="16">
        <f>IF((OR(tbal[[#This Row],[X]]=0,tbal[[#This Row],[X]]=6)),tbal[[#This Row],[DEUDOR]],0)</f>
        <v>0</v>
      </c>
      <c r="N726" s="18">
        <f>IF((OR(tbal[[#This Row],[X]]=0,tbal[[#This Row],[X]]=5)),tbal[[#This Row],[ACREEDOR]],0)</f>
        <v>0</v>
      </c>
    </row>
    <row r="727" spans="1:14" hidden="1" x14ac:dyDescent="0.3">
      <c r="A727" s="14">
        <f>+'PLAN DE CUENTAS'!A727</f>
        <v>0</v>
      </c>
      <c r="B727" s="13">
        <f>+'PLAN DE CUENTAS'!B727</f>
        <v>0</v>
      </c>
      <c r="C727" s="13">
        <f>+'PLAN DE CUENTAS'!C727</f>
        <v>0</v>
      </c>
      <c r="D727" t="str">
        <f>IF(tbal[[#This Row],[DEBE]]+tbal[[#This Row],[HABER]]=0,"","X")</f>
        <v/>
      </c>
      <c r="E727" s="16">
        <f>SUMIF(tdiario[CUENTA],tbal[[#This Row],[CUENTA]],tdiario[DEBE])</f>
        <v>0</v>
      </c>
      <c r="F727" s="17">
        <f>SUMIF(tdiario[CUENTA],tbal[[#This Row],[CUENTA]],tdiario[HABER])</f>
        <v>0</v>
      </c>
      <c r="G727" s="16">
        <f>IF(tbal[[#This Row],[DEBE]]-tbal[[#This Row],[HABER]]&gt;0,tbal[[#This Row],[DEBE]]-tbal[[#This Row],[HABER]],0)</f>
        <v>0</v>
      </c>
      <c r="H727" s="18">
        <f>IF(tbal[[#This Row],[HABER]]-tbal[[#This Row],[DEBE]]&gt;0,tbal[[#This Row],[HABER]]-tbal[[#This Row],[DEBE]],0)</f>
        <v>0</v>
      </c>
      <c r="I727" s="16">
        <f>IF((OR(tbal[[#This Row],[X]]=1,tbal[[#This Row],[X]]=2)),tbal[[#This Row],[DEUDOR]],0)</f>
        <v>0</v>
      </c>
      <c r="J727" s="18">
        <f>IF((OR(tbal[[#This Row],[X]]=2,tbal[[#This Row],[X]]=3)),tbal[[#This Row],[ACREEDOR]],0)</f>
        <v>0</v>
      </c>
      <c r="K727" s="16">
        <f>IF((OR(tbal[[#This Row],[X]]=3,tbal[[#This Row],[X]]=5)),tbal[[#This Row],[DEUDOR]],0)</f>
        <v>0</v>
      </c>
      <c r="L727" s="18">
        <f>IF((OR(tbal[[#This Row],[X]]=3,tbal[[#This Row],[X]]=4)),tbal[[#This Row],[ACREEDOR]],0)</f>
        <v>0</v>
      </c>
      <c r="M727" s="16">
        <f>IF((OR(tbal[[#This Row],[X]]=0,tbal[[#This Row],[X]]=6)),tbal[[#This Row],[DEUDOR]],0)</f>
        <v>0</v>
      </c>
      <c r="N727" s="18">
        <f>IF((OR(tbal[[#This Row],[X]]=0,tbal[[#This Row],[X]]=5)),tbal[[#This Row],[ACREEDOR]],0)</f>
        <v>0</v>
      </c>
    </row>
    <row r="728" spans="1:14" hidden="1" x14ac:dyDescent="0.3">
      <c r="A728" s="14">
        <f>+'PLAN DE CUENTAS'!A728</f>
        <v>0</v>
      </c>
      <c r="B728" s="13">
        <f>+'PLAN DE CUENTAS'!B728</f>
        <v>0</v>
      </c>
      <c r="C728" s="13">
        <f>+'PLAN DE CUENTAS'!C728</f>
        <v>0</v>
      </c>
      <c r="D728" t="str">
        <f>IF(tbal[[#This Row],[DEBE]]+tbal[[#This Row],[HABER]]=0,"","X")</f>
        <v/>
      </c>
      <c r="E728" s="16">
        <f>SUMIF(tdiario[CUENTA],tbal[[#This Row],[CUENTA]],tdiario[DEBE])</f>
        <v>0</v>
      </c>
      <c r="F728" s="17">
        <f>SUMIF(tdiario[CUENTA],tbal[[#This Row],[CUENTA]],tdiario[HABER])</f>
        <v>0</v>
      </c>
      <c r="G728" s="16">
        <f>IF(tbal[[#This Row],[DEBE]]-tbal[[#This Row],[HABER]]&gt;0,tbal[[#This Row],[DEBE]]-tbal[[#This Row],[HABER]],0)</f>
        <v>0</v>
      </c>
      <c r="H728" s="18">
        <f>IF(tbal[[#This Row],[HABER]]-tbal[[#This Row],[DEBE]]&gt;0,tbal[[#This Row],[HABER]]-tbal[[#This Row],[DEBE]],0)</f>
        <v>0</v>
      </c>
      <c r="I728" s="16">
        <f>IF((OR(tbal[[#This Row],[X]]=1,tbal[[#This Row],[X]]=2)),tbal[[#This Row],[DEUDOR]],0)</f>
        <v>0</v>
      </c>
      <c r="J728" s="18">
        <f>IF((OR(tbal[[#This Row],[X]]=2,tbal[[#This Row],[X]]=3)),tbal[[#This Row],[ACREEDOR]],0)</f>
        <v>0</v>
      </c>
      <c r="K728" s="16">
        <f>IF((OR(tbal[[#This Row],[X]]=3,tbal[[#This Row],[X]]=5)),tbal[[#This Row],[DEUDOR]],0)</f>
        <v>0</v>
      </c>
      <c r="L728" s="18">
        <f>IF((OR(tbal[[#This Row],[X]]=3,tbal[[#This Row],[X]]=4)),tbal[[#This Row],[ACREEDOR]],0)</f>
        <v>0</v>
      </c>
      <c r="M728" s="16">
        <f>IF((OR(tbal[[#This Row],[X]]=0,tbal[[#This Row],[X]]=6)),tbal[[#This Row],[DEUDOR]],0)</f>
        <v>0</v>
      </c>
      <c r="N728" s="18">
        <f>IF((OR(tbal[[#This Row],[X]]=0,tbal[[#This Row],[X]]=5)),tbal[[#This Row],[ACREEDOR]],0)</f>
        <v>0</v>
      </c>
    </row>
    <row r="729" spans="1:14" hidden="1" x14ac:dyDescent="0.3">
      <c r="A729" s="14">
        <f>+'PLAN DE CUENTAS'!A729</f>
        <v>0</v>
      </c>
      <c r="B729" s="13">
        <f>+'PLAN DE CUENTAS'!B729</f>
        <v>0</v>
      </c>
      <c r="C729" s="13">
        <f>+'PLAN DE CUENTAS'!C729</f>
        <v>0</v>
      </c>
      <c r="D729" t="str">
        <f>IF(tbal[[#This Row],[DEBE]]+tbal[[#This Row],[HABER]]=0,"","X")</f>
        <v/>
      </c>
      <c r="E729" s="16">
        <f>SUMIF(tdiario[CUENTA],tbal[[#This Row],[CUENTA]],tdiario[DEBE])</f>
        <v>0</v>
      </c>
      <c r="F729" s="17">
        <f>SUMIF(tdiario[CUENTA],tbal[[#This Row],[CUENTA]],tdiario[HABER])</f>
        <v>0</v>
      </c>
      <c r="G729" s="16">
        <f>IF(tbal[[#This Row],[DEBE]]-tbal[[#This Row],[HABER]]&gt;0,tbal[[#This Row],[DEBE]]-tbal[[#This Row],[HABER]],0)</f>
        <v>0</v>
      </c>
      <c r="H729" s="18">
        <f>IF(tbal[[#This Row],[HABER]]-tbal[[#This Row],[DEBE]]&gt;0,tbal[[#This Row],[HABER]]-tbal[[#This Row],[DEBE]],0)</f>
        <v>0</v>
      </c>
      <c r="I729" s="16">
        <f>IF((OR(tbal[[#This Row],[X]]=1,tbal[[#This Row],[X]]=2)),tbal[[#This Row],[DEUDOR]],0)</f>
        <v>0</v>
      </c>
      <c r="J729" s="18">
        <f>IF((OR(tbal[[#This Row],[X]]=2,tbal[[#This Row],[X]]=3)),tbal[[#This Row],[ACREEDOR]],0)</f>
        <v>0</v>
      </c>
      <c r="K729" s="16">
        <f>IF((OR(tbal[[#This Row],[X]]=3,tbal[[#This Row],[X]]=5)),tbal[[#This Row],[DEUDOR]],0)</f>
        <v>0</v>
      </c>
      <c r="L729" s="18">
        <f>IF((OR(tbal[[#This Row],[X]]=3,tbal[[#This Row],[X]]=4)),tbal[[#This Row],[ACREEDOR]],0)</f>
        <v>0</v>
      </c>
      <c r="M729" s="16">
        <f>IF((OR(tbal[[#This Row],[X]]=0,tbal[[#This Row],[X]]=6)),tbal[[#This Row],[DEUDOR]],0)</f>
        <v>0</v>
      </c>
      <c r="N729" s="18">
        <f>IF((OR(tbal[[#This Row],[X]]=0,tbal[[#This Row],[X]]=5)),tbal[[#This Row],[ACREEDOR]],0)</f>
        <v>0</v>
      </c>
    </row>
    <row r="730" spans="1:14" hidden="1" x14ac:dyDescent="0.3">
      <c r="A730" s="14">
        <f>+'PLAN DE CUENTAS'!A730</f>
        <v>0</v>
      </c>
      <c r="B730" s="13">
        <f>+'PLAN DE CUENTAS'!B730</f>
        <v>0</v>
      </c>
      <c r="C730" s="13">
        <f>+'PLAN DE CUENTAS'!C730</f>
        <v>0</v>
      </c>
      <c r="D730" t="str">
        <f>IF(tbal[[#This Row],[DEBE]]+tbal[[#This Row],[HABER]]=0,"","X")</f>
        <v/>
      </c>
      <c r="E730" s="16">
        <f>SUMIF(tdiario[CUENTA],tbal[[#This Row],[CUENTA]],tdiario[DEBE])</f>
        <v>0</v>
      </c>
      <c r="F730" s="17">
        <f>SUMIF(tdiario[CUENTA],tbal[[#This Row],[CUENTA]],tdiario[HABER])</f>
        <v>0</v>
      </c>
      <c r="G730" s="16">
        <f>IF(tbal[[#This Row],[DEBE]]-tbal[[#This Row],[HABER]]&gt;0,tbal[[#This Row],[DEBE]]-tbal[[#This Row],[HABER]],0)</f>
        <v>0</v>
      </c>
      <c r="H730" s="18">
        <f>IF(tbal[[#This Row],[HABER]]-tbal[[#This Row],[DEBE]]&gt;0,tbal[[#This Row],[HABER]]-tbal[[#This Row],[DEBE]],0)</f>
        <v>0</v>
      </c>
      <c r="I730" s="16">
        <f>IF((OR(tbal[[#This Row],[X]]=1,tbal[[#This Row],[X]]=2)),tbal[[#This Row],[DEUDOR]],0)</f>
        <v>0</v>
      </c>
      <c r="J730" s="18">
        <f>IF((OR(tbal[[#This Row],[X]]=2,tbal[[#This Row],[X]]=3)),tbal[[#This Row],[ACREEDOR]],0)</f>
        <v>0</v>
      </c>
      <c r="K730" s="16">
        <f>IF((OR(tbal[[#This Row],[X]]=3,tbal[[#This Row],[X]]=5)),tbal[[#This Row],[DEUDOR]],0)</f>
        <v>0</v>
      </c>
      <c r="L730" s="18">
        <f>IF((OR(tbal[[#This Row],[X]]=3,tbal[[#This Row],[X]]=4)),tbal[[#This Row],[ACREEDOR]],0)</f>
        <v>0</v>
      </c>
      <c r="M730" s="16">
        <f>IF((OR(tbal[[#This Row],[X]]=0,tbal[[#This Row],[X]]=6)),tbal[[#This Row],[DEUDOR]],0)</f>
        <v>0</v>
      </c>
      <c r="N730" s="18">
        <f>IF((OR(tbal[[#This Row],[X]]=0,tbal[[#This Row],[X]]=5)),tbal[[#This Row],[ACREEDOR]],0)</f>
        <v>0</v>
      </c>
    </row>
    <row r="731" spans="1:14" hidden="1" x14ac:dyDescent="0.3">
      <c r="A731" s="14">
        <f>+'PLAN DE CUENTAS'!A731</f>
        <v>0</v>
      </c>
      <c r="B731" s="13">
        <f>+'PLAN DE CUENTAS'!B731</f>
        <v>0</v>
      </c>
      <c r="C731" s="13">
        <f>+'PLAN DE CUENTAS'!C731</f>
        <v>0</v>
      </c>
      <c r="D731" t="str">
        <f>IF(tbal[[#This Row],[DEBE]]+tbal[[#This Row],[HABER]]=0,"","X")</f>
        <v/>
      </c>
      <c r="E731" s="16">
        <f>SUMIF(tdiario[CUENTA],tbal[[#This Row],[CUENTA]],tdiario[DEBE])</f>
        <v>0</v>
      </c>
      <c r="F731" s="17">
        <f>SUMIF(tdiario[CUENTA],tbal[[#This Row],[CUENTA]],tdiario[HABER])</f>
        <v>0</v>
      </c>
      <c r="G731" s="16">
        <f>IF(tbal[[#This Row],[DEBE]]-tbal[[#This Row],[HABER]]&gt;0,tbal[[#This Row],[DEBE]]-tbal[[#This Row],[HABER]],0)</f>
        <v>0</v>
      </c>
      <c r="H731" s="18">
        <f>IF(tbal[[#This Row],[HABER]]-tbal[[#This Row],[DEBE]]&gt;0,tbal[[#This Row],[HABER]]-tbal[[#This Row],[DEBE]],0)</f>
        <v>0</v>
      </c>
      <c r="I731" s="16">
        <f>IF((OR(tbal[[#This Row],[X]]=1,tbal[[#This Row],[X]]=2)),tbal[[#This Row],[DEUDOR]],0)</f>
        <v>0</v>
      </c>
      <c r="J731" s="18">
        <f>IF((OR(tbal[[#This Row],[X]]=2,tbal[[#This Row],[X]]=3)),tbal[[#This Row],[ACREEDOR]],0)</f>
        <v>0</v>
      </c>
      <c r="K731" s="16">
        <f>IF((OR(tbal[[#This Row],[X]]=3,tbal[[#This Row],[X]]=5)),tbal[[#This Row],[DEUDOR]],0)</f>
        <v>0</v>
      </c>
      <c r="L731" s="18">
        <f>IF((OR(tbal[[#This Row],[X]]=3,tbal[[#This Row],[X]]=4)),tbal[[#This Row],[ACREEDOR]],0)</f>
        <v>0</v>
      </c>
      <c r="M731" s="16">
        <f>IF((OR(tbal[[#This Row],[X]]=0,tbal[[#This Row],[X]]=6)),tbal[[#This Row],[DEUDOR]],0)</f>
        <v>0</v>
      </c>
      <c r="N731" s="18">
        <f>IF((OR(tbal[[#This Row],[X]]=0,tbal[[#This Row],[X]]=5)),tbal[[#This Row],[ACREEDOR]],0)</f>
        <v>0</v>
      </c>
    </row>
    <row r="732" spans="1:14" hidden="1" x14ac:dyDescent="0.3">
      <c r="A732" s="14">
        <f>+'PLAN DE CUENTAS'!A732</f>
        <v>0</v>
      </c>
      <c r="B732" s="13">
        <f>+'PLAN DE CUENTAS'!B732</f>
        <v>0</v>
      </c>
      <c r="C732" s="13">
        <f>+'PLAN DE CUENTAS'!C732</f>
        <v>0</v>
      </c>
      <c r="D732" t="str">
        <f>IF(tbal[[#This Row],[DEBE]]+tbal[[#This Row],[HABER]]=0,"","X")</f>
        <v/>
      </c>
      <c r="E732" s="16">
        <f>SUMIF(tdiario[CUENTA],tbal[[#This Row],[CUENTA]],tdiario[DEBE])</f>
        <v>0</v>
      </c>
      <c r="F732" s="17">
        <f>SUMIF(tdiario[CUENTA],tbal[[#This Row],[CUENTA]],tdiario[HABER])</f>
        <v>0</v>
      </c>
      <c r="G732" s="16">
        <f>IF(tbal[[#This Row],[DEBE]]-tbal[[#This Row],[HABER]]&gt;0,tbal[[#This Row],[DEBE]]-tbal[[#This Row],[HABER]],0)</f>
        <v>0</v>
      </c>
      <c r="H732" s="18">
        <f>IF(tbal[[#This Row],[HABER]]-tbal[[#This Row],[DEBE]]&gt;0,tbal[[#This Row],[HABER]]-tbal[[#This Row],[DEBE]],0)</f>
        <v>0</v>
      </c>
      <c r="I732" s="16">
        <f>IF((OR(tbal[[#This Row],[X]]=1,tbal[[#This Row],[X]]=2)),tbal[[#This Row],[DEUDOR]],0)</f>
        <v>0</v>
      </c>
      <c r="J732" s="18">
        <f>IF((OR(tbal[[#This Row],[X]]=2,tbal[[#This Row],[X]]=3)),tbal[[#This Row],[ACREEDOR]],0)</f>
        <v>0</v>
      </c>
      <c r="K732" s="16">
        <f>IF((OR(tbal[[#This Row],[X]]=3,tbal[[#This Row],[X]]=5)),tbal[[#This Row],[DEUDOR]],0)</f>
        <v>0</v>
      </c>
      <c r="L732" s="18">
        <f>IF((OR(tbal[[#This Row],[X]]=3,tbal[[#This Row],[X]]=4)),tbal[[#This Row],[ACREEDOR]],0)</f>
        <v>0</v>
      </c>
      <c r="M732" s="16">
        <f>IF((OR(tbal[[#This Row],[X]]=0,tbal[[#This Row],[X]]=6)),tbal[[#This Row],[DEUDOR]],0)</f>
        <v>0</v>
      </c>
      <c r="N732" s="18">
        <f>IF((OR(tbal[[#This Row],[X]]=0,tbal[[#This Row],[X]]=5)),tbal[[#This Row],[ACREEDOR]],0)</f>
        <v>0</v>
      </c>
    </row>
    <row r="733" spans="1:14" hidden="1" x14ac:dyDescent="0.3">
      <c r="A733" s="14">
        <f>+'PLAN DE CUENTAS'!A733</f>
        <v>0</v>
      </c>
      <c r="B733" s="13">
        <f>+'PLAN DE CUENTAS'!B733</f>
        <v>0</v>
      </c>
      <c r="C733" s="13">
        <f>+'PLAN DE CUENTAS'!C733</f>
        <v>0</v>
      </c>
      <c r="D733" t="str">
        <f>IF(tbal[[#This Row],[DEBE]]+tbal[[#This Row],[HABER]]=0,"","X")</f>
        <v/>
      </c>
      <c r="E733" s="16">
        <f>SUMIF(tdiario[CUENTA],tbal[[#This Row],[CUENTA]],tdiario[DEBE])</f>
        <v>0</v>
      </c>
      <c r="F733" s="17">
        <f>SUMIF(tdiario[CUENTA],tbal[[#This Row],[CUENTA]],tdiario[HABER])</f>
        <v>0</v>
      </c>
      <c r="G733" s="16">
        <f>IF(tbal[[#This Row],[DEBE]]-tbal[[#This Row],[HABER]]&gt;0,tbal[[#This Row],[DEBE]]-tbal[[#This Row],[HABER]],0)</f>
        <v>0</v>
      </c>
      <c r="H733" s="18">
        <f>IF(tbal[[#This Row],[HABER]]-tbal[[#This Row],[DEBE]]&gt;0,tbal[[#This Row],[HABER]]-tbal[[#This Row],[DEBE]],0)</f>
        <v>0</v>
      </c>
      <c r="I733" s="16">
        <f>IF((OR(tbal[[#This Row],[X]]=1,tbal[[#This Row],[X]]=2)),tbal[[#This Row],[DEUDOR]],0)</f>
        <v>0</v>
      </c>
      <c r="J733" s="18">
        <f>IF((OR(tbal[[#This Row],[X]]=2,tbal[[#This Row],[X]]=3)),tbal[[#This Row],[ACREEDOR]],0)</f>
        <v>0</v>
      </c>
      <c r="K733" s="16">
        <f>IF((OR(tbal[[#This Row],[X]]=3,tbal[[#This Row],[X]]=5)),tbal[[#This Row],[DEUDOR]],0)</f>
        <v>0</v>
      </c>
      <c r="L733" s="18">
        <f>IF((OR(tbal[[#This Row],[X]]=3,tbal[[#This Row],[X]]=4)),tbal[[#This Row],[ACREEDOR]],0)</f>
        <v>0</v>
      </c>
      <c r="M733" s="16">
        <f>IF((OR(tbal[[#This Row],[X]]=0,tbal[[#This Row],[X]]=6)),tbal[[#This Row],[DEUDOR]],0)</f>
        <v>0</v>
      </c>
      <c r="N733" s="18">
        <f>IF((OR(tbal[[#This Row],[X]]=0,tbal[[#This Row],[X]]=5)),tbal[[#This Row],[ACREEDOR]],0)</f>
        <v>0</v>
      </c>
    </row>
    <row r="734" spans="1:14" hidden="1" x14ac:dyDescent="0.3">
      <c r="A734" s="14">
        <f>+'PLAN DE CUENTAS'!A734</f>
        <v>0</v>
      </c>
      <c r="B734" s="13">
        <f>+'PLAN DE CUENTAS'!B734</f>
        <v>0</v>
      </c>
      <c r="C734" s="13">
        <f>+'PLAN DE CUENTAS'!C734</f>
        <v>0</v>
      </c>
      <c r="D734" t="str">
        <f>IF(tbal[[#This Row],[DEBE]]+tbal[[#This Row],[HABER]]=0,"","X")</f>
        <v/>
      </c>
      <c r="E734" s="16">
        <f>SUMIF(tdiario[CUENTA],tbal[[#This Row],[CUENTA]],tdiario[DEBE])</f>
        <v>0</v>
      </c>
      <c r="F734" s="17">
        <f>SUMIF(tdiario[CUENTA],tbal[[#This Row],[CUENTA]],tdiario[HABER])</f>
        <v>0</v>
      </c>
      <c r="G734" s="16">
        <f>IF(tbal[[#This Row],[DEBE]]-tbal[[#This Row],[HABER]]&gt;0,tbal[[#This Row],[DEBE]]-tbal[[#This Row],[HABER]],0)</f>
        <v>0</v>
      </c>
      <c r="H734" s="18">
        <f>IF(tbal[[#This Row],[HABER]]-tbal[[#This Row],[DEBE]]&gt;0,tbal[[#This Row],[HABER]]-tbal[[#This Row],[DEBE]],0)</f>
        <v>0</v>
      </c>
      <c r="I734" s="16">
        <f>IF((OR(tbal[[#This Row],[X]]=1,tbal[[#This Row],[X]]=2)),tbal[[#This Row],[DEUDOR]],0)</f>
        <v>0</v>
      </c>
      <c r="J734" s="18">
        <f>IF((OR(tbal[[#This Row],[X]]=2,tbal[[#This Row],[X]]=3)),tbal[[#This Row],[ACREEDOR]],0)</f>
        <v>0</v>
      </c>
      <c r="K734" s="16">
        <f>IF((OR(tbal[[#This Row],[X]]=3,tbal[[#This Row],[X]]=5)),tbal[[#This Row],[DEUDOR]],0)</f>
        <v>0</v>
      </c>
      <c r="L734" s="18">
        <f>IF((OR(tbal[[#This Row],[X]]=3,tbal[[#This Row],[X]]=4)),tbal[[#This Row],[ACREEDOR]],0)</f>
        <v>0</v>
      </c>
      <c r="M734" s="16">
        <f>IF((OR(tbal[[#This Row],[X]]=0,tbal[[#This Row],[X]]=6)),tbal[[#This Row],[DEUDOR]],0)</f>
        <v>0</v>
      </c>
      <c r="N734" s="18">
        <f>IF((OR(tbal[[#This Row],[X]]=0,tbal[[#This Row],[X]]=5)),tbal[[#This Row],[ACREEDOR]],0)</f>
        <v>0</v>
      </c>
    </row>
    <row r="735" spans="1:14" hidden="1" x14ac:dyDescent="0.3">
      <c r="A735" s="14">
        <f>+'PLAN DE CUENTAS'!A735</f>
        <v>0</v>
      </c>
      <c r="B735" s="13">
        <f>+'PLAN DE CUENTAS'!B735</f>
        <v>0</v>
      </c>
      <c r="C735" s="13">
        <f>+'PLAN DE CUENTAS'!C735</f>
        <v>0</v>
      </c>
      <c r="D735" t="str">
        <f>IF(tbal[[#This Row],[DEBE]]+tbal[[#This Row],[HABER]]=0,"","X")</f>
        <v/>
      </c>
      <c r="E735" s="16">
        <f>SUMIF(tdiario[CUENTA],tbal[[#This Row],[CUENTA]],tdiario[DEBE])</f>
        <v>0</v>
      </c>
      <c r="F735" s="17">
        <f>SUMIF(tdiario[CUENTA],tbal[[#This Row],[CUENTA]],tdiario[HABER])</f>
        <v>0</v>
      </c>
      <c r="G735" s="16">
        <f>IF(tbal[[#This Row],[DEBE]]-tbal[[#This Row],[HABER]]&gt;0,tbal[[#This Row],[DEBE]]-tbal[[#This Row],[HABER]],0)</f>
        <v>0</v>
      </c>
      <c r="H735" s="18">
        <f>IF(tbal[[#This Row],[HABER]]-tbal[[#This Row],[DEBE]]&gt;0,tbal[[#This Row],[HABER]]-tbal[[#This Row],[DEBE]],0)</f>
        <v>0</v>
      </c>
      <c r="I735" s="16">
        <f>IF((OR(tbal[[#This Row],[X]]=1,tbal[[#This Row],[X]]=2)),tbal[[#This Row],[DEUDOR]],0)</f>
        <v>0</v>
      </c>
      <c r="J735" s="18">
        <f>IF((OR(tbal[[#This Row],[X]]=2,tbal[[#This Row],[X]]=3)),tbal[[#This Row],[ACREEDOR]],0)</f>
        <v>0</v>
      </c>
      <c r="K735" s="16">
        <f>IF((OR(tbal[[#This Row],[X]]=3,tbal[[#This Row],[X]]=5)),tbal[[#This Row],[DEUDOR]],0)</f>
        <v>0</v>
      </c>
      <c r="L735" s="18">
        <f>IF((OR(tbal[[#This Row],[X]]=3,tbal[[#This Row],[X]]=4)),tbal[[#This Row],[ACREEDOR]],0)</f>
        <v>0</v>
      </c>
      <c r="M735" s="16">
        <f>IF((OR(tbal[[#This Row],[X]]=0,tbal[[#This Row],[X]]=6)),tbal[[#This Row],[DEUDOR]],0)</f>
        <v>0</v>
      </c>
      <c r="N735" s="18">
        <f>IF((OR(tbal[[#This Row],[X]]=0,tbal[[#This Row],[X]]=5)),tbal[[#This Row],[ACREEDOR]],0)</f>
        <v>0</v>
      </c>
    </row>
    <row r="736" spans="1:14" hidden="1" x14ac:dyDescent="0.3">
      <c r="A736" s="14">
        <f>+'PLAN DE CUENTAS'!A736</f>
        <v>0</v>
      </c>
      <c r="B736" s="13">
        <f>+'PLAN DE CUENTAS'!B736</f>
        <v>0</v>
      </c>
      <c r="C736" s="13">
        <f>+'PLAN DE CUENTAS'!C736</f>
        <v>0</v>
      </c>
      <c r="D736" t="str">
        <f>IF(tbal[[#This Row],[DEBE]]+tbal[[#This Row],[HABER]]=0,"","X")</f>
        <v/>
      </c>
      <c r="E736" s="16">
        <f>SUMIF(tdiario[CUENTA],tbal[[#This Row],[CUENTA]],tdiario[DEBE])</f>
        <v>0</v>
      </c>
      <c r="F736" s="17">
        <f>SUMIF(tdiario[CUENTA],tbal[[#This Row],[CUENTA]],tdiario[HABER])</f>
        <v>0</v>
      </c>
      <c r="G736" s="16">
        <f>IF(tbal[[#This Row],[DEBE]]-tbal[[#This Row],[HABER]]&gt;0,tbal[[#This Row],[DEBE]]-tbal[[#This Row],[HABER]],0)</f>
        <v>0</v>
      </c>
      <c r="H736" s="18">
        <f>IF(tbal[[#This Row],[HABER]]-tbal[[#This Row],[DEBE]]&gt;0,tbal[[#This Row],[HABER]]-tbal[[#This Row],[DEBE]],0)</f>
        <v>0</v>
      </c>
      <c r="I736" s="16">
        <f>IF((OR(tbal[[#This Row],[X]]=1,tbal[[#This Row],[X]]=2)),tbal[[#This Row],[DEUDOR]],0)</f>
        <v>0</v>
      </c>
      <c r="J736" s="18">
        <f>IF((OR(tbal[[#This Row],[X]]=2,tbal[[#This Row],[X]]=3)),tbal[[#This Row],[ACREEDOR]],0)</f>
        <v>0</v>
      </c>
      <c r="K736" s="16">
        <f>IF((OR(tbal[[#This Row],[X]]=3,tbal[[#This Row],[X]]=5)),tbal[[#This Row],[DEUDOR]],0)</f>
        <v>0</v>
      </c>
      <c r="L736" s="18">
        <f>IF((OR(tbal[[#This Row],[X]]=3,tbal[[#This Row],[X]]=4)),tbal[[#This Row],[ACREEDOR]],0)</f>
        <v>0</v>
      </c>
      <c r="M736" s="16">
        <f>IF((OR(tbal[[#This Row],[X]]=0,tbal[[#This Row],[X]]=6)),tbal[[#This Row],[DEUDOR]],0)</f>
        <v>0</v>
      </c>
      <c r="N736" s="18">
        <f>IF((OR(tbal[[#This Row],[X]]=0,tbal[[#This Row],[X]]=5)),tbal[[#This Row],[ACREEDOR]],0)</f>
        <v>0</v>
      </c>
    </row>
    <row r="737" spans="1:14" hidden="1" x14ac:dyDescent="0.3">
      <c r="A737" s="14">
        <f>+'PLAN DE CUENTAS'!A737</f>
        <v>0</v>
      </c>
      <c r="B737" s="13">
        <f>+'PLAN DE CUENTAS'!B737</f>
        <v>0</v>
      </c>
      <c r="C737" s="13">
        <f>+'PLAN DE CUENTAS'!C737</f>
        <v>0</v>
      </c>
      <c r="D737" t="str">
        <f>IF(tbal[[#This Row],[DEBE]]+tbal[[#This Row],[HABER]]=0,"","X")</f>
        <v/>
      </c>
      <c r="E737" s="16">
        <f>SUMIF(tdiario[CUENTA],tbal[[#This Row],[CUENTA]],tdiario[DEBE])</f>
        <v>0</v>
      </c>
      <c r="F737" s="17">
        <f>SUMIF(tdiario[CUENTA],tbal[[#This Row],[CUENTA]],tdiario[HABER])</f>
        <v>0</v>
      </c>
      <c r="G737" s="16">
        <f>IF(tbal[[#This Row],[DEBE]]-tbal[[#This Row],[HABER]]&gt;0,tbal[[#This Row],[DEBE]]-tbal[[#This Row],[HABER]],0)</f>
        <v>0</v>
      </c>
      <c r="H737" s="18">
        <f>IF(tbal[[#This Row],[HABER]]-tbal[[#This Row],[DEBE]]&gt;0,tbal[[#This Row],[HABER]]-tbal[[#This Row],[DEBE]],0)</f>
        <v>0</v>
      </c>
      <c r="I737" s="16">
        <f>IF((OR(tbal[[#This Row],[X]]=1,tbal[[#This Row],[X]]=2)),tbal[[#This Row],[DEUDOR]],0)</f>
        <v>0</v>
      </c>
      <c r="J737" s="18">
        <f>IF((OR(tbal[[#This Row],[X]]=2,tbal[[#This Row],[X]]=3)),tbal[[#This Row],[ACREEDOR]],0)</f>
        <v>0</v>
      </c>
      <c r="K737" s="16">
        <f>IF((OR(tbal[[#This Row],[X]]=3,tbal[[#This Row],[X]]=5)),tbal[[#This Row],[DEUDOR]],0)</f>
        <v>0</v>
      </c>
      <c r="L737" s="18">
        <f>IF((OR(tbal[[#This Row],[X]]=3,tbal[[#This Row],[X]]=4)),tbal[[#This Row],[ACREEDOR]],0)</f>
        <v>0</v>
      </c>
      <c r="M737" s="16">
        <f>IF((OR(tbal[[#This Row],[X]]=0,tbal[[#This Row],[X]]=6)),tbal[[#This Row],[DEUDOR]],0)</f>
        <v>0</v>
      </c>
      <c r="N737" s="18">
        <f>IF((OR(tbal[[#This Row],[X]]=0,tbal[[#This Row],[X]]=5)),tbal[[#This Row],[ACREEDOR]],0)</f>
        <v>0</v>
      </c>
    </row>
    <row r="738" spans="1:14" hidden="1" x14ac:dyDescent="0.3">
      <c r="A738" s="14">
        <f>+'PLAN DE CUENTAS'!A738</f>
        <v>0</v>
      </c>
      <c r="B738" s="13">
        <f>+'PLAN DE CUENTAS'!B738</f>
        <v>0</v>
      </c>
      <c r="C738" s="13">
        <f>+'PLAN DE CUENTAS'!C738</f>
        <v>0</v>
      </c>
      <c r="D738" t="str">
        <f>IF(tbal[[#This Row],[DEBE]]+tbal[[#This Row],[HABER]]=0,"","X")</f>
        <v/>
      </c>
      <c r="E738" s="16">
        <f>SUMIF(tdiario[CUENTA],tbal[[#This Row],[CUENTA]],tdiario[DEBE])</f>
        <v>0</v>
      </c>
      <c r="F738" s="17">
        <f>SUMIF(tdiario[CUENTA],tbal[[#This Row],[CUENTA]],tdiario[HABER])</f>
        <v>0</v>
      </c>
      <c r="G738" s="16">
        <f>IF(tbal[[#This Row],[DEBE]]-tbal[[#This Row],[HABER]]&gt;0,tbal[[#This Row],[DEBE]]-tbal[[#This Row],[HABER]],0)</f>
        <v>0</v>
      </c>
      <c r="H738" s="18">
        <f>IF(tbal[[#This Row],[HABER]]-tbal[[#This Row],[DEBE]]&gt;0,tbal[[#This Row],[HABER]]-tbal[[#This Row],[DEBE]],0)</f>
        <v>0</v>
      </c>
      <c r="I738" s="16">
        <f>IF((OR(tbal[[#This Row],[X]]=1,tbal[[#This Row],[X]]=2)),tbal[[#This Row],[DEUDOR]],0)</f>
        <v>0</v>
      </c>
      <c r="J738" s="18">
        <f>IF((OR(tbal[[#This Row],[X]]=2,tbal[[#This Row],[X]]=3)),tbal[[#This Row],[ACREEDOR]],0)</f>
        <v>0</v>
      </c>
      <c r="K738" s="16">
        <f>IF((OR(tbal[[#This Row],[X]]=3,tbal[[#This Row],[X]]=5)),tbal[[#This Row],[DEUDOR]],0)</f>
        <v>0</v>
      </c>
      <c r="L738" s="18">
        <f>IF((OR(tbal[[#This Row],[X]]=3,tbal[[#This Row],[X]]=4)),tbal[[#This Row],[ACREEDOR]],0)</f>
        <v>0</v>
      </c>
      <c r="M738" s="16">
        <f>IF((OR(tbal[[#This Row],[X]]=0,tbal[[#This Row],[X]]=6)),tbal[[#This Row],[DEUDOR]],0)</f>
        <v>0</v>
      </c>
      <c r="N738" s="18">
        <f>IF((OR(tbal[[#This Row],[X]]=0,tbal[[#This Row],[X]]=5)),tbal[[#This Row],[ACREEDOR]],0)</f>
        <v>0</v>
      </c>
    </row>
    <row r="739" spans="1:14" hidden="1" x14ac:dyDescent="0.3">
      <c r="A739" s="14">
        <f>+'PLAN DE CUENTAS'!A739</f>
        <v>0</v>
      </c>
      <c r="B739" s="13">
        <f>+'PLAN DE CUENTAS'!B739</f>
        <v>0</v>
      </c>
      <c r="C739" s="13">
        <f>+'PLAN DE CUENTAS'!C739</f>
        <v>0</v>
      </c>
      <c r="D739" t="str">
        <f>IF(tbal[[#This Row],[DEBE]]+tbal[[#This Row],[HABER]]=0,"","X")</f>
        <v/>
      </c>
      <c r="E739" s="16">
        <f>SUMIF(tdiario[CUENTA],tbal[[#This Row],[CUENTA]],tdiario[DEBE])</f>
        <v>0</v>
      </c>
      <c r="F739" s="17">
        <f>SUMIF(tdiario[CUENTA],tbal[[#This Row],[CUENTA]],tdiario[HABER])</f>
        <v>0</v>
      </c>
      <c r="G739" s="16">
        <f>IF(tbal[[#This Row],[DEBE]]-tbal[[#This Row],[HABER]]&gt;0,tbal[[#This Row],[DEBE]]-tbal[[#This Row],[HABER]],0)</f>
        <v>0</v>
      </c>
      <c r="H739" s="18">
        <f>IF(tbal[[#This Row],[HABER]]-tbal[[#This Row],[DEBE]]&gt;0,tbal[[#This Row],[HABER]]-tbal[[#This Row],[DEBE]],0)</f>
        <v>0</v>
      </c>
      <c r="I739" s="16">
        <f>IF((OR(tbal[[#This Row],[X]]=1,tbal[[#This Row],[X]]=2)),tbal[[#This Row],[DEUDOR]],0)</f>
        <v>0</v>
      </c>
      <c r="J739" s="18">
        <f>IF((OR(tbal[[#This Row],[X]]=2,tbal[[#This Row],[X]]=3)),tbal[[#This Row],[ACREEDOR]],0)</f>
        <v>0</v>
      </c>
      <c r="K739" s="16">
        <f>IF((OR(tbal[[#This Row],[X]]=3,tbal[[#This Row],[X]]=5)),tbal[[#This Row],[DEUDOR]],0)</f>
        <v>0</v>
      </c>
      <c r="L739" s="18">
        <f>IF((OR(tbal[[#This Row],[X]]=3,tbal[[#This Row],[X]]=4)),tbal[[#This Row],[ACREEDOR]],0)</f>
        <v>0</v>
      </c>
      <c r="M739" s="16">
        <f>IF((OR(tbal[[#This Row],[X]]=0,tbal[[#This Row],[X]]=6)),tbal[[#This Row],[DEUDOR]],0)</f>
        <v>0</v>
      </c>
      <c r="N739" s="18">
        <f>IF((OR(tbal[[#This Row],[X]]=0,tbal[[#This Row],[X]]=5)),tbal[[#This Row],[ACREEDOR]],0)</f>
        <v>0</v>
      </c>
    </row>
    <row r="740" spans="1:14" hidden="1" x14ac:dyDescent="0.3">
      <c r="A740" s="14">
        <f>+'PLAN DE CUENTAS'!A740</f>
        <v>0</v>
      </c>
      <c r="B740" s="13">
        <f>+'PLAN DE CUENTAS'!B740</f>
        <v>0</v>
      </c>
      <c r="C740" s="13">
        <f>+'PLAN DE CUENTAS'!C740</f>
        <v>0</v>
      </c>
      <c r="D740" t="str">
        <f>IF(tbal[[#This Row],[DEBE]]+tbal[[#This Row],[HABER]]=0,"","X")</f>
        <v/>
      </c>
      <c r="E740" s="16">
        <f>SUMIF(tdiario[CUENTA],tbal[[#This Row],[CUENTA]],tdiario[DEBE])</f>
        <v>0</v>
      </c>
      <c r="F740" s="17">
        <f>SUMIF(tdiario[CUENTA],tbal[[#This Row],[CUENTA]],tdiario[HABER])</f>
        <v>0</v>
      </c>
      <c r="G740" s="16">
        <f>IF(tbal[[#This Row],[DEBE]]-tbal[[#This Row],[HABER]]&gt;0,tbal[[#This Row],[DEBE]]-tbal[[#This Row],[HABER]],0)</f>
        <v>0</v>
      </c>
      <c r="H740" s="18">
        <f>IF(tbal[[#This Row],[HABER]]-tbal[[#This Row],[DEBE]]&gt;0,tbal[[#This Row],[HABER]]-tbal[[#This Row],[DEBE]],0)</f>
        <v>0</v>
      </c>
      <c r="I740" s="16">
        <f>IF((OR(tbal[[#This Row],[X]]=1,tbal[[#This Row],[X]]=2)),tbal[[#This Row],[DEUDOR]],0)</f>
        <v>0</v>
      </c>
      <c r="J740" s="18">
        <f>IF((OR(tbal[[#This Row],[X]]=2,tbal[[#This Row],[X]]=3)),tbal[[#This Row],[ACREEDOR]],0)</f>
        <v>0</v>
      </c>
      <c r="K740" s="16">
        <f>IF((OR(tbal[[#This Row],[X]]=3,tbal[[#This Row],[X]]=5)),tbal[[#This Row],[DEUDOR]],0)</f>
        <v>0</v>
      </c>
      <c r="L740" s="18">
        <f>IF((OR(tbal[[#This Row],[X]]=3,tbal[[#This Row],[X]]=4)),tbal[[#This Row],[ACREEDOR]],0)</f>
        <v>0</v>
      </c>
      <c r="M740" s="16">
        <f>IF((OR(tbal[[#This Row],[X]]=0,tbal[[#This Row],[X]]=6)),tbal[[#This Row],[DEUDOR]],0)</f>
        <v>0</v>
      </c>
      <c r="N740" s="18">
        <f>IF((OR(tbal[[#This Row],[X]]=0,tbal[[#This Row],[X]]=5)),tbal[[#This Row],[ACREEDOR]],0)</f>
        <v>0</v>
      </c>
    </row>
    <row r="741" spans="1:14" hidden="1" x14ac:dyDescent="0.3">
      <c r="A741" s="14">
        <f>+'PLAN DE CUENTAS'!A741</f>
        <v>0</v>
      </c>
      <c r="B741" s="13">
        <f>+'PLAN DE CUENTAS'!B741</f>
        <v>0</v>
      </c>
      <c r="C741" s="13">
        <f>+'PLAN DE CUENTAS'!C741</f>
        <v>0</v>
      </c>
      <c r="D741" t="str">
        <f>IF(tbal[[#This Row],[DEBE]]+tbal[[#This Row],[HABER]]=0,"","X")</f>
        <v/>
      </c>
      <c r="E741" s="16">
        <f>SUMIF(tdiario[CUENTA],tbal[[#This Row],[CUENTA]],tdiario[DEBE])</f>
        <v>0</v>
      </c>
      <c r="F741" s="17">
        <f>SUMIF(tdiario[CUENTA],tbal[[#This Row],[CUENTA]],tdiario[HABER])</f>
        <v>0</v>
      </c>
      <c r="G741" s="16">
        <f>IF(tbal[[#This Row],[DEBE]]-tbal[[#This Row],[HABER]]&gt;0,tbal[[#This Row],[DEBE]]-tbal[[#This Row],[HABER]],0)</f>
        <v>0</v>
      </c>
      <c r="H741" s="18">
        <f>IF(tbal[[#This Row],[HABER]]-tbal[[#This Row],[DEBE]]&gt;0,tbal[[#This Row],[HABER]]-tbal[[#This Row],[DEBE]],0)</f>
        <v>0</v>
      </c>
      <c r="I741" s="16">
        <f>IF((OR(tbal[[#This Row],[X]]=1,tbal[[#This Row],[X]]=2)),tbal[[#This Row],[DEUDOR]],0)</f>
        <v>0</v>
      </c>
      <c r="J741" s="18">
        <f>IF((OR(tbal[[#This Row],[X]]=2,tbal[[#This Row],[X]]=3)),tbal[[#This Row],[ACREEDOR]],0)</f>
        <v>0</v>
      </c>
      <c r="K741" s="16">
        <f>IF((OR(tbal[[#This Row],[X]]=3,tbal[[#This Row],[X]]=5)),tbal[[#This Row],[DEUDOR]],0)</f>
        <v>0</v>
      </c>
      <c r="L741" s="18">
        <f>IF((OR(tbal[[#This Row],[X]]=3,tbal[[#This Row],[X]]=4)),tbal[[#This Row],[ACREEDOR]],0)</f>
        <v>0</v>
      </c>
      <c r="M741" s="16">
        <f>IF((OR(tbal[[#This Row],[X]]=0,tbal[[#This Row],[X]]=6)),tbal[[#This Row],[DEUDOR]],0)</f>
        <v>0</v>
      </c>
      <c r="N741" s="18">
        <f>IF((OR(tbal[[#This Row],[X]]=0,tbal[[#This Row],[X]]=5)),tbal[[#This Row],[ACREEDOR]],0)</f>
        <v>0</v>
      </c>
    </row>
    <row r="742" spans="1:14" hidden="1" x14ac:dyDescent="0.3">
      <c r="A742" s="14">
        <f>+'PLAN DE CUENTAS'!A742</f>
        <v>0</v>
      </c>
      <c r="B742" s="13">
        <f>+'PLAN DE CUENTAS'!B742</f>
        <v>0</v>
      </c>
      <c r="C742" s="13">
        <f>+'PLAN DE CUENTAS'!C742</f>
        <v>0</v>
      </c>
      <c r="D742" t="str">
        <f>IF(tbal[[#This Row],[DEBE]]+tbal[[#This Row],[HABER]]=0,"","X")</f>
        <v/>
      </c>
      <c r="E742" s="16">
        <f>SUMIF(tdiario[CUENTA],tbal[[#This Row],[CUENTA]],tdiario[DEBE])</f>
        <v>0</v>
      </c>
      <c r="F742" s="17">
        <f>SUMIF(tdiario[CUENTA],tbal[[#This Row],[CUENTA]],tdiario[HABER])</f>
        <v>0</v>
      </c>
      <c r="G742" s="16">
        <f>IF(tbal[[#This Row],[DEBE]]-tbal[[#This Row],[HABER]]&gt;0,tbal[[#This Row],[DEBE]]-tbal[[#This Row],[HABER]],0)</f>
        <v>0</v>
      </c>
      <c r="H742" s="18">
        <f>IF(tbal[[#This Row],[HABER]]-tbal[[#This Row],[DEBE]]&gt;0,tbal[[#This Row],[HABER]]-tbal[[#This Row],[DEBE]],0)</f>
        <v>0</v>
      </c>
      <c r="I742" s="16">
        <f>IF((OR(tbal[[#This Row],[X]]=1,tbal[[#This Row],[X]]=2)),tbal[[#This Row],[DEUDOR]],0)</f>
        <v>0</v>
      </c>
      <c r="J742" s="18">
        <f>IF((OR(tbal[[#This Row],[X]]=2,tbal[[#This Row],[X]]=3)),tbal[[#This Row],[ACREEDOR]],0)</f>
        <v>0</v>
      </c>
      <c r="K742" s="16">
        <f>IF((OR(tbal[[#This Row],[X]]=3,tbal[[#This Row],[X]]=5)),tbal[[#This Row],[DEUDOR]],0)</f>
        <v>0</v>
      </c>
      <c r="L742" s="18">
        <f>IF((OR(tbal[[#This Row],[X]]=3,tbal[[#This Row],[X]]=4)),tbal[[#This Row],[ACREEDOR]],0)</f>
        <v>0</v>
      </c>
      <c r="M742" s="16">
        <f>IF((OR(tbal[[#This Row],[X]]=0,tbal[[#This Row],[X]]=6)),tbal[[#This Row],[DEUDOR]],0)</f>
        <v>0</v>
      </c>
      <c r="N742" s="18">
        <f>IF((OR(tbal[[#This Row],[X]]=0,tbal[[#This Row],[X]]=5)),tbal[[#This Row],[ACREEDOR]],0)</f>
        <v>0</v>
      </c>
    </row>
    <row r="743" spans="1:14" hidden="1" x14ac:dyDescent="0.3">
      <c r="A743" s="14">
        <f>+'PLAN DE CUENTAS'!A743</f>
        <v>0</v>
      </c>
      <c r="B743" s="13">
        <f>+'PLAN DE CUENTAS'!B743</f>
        <v>0</v>
      </c>
      <c r="C743" s="13">
        <f>+'PLAN DE CUENTAS'!C743</f>
        <v>0</v>
      </c>
      <c r="D743" t="str">
        <f>IF(tbal[[#This Row],[DEBE]]+tbal[[#This Row],[HABER]]=0,"","X")</f>
        <v/>
      </c>
      <c r="E743" s="16">
        <f>SUMIF(tdiario[CUENTA],tbal[[#This Row],[CUENTA]],tdiario[DEBE])</f>
        <v>0</v>
      </c>
      <c r="F743" s="17">
        <f>SUMIF(tdiario[CUENTA],tbal[[#This Row],[CUENTA]],tdiario[HABER])</f>
        <v>0</v>
      </c>
      <c r="G743" s="16">
        <f>IF(tbal[[#This Row],[DEBE]]-tbal[[#This Row],[HABER]]&gt;0,tbal[[#This Row],[DEBE]]-tbal[[#This Row],[HABER]],0)</f>
        <v>0</v>
      </c>
      <c r="H743" s="18">
        <f>IF(tbal[[#This Row],[HABER]]-tbal[[#This Row],[DEBE]]&gt;0,tbal[[#This Row],[HABER]]-tbal[[#This Row],[DEBE]],0)</f>
        <v>0</v>
      </c>
      <c r="I743" s="16">
        <f>IF((OR(tbal[[#This Row],[X]]=1,tbal[[#This Row],[X]]=2)),tbal[[#This Row],[DEUDOR]],0)</f>
        <v>0</v>
      </c>
      <c r="J743" s="18">
        <f>IF((OR(tbal[[#This Row],[X]]=2,tbal[[#This Row],[X]]=3)),tbal[[#This Row],[ACREEDOR]],0)</f>
        <v>0</v>
      </c>
      <c r="K743" s="16">
        <f>IF((OR(tbal[[#This Row],[X]]=3,tbal[[#This Row],[X]]=5)),tbal[[#This Row],[DEUDOR]],0)</f>
        <v>0</v>
      </c>
      <c r="L743" s="18">
        <f>IF((OR(tbal[[#This Row],[X]]=3,tbal[[#This Row],[X]]=4)),tbal[[#This Row],[ACREEDOR]],0)</f>
        <v>0</v>
      </c>
      <c r="M743" s="16">
        <f>IF((OR(tbal[[#This Row],[X]]=0,tbal[[#This Row],[X]]=6)),tbal[[#This Row],[DEUDOR]],0)</f>
        <v>0</v>
      </c>
      <c r="N743" s="18">
        <f>IF((OR(tbal[[#This Row],[X]]=0,tbal[[#This Row],[X]]=5)),tbal[[#This Row],[ACREEDOR]],0)</f>
        <v>0</v>
      </c>
    </row>
    <row r="744" spans="1:14" hidden="1" x14ac:dyDescent="0.3">
      <c r="A744" s="14">
        <f>+'PLAN DE CUENTAS'!A744</f>
        <v>0</v>
      </c>
      <c r="B744" s="13">
        <f>+'PLAN DE CUENTAS'!B744</f>
        <v>0</v>
      </c>
      <c r="C744" s="13">
        <f>+'PLAN DE CUENTAS'!C744</f>
        <v>0</v>
      </c>
      <c r="D744" t="str">
        <f>IF(tbal[[#This Row],[DEBE]]+tbal[[#This Row],[HABER]]=0,"","X")</f>
        <v/>
      </c>
      <c r="E744" s="16">
        <f>SUMIF(tdiario[CUENTA],tbal[[#This Row],[CUENTA]],tdiario[DEBE])</f>
        <v>0</v>
      </c>
      <c r="F744" s="17">
        <f>SUMIF(tdiario[CUENTA],tbal[[#This Row],[CUENTA]],tdiario[HABER])</f>
        <v>0</v>
      </c>
      <c r="G744" s="16">
        <f>IF(tbal[[#This Row],[DEBE]]-tbal[[#This Row],[HABER]]&gt;0,tbal[[#This Row],[DEBE]]-tbal[[#This Row],[HABER]],0)</f>
        <v>0</v>
      </c>
      <c r="H744" s="18">
        <f>IF(tbal[[#This Row],[HABER]]-tbal[[#This Row],[DEBE]]&gt;0,tbal[[#This Row],[HABER]]-tbal[[#This Row],[DEBE]],0)</f>
        <v>0</v>
      </c>
      <c r="I744" s="16">
        <f>IF((OR(tbal[[#This Row],[X]]=1,tbal[[#This Row],[X]]=2)),tbal[[#This Row],[DEUDOR]],0)</f>
        <v>0</v>
      </c>
      <c r="J744" s="18">
        <f>IF((OR(tbal[[#This Row],[X]]=2,tbal[[#This Row],[X]]=3)),tbal[[#This Row],[ACREEDOR]],0)</f>
        <v>0</v>
      </c>
      <c r="K744" s="16">
        <f>IF((OR(tbal[[#This Row],[X]]=3,tbal[[#This Row],[X]]=5)),tbal[[#This Row],[DEUDOR]],0)</f>
        <v>0</v>
      </c>
      <c r="L744" s="18">
        <f>IF((OR(tbal[[#This Row],[X]]=3,tbal[[#This Row],[X]]=4)),tbal[[#This Row],[ACREEDOR]],0)</f>
        <v>0</v>
      </c>
      <c r="M744" s="16">
        <f>IF((OR(tbal[[#This Row],[X]]=0,tbal[[#This Row],[X]]=6)),tbal[[#This Row],[DEUDOR]],0)</f>
        <v>0</v>
      </c>
      <c r="N744" s="18">
        <f>IF((OR(tbal[[#This Row],[X]]=0,tbal[[#This Row],[X]]=5)),tbal[[#This Row],[ACREEDOR]],0)</f>
        <v>0</v>
      </c>
    </row>
    <row r="745" spans="1:14" hidden="1" x14ac:dyDescent="0.3">
      <c r="A745" s="14">
        <f>+'PLAN DE CUENTAS'!A745</f>
        <v>0</v>
      </c>
      <c r="B745" s="13">
        <f>+'PLAN DE CUENTAS'!B745</f>
        <v>0</v>
      </c>
      <c r="C745" s="13">
        <f>+'PLAN DE CUENTAS'!C745</f>
        <v>0</v>
      </c>
      <c r="D745" t="str">
        <f>IF(tbal[[#This Row],[DEBE]]+tbal[[#This Row],[HABER]]=0,"","X")</f>
        <v/>
      </c>
      <c r="E745" s="16">
        <f>SUMIF(tdiario[CUENTA],tbal[[#This Row],[CUENTA]],tdiario[DEBE])</f>
        <v>0</v>
      </c>
      <c r="F745" s="17">
        <f>SUMIF(tdiario[CUENTA],tbal[[#This Row],[CUENTA]],tdiario[HABER])</f>
        <v>0</v>
      </c>
      <c r="G745" s="16">
        <f>IF(tbal[[#This Row],[DEBE]]-tbal[[#This Row],[HABER]]&gt;0,tbal[[#This Row],[DEBE]]-tbal[[#This Row],[HABER]],0)</f>
        <v>0</v>
      </c>
      <c r="H745" s="18">
        <f>IF(tbal[[#This Row],[HABER]]-tbal[[#This Row],[DEBE]]&gt;0,tbal[[#This Row],[HABER]]-tbal[[#This Row],[DEBE]],0)</f>
        <v>0</v>
      </c>
      <c r="I745" s="16">
        <f>IF((OR(tbal[[#This Row],[X]]=1,tbal[[#This Row],[X]]=2)),tbal[[#This Row],[DEUDOR]],0)</f>
        <v>0</v>
      </c>
      <c r="J745" s="18">
        <f>IF((OR(tbal[[#This Row],[X]]=2,tbal[[#This Row],[X]]=3)),tbal[[#This Row],[ACREEDOR]],0)</f>
        <v>0</v>
      </c>
      <c r="K745" s="16">
        <f>IF((OR(tbal[[#This Row],[X]]=3,tbal[[#This Row],[X]]=5)),tbal[[#This Row],[DEUDOR]],0)</f>
        <v>0</v>
      </c>
      <c r="L745" s="18">
        <f>IF((OR(tbal[[#This Row],[X]]=3,tbal[[#This Row],[X]]=4)),tbal[[#This Row],[ACREEDOR]],0)</f>
        <v>0</v>
      </c>
      <c r="M745" s="16">
        <f>IF((OR(tbal[[#This Row],[X]]=0,tbal[[#This Row],[X]]=6)),tbal[[#This Row],[DEUDOR]],0)</f>
        <v>0</v>
      </c>
      <c r="N745" s="18">
        <f>IF((OR(tbal[[#This Row],[X]]=0,tbal[[#This Row],[X]]=5)),tbal[[#This Row],[ACREEDOR]],0)</f>
        <v>0</v>
      </c>
    </row>
    <row r="746" spans="1:14" hidden="1" x14ac:dyDescent="0.3">
      <c r="A746" s="14">
        <f>+'PLAN DE CUENTAS'!A746</f>
        <v>0</v>
      </c>
      <c r="B746" s="13">
        <f>+'PLAN DE CUENTAS'!B746</f>
        <v>0</v>
      </c>
      <c r="C746" s="13">
        <f>+'PLAN DE CUENTAS'!C746</f>
        <v>0</v>
      </c>
      <c r="D746" t="str">
        <f>IF(tbal[[#This Row],[DEBE]]+tbal[[#This Row],[HABER]]=0,"","X")</f>
        <v/>
      </c>
      <c r="E746" s="16">
        <f>SUMIF(tdiario[CUENTA],tbal[[#This Row],[CUENTA]],tdiario[DEBE])</f>
        <v>0</v>
      </c>
      <c r="F746" s="17">
        <f>SUMIF(tdiario[CUENTA],tbal[[#This Row],[CUENTA]],tdiario[HABER])</f>
        <v>0</v>
      </c>
      <c r="G746" s="16">
        <f>IF(tbal[[#This Row],[DEBE]]-tbal[[#This Row],[HABER]]&gt;0,tbal[[#This Row],[DEBE]]-tbal[[#This Row],[HABER]],0)</f>
        <v>0</v>
      </c>
      <c r="H746" s="18">
        <f>IF(tbal[[#This Row],[HABER]]-tbal[[#This Row],[DEBE]]&gt;0,tbal[[#This Row],[HABER]]-tbal[[#This Row],[DEBE]],0)</f>
        <v>0</v>
      </c>
      <c r="I746" s="16">
        <f>IF((OR(tbal[[#This Row],[X]]=1,tbal[[#This Row],[X]]=2)),tbal[[#This Row],[DEUDOR]],0)</f>
        <v>0</v>
      </c>
      <c r="J746" s="18">
        <f>IF((OR(tbal[[#This Row],[X]]=2,tbal[[#This Row],[X]]=3)),tbal[[#This Row],[ACREEDOR]],0)</f>
        <v>0</v>
      </c>
      <c r="K746" s="16">
        <f>IF((OR(tbal[[#This Row],[X]]=3,tbal[[#This Row],[X]]=5)),tbal[[#This Row],[DEUDOR]],0)</f>
        <v>0</v>
      </c>
      <c r="L746" s="18">
        <f>IF((OR(tbal[[#This Row],[X]]=3,tbal[[#This Row],[X]]=4)),tbal[[#This Row],[ACREEDOR]],0)</f>
        <v>0</v>
      </c>
      <c r="M746" s="16">
        <f>IF((OR(tbal[[#This Row],[X]]=0,tbal[[#This Row],[X]]=6)),tbal[[#This Row],[DEUDOR]],0)</f>
        <v>0</v>
      </c>
      <c r="N746" s="18">
        <f>IF((OR(tbal[[#This Row],[X]]=0,tbal[[#This Row],[X]]=5)),tbal[[#This Row],[ACREEDOR]],0)</f>
        <v>0</v>
      </c>
    </row>
    <row r="747" spans="1:14" hidden="1" x14ac:dyDescent="0.3">
      <c r="A747" s="14">
        <f>+'PLAN DE CUENTAS'!A747</f>
        <v>0</v>
      </c>
      <c r="B747" s="13">
        <f>+'PLAN DE CUENTAS'!B747</f>
        <v>0</v>
      </c>
      <c r="C747" s="13">
        <f>+'PLAN DE CUENTAS'!C747</f>
        <v>0</v>
      </c>
      <c r="D747" t="str">
        <f>IF(tbal[[#This Row],[DEBE]]+tbal[[#This Row],[HABER]]=0,"","X")</f>
        <v/>
      </c>
      <c r="E747" s="16">
        <f>SUMIF(tdiario[CUENTA],tbal[[#This Row],[CUENTA]],tdiario[DEBE])</f>
        <v>0</v>
      </c>
      <c r="F747" s="17">
        <f>SUMIF(tdiario[CUENTA],tbal[[#This Row],[CUENTA]],tdiario[HABER])</f>
        <v>0</v>
      </c>
      <c r="G747" s="16">
        <f>IF(tbal[[#This Row],[DEBE]]-tbal[[#This Row],[HABER]]&gt;0,tbal[[#This Row],[DEBE]]-tbal[[#This Row],[HABER]],0)</f>
        <v>0</v>
      </c>
      <c r="H747" s="18">
        <f>IF(tbal[[#This Row],[HABER]]-tbal[[#This Row],[DEBE]]&gt;0,tbal[[#This Row],[HABER]]-tbal[[#This Row],[DEBE]],0)</f>
        <v>0</v>
      </c>
      <c r="I747" s="16">
        <f>IF((OR(tbal[[#This Row],[X]]=1,tbal[[#This Row],[X]]=2)),tbal[[#This Row],[DEUDOR]],0)</f>
        <v>0</v>
      </c>
      <c r="J747" s="18">
        <f>IF((OR(tbal[[#This Row],[X]]=2,tbal[[#This Row],[X]]=3)),tbal[[#This Row],[ACREEDOR]],0)</f>
        <v>0</v>
      </c>
      <c r="K747" s="16">
        <f>IF((OR(tbal[[#This Row],[X]]=3,tbal[[#This Row],[X]]=5)),tbal[[#This Row],[DEUDOR]],0)</f>
        <v>0</v>
      </c>
      <c r="L747" s="18">
        <f>IF((OR(tbal[[#This Row],[X]]=3,tbal[[#This Row],[X]]=4)),tbal[[#This Row],[ACREEDOR]],0)</f>
        <v>0</v>
      </c>
      <c r="M747" s="16">
        <f>IF((OR(tbal[[#This Row],[X]]=0,tbal[[#This Row],[X]]=6)),tbal[[#This Row],[DEUDOR]],0)</f>
        <v>0</v>
      </c>
      <c r="N747" s="18">
        <f>IF((OR(tbal[[#This Row],[X]]=0,tbal[[#This Row],[X]]=5)),tbal[[#This Row],[ACREEDOR]],0)</f>
        <v>0</v>
      </c>
    </row>
    <row r="748" spans="1:14" hidden="1" x14ac:dyDescent="0.3">
      <c r="A748" s="14">
        <f>+'PLAN DE CUENTAS'!A748</f>
        <v>0</v>
      </c>
      <c r="B748" s="13">
        <f>+'PLAN DE CUENTAS'!B748</f>
        <v>0</v>
      </c>
      <c r="C748" s="13">
        <f>+'PLAN DE CUENTAS'!C748</f>
        <v>0</v>
      </c>
      <c r="D748" t="str">
        <f>IF(tbal[[#This Row],[DEBE]]+tbal[[#This Row],[HABER]]=0,"","X")</f>
        <v/>
      </c>
      <c r="E748" s="16">
        <f>SUMIF(tdiario[CUENTA],tbal[[#This Row],[CUENTA]],tdiario[DEBE])</f>
        <v>0</v>
      </c>
      <c r="F748" s="17">
        <f>SUMIF(tdiario[CUENTA],tbal[[#This Row],[CUENTA]],tdiario[HABER])</f>
        <v>0</v>
      </c>
      <c r="G748" s="16">
        <f>IF(tbal[[#This Row],[DEBE]]-tbal[[#This Row],[HABER]]&gt;0,tbal[[#This Row],[DEBE]]-tbal[[#This Row],[HABER]],0)</f>
        <v>0</v>
      </c>
      <c r="H748" s="18">
        <f>IF(tbal[[#This Row],[HABER]]-tbal[[#This Row],[DEBE]]&gt;0,tbal[[#This Row],[HABER]]-tbal[[#This Row],[DEBE]],0)</f>
        <v>0</v>
      </c>
      <c r="I748" s="16">
        <f>IF((OR(tbal[[#This Row],[X]]=1,tbal[[#This Row],[X]]=2)),tbal[[#This Row],[DEUDOR]],0)</f>
        <v>0</v>
      </c>
      <c r="J748" s="18">
        <f>IF((OR(tbal[[#This Row],[X]]=2,tbal[[#This Row],[X]]=3)),tbal[[#This Row],[ACREEDOR]],0)</f>
        <v>0</v>
      </c>
      <c r="K748" s="16">
        <f>IF((OR(tbal[[#This Row],[X]]=3,tbal[[#This Row],[X]]=5)),tbal[[#This Row],[DEUDOR]],0)</f>
        <v>0</v>
      </c>
      <c r="L748" s="18">
        <f>IF((OR(tbal[[#This Row],[X]]=3,tbal[[#This Row],[X]]=4)),tbal[[#This Row],[ACREEDOR]],0)</f>
        <v>0</v>
      </c>
      <c r="M748" s="16">
        <f>IF((OR(tbal[[#This Row],[X]]=0,tbal[[#This Row],[X]]=6)),tbal[[#This Row],[DEUDOR]],0)</f>
        <v>0</v>
      </c>
      <c r="N748" s="18">
        <f>IF((OR(tbal[[#This Row],[X]]=0,tbal[[#This Row],[X]]=5)),tbal[[#This Row],[ACREEDOR]],0)</f>
        <v>0</v>
      </c>
    </row>
    <row r="749" spans="1:14" hidden="1" x14ac:dyDescent="0.3">
      <c r="A749" s="14">
        <f>+'PLAN DE CUENTAS'!A749</f>
        <v>0</v>
      </c>
      <c r="B749" s="13">
        <f>+'PLAN DE CUENTAS'!B749</f>
        <v>0</v>
      </c>
      <c r="C749" s="13">
        <f>+'PLAN DE CUENTAS'!C749</f>
        <v>0</v>
      </c>
      <c r="D749" t="str">
        <f>IF(tbal[[#This Row],[DEBE]]+tbal[[#This Row],[HABER]]=0,"","X")</f>
        <v/>
      </c>
      <c r="E749" s="16">
        <f>SUMIF(tdiario[CUENTA],tbal[[#This Row],[CUENTA]],tdiario[DEBE])</f>
        <v>0</v>
      </c>
      <c r="F749" s="17">
        <f>SUMIF(tdiario[CUENTA],tbal[[#This Row],[CUENTA]],tdiario[HABER])</f>
        <v>0</v>
      </c>
      <c r="G749" s="16">
        <f>IF(tbal[[#This Row],[DEBE]]-tbal[[#This Row],[HABER]]&gt;0,tbal[[#This Row],[DEBE]]-tbal[[#This Row],[HABER]],0)</f>
        <v>0</v>
      </c>
      <c r="H749" s="18">
        <f>IF(tbal[[#This Row],[HABER]]-tbal[[#This Row],[DEBE]]&gt;0,tbal[[#This Row],[HABER]]-tbal[[#This Row],[DEBE]],0)</f>
        <v>0</v>
      </c>
      <c r="I749" s="16">
        <f>IF((OR(tbal[[#This Row],[X]]=1,tbal[[#This Row],[X]]=2)),tbal[[#This Row],[DEUDOR]],0)</f>
        <v>0</v>
      </c>
      <c r="J749" s="18">
        <f>IF((OR(tbal[[#This Row],[X]]=2,tbal[[#This Row],[X]]=3)),tbal[[#This Row],[ACREEDOR]],0)</f>
        <v>0</v>
      </c>
      <c r="K749" s="16">
        <f>IF((OR(tbal[[#This Row],[X]]=3,tbal[[#This Row],[X]]=5)),tbal[[#This Row],[DEUDOR]],0)</f>
        <v>0</v>
      </c>
      <c r="L749" s="18">
        <f>IF((OR(tbal[[#This Row],[X]]=3,tbal[[#This Row],[X]]=4)),tbal[[#This Row],[ACREEDOR]],0)</f>
        <v>0</v>
      </c>
      <c r="M749" s="16">
        <f>IF((OR(tbal[[#This Row],[X]]=0,tbal[[#This Row],[X]]=6)),tbal[[#This Row],[DEUDOR]],0)</f>
        <v>0</v>
      </c>
      <c r="N749" s="18">
        <f>IF((OR(tbal[[#This Row],[X]]=0,tbal[[#This Row],[X]]=5)),tbal[[#This Row],[ACREEDOR]],0)</f>
        <v>0</v>
      </c>
    </row>
    <row r="750" spans="1:14" hidden="1" x14ac:dyDescent="0.3">
      <c r="A750" s="14">
        <f>+'PLAN DE CUENTAS'!A750</f>
        <v>0</v>
      </c>
      <c r="B750" s="13">
        <f>+'PLAN DE CUENTAS'!B750</f>
        <v>0</v>
      </c>
      <c r="C750" s="13">
        <f>+'PLAN DE CUENTAS'!C750</f>
        <v>0</v>
      </c>
      <c r="D750" t="str">
        <f>IF(tbal[[#This Row],[DEBE]]+tbal[[#This Row],[HABER]]=0,"","X")</f>
        <v/>
      </c>
      <c r="E750" s="16">
        <f>SUMIF(tdiario[CUENTA],tbal[[#This Row],[CUENTA]],tdiario[DEBE])</f>
        <v>0</v>
      </c>
      <c r="F750" s="17">
        <f>SUMIF(tdiario[CUENTA],tbal[[#This Row],[CUENTA]],tdiario[HABER])</f>
        <v>0</v>
      </c>
      <c r="G750" s="16">
        <f>IF(tbal[[#This Row],[DEBE]]-tbal[[#This Row],[HABER]]&gt;0,tbal[[#This Row],[DEBE]]-tbal[[#This Row],[HABER]],0)</f>
        <v>0</v>
      </c>
      <c r="H750" s="18">
        <f>IF(tbal[[#This Row],[HABER]]-tbal[[#This Row],[DEBE]]&gt;0,tbal[[#This Row],[HABER]]-tbal[[#This Row],[DEBE]],0)</f>
        <v>0</v>
      </c>
      <c r="I750" s="16">
        <f>IF((OR(tbal[[#This Row],[X]]=1,tbal[[#This Row],[X]]=2)),tbal[[#This Row],[DEUDOR]],0)</f>
        <v>0</v>
      </c>
      <c r="J750" s="18">
        <f>IF((OR(tbal[[#This Row],[X]]=2,tbal[[#This Row],[X]]=3)),tbal[[#This Row],[ACREEDOR]],0)</f>
        <v>0</v>
      </c>
      <c r="K750" s="16">
        <f>IF((OR(tbal[[#This Row],[X]]=3,tbal[[#This Row],[X]]=5)),tbal[[#This Row],[DEUDOR]],0)</f>
        <v>0</v>
      </c>
      <c r="L750" s="18">
        <f>IF((OR(tbal[[#This Row],[X]]=3,tbal[[#This Row],[X]]=4)),tbal[[#This Row],[ACREEDOR]],0)</f>
        <v>0</v>
      </c>
      <c r="M750" s="16">
        <f>IF((OR(tbal[[#This Row],[X]]=0,tbal[[#This Row],[X]]=6)),tbal[[#This Row],[DEUDOR]],0)</f>
        <v>0</v>
      </c>
      <c r="N750" s="18">
        <f>IF((OR(tbal[[#This Row],[X]]=0,tbal[[#This Row],[X]]=5)),tbal[[#This Row],[ACREEDOR]],0)</f>
        <v>0</v>
      </c>
    </row>
    <row r="751" spans="1:14" hidden="1" x14ac:dyDescent="0.3">
      <c r="A751" s="14">
        <f>+'PLAN DE CUENTAS'!A751</f>
        <v>0</v>
      </c>
      <c r="B751" s="13">
        <f>+'PLAN DE CUENTAS'!B751</f>
        <v>0</v>
      </c>
      <c r="C751" s="13">
        <f>+'PLAN DE CUENTAS'!C751</f>
        <v>0</v>
      </c>
      <c r="D751" t="str">
        <f>IF(tbal[[#This Row],[DEBE]]+tbal[[#This Row],[HABER]]=0,"","X")</f>
        <v/>
      </c>
      <c r="E751" s="16">
        <f>SUMIF(tdiario[CUENTA],tbal[[#This Row],[CUENTA]],tdiario[DEBE])</f>
        <v>0</v>
      </c>
      <c r="F751" s="17">
        <f>SUMIF(tdiario[CUENTA],tbal[[#This Row],[CUENTA]],tdiario[HABER])</f>
        <v>0</v>
      </c>
      <c r="G751" s="16">
        <f>IF(tbal[[#This Row],[DEBE]]-tbal[[#This Row],[HABER]]&gt;0,tbal[[#This Row],[DEBE]]-tbal[[#This Row],[HABER]],0)</f>
        <v>0</v>
      </c>
      <c r="H751" s="18">
        <f>IF(tbal[[#This Row],[HABER]]-tbal[[#This Row],[DEBE]]&gt;0,tbal[[#This Row],[HABER]]-tbal[[#This Row],[DEBE]],0)</f>
        <v>0</v>
      </c>
      <c r="I751" s="16">
        <f>IF((OR(tbal[[#This Row],[X]]=1,tbal[[#This Row],[X]]=2)),tbal[[#This Row],[DEUDOR]],0)</f>
        <v>0</v>
      </c>
      <c r="J751" s="18">
        <f>IF((OR(tbal[[#This Row],[X]]=2,tbal[[#This Row],[X]]=3)),tbal[[#This Row],[ACREEDOR]],0)</f>
        <v>0</v>
      </c>
      <c r="K751" s="16">
        <f>IF((OR(tbal[[#This Row],[X]]=3,tbal[[#This Row],[X]]=5)),tbal[[#This Row],[DEUDOR]],0)</f>
        <v>0</v>
      </c>
      <c r="L751" s="18">
        <f>IF((OR(tbal[[#This Row],[X]]=3,tbal[[#This Row],[X]]=4)),tbal[[#This Row],[ACREEDOR]],0)</f>
        <v>0</v>
      </c>
      <c r="M751" s="16">
        <f>IF((OR(tbal[[#This Row],[X]]=0,tbal[[#This Row],[X]]=6)),tbal[[#This Row],[DEUDOR]],0)</f>
        <v>0</v>
      </c>
      <c r="N751" s="18">
        <f>IF((OR(tbal[[#This Row],[X]]=0,tbal[[#This Row],[X]]=5)),tbal[[#This Row],[ACREEDOR]],0)</f>
        <v>0</v>
      </c>
    </row>
    <row r="752" spans="1:14" hidden="1" x14ac:dyDescent="0.3">
      <c r="A752" s="14">
        <f>+'PLAN DE CUENTAS'!A752</f>
        <v>0</v>
      </c>
      <c r="B752" s="13">
        <f>+'PLAN DE CUENTAS'!B752</f>
        <v>0</v>
      </c>
      <c r="C752" s="13">
        <f>+'PLAN DE CUENTAS'!C752</f>
        <v>0</v>
      </c>
      <c r="D752" t="str">
        <f>IF(tbal[[#This Row],[DEBE]]+tbal[[#This Row],[HABER]]=0,"","X")</f>
        <v/>
      </c>
      <c r="E752" s="16">
        <f>SUMIF(tdiario[CUENTA],tbal[[#This Row],[CUENTA]],tdiario[DEBE])</f>
        <v>0</v>
      </c>
      <c r="F752" s="17">
        <f>SUMIF(tdiario[CUENTA],tbal[[#This Row],[CUENTA]],tdiario[HABER])</f>
        <v>0</v>
      </c>
      <c r="G752" s="16">
        <f>IF(tbal[[#This Row],[DEBE]]-tbal[[#This Row],[HABER]]&gt;0,tbal[[#This Row],[DEBE]]-tbal[[#This Row],[HABER]],0)</f>
        <v>0</v>
      </c>
      <c r="H752" s="18">
        <f>IF(tbal[[#This Row],[HABER]]-tbal[[#This Row],[DEBE]]&gt;0,tbal[[#This Row],[HABER]]-tbal[[#This Row],[DEBE]],0)</f>
        <v>0</v>
      </c>
      <c r="I752" s="16">
        <f>IF((OR(tbal[[#This Row],[X]]=1,tbal[[#This Row],[X]]=2)),tbal[[#This Row],[DEUDOR]],0)</f>
        <v>0</v>
      </c>
      <c r="J752" s="18">
        <f>IF((OR(tbal[[#This Row],[X]]=2,tbal[[#This Row],[X]]=3)),tbal[[#This Row],[ACREEDOR]],0)</f>
        <v>0</v>
      </c>
      <c r="K752" s="16">
        <f>IF((OR(tbal[[#This Row],[X]]=3,tbal[[#This Row],[X]]=5)),tbal[[#This Row],[DEUDOR]],0)</f>
        <v>0</v>
      </c>
      <c r="L752" s="18">
        <f>IF((OR(tbal[[#This Row],[X]]=3,tbal[[#This Row],[X]]=4)),tbal[[#This Row],[ACREEDOR]],0)</f>
        <v>0</v>
      </c>
      <c r="M752" s="16">
        <f>IF((OR(tbal[[#This Row],[X]]=0,tbal[[#This Row],[X]]=6)),tbal[[#This Row],[DEUDOR]],0)</f>
        <v>0</v>
      </c>
      <c r="N752" s="18">
        <f>IF((OR(tbal[[#This Row],[X]]=0,tbal[[#This Row],[X]]=5)),tbal[[#This Row],[ACREEDOR]],0)</f>
        <v>0</v>
      </c>
    </row>
    <row r="753" spans="1:14" hidden="1" x14ac:dyDescent="0.3">
      <c r="A753" s="14">
        <f>+'PLAN DE CUENTAS'!A753</f>
        <v>0</v>
      </c>
      <c r="B753" s="13">
        <f>+'PLAN DE CUENTAS'!B753</f>
        <v>0</v>
      </c>
      <c r="C753" s="13">
        <f>+'PLAN DE CUENTAS'!C753</f>
        <v>0</v>
      </c>
      <c r="D753" t="str">
        <f>IF(tbal[[#This Row],[DEBE]]+tbal[[#This Row],[HABER]]=0,"","X")</f>
        <v/>
      </c>
      <c r="E753" s="16">
        <f>SUMIF(tdiario[CUENTA],tbal[[#This Row],[CUENTA]],tdiario[DEBE])</f>
        <v>0</v>
      </c>
      <c r="F753" s="17">
        <f>SUMIF(tdiario[CUENTA],tbal[[#This Row],[CUENTA]],tdiario[HABER])</f>
        <v>0</v>
      </c>
      <c r="G753" s="16">
        <f>IF(tbal[[#This Row],[DEBE]]-tbal[[#This Row],[HABER]]&gt;0,tbal[[#This Row],[DEBE]]-tbal[[#This Row],[HABER]],0)</f>
        <v>0</v>
      </c>
      <c r="H753" s="18">
        <f>IF(tbal[[#This Row],[HABER]]-tbal[[#This Row],[DEBE]]&gt;0,tbal[[#This Row],[HABER]]-tbal[[#This Row],[DEBE]],0)</f>
        <v>0</v>
      </c>
      <c r="I753" s="16">
        <f>IF((OR(tbal[[#This Row],[X]]=1,tbal[[#This Row],[X]]=2)),tbal[[#This Row],[DEUDOR]],0)</f>
        <v>0</v>
      </c>
      <c r="J753" s="18">
        <f>IF((OR(tbal[[#This Row],[X]]=2,tbal[[#This Row],[X]]=3)),tbal[[#This Row],[ACREEDOR]],0)</f>
        <v>0</v>
      </c>
      <c r="K753" s="16">
        <f>IF((OR(tbal[[#This Row],[X]]=3,tbal[[#This Row],[X]]=5)),tbal[[#This Row],[DEUDOR]],0)</f>
        <v>0</v>
      </c>
      <c r="L753" s="18">
        <f>IF((OR(tbal[[#This Row],[X]]=3,tbal[[#This Row],[X]]=4)),tbal[[#This Row],[ACREEDOR]],0)</f>
        <v>0</v>
      </c>
      <c r="M753" s="16">
        <f>IF((OR(tbal[[#This Row],[X]]=0,tbal[[#This Row],[X]]=6)),tbal[[#This Row],[DEUDOR]],0)</f>
        <v>0</v>
      </c>
      <c r="N753" s="18">
        <f>IF((OR(tbal[[#This Row],[X]]=0,tbal[[#This Row],[X]]=5)),tbal[[#This Row],[ACREEDOR]],0)</f>
        <v>0</v>
      </c>
    </row>
    <row r="754" spans="1:14" hidden="1" x14ac:dyDescent="0.3">
      <c r="A754" s="14">
        <f>+'PLAN DE CUENTAS'!A754</f>
        <v>0</v>
      </c>
      <c r="B754" s="13">
        <f>+'PLAN DE CUENTAS'!B754</f>
        <v>0</v>
      </c>
      <c r="C754" s="13">
        <f>+'PLAN DE CUENTAS'!C754</f>
        <v>0</v>
      </c>
      <c r="D754" t="str">
        <f>IF(tbal[[#This Row],[DEBE]]+tbal[[#This Row],[HABER]]=0,"","X")</f>
        <v/>
      </c>
      <c r="E754" s="16">
        <f>SUMIF(tdiario[CUENTA],tbal[[#This Row],[CUENTA]],tdiario[DEBE])</f>
        <v>0</v>
      </c>
      <c r="F754" s="17">
        <f>SUMIF(tdiario[CUENTA],tbal[[#This Row],[CUENTA]],tdiario[HABER])</f>
        <v>0</v>
      </c>
      <c r="G754" s="16">
        <f>IF(tbal[[#This Row],[DEBE]]-tbal[[#This Row],[HABER]]&gt;0,tbal[[#This Row],[DEBE]]-tbal[[#This Row],[HABER]],0)</f>
        <v>0</v>
      </c>
      <c r="H754" s="18">
        <f>IF(tbal[[#This Row],[HABER]]-tbal[[#This Row],[DEBE]]&gt;0,tbal[[#This Row],[HABER]]-tbal[[#This Row],[DEBE]],0)</f>
        <v>0</v>
      </c>
      <c r="I754" s="16">
        <f>IF((OR(tbal[[#This Row],[X]]=1,tbal[[#This Row],[X]]=2)),tbal[[#This Row],[DEUDOR]],0)</f>
        <v>0</v>
      </c>
      <c r="J754" s="18">
        <f>IF((OR(tbal[[#This Row],[X]]=2,tbal[[#This Row],[X]]=3)),tbal[[#This Row],[ACREEDOR]],0)</f>
        <v>0</v>
      </c>
      <c r="K754" s="16">
        <f>IF((OR(tbal[[#This Row],[X]]=3,tbal[[#This Row],[X]]=5)),tbal[[#This Row],[DEUDOR]],0)</f>
        <v>0</v>
      </c>
      <c r="L754" s="18">
        <f>IF((OR(tbal[[#This Row],[X]]=3,tbal[[#This Row],[X]]=4)),tbal[[#This Row],[ACREEDOR]],0)</f>
        <v>0</v>
      </c>
      <c r="M754" s="16">
        <f>IF((OR(tbal[[#This Row],[X]]=0,tbal[[#This Row],[X]]=6)),tbal[[#This Row],[DEUDOR]],0)</f>
        <v>0</v>
      </c>
      <c r="N754" s="18">
        <f>IF((OR(tbal[[#This Row],[X]]=0,tbal[[#This Row],[X]]=5)),tbal[[#This Row],[ACREEDOR]],0)</f>
        <v>0</v>
      </c>
    </row>
    <row r="755" spans="1:14" hidden="1" x14ac:dyDescent="0.3">
      <c r="A755" s="14">
        <f>+'PLAN DE CUENTAS'!A755</f>
        <v>0</v>
      </c>
      <c r="B755" s="13">
        <f>+'PLAN DE CUENTAS'!B755</f>
        <v>0</v>
      </c>
      <c r="C755" s="13">
        <f>+'PLAN DE CUENTAS'!C755</f>
        <v>0</v>
      </c>
      <c r="D755" t="str">
        <f>IF(tbal[[#This Row],[DEBE]]+tbal[[#This Row],[HABER]]=0,"","X")</f>
        <v/>
      </c>
      <c r="E755" s="16">
        <f>SUMIF(tdiario[CUENTA],tbal[[#This Row],[CUENTA]],tdiario[DEBE])</f>
        <v>0</v>
      </c>
      <c r="F755" s="17">
        <f>SUMIF(tdiario[CUENTA],tbal[[#This Row],[CUENTA]],tdiario[HABER])</f>
        <v>0</v>
      </c>
      <c r="G755" s="16">
        <f>IF(tbal[[#This Row],[DEBE]]-tbal[[#This Row],[HABER]]&gt;0,tbal[[#This Row],[DEBE]]-tbal[[#This Row],[HABER]],0)</f>
        <v>0</v>
      </c>
      <c r="H755" s="18">
        <f>IF(tbal[[#This Row],[HABER]]-tbal[[#This Row],[DEBE]]&gt;0,tbal[[#This Row],[HABER]]-tbal[[#This Row],[DEBE]],0)</f>
        <v>0</v>
      </c>
      <c r="I755" s="16">
        <f>IF((OR(tbal[[#This Row],[X]]=1,tbal[[#This Row],[X]]=2)),tbal[[#This Row],[DEUDOR]],0)</f>
        <v>0</v>
      </c>
      <c r="J755" s="18">
        <f>IF((OR(tbal[[#This Row],[X]]=2,tbal[[#This Row],[X]]=3)),tbal[[#This Row],[ACREEDOR]],0)</f>
        <v>0</v>
      </c>
      <c r="K755" s="16">
        <f>IF((OR(tbal[[#This Row],[X]]=3,tbal[[#This Row],[X]]=5)),tbal[[#This Row],[DEUDOR]],0)</f>
        <v>0</v>
      </c>
      <c r="L755" s="18">
        <f>IF((OR(tbal[[#This Row],[X]]=3,tbal[[#This Row],[X]]=4)),tbal[[#This Row],[ACREEDOR]],0)</f>
        <v>0</v>
      </c>
      <c r="M755" s="16">
        <f>IF((OR(tbal[[#This Row],[X]]=0,tbal[[#This Row],[X]]=6)),tbal[[#This Row],[DEUDOR]],0)</f>
        <v>0</v>
      </c>
      <c r="N755" s="18">
        <f>IF((OR(tbal[[#This Row],[X]]=0,tbal[[#This Row],[X]]=5)),tbal[[#This Row],[ACREEDOR]],0)</f>
        <v>0</v>
      </c>
    </row>
    <row r="756" spans="1:14" hidden="1" x14ac:dyDescent="0.3">
      <c r="A756" s="14">
        <f>+'PLAN DE CUENTAS'!A756</f>
        <v>0</v>
      </c>
      <c r="B756" s="13">
        <f>+'PLAN DE CUENTAS'!B756</f>
        <v>0</v>
      </c>
      <c r="C756" s="13">
        <f>+'PLAN DE CUENTAS'!C756</f>
        <v>0</v>
      </c>
      <c r="D756" t="str">
        <f>IF(tbal[[#This Row],[DEBE]]+tbal[[#This Row],[HABER]]=0,"","X")</f>
        <v/>
      </c>
      <c r="E756" s="16">
        <f>SUMIF(tdiario[CUENTA],tbal[[#This Row],[CUENTA]],tdiario[DEBE])</f>
        <v>0</v>
      </c>
      <c r="F756" s="17">
        <f>SUMIF(tdiario[CUENTA],tbal[[#This Row],[CUENTA]],tdiario[HABER])</f>
        <v>0</v>
      </c>
      <c r="G756" s="16">
        <f>IF(tbal[[#This Row],[DEBE]]-tbal[[#This Row],[HABER]]&gt;0,tbal[[#This Row],[DEBE]]-tbal[[#This Row],[HABER]],0)</f>
        <v>0</v>
      </c>
      <c r="H756" s="18">
        <f>IF(tbal[[#This Row],[HABER]]-tbal[[#This Row],[DEBE]]&gt;0,tbal[[#This Row],[HABER]]-tbal[[#This Row],[DEBE]],0)</f>
        <v>0</v>
      </c>
      <c r="I756" s="16">
        <f>IF((OR(tbal[[#This Row],[X]]=1,tbal[[#This Row],[X]]=2)),tbal[[#This Row],[DEUDOR]],0)</f>
        <v>0</v>
      </c>
      <c r="J756" s="18">
        <f>IF((OR(tbal[[#This Row],[X]]=2,tbal[[#This Row],[X]]=3)),tbal[[#This Row],[ACREEDOR]],0)</f>
        <v>0</v>
      </c>
      <c r="K756" s="16">
        <f>IF((OR(tbal[[#This Row],[X]]=3,tbal[[#This Row],[X]]=5)),tbal[[#This Row],[DEUDOR]],0)</f>
        <v>0</v>
      </c>
      <c r="L756" s="18">
        <f>IF((OR(tbal[[#This Row],[X]]=3,tbal[[#This Row],[X]]=4)),tbal[[#This Row],[ACREEDOR]],0)</f>
        <v>0</v>
      </c>
      <c r="M756" s="16">
        <f>IF((OR(tbal[[#This Row],[X]]=0,tbal[[#This Row],[X]]=6)),tbal[[#This Row],[DEUDOR]],0)</f>
        <v>0</v>
      </c>
      <c r="N756" s="18">
        <f>IF((OR(tbal[[#This Row],[X]]=0,tbal[[#This Row],[X]]=5)),tbal[[#This Row],[ACREEDOR]],0)</f>
        <v>0</v>
      </c>
    </row>
    <row r="757" spans="1:14" hidden="1" x14ac:dyDescent="0.3">
      <c r="A757" s="14">
        <f>+'PLAN DE CUENTAS'!A757</f>
        <v>0</v>
      </c>
      <c r="B757" s="13">
        <f>+'PLAN DE CUENTAS'!B757</f>
        <v>0</v>
      </c>
      <c r="C757" s="13">
        <f>+'PLAN DE CUENTAS'!C757</f>
        <v>0</v>
      </c>
      <c r="D757" t="str">
        <f>IF(tbal[[#This Row],[DEBE]]+tbal[[#This Row],[HABER]]=0,"","X")</f>
        <v/>
      </c>
      <c r="E757" s="16">
        <f>SUMIF(tdiario[CUENTA],tbal[[#This Row],[CUENTA]],tdiario[DEBE])</f>
        <v>0</v>
      </c>
      <c r="F757" s="17">
        <f>SUMIF(tdiario[CUENTA],tbal[[#This Row],[CUENTA]],tdiario[HABER])</f>
        <v>0</v>
      </c>
      <c r="G757" s="16">
        <f>IF(tbal[[#This Row],[DEBE]]-tbal[[#This Row],[HABER]]&gt;0,tbal[[#This Row],[DEBE]]-tbal[[#This Row],[HABER]],0)</f>
        <v>0</v>
      </c>
      <c r="H757" s="18">
        <f>IF(tbal[[#This Row],[HABER]]-tbal[[#This Row],[DEBE]]&gt;0,tbal[[#This Row],[HABER]]-tbal[[#This Row],[DEBE]],0)</f>
        <v>0</v>
      </c>
      <c r="I757" s="16">
        <f>IF((OR(tbal[[#This Row],[X]]=1,tbal[[#This Row],[X]]=2)),tbal[[#This Row],[DEUDOR]],0)</f>
        <v>0</v>
      </c>
      <c r="J757" s="18">
        <f>IF((OR(tbal[[#This Row],[X]]=2,tbal[[#This Row],[X]]=3)),tbal[[#This Row],[ACREEDOR]],0)</f>
        <v>0</v>
      </c>
      <c r="K757" s="16">
        <f>IF((OR(tbal[[#This Row],[X]]=3,tbal[[#This Row],[X]]=5)),tbal[[#This Row],[DEUDOR]],0)</f>
        <v>0</v>
      </c>
      <c r="L757" s="18">
        <f>IF((OR(tbal[[#This Row],[X]]=3,tbal[[#This Row],[X]]=4)),tbal[[#This Row],[ACREEDOR]],0)</f>
        <v>0</v>
      </c>
      <c r="M757" s="16">
        <f>IF((OR(tbal[[#This Row],[X]]=0,tbal[[#This Row],[X]]=6)),tbal[[#This Row],[DEUDOR]],0)</f>
        <v>0</v>
      </c>
      <c r="N757" s="18">
        <f>IF((OR(tbal[[#This Row],[X]]=0,tbal[[#This Row],[X]]=5)),tbal[[#This Row],[ACREEDOR]],0)</f>
        <v>0</v>
      </c>
    </row>
    <row r="758" spans="1:14" hidden="1" x14ac:dyDescent="0.3">
      <c r="A758" s="14">
        <f>+'PLAN DE CUENTAS'!A758</f>
        <v>0</v>
      </c>
      <c r="B758" s="13">
        <f>+'PLAN DE CUENTAS'!B758</f>
        <v>0</v>
      </c>
      <c r="C758" s="13">
        <f>+'PLAN DE CUENTAS'!C758</f>
        <v>0</v>
      </c>
      <c r="D758" t="str">
        <f>IF(tbal[[#This Row],[DEBE]]+tbal[[#This Row],[HABER]]=0,"","X")</f>
        <v/>
      </c>
      <c r="E758" s="16">
        <f>SUMIF(tdiario[CUENTA],tbal[[#This Row],[CUENTA]],tdiario[DEBE])</f>
        <v>0</v>
      </c>
      <c r="F758" s="17">
        <f>SUMIF(tdiario[CUENTA],tbal[[#This Row],[CUENTA]],tdiario[HABER])</f>
        <v>0</v>
      </c>
      <c r="G758" s="16">
        <f>IF(tbal[[#This Row],[DEBE]]-tbal[[#This Row],[HABER]]&gt;0,tbal[[#This Row],[DEBE]]-tbal[[#This Row],[HABER]],0)</f>
        <v>0</v>
      </c>
      <c r="H758" s="18">
        <f>IF(tbal[[#This Row],[HABER]]-tbal[[#This Row],[DEBE]]&gt;0,tbal[[#This Row],[HABER]]-tbal[[#This Row],[DEBE]],0)</f>
        <v>0</v>
      </c>
      <c r="I758" s="16">
        <f>IF((OR(tbal[[#This Row],[X]]=1,tbal[[#This Row],[X]]=2)),tbal[[#This Row],[DEUDOR]],0)</f>
        <v>0</v>
      </c>
      <c r="J758" s="18">
        <f>IF((OR(tbal[[#This Row],[X]]=2,tbal[[#This Row],[X]]=3)),tbal[[#This Row],[ACREEDOR]],0)</f>
        <v>0</v>
      </c>
      <c r="K758" s="16">
        <f>IF((OR(tbal[[#This Row],[X]]=3,tbal[[#This Row],[X]]=5)),tbal[[#This Row],[DEUDOR]],0)</f>
        <v>0</v>
      </c>
      <c r="L758" s="18">
        <f>IF((OR(tbal[[#This Row],[X]]=3,tbal[[#This Row],[X]]=4)),tbal[[#This Row],[ACREEDOR]],0)</f>
        <v>0</v>
      </c>
      <c r="M758" s="16">
        <f>IF((OR(tbal[[#This Row],[X]]=0,tbal[[#This Row],[X]]=6)),tbal[[#This Row],[DEUDOR]],0)</f>
        <v>0</v>
      </c>
      <c r="N758" s="18">
        <f>IF((OR(tbal[[#This Row],[X]]=0,tbal[[#This Row],[X]]=5)),tbal[[#This Row],[ACREEDOR]],0)</f>
        <v>0</v>
      </c>
    </row>
    <row r="759" spans="1:14" hidden="1" x14ac:dyDescent="0.3">
      <c r="A759" s="14">
        <f>+'PLAN DE CUENTAS'!A759</f>
        <v>0</v>
      </c>
      <c r="B759" s="13">
        <f>+'PLAN DE CUENTAS'!B759</f>
        <v>0</v>
      </c>
      <c r="C759" s="13">
        <f>+'PLAN DE CUENTAS'!C759</f>
        <v>0</v>
      </c>
      <c r="D759" t="str">
        <f>IF(tbal[[#This Row],[DEBE]]+tbal[[#This Row],[HABER]]=0,"","X")</f>
        <v/>
      </c>
      <c r="E759" s="16">
        <f>SUMIF(tdiario[CUENTA],tbal[[#This Row],[CUENTA]],tdiario[DEBE])</f>
        <v>0</v>
      </c>
      <c r="F759" s="17">
        <f>SUMIF(tdiario[CUENTA],tbal[[#This Row],[CUENTA]],tdiario[HABER])</f>
        <v>0</v>
      </c>
      <c r="G759" s="16">
        <f>IF(tbal[[#This Row],[DEBE]]-tbal[[#This Row],[HABER]]&gt;0,tbal[[#This Row],[DEBE]]-tbal[[#This Row],[HABER]],0)</f>
        <v>0</v>
      </c>
      <c r="H759" s="18">
        <f>IF(tbal[[#This Row],[HABER]]-tbal[[#This Row],[DEBE]]&gt;0,tbal[[#This Row],[HABER]]-tbal[[#This Row],[DEBE]],0)</f>
        <v>0</v>
      </c>
      <c r="I759" s="16">
        <f>IF((OR(tbal[[#This Row],[X]]=1,tbal[[#This Row],[X]]=2)),tbal[[#This Row],[DEUDOR]],0)</f>
        <v>0</v>
      </c>
      <c r="J759" s="18">
        <f>IF((OR(tbal[[#This Row],[X]]=2,tbal[[#This Row],[X]]=3)),tbal[[#This Row],[ACREEDOR]],0)</f>
        <v>0</v>
      </c>
      <c r="K759" s="16">
        <f>IF((OR(tbal[[#This Row],[X]]=3,tbal[[#This Row],[X]]=5)),tbal[[#This Row],[DEUDOR]],0)</f>
        <v>0</v>
      </c>
      <c r="L759" s="18">
        <f>IF((OR(tbal[[#This Row],[X]]=3,tbal[[#This Row],[X]]=4)),tbal[[#This Row],[ACREEDOR]],0)</f>
        <v>0</v>
      </c>
      <c r="M759" s="16">
        <f>IF((OR(tbal[[#This Row],[X]]=0,tbal[[#This Row],[X]]=6)),tbal[[#This Row],[DEUDOR]],0)</f>
        <v>0</v>
      </c>
      <c r="N759" s="18">
        <f>IF((OR(tbal[[#This Row],[X]]=0,tbal[[#This Row],[X]]=5)),tbal[[#This Row],[ACREEDOR]],0)</f>
        <v>0</v>
      </c>
    </row>
    <row r="760" spans="1:14" hidden="1" x14ac:dyDescent="0.3">
      <c r="A760" s="14">
        <f>+'PLAN DE CUENTAS'!A760</f>
        <v>0</v>
      </c>
      <c r="B760" s="13">
        <f>+'PLAN DE CUENTAS'!B760</f>
        <v>0</v>
      </c>
      <c r="C760" s="13">
        <f>+'PLAN DE CUENTAS'!C760</f>
        <v>0</v>
      </c>
      <c r="D760" t="str">
        <f>IF(tbal[[#This Row],[DEBE]]+tbal[[#This Row],[HABER]]=0,"","X")</f>
        <v/>
      </c>
      <c r="E760" s="16">
        <f>SUMIF(tdiario[CUENTA],tbal[[#This Row],[CUENTA]],tdiario[DEBE])</f>
        <v>0</v>
      </c>
      <c r="F760" s="17">
        <f>SUMIF(tdiario[CUENTA],tbal[[#This Row],[CUENTA]],tdiario[HABER])</f>
        <v>0</v>
      </c>
      <c r="G760" s="16">
        <f>IF(tbal[[#This Row],[DEBE]]-tbal[[#This Row],[HABER]]&gt;0,tbal[[#This Row],[DEBE]]-tbal[[#This Row],[HABER]],0)</f>
        <v>0</v>
      </c>
      <c r="H760" s="18">
        <f>IF(tbal[[#This Row],[HABER]]-tbal[[#This Row],[DEBE]]&gt;0,tbal[[#This Row],[HABER]]-tbal[[#This Row],[DEBE]],0)</f>
        <v>0</v>
      </c>
      <c r="I760" s="16">
        <f>IF((OR(tbal[[#This Row],[X]]=1,tbal[[#This Row],[X]]=2)),tbal[[#This Row],[DEUDOR]],0)</f>
        <v>0</v>
      </c>
      <c r="J760" s="18">
        <f>IF((OR(tbal[[#This Row],[X]]=2,tbal[[#This Row],[X]]=3)),tbal[[#This Row],[ACREEDOR]],0)</f>
        <v>0</v>
      </c>
      <c r="K760" s="16">
        <f>IF((OR(tbal[[#This Row],[X]]=3,tbal[[#This Row],[X]]=5)),tbal[[#This Row],[DEUDOR]],0)</f>
        <v>0</v>
      </c>
      <c r="L760" s="18">
        <f>IF((OR(tbal[[#This Row],[X]]=3,tbal[[#This Row],[X]]=4)),tbal[[#This Row],[ACREEDOR]],0)</f>
        <v>0</v>
      </c>
      <c r="M760" s="16">
        <f>IF((OR(tbal[[#This Row],[X]]=0,tbal[[#This Row],[X]]=6)),tbal[[#This Row],[DEUDOR]],0)</f>
        <v>0</v>
      </c>
      <c r="N760" s="18">
        <f>IF((OR(tbal[[#This Row],[X]]=0,tbal[[#This Row],[X]]=5)),tbal[[#This Row],[ACREEDOR]],0)</f>
        <v>0</v>
      </c>
    </row>
    <row r="761" spans="1:14" hidden="1" x14ac:dyDescent="0.3">
      <c r="A761" s="14">
        <f>+'PLAN DE CUENTAS'!A761</f>
        <v>0</v>
      </c>
      <c r="B761" s="13">
        <f>+'PLAN DE CUENTAS'!B761</f>
        <v>0</v>
      </c>
      <c r="C761" s="13">
        <f>+'PLAN DE CUENTAS'!C761</f>
        <v>0</v>
      </c>
      <c r="D761" t="str">
        <f>IF(tbal[[#This Row],[DEBE]]+tbal[[#This Row],[HABER]]=0,"","X")</f>
        <v/>
      </c>
      <c r="E761" s="16">
        <f>SUMIF(tdiario[CUENTA],tbal[[#This Row],[CUENTA]],tdiario[DEBE])</f>
        <v>0</v>
      </c>
      <c r="F761" s="17">
        <f>SUMIF(tdiario[CUENTA],tbal[[#This Row],[CUENTA]],tdiario[HABER])</f>
        <v>0</v>
      </c>
      <c r="G761" s="16">
        <f>IF(tbal[[#This Row],[DEBE]]-tbal[[#This Row],[HABER]]&gt;0,tbal[[#This Row],[DEBE]]-tbal[[#This Row],[HABER]],0)</f>
        <v>0</v>
      </c>
      <c r="H761" s="18">
        <f>IF(tbal[[#This Row],[HABER]]-tbal[[#This Row],[DEBE]]&gt;0,tbal[[#This Row],[HABER]]-tbal[[#This Row],[DEBE]],0)</f>
        <v>0</v>
      </c>
      <c r="I761" s="16">
        <f>IF((OR(tbal[[#This Row],[X]]=1,tbal[[#This Row],[X]]=2)),tbal[[#This Row],[DEUDOR]],0)</f>
        <v>0</v>
      </c>
      <c r="J761" s="18">
        <f>IF((OR(tbal[[#This Row],[X]]=2,tbal[[#This Row],[X]]=3)),tbal[[#This Row],[ACREEDOR]],0)</f>
        <v>0</v>
      </c>
      <c r="K761" s="16">
        <f>IF((OR(tbal[[#This Row],[X]]=3,tbal[[#This Row],[X]]=5)),tbal[[#This Row],[DEUDOR]],0)</f>
        <v>0</v>
      </c>
      <c r="L761" s="18">
        <f>IF((OR(tbal[[#This Row],[X]]=3,tbal[[#This Row],[X]]=4)),tbal[[#This Row],[ACREEDOR]],0)</f>
        <v>0</v>
      </c>
      <c r="M761" s="16">
        <f>IF((OR(tbal[[#This Row],[X]]=0,tbal[[#This Row],[X]]=6)),tbal[[#This Row],[DEUDOR]],0)</f>
        <v>0</v>
      </c>
      <c r="N761" s="18">
        <f>IF((OR(tbal[[#This Row],[X]]=0,tbal[[#This Row],[X]]=5)),tbal[[#This Row],[ACREEDOR]],0)</f>
        <v>0</v>
      </c>
    </row>
    <row r="762" spans="1:14" hidden="1" x14ac:dyDescent="0.3">
      <c r="A762" s="14">
        <f>+'PLAN DE CUENTAS'!A762</f>
        <v>0</v>
      </c>
      <c r="B762" s="13">
        <f>+'PLAN DE CUENTAS'!B762</f>
        <v>0</v>
      </c>
      <c r="C762" s="13">
        <f>+'PLAN DE CUENTAS'!C762</f>
        <v>0</v>
      </c>
      <c r="D762" t="str">
        <f>IF(tbal[[#This Row],[DEBE]]+tbal[[#This Row],[HABER]]=0,"","X")</f>
        <v/>
      </c>
      <c r="E762" s="16">
        <f>SUMIF(tdiario[CUENTA],tbal[[#This Row],[CUENTA]],tdiario[DEBE])</f>
        <v>0</v>
      </c>
      <c r="F762" s="17">
        <f>SUMIF(tdiario[CUENTA],tbal[[#This Row],[CUENTA]],tdiario[HABER])</f>
        <v>0</v>
      </c>
      <c r="G762" s="16">
        <f>IF(tbal[[#This Row],[DEBE]]-tbal[[#This Row],[HABER]]&gt;0,tbal[[#This Row],[DEBE]]-tbal[[#This Row],[HABER]],0)</f>
        <v>0</v>
      </c>
      <c r="H762" s="18">
        <f>IF(tbal[[#This Row],[HABER]]-tbal[[#This Row],[DEBE]]&gt;0,tbal[[#This Row],[HABER]]-tbal[[#This Row],[DEBE]],0)</f>
        <v>0</v>
      </c>
      <c r="I762" s="16">
        <f>IF((OR(tbal[[#This Row],[X]]=1,tbal[[#This Row],[X]]=2)),tbal[[#This Row],[DEUDOR]],0)</f>
        <v>0</v>
      </c>
      <c r="J762" s="18">
        <f>IF((OR(tbal[[#This Row],[X]]=2,tbal[[#This Row],[X]]=3)),tbal[[#This Row],[ACREEDOR]],0)</f>
        <v>0</v>
      </c>
      <c r="K762" s="16">
        <f>IF((OR(tbal[[#This Row],[X]]=3,tbal[[#This Row],[X]]=5)),tbal[[#This Row],[DEUDOR]],0)</f>
        <v>0</v>
      </c>
      <c r="L762" s="18">
        <f>IF((OR(tbal[[#This Row],[X]]=3,tbal[[#This Row],[X]]=4)),tbal[[#This Row],[ACREEDOR]],0)</f>
        <v>0</v>
      </c>
      <c r="M762" s="16">
        <f>IF((OR(tbal[[#This Row],[X]]=0,tbal[[#This Row],[X]]=6)),tbal[[#This Row],[DEUDOR]],0)</f>
        <v>0</v>
      </c>
      <c r="N762" s="18">
        <f>IF((OR(tbal[[#This Row],[X]]=0,tbal[[#This Row],[X]]=5)),tbal[[#This Row],[ACREEDOR]],0)</f>
        <v>0</v>
      </c>
    </row>
    <row r="763" spans="1:14" hidden="1" x14ac:dyDescent="0.3">
      <c r="A763" s="14">
        <f>+'PLAN DE CUENTAS'!A763</f>
        <v>0</v>
      </c>
      <c r="B763" s="13">
        <f>+'PLAN DE CUENTAS'!B763</f>
        <v>0</v>
      </c>
      <c r="C763" s="13">
        <f>+'PLAN DE CUENTAS'!C763</f>
        <v>0</v>
      </c>
      <c r="D763" t="str">
        <f>IF(tbal[[#This Row],[DEBE]]+tbal[[#This Row],[HABER]]=0,"","X")</f>
        <v/>
      </c>
      <c r="E763" s="16">
        <f>SUMIF(tdiario[CUENTA],tbal[[#This Row],[CUENTA]],tdiario[DEBE])</f>
        <v>0</v>
      </c>
      <c r="F763" s="17">
        <f>SUMIF(tdiario[CUENTA],tbal[[#This Row],[CUENTA]],tdiario[HABER])</f>
        <v>0</v>
      </c>
      <c r="G763" s="16">
        <f>IF(tbal[[#This Row],[DEBE]]-tbal[[#This Row],[HABER]]&gt;0,tbal[[#This Row],[DEBE]]-tbal[[#This Row],[HABER]],0)</f>
        <v>0</v>
      </c>
      <c r="H763" s="18">
        <f>IF(tbal[[#This Row],[HABER]]-tbal[[#This Row],[DEBE]]&gt;0,tbal[[#This Row],[HABER]]-tbal[[#This Row],[DEBE]],0)</f>
        <v>0</v>
      </c>
      <c r="I763" s="16">
        <f>IF((OR(tbal[[#This Row],[X]]=1,tbal[[#This Row],[X]]=2)),tbal[[#This Row],[DEUDOR]],0)</f>
        <v>0</v>
      </c>
      <c r="J763" s="18">
        <f>IF((OR(tbal[[#This Row],[X]]=2,tbal[[#This Row],[X]]=3)),tbal[[#This Row],[ACREEDOR]],0)</f>
        <v>0</v>
      </c>
      <c r="K763" s="16">
        <f>IF((OR(tbal[[#This Row],[X]]=3,tbal[[#This Row],[X]]=5)),tbal[[#This Row],[DEUDOR]],0)</f>
        <v>0</v>
      </c>
      <c r="L763" s="18">
        <f>IF((OR(tbal[[#This Row],[X]]=3,tbal[[#This Row],[X]]=4)),tbal[[#This Row],[ACREEDOR]],0)</f>
        <v>0</v>
      </c>
      <c r="M763" s="16">
        <f>IF((OR(tbal[[#This Row],[X]]=0,tbal[[#This Row],[X]]=6)),tbal[[#This Row],[DEUDOR]],0)</f>
        <v>0</v>
      </c>
      <c r="N763" s="18">
        <f>IF((OR(tbal[[#This Row],[X]]=0,tbal[[#This Row],[X]]=5)),tbal[[#This Row],[ACREEDOR]],0)</f>
        <v>0</v>
      </c>
    </row>
    <row r="764" spans="1:14" hidden="1" x14ac:dyDescent="0.3">
      <c r="A764" s="14">
        <f>+'PLAN DE CUENTAS'!A764</f>
        <v>0</v>
      </c>
      <c r="B764" s="13">
        <f>+'PLAN DE CUENTAS'!B764</f>
        <v>0</v>
      </c>
      <c r="C764" s="13">
        <f>+'PLAN DE CUENTAS'!C764</f>
        <v>0</v>
      </c>
      <c r="D764" t="str">
        <f>IF(tbal[[#This Row],[DEBE]]+tbal[[#This Row],[HABER]]=0,"","X")</f>
        <v/>
      </c>
      <c r="E764" s="16">
        <f>SUMIF(tdiario[CUENTA],tbal[[#This Row],[CUENTA]],tdiario[DEBE])</f>
        <v>0</v>
      </c>
      <c r="F764" s="17">
        <f>SUMIF(tdiario[CUENTA],tbal[[#This Row],[CUENTA]],tdiario[HABER])</f>
        <v>0</v>
      </c>
      <c r="G764" s="16">
        <f>IF(tbal[[#This Row],[DEBE]]-tbal[[#This Row],[HABER]]&gt;0,tbal[[#This Row],[DEBE]]-tbal[[#This Row],[HABER]],0)</f>
        <v>0</v>
      </c>
      <c r="H764" s="18">
        <f>IF(tbal[[#This Row],[HABER]]-tbal[[#This Row],[DEBE]]&gt;0,tbal[[#This Row],[HABER]]-tbal[[#This Row],[DEBE]],0)</f>
        <v>0</v>
      </c>
      <c r="I764" s="16">
        <f>IF((OR(tbal[[#This Row],[X]]=1,tbal[[#This Row],[X]]=2)),tbal[[#This Row],[DEUDOR]],0)</f>
        <v>0</v>
      </c>
      <c r="J764" s="18">
        <f>IF((OR(tbal[[#This Row],[X]]=2,tbal[[#This Row],[X]]=3)),tbal[[#This Row],[ACREEDOR]],0)</f>
        <v>0</v>
      </c>
      <c r="K764" s="16">
        <f>IF((OR(tbal[[#This Row],[X]]=3,tbal[[#This Row],[X]]=5)),tbal[[#This Row],[DEUDOR]],0)</f>
        <v>0</v>
      </c>
      <c r="L764" s="18">
        <f>IF((OR(tbal[[#This Row],[X]]=3,tbal[[#This Row],[X]]=4)),tbal[[#This Row],[ACREEDOR]],0)</f>
        <v>0</v>
      </c>
      <c r="M764" s="16">
        <f>IF((OR(tbal[[#This Row],[X]]=0,tbal[[#This Row],[X]]=6)),tbal[[#This Row],[DEUDOR]],0)</f>
        <v>0</v>
      </c>
      <c r="N764" s="18">
        <f>IF((OR(tbal[[#This Row],[X]]=0,tbal[[#This Row],[X]]=5)),tbal[[#This Row],[ACREEDOR]],0)</f>
        <v>0</v>
      </c>
    </row>
    <row r="765" spans="1:14" hidden="1" x14ac:dyDescent="0.3">
      <c r="A765" s="14">
        <f>+'PLAN DE CUENTAS'!A765</f>
        <v>0</v>
      </c>
      <c r="B765" s="13">
        <f>+'PLAN DE CUENTAS'!B765</f>
        <v>0</v>
      </c>
      <c r="C765" s="13">
        <f>+'PLAN DE CUENTAS'!C765</f>
        <v>0</v>
      </c>
      <c r="D765" t="str">
        <f>IF(tbal[[#This Row],[DEBE]]+tbal[[#This Row],[HABER]]=0,"","X")</f>
        <v/>
      </c>
      <c r="E765" s="16">
        <f>SUMIF(tdiario[CUENTA],tbal[[#This Row],[CUENTA]],tdiario[DEBE])</f>
        <v>0</v>
      </c>
      <c r="F765" s="17">
        <f>SUMIF(tdiario[CUENTA],tbal[[#This Row],[CUENTA]],tdiario[HABER])</f>
        <v>0</v>
      </c>
      <c r="G765" s="16">
        <f>IF(tbal[[#This Row],[DEBE]]-tbal[[#This Row],[HABER]]&gt;0,tbal[[#This Row],[DEBE]]-tbal[[#This Row],[HABER]],0)</f>
        <v>0</v>
      </c>
      <c r="H765" s="18">
        <f>IF(tbal[[#This Row],[HABER]]-tbal[[#This Row],[DEBE]]&gt;0,tbal[[#This Row],[HABER]]-tbal[[#This Row],[DEBE]],0)</f>
        <v>0</v>
      </c>
      <c r="I765" s="16">
        <f>IF((OR(tbal[[#This Row],[X]]=1,tbal[[#This Row],[X]]=2)),tbal[[#This Row],[DEUDOR]],0)</f>
        <v>0</v>
      </c>
      <c r="J765" s="18">
        <f>IF((OR(tbal[[#This Row],[X]]=2,tbal[[#This Row],[X]]=3)),tbal[[#This Row],[ACREEDOR]],0)</f>
        <v>0</v>
      </c>
      <c r="K765" s="16">
        <f>IF((OR(tbal[[#This Row],[X]]=3,tbal[[#This Row],[X]]=5)),tbal[[#This Row],[DEUDOR]],0)</f>
        <v>0</v>
      </c>
      <c r="L765" s="18">
        <f>IF((OR(tbal[[#This Row],[X]]=3,tbal[[#This Row],[X]]=4)),tbal[[#This Row],[ACREEDOR]],0)</f>
        <v>0</v>
      </c>
      <c r="M765" s="16">
        <f>IF((OR(tbal[[#This Row],[X]]=0,tbal[[#This Row],[X]]=6)),tbal[[#This Row],[DEUDOR]],0)</f>
        <v>0</v>
      </c>
      <c r="N765" s="18">
        <f>IF((OR(tbal[[#This Row],[X]]=0,tbal[[#This Row],[X]]=5)),tbal[[#This Row],[ACREEDOR]],0)</f>
        <v>0</v>
      </c>
    </row>
    <row r="766" spans="1:14" hidden="1" x14ac:dyDescent="0.3">
      <c r="A766" s="14">
        <f>+'PLAN DE CUENTAS'!A766</f>
        <v>0</v>
      </c>
      <c r="B766" s="13">
        <f>+'PLAN DE CUENTAS'!B766</f>
        <v>0</v>
      </c>
      <c r="C766" s="13">
        <f>+'PLAN DE CUENTAS'!C766</f>
        <v>0</v>
      </c>
      <c r="D766" t="str">
        <f>IF(tbal[[#This Row],[DEBE]]+tbal[[#This Row],[HABER]]=0,"","X")</f>
        <v/>
      </c>
      <c r="E766" s="16">
        <f>SUMIF(tdiario[CUENTA],tbal[[#This Row],[CUENTA]],tdiario[DEBE])</f>
        <v>0</v>
      </c>
      <c r="F766" s="17">
        <f>SUMIF(tdiario[CUENTA],tbal[[#This Row],[CUENTA]],tdiario[HABER])</f>
        <v>0</v>
      </c>
      <c r="G766" s="16">
        <f>IF(tbal[[#This Row],[DEBE]]-tbal[[#This Row],[HABER]]&gt;0,tbal[[#This Row],[DEBE]]-tbal[[#This Row],[HABER]],0)</f>
        <v>0</v>
      </c>
      <c r="H766" s="18">
        <f>IF(tbal[[#This Row],[HABER]]-tbal[[#This Row],[DEBE]]&gt;0,tbal[[#This Row],[HABER]]-tbal[[#This Row],[DEBE]],0)</f>
        <v>0</v>
      </c>
      <c r="I766" s="16">
        <f>IF((OR(tbal[[#This Row],[X]]=1,tbal[[#This Row],[X]]=2)),tbal[[#This Row],[DEUDOR]],0)</f>
        <v>0</v>
      </c>
      <c r="J766" s="18">
        <f>IF((OR(tbal[[#This Row],[X]]=2,tbal[[#This Row],[X]]=3)),tbal[[#This Row],[ACREEDOR]],0)</f>
        <v>0</v>
      </c>
      <c r="K766" s="16">
        <f>IF((OR(tbal[[#This Row],[X]]=3,tbal[[#This Row],[X]]=5)),tbal[[#This Row],[DEUDOR]],0)</f>
        <v>0</v>
      </c>
      <c r="L766" s="18">
        <f>IF((OR(tbal[[#This Row],[X]]=3,tbal[[#This Row],[X]]=4)),tbal[[#This Row],[ACREEDOR]],0)</f>
        <v>0</v>
      </c>
      <c r="M766" s="16">
        <f>IF((OR(tbal[[#This Row],[X]]=0,tbal[[#This Row],[X]]=6)),tbal[[#This Row],[DEUDOR]],0)</f>
        <v>0</v>
      </c>
      <c r="N766" s="18">
        <f>IF((OR(tbal[[#This Row],[X]]=0,tbal[[#This Row],[X]]=5)),tbal[[#This Row],[ACREEDOR]],0)</f>
        <v>0</v>
      </c>
    </row>
    <row r="767" spans="1:14" hidden="1" x14ac:dyDescent="0.3">
      <c r="A767" s="14">
        <f>+'PLAN DE CUENTAS'!A767</f>
        <v>0</v>
      </c>
      <c r="B767" s="13">
        <f>+'PLAN DE CUENTAS'!B767</f>
        <v>0</v>
      </c>
      <c r="C767" s="13">
        <f>+'PLAN DE CUENTAS'!C767</f>
        <v>0</v>
      </c>
      <c r="D767" t="str">
        <f>IF(tbal[[#This Row],[DEBE]]+tbal[[#This Row],[HABER]]=0,"","X")</f>
        <v/>
      </c>
      <c r="E767" s="16">
        <f>SUMIF(tdiario[CUENTA],tbal[[#This Row],[CUENTA]],tdiario[DEBE])</f>
        <v>0</v>
      </c>
      <c r="F767" s="17">
        <f>SUMIF(tdiario[CUENTA],tbal[[#This Row],[CUENTA]],tdiario[HABER])</f>
        <v>0</v>
      </c>
      <c r="G767" s="16">
        <f>IF(tbal[[#This Row],[DEBE]]-tbal[[#This Row],[HABER]]&gt;0,tbal[[#This Row],[DEBE]]-tbal[[#This Row],[HABER]],0)</f>
        <v>0</v>
      </c>
      <c r="H767" s="18">
        <f>IF(tbal[[#This Row],[HABER]]-tbal[[#This Row],[DEBE]]&gt;0,tbal[[#This Row],[HABER]]-tbal[[#This Row],[DEBE]],0)</f>
        <v>0</v>
      </c>
      <c r="I767" s="16">
        <f>IF((OR(tbal[[#This Row],[X]]=1,tbal[[#This Row],[X]]=2)),tbal[[#This Row],[DEUDOR]],0)</f>
        <v>0</v>
      </c>
      <c r="J767" s="18">
        <f>IF((OR(tbal[[#This Row],[X]]=2,tbal[[#This Row],[X]]=3)),tbal[[#This Row],[ACREEDOR]],0)</f>
        <v>0</v>
      </c>
      <c r="K767" s="16">
        <f>IF((OR(tbal[[#This Row],[X]]=3,tbal[[#This Row],[X]]=5)),tbal[[#This Row],[DEUDOR]],0)</f>
        <v>0</v>
      </c>
      <c r="L767" s="18">
        <f>IF((OR(tbal[[#This Row],[X]]=3,tbal[[#This Row],[X]]=4)),tbal[[#This Row],[ACREEDOR]],0)</f>
        <v>0</v>
      </c>
      <c r="M767" s="16">
        <f>IF((OR(tbal[[#This Row],[X]]=0,tbal[[#This Row],[X]]=6)),tbal[[#This Row],[DEUDOR]],0)</f>
        <v>0</v>
      </c>
      <c r="N767" s="18">
        <f>IF((OR(tbal[[#This Row],[X]]=0,tbal[[#This Row],[X]]=5)),tbal[[#This Row],[ACREEDOR]],0)</f>
        <v>0</v>
      </c>
    </row>
    <row r="768" spans="1:14" hidden="1" x14ac:dyDescent="0.3">
      <c r="A768" s="14">
        <f>+'PLAN DE CUENTAS'!A768</f>
        <v>0</v>
      </c>
      <c r="B768" s="13">
        <f>+'PLAN DE CUENTAS'!B768</f>
        <v>0</v>
      </c>
      <c r="C768" s="13">
        <f>+'PLAN DE CUENTAS'!C768</f>
        <v>0</v>
      </c>
      <c r="D768" t="str">
        <f>IF(tbal[[#This Row],[DEBE]]+tbal[[#This Row],[HABER]]=0,"","X")</f>
        <v/>
      </c>
      <c r="E768" s="16">
        <f>SUMIF(tdiario[CUENTA],tbal[[#This Row],[CUENTA]],tdiario[DEBE])</f>
        <v>0</v>
      </c>
      <c r="F768" s="17">
        <f>SUMIF(tdiario[CUENTA],tbal[[#This Row],[CUENTA]],tdiario[HABER])</f>
        <v>0</v>
      </c>
      <c r="G768" s="16">
        <f>IF(tbal[[#This Row],[DEBE]]-tbal[[#This Row],[HABER]]&gt;0,tbal[[#This Row],[DEBE]]-tbal[[#This Row],[HABER]],0)</f>
        <v>0</v>
      </c>
      <c r="H768" s="18">
        <f>IF(tbal[[#This Row],[HABER]]-tbal[[#This Row],[DEBE]]&gt;0,tbal[[#This Row],[HABER]]-tbal[[#This Row],[DEBE]],0)</f>
        <v>0</v>
      </c>
      <c r="I768" s="16">
        <f>IF((OR(tbal[[#This Row],[X]]=1,tbal[[#This Row],[X]]=2)),tbal[[#This Row],[DEUDOR]],0)</f>
        <v>0</v>
      </c>
      <c r="J768" s="18">
        <f>IF((OR(tbal[[#This Row],[X]]=2,tbal[[#This Row],[X]]=3)),tbal[[#This Row],[ACREEDOR]],0)</f>
        <v>0</v>
      </c>
      <c r="K768" s="16">
        <f>IF((OR(tbal[[#This Row],[X]]=3,tbal[[#This Row],[X]]=5)),tbal[[#This Row],[DEUDOR]],0)</f>
        <v>0</v>
      </c>
      <c r="L768" s="18">
        <f>IF((OR(tbal[[#This Row],[X]]=3,tbal[[#This Row],[X]]=4)),tbal[[#This Row],[ACREEDOR]],0)</f>
        <v>0</v>
      </c>
      <c r="M768" s="16">
        <f>IF((OR(tbal[[#This Row],[X]]=0,tbal[[#This Row],[X]]=6)),tbal[[#This Row],[DEUDOR]],0)</f>
        <v>0</v>
      </c>
      <c r="N768" s="18">
        <f>IF((OR(tbal[[#This Row],[X]]=0,tbal[[#This Row],[X]]=5)),tbal[[#This Row],[ACREEDOR]],0)</f>
        <v>0</v>
      </c>
    </row>
    <row r="769" spans="1:14" hidden="1" x14ac:dyDescent="0.3">
      <c r="A769" s="14">
        <f>+'PLAN DE CUENTAS'!A769</f>
        <v>0</v>
      </c>
      <c r="B769" s="13">
        <f>+'PLAN DE CUENTAS'!B769</f>
        <v>0</v>
      </c>
      <c r="C769" s="13">
        <f>+'PLAN DE CUENTAS'!C769</f>
        <v>0</v>
      </c>
      <c r="D769" t="str">
        <f>IF(tbal[[#This Row],[DEBE]]+tbal[[#This Row],[HABER]]=0,"","X")</f>
        <v/>
      </c>
      <c r="E769" s="16">
        <f>SUMIF(tdiario[CUENTA],tbal[[#This Row],[CUENTA]],tdiario[DEBE])</f>
        <v>0</v>
      </c>
      <c r="F769" s="17">
        <f>SUMIF(tdiario[CUENTA],tbal[[#This Row],[CUENTA]],tdiario[HABER])</f>
        <v>0</v>
      </c>
      <c r="G769" s="16">
        <f>IF(tbal[[#This Row],[DEBE]]-tbal[[#This Row],[HABER]]&gt;0,tbal[[#This Row],[DEBE]]-tbal[[#This Row],[HABER]],0)</f>
        <v>0</v>
      </c>
      <c r="H769" s="18">
        <f>IF(tbal[[#This Row],[HABER]]-tbal[[#This Row],[DEBE]]&gt;0,tbal[[#This Row],[HABER]]-tbal[[#This Row],[DEBE]],0)</f>
        <v>0</v>
      </c>
      <c r="I769" s="16">
        <f>IF((OR(tbal[[#This Row],[X]]=1,tbal[[#This Row],[X]]=2)),tbal[[#This Row],[DEUDOR]],0)</f>
        <v>0</v>
      </c>
      <c r="J769" s="18">
        <f>IF((OR(tbal[[#This Row],[X]]=2,tbal[[#This Row],[X]]=3)),tbal[[#This Row],[ACREEDOR]],0)</f>
        <v>0</v>
      </c>
      <c r="K769" s="16">
        <f>IF((OR(tbal[[#This Row],[X]]=3,tbal[[#This Row],[X]]=5)),tbal[[#This Row],[DEUDOR]],0)</f>
        <v>0</v>
      </c>
      <c r="L769" s="18">
        <f>IF((OR(tbal[[#This Row],[X]]=3,tbal[[#This Row],[X]]=4)),tbal[[#This Row],[ACREEDOR]],0)</f>
        <v>0</v>
      </c>
      <c r="M769" s="16">
        <f>IF((OR(tbal[[#This Row],[X]]=0,tbal[[#This Row],[X]]=6)),tbal[[#This Row],[DEUDOR]],0)</f>
        <v>0</v>
      </c>
      <c r="N769" s="18">
        <f>IF((OR(tbal[[#This Row],[X]]=0,tbal[[#This Row],[X]]=5)),tbal[[#This Row],[ACREEDOR]],0)</f>
        <v>0</v>
      </c>
    </row>
    <row r="770" spans="1:14" hidden="1" x14ac:dyDescent="0.3">
      <c r="A770" s="14">
        <f>+'PLAN DE CUENTAS'!A770</f>
        <v>0</v>
      </c>
      <c r="B770" s="13">
        <f>+'PLAN DE CUENTAS'!B770</f>
        <v>0</v>
      </c>
      <c r="C770" s="13">
        <f>+'PLAN DE CUENTAS'!C770</f>
        <v>0</v>
      </c>
      <c r="D770" t="str">
        <f>IF(tbal[[#This Row],[DEBE]]+tbal[[#This Row],[HABER]]=0,"","X")</f>
        <v/>
      </c>
      <c r="E770" s="16">
        <f>SUMIF(tdiario[CUENTA],tbal[[#This Row],[CUENTA]],tdiario[DEBE])</f>
        <v>0</v>
      </c>
      <c r="F770" s="17">
        <f>SUMIF(tdiario[CUENTA],tbal[[#This Row],[CUENTA]],tdiario[HABER])</f>
        <v>0</v>
      </c>
      <c r="G770" s="16">
        <f>IF(tbal[[#This Row],[DEBE]]-tbal[[#This Row],[HABER]]&gt;0,tbal[[#This Row],[DEBE]]-tbal[[#This Row],[HABER]],0)</f>
        <v>0</v>
      </c>
      <c r="H770" s="18">
        <f>IF(tbal[[#This Row],[HABER]]-tbal[[#This Row],[DEBE]]&gt;0,tbal[[#This Row],[HABER]]-tbal[[#This Row],[DEBE]],0)</f>
        <v>0</v>
      </c>
      <c r="I770" s="16">
        <f>IF((OR(tbal[[#This Row],[X]]=1,tbal[[#This Row],[X]]=2)),tbal[[#This Row],[DEUDOR]],0)</f>
        <v>0</v>
      </c>
      <c r="J770" s="18">
        <f>IF((OR(tbal[[#This Row],[X]]=2,tbal[[#This Row],[X]]=3)),tbal[[#This Row],[ACREEDOR]],0)</f>
        <v>0</v>
      </c>
      <c r="K770" s="16">
        <f>IF((OR(tbal[[#This Row],[X]]=3,tbal[[#This Row],[X]]=5)),tbal[[#This Row],[DEUDOR]],0)</f>
        <v>0</v>
      </c>
      <c r="L770" s="18">
        <f>IF((OR(tbal[[#This Row],[X]]=3,tbal[[#This Row],[X]]=4)),tbal[[#This Row],[ACREEDOR]],0)</f>
        <v>0</v>
      </c>
      <c r="M770" s="16">
        <f>IF((OR(tbal[[#This Row],[X]]=0,tbal[[#This Row],[X]]=6)),tbal[[#This Row],[DEUDOR]],0)</f>
        <v>0</v>
      </c>
      <c r="N770" s="18">
        <f>IF((OR(tbal[[#This Row],[X]]=0,tbal[[#This Row],[X]]=5)),tbal[[#This Row],[ACREEDOR]],0)</f>
        <v>0</v>
      </c>
    </row>
    <row r="771" spans="1:14" hidden="1" x14ac:dyDescent="0.3">
      <c r="A771" s="14">
        <f>+'PLAN DE CUENTAS'!A771</f>
        <v>0</v>
      </c>
      <c r="B771" s="13">
        <f>+'PLAN DE CUENTAS'!B771</f>
        <v>0</v>
      </c>
      <c r="C771" s="13">
        <f>+'PLAN DE CUENTAS'!C771</f>
        <v>0</v>
      </c>
      <c r="D771" t="str">
        <f>IF(tbal[[#This Row],[DEBE]]+tbal[[#This Row],[HABER]]=0,"","X")</f>
        <v/>
      </c>
      <c r="E771" s="16">
        <f>SUMIF(tdiario[CUENTA],tbal[[#This Row],[CUENTA]],tdiario[DEBE])</f>
        <v>0</v>
      </c>
      <c r="F771" s="17">
        <f>SUMIF(tdiario[CUENTA],tbal[[#This Row],[CUENTA]],tdiario[HABER])</f>
        <v>0</v>
      </c>
      <c r="G771" s="16">
        <f>IF(tbal[[#This Row],[DEBE]]-tbal[[#This Row],[HABER]]&gt;0,tbal[[#This Row],[DEBE]]-tbal[[#This Row],[HABER]],0)</f>
        <v>0</v>
      </c>
      <c r="H771" s="18">
        <f>IF(tbal[[#This Row],[HABER]]-tbal[[#This Row],[DEBE]]&gt;0,tbal[[#This Row],[HABER]]-tbal[[#This Row],[DEBE]],0)</f>
        <v>0</v>
      </c>
      <c r="I771" s="16">
        <f>IF((OR(tbal[[#This Row],[X]]=1,tbal[[#This Row],[X]]=2)),tbal[[#This Row],[DEUDOR]],0)</f>
        <v>0</v>
      </c>
      <c r="J771" s="18">
        <f>IF((OR(tbal[[#This Row],[X]]=2,tbal[[#This Row],[X]]=3)),tbal[[#This Row],[ACREEDOR]],0)</f>
        <v>0</v>
      </c>
      <c r="K771" s="16">
        <f>IF((OR(tbal[[#This Row],[X]]=3,tbal[[#This Row],[X]]=5)),tbal[[#This Row],[DEUDOR]],0)</f>
        <v>0</v>
      </c>
      <c r="L771" s="18">
        <f>IF((OR(tbal[[#This Row],[X]]=3,tbal[[#This Row],[X]]=4)),tbal[[#This Row],[ACREEDOR]],0)</f>
        <v>0</v>
      </c>
      <c r="M771" s="16">
        <f>IF((OR(tbal[[#This Row],[X]]=0,tbal[[#This Row],[X]]=6)),tbal[[#This Row],[DEUDOR]],0)</f>
        <v>0</v>
      </c>
      <c r="N771" s="18">
        <f>IF((OR(tbal[[#This Row],[X]]=0,tbal[[#This Row],[X]]=5)),tbal[[#This Row],[ACREEDOR]],0)</f>
        <v>0</v>
      </c>
    </row>
    <row r="772" spans="1:14" hidden="1" x14ac:dyDescent="0.3">
      <c r="A772" s="14">
        <f>+'PLAN DE CUENTAS'!A772</f>
        <v>0</v>
      </c>
      <c r="B772" s="13">
        <f>+'PLAN DE CUENTAS'!B772</f>
        <v>0</v>
      </c>
      <c r="C772" s="13">
        <f>+'PLAN DE CUENTAS'!C772</f>
        <v>0</v>
      </c>
      <c r="D772" t="str">
        <f>IF(tbal[[#This Row],[DEBE]]+tbal[[#This Row],[HABER]]=0,"","X")</f>
        <v/>
      </c>
      <c r="E772" s="16">
        <f>SUMIF(tdiario[CUENTA],tbal[[#This Row],[CUENTA]],tdiario[DEBE])</f>
        <v>0</v>
      </c>
      <c r="F772" s="17">
        <f>SUMIF(tdiario[CUENTA],tbal[[#This Row],[CUENTA]],tdiario[HABER])</f>
        <v>0</v>
      </c>
      <c r="G772" s="16">
        <f>IF(tbal[[#This Row],[DEBE]]-tbal[[#This Row],[HABER]]&gt;0,tbal[[#This Row],[DEBE]]-tbal[[#This Row],[HABER]],0)</f>
        <v>0</v>
      </c>
      <c r="H772" s="18">
        <f>IF(tbal[[#This Row],[HABER]]-tbal[[#This Row],[DEBE]]&gt;0,tbal[[#This Row],[HABER]]-tbal[[#This Row],[DEBE]],0)</f>
        <v>0</v>
      </c>
      <c r="I772" s="16">
        <f>IF((OR(tbal[[#This Row],[X]]=1,tbal[[#This Row],[X]]=2)),tbal[[#This Row],[DEUDOR]],0)</f>
        <v>0</v>
      </c>
      <c r="J772" s="18">
        <f>IF((OR(tbal[[#This Row],[X]]=2,tbal[[#This Row],[X]]=3)),tbal[[#This Row],[ACREEDOR]],0)</f>
        <v>0</v>
      </c>
      <c r="K772" s="16">
        <f>IF((OR(tbal[[#This Row],[X]]=3,tbal[[#This Row],[X]]=5)),tbal[[#This Row],[DEUDOR]],0)</f>
        <v>0</v>
      </c>
      <c r="L772" s="18">
        <f>IF((OR(tbal[[#This Row],[X]]=3,tbal[[#This Row],[X]]=4)),tbal[[#This Row],[ACREEDOR]],0)</f>
        <v>0</v>
      </c>
      <c r="M772" s="16">
        <f>IF((OR(tbal[[#This Row],[X]]=0,tbal[[#This Row],[X]]=6)),tbal[[#This Row],[DEUDOR]],0)</f>
        <v>0</v>
      </c>
      <c r="N772" s="18">
        <f>IF((OR(tbal[[#This Row],[X]]=0,tbal[[#This Row],[X]]=5)),tbal[[#This Row],[ACREEDOR]],0)</f>
        <v>0</v>
      </c>
    </row>
    <row r="773" spans="1:14" hidden="1" x14ac:dyDescent="0.3">
      <c r="A773" s="14">
        <f>+'PLAN DE CUENTAS'!A773</f>
        <v>0</v>
      </c>
      <c r="B773" s="13">
        <f>+'PLAN DE CUENTAS'!B773</f>
        <v>0</v>
      </c>
      <c r="C773" s="13">
        <f>+'PLAN DE CUENTAS'!C773</f>
        <v>0</v>
      </c>
      <c r="D773" t="str">
        <f>IF(tbal[[#This Row],[DEBE]]+tbal[[#This Row],[HABER]]=0,"","X")</f>
        <v/>
      </c>
      <c r="E773" s="16">
        <f>SUMIF(tdiario[CUENTA],tbal[[#This Row],[CUENTA]],tdiario[DEBE])</f>
        <v>0</v>
      </c>
      <c r="F773" s="17">
        <f>SUMIF(tdiario[CUENTA],tbal[[#This Row],[CUENTA]],tdiario[HABER])</f>
        <v>0</v>
      </c>
      <c r="G773" s="16">
        <f>IF(tbal[[#This Row],[DEBE]]-tbal[[#This Row],[HABER]]&gt;0,tbal[[#This Row],[DEBE]]-tbal[[#This Row],[HABER]],0)</f>
        <v>0</v>
      </c>
      <c r="H773" s="18">
        <f>IF(tbal[[#This Row],[HABER]]-tbal[[#This Row],[DEBE]]&gt;0,tbal[[#This Row],[HABER]]-tbal[[#This Row],[DEBE]],0)</f>
        <v>0</v>
      </c>
      <c r="I773" s="16">
        <f>IF((OR(tbal[[#This Row],[X]]=1,tbal[[#This Row],[X]]=2)),tbal[[#This Row],[DEUDOR]],0)</f>
        <v>0</v>
      </c>
      <c r="J773" s="18">
        <f>IF((OR(tbal[[#This Row],[X]]=2,tbal[[#This Row],[X]]=3)),tbal[[#This Row],[ACREEDOR]],0)</f>
        <v>0</v>
      </c>
      <c r="K773" s="16">
        <f>IF((OR(tbal[[#This Row],[X]]=3,tbal[[#This Row],[X]]=5)),tbal[[#This Row],[DEUDOR]],0)</f>
        <v>0</v>
      </c>
      <c r="L773" s="18">
        <f>IF((OR(tbal[[#This Row],[X]]=3,tbal[[#This Row],[X]]=4)),tbal[[#This Row],[ACREEDOR]],0)</f>
        <v>0</v>
      </c>
      <c r="M773" s="16">
        <f>IF((OR(tbal[[#This Row],[X]]=0,tbal[[#This Row],[X]]=6)),tbal[[#This Row],[DEUDOR]],0)</f>
        <v>0</v>
      </c>
      <c r="N773" s="18">
        <f>IF((OR(tbal[[#This Row],[X]]=0,tbal[[#This Row],[X]]=5)),tbal[[#This Row],[ACREEDOR]],0)</f>
        <v>0</v>
      </c>
    </row>
    <row r="774" spans="1:14" hidden="1" x14ac:dyDescent="0.3">
      <c r="A774" s="14">
        <f>+'PLAN DE CUENTAS'!A774</f>
        <v>0</v>
      </c>
      <c r="B774" s="13">
        <f>+'PLAN DE CUENTAS'!B774</f>
        <v>0</v>
      </c>
      <c r="C774" s="13">
        <f>+'PLAN DE CUENTAS'!C774</f>
        <v>0</v>
      </c>
      <c r="D774" t="str">
        <f>IF(tbal[[#This Row],[DEBE]]+tbal[[#This Row],[HABER]]=0,"","X")</f>
        <v/>
      </c>
      <c r="E774" s="16">
        <f>SUMIF(tdiario[CUENTA],tbal[[#This Row],[CUENTA]],tdiario[DEBE])</f>
        <v>0</v>
      </c>
      <c r="F774" s="17">
        <f>SUMIF(tdiario[CUENTA],tbal[[#This Row],[CUENTA]],tdiario[HABER])</f>
        <v>0</v>
      </c>
      <c r="G774" s="16">
        <f>IF(tbal[[#This Row],[DEBE]]-tbal[[#This Row],[HABER]]&gt;0,tbal[[#This Row],[DEBE]]-tbal[[#This Row],[HABER]],0)</f>
        <v>0</v>
      </c>
      <c r="H774" s="18">
        <f>IF(tbal[[#This Row],[HABER]]-tbal[[#This Row],[DEBE]]&gt;0,tbal[[#This Row],[HABER]]-tbal[[#This Row],[DEBE]],0)</f>
        <v>0</v>
      </c>
      <c r="I774" s="16">
        <f>IF((OR(tbal[[#This Row],[X]]=1,tbal[[#This Row],[X]]=2)),tbal[[#This Row],[DEUDOR]],0)</f>
        <v>0</v>
      </c>
      <c r="J774" s="18">
        <f>IF((OR(tbal[[#This Row],[X]]=2,tbal[[#This Row],[X]]=3)),tbal[[#This Row],[ACREEDOR]],0)</f>
        <v>0</v>
      </c>
      <c r="K774" s="16">
        <f>IF((OR(tbal[[#This Row],[X]]=3,tbal[[#This Row],[X]]=5)),tbal[[#This Row],[DEUDOR]],0)</f>
        <v>0</v>
      </c>
      <c r="L774" s="18">
        <f>IF((OR(tbal[[#This Row],[X]]=3,tbal[[#This Row],[X]]=4)),tbal[[#This Row],[ACREEDOR]],0)</f>
        <v>0</v>
      </c>
      <c r="M774" s="16">
        <f>IF((OR(tbal[[#This Row],[X]]=0,tbal[[#This Row],[X]]=6)),tbal[[#This Row],[DEUDOR]],0)</f>
        <v>0</v>
      </c>
      <c r="N774" s="18">
        <f>IF((OR(tbal[[#This Row],[X]]=0,tbal[[#This Row],[X]]=5)),tbal[[#This Row],[ACREEDOR]],0)</f>
        <v>0</v>
      </c>
    </row>
    <row r="775" spans="1:14" hidden="1" x14ac:dyDescent="0.3">
      <c r="A775" s="14">
        <f>+'PLAN DE CUENTAS'!A775</f>
        <v>0</v>
      </c>
      <c r="B775" s="13">
        <f>+'PLAN DE CUENTAS'!B775</f>
        <v>0</v>
      </c>
      <c r="C775" s="13">
        <f>+'PLAN DE CUENTAS'!C775</f>
        <v>0</v>
      </c>
      <c r="D775" t="str">
        <f>IF(tbal[[#This Row],[DEBE]]+tbal[[#This Row],[HABER]]=0,"","X")</f>
        <v/>
      </c>
      <c r="E775" s="16">
        <f>SUMIF(tdiario[CUENTA],tbal[[#This Row],[CUENTA]],tdiario[DEBE])</f>
        <v>0</v>
      </c>
      <c r="F775" s="17">
        <f>SUMIF(tdiario[CUENTA],tbal[[#This Row],[CUENTA]],tdiario[HABER])</f>
        <v>0</v>
      </c>
      <c r="G775" s="16">
        <f>IF(tbal[[#This Row],[DEBE]]-tbal[[#This Row],[HABER]]&gt;0,tbal[[#This Row],[DEBE]]-tbal[[#This Row],[HABER]],0)</f>
        <v>0</v>
      </c>
      <c r="H775" s="18">
        <f>IF(tbal[[#This Row],[HABER]]-tbal[[#This Row],[DEBE]]&gt;0,tbal[[#This Row],[HABER]]-tbal[[#This Row],[DEBE]],0)</f>
        <v>0</v>
      </c>
      <c r="I775" s="16">
        <f>IF((OR(tbal[[#This Row],[X]]=1,tbal[[#This Row],[X]]=2)),tbal[[#This Row],[DEUDOR]],0)</f>
        <v>0</v>
      </c>
      <c r="J775" s="18">
        <f>IF((OR(tbal[[#This Row],[X]]=2,tbal[[#This Row],[X]]=3)),tbal[[#This Row],[ACREEDOR]],0)</f>
        <v>0</v>
      </c>
      <c r="K775" s="16">
        <f>IF((OR(tbal[[#This Row],[X]]=3,tbal[[#This Row],[X]]=5)),tbal[[#This Row],[DEUDOR]],0)</f>
        <v>0</v>
      </c>
      <c r="L775" s="18">
        <f>IF((OR(tbal[[#This Row],[X]]=3,tbal[[#This Row],[X]]=4)),tbal[[#This Row],[ACREEDOR]],0)</f>
        <v>0</v>
      </c>
      <c r="M775" s="16">
        <f>IF((OR(tbal[[#This Row],[X]]=0,tbal[[#This Row],[X]]=6)),tbal[[#This Row],[DEUDOR]],0)</f>
        <v>0</v>
      </c>
      <c r="N775" s="18">
        <f>IF((OR(tbal[[#This Row],[X]]=0,tbal[[#This Row],[X]]=5)),tbal[[#This Row],[ACREEDOR]],0)</f>
        <v>0</v>
      </c>
    </row>
    <row r="776" spans="1:14" hidden="1" x14ac:dyDescent="0.3">
      <c r="A776" s="14">
        <f>+'PLAN DE CUENTAS'!A776</f>
        <v>0</v>
      </c>
      <c r="B776" s="13">
        <f>+'PLAN DE CUENTAS'!B776</f>
        <v>0</v>
      </c>
      <c r="C776" s="13">
        <f>+'PLAN DE CUENTAS'!C776</f>
        <v>0</v>
      </c>
      <c r="D776" t="str">
        <f>IF(tbal[[#This Row],[DEBE]]+tbal[[#This Row],[HABER]]=0,"","X")</f>
        <v/>
      </c>
      <c r="E776" s="16">
        <f>SUMIF(tdiario[CUENTA],tbal[[#This Row],[CUENTA]],tdiario[DEBE])</f>
        <v>0</v>
      </c>
      <c r="F776" s="17">
        <f>SUMIF(tdiario[CUENTA],tbal[[#This Row],[CUENTA]],tdiario[HABER])</f>
        <v>0</v>
      </c>
      <c r="G776" s="16">
        <f>IF(tbal[[#This Row],[DEBE]]-tbal[[#This Row],[HABER]]&gt;0,tbal[[#This Row],[DEBE]]-tbal[[#This Row],[HABER]],0)</f>
        <v>0</v>
      </c>
      <c r="H776" s="18">
        <f>IF(tbal[[#This Row],[HABER]]-tbal[[#This Row],[DEBE]]&gt;0,tbal[[#This Row],[HABER]]-tbal[[#This Row],[DEBE]],0)</f>
        <v>0</v>
      </c>
      <c r="I776" s="16">
        <f>IF((OR(tbal[[#This Row],[X]]=1,tbal[[#This Row],[X]]=2)),tbal[[#This Row],[DEUDOR]],0)</f>
        <v>0</v>
      </c>
      <c r="J776" s="18">
        <f>IF((OR(tbal[[#This Row],[X]]=2,tbal[[#This Row],[X]]=3)),tbal[[#This Row],[ACREEDOR]],0)</f>
        <v>0</v>
      </c>
      <c r="K776" s="16">
        <f>IF((OR(tbal[[#This Row],[X]]=3,tbal[[#This Row],[X]]=5)),tbal[[#This Row],[DEUDOR]],0)</f>
        <v>0</v>
      </c>
      <c r="L776" s="18">
        <f>IF((OR(tbal[[#This Row],[X]]=3,tbal[[#This Row],[X]]=4)),tbal[[#This Row],[ACREEDOR]],0)</f>
        <v>0</v>
      </c>
      <c r="M776" s="16">
        <f>IF((OR(tbal[[#This Row],[X]]=0,tbal[[#This Row],[X]]=6)),tbal[[#This Row],[DEUDOR]],0)</f>
        <v>0</v>
      </c>
      <c r="N776" s="18">
        <f>IF((OR(tbal[[#This Row],[X]]=0,tbal[[#This Row],[X]]=5)),tbal[[#This Row],[ACREEDOR]],0)</f>
        <v>0</v>
      </c>
    </row>
    <row r="777" spans="1:14" hidden="1" x14ac:dyDescent="0.3">
      <c r="A777" s="14">
        <f>+'PLAN DE CUENTAS'!A777</f>
        <v>0</v>
      </c>
      <c r="B777" s="13">
        <f>+'PLAN DE CUENTAS'!B777</f>
        <v>0</v>
      </c>
      <c r="C777" s="13">
        <f>+'PLAN DE CUENTAS'!C777</f>
        <v>0</v>
      </c>
      <c r="D777" t="str">
        <f>IF(tbal[[#This Row],[DEBE]]+tbal[[#This Row],[HABER]]=0,"","X")</f>
        <v/>
      </c>
      <c r="E777" s="16">
        <f>SUMIF(tdiario[CUENTA],tbal[[#This Row],[CUENTA]],tdiario[DEBE])</f>
        <v>0</v>
      </c>
      <c r="F777" s="17">
        <f>SUMIF(tdiario[CUENTA],tbal[[#This Row],[CUENTA]],tdiario[HABER])</f>
        <v>0</v>
      </c>
      <c r="G777" s="16">
        <f>IF(tbal[[#This Row],[DEBE]]-tbal[[#This Row],[HABER]]&gt;0,tbal[[#This Row],[DEBE]]-tbal[[#This Row],[HABER]],0)</f>
        <v>0</v>
      </c>
      <c r="H777" s="18">
        <f>IF(tbal[[#This Row],[HABER]]-tbal[[#This Row],[DEBE]]&gt;0,tbal[[#This Row],[HABER]]-tbal[[#This Row],[DEBE]],0)</f>
        <v>0</v>
      </c>
      <c r="I777" s="16">
        <f>IF((OR(tbal[[#This Row],[X]]=1,tbal[[#This Row],[X]]=2)),tbal[[#This Row],[DEUDOR]],0)</f>
        <v>0</v>
      </c>
      <c r="J777" s="18">
        <f>IF((OR(tbal[[#This Row],[X]]=2,tbal[[#This Row],[X]]=3)),tbal[[#This Row],[ACREEDOR]],0)</f>
        <v>0</v>
      </c>
      <c r="K777" s="16">
        <f>IF((OR(tbal[[#This Row],[X]]=3,tbal[[#This Row],[X]]=5)),tbal[[#This Row],[DEUDOR]],0)</f>
        <v>0</v>
      </c>
      <c r="L777" s="18">
        <f>IF((OR(tbal[[#This Row],[X]]=3,tbal[[#This Row],[X]]=4)),tbal[[#This Row],[ACREEDOR]],0)</f>
        <v>0</v>
      </c>
      <c r="M777" s="16">
        <f>IF((OR(tbal[[#This Row],[X]]=0,tbal[[#This Row],[X]]=6)),tbal[[#This Row],[DEUDOR]],0)</f>
        <v>0</v>
      </c>
      <c r="N777" s="18">
        <f>IF((OR(tbal[[#This Row],[X]]=0,tbal[[#This Row],[X]]=5)),tbal[[#This Row],[ACREEDOR]],0)</f>
        <v>0</v>
      </c>
    </row>
    <row r="778" spans="1:14" hidden="1" x14ac:dyDescent="0.3">
      <c r="A778" s="14">
        <f>+'PLAN DE CUENTAS'!A778</f>
        <v>0</v>
      </c>
      <c r="B778" s="13">
        <f>+'PLAN DE CUENTAS'!B778</f>
        <v>0</v>
      </c>
      <c r="C778" s="13">
        <f>+'PLAN DE CUENTAS'!C778</f>
        <v>0</v>
      </c>
      <c r="D778" t="str">
        <f>IF(tbal[[#This Row],[DEBE]]+tbal[[#This Row],[HABER]]=0,"","X")</f>
        <v/>
      </c>
      <c r="E778" s="16">
        <f>SUMIF(tdiario[CUENTA],tbal[[#This Row],[CUENTA]],tdiario[DEBE])</f>
        <v>0</v>
      </c>
      <c r="F778" s="17">
        <f>SUMIF(tdiario[CUENTA],tbal[[#This Row],[CUENTA]],tdiario[HABER])</f>
        <v>0</v>
      </c>
      <c r="G778" s="16">
        <f>IF(tbal[[#This Row],[DEBE]]-tbal[[#This Row],[HABER]]&gt;0,tbal[[#This Row],[DEBE]]-tbal[[#This Row],[HABER]],0)</f>
        <v>0</v>
      </c>
      <c r="H778" s="18">
        <f>IF(tbal[[#This Row],[HABER]]-tbal[[#This Row],[DEBE]]&gt;0,tbal[[#This Row],[HABER]]-tbal[[#This Row],[DEBE]],0)</f>
        <v>0</v>
      </c>
      <c r="I778" s="16">
        <f>IF((OR(tbal[[#This Row],[X]]=1,tbal[[#This Row],[X]]=2)),tbal[[#This Row],[DEUDOR]],0)</f>
        <v>0</v>
      </c>
      <c r="J778" s="18">
        <f>IF((OR(tbal[[#This Row],[X]]=2,tbal[[#This Row],[X]]=3)),tbal[[#This Row],[ACREEDOR]],0)</f>
        <v>0</v>
      </c>
      <c r="K778" s="16">
        <f>IF((OR(tbal[[#This Row],[X]]=3,tbal[[#This Row],[X]]=5)),tbal[[#This Row],[DEUDOR]],0)</f>
        <v>0</v>
      </c>
      <c r="L778" s="18">
        <f>IF((OR(tbal[[#This Row],[X]]=3,tbal[[#This Row],[X]]=4)),tbal[[#This Row],[ACREEDOR]],0)</f>
        <v>0</v>
      </c>
      <c r="M778" s="16">
        <f>IF((OR(tbal[[#This Row],[X]]=0,tbal[[#This Row],[X]]=6)),tbal[[#This Row],[DEUDOR]],0)</f>
        <v>0</v>
      </c>
      <c r="N778" s="18">
        <f>IF((OR(tbal[[#This Row],[X]]=0,tbal[[#This Row],[X]]=5)),tbal[[#This Row],[ACREEDOR]],0)</f>
        <v>0</v>
      </c>
    </row>
    <row r="779" spans="1:14" hidden="1" x14ac:dyDescent="0.3">
      <c r="A779" s="14">
        <f>+'PLAN DE CUENTAS'!A779</f>
        <v>0</v>
      </c>
      <c r="B779" s="13">
        <f>+'PLAN DE CUENTAS'!B779</f>
        <v>0</v>
      </c>
      <c r="C779" s="13">
        <f>+'PLAN DE CUENTAS'!C779</f>
        <v>0</v>
      </c>
      <c r="D779" t="str">
        <f>IF(tbal[[#This Row],[DEBE]]+tbal[[#This Row],[HABER]]=0,"","X")</f>
        <v/>
      </c>
      <c r="E779" s="16">
        <f>SUMIF(tdiario[CUENTA],tbal[[#This Row],[CUENTA]],tdiario[DEBE])</f>
        <v>0</v>
      </c>
      <c r="F779" s="17">
        <f>SUMIF(tdiario[CUENTA],tbal[[#This Row],[CUENTA]],tdiario[HABER])</f>
        <v>0</v>
      </c>
      <c r="G779" s="16">
        <f>IF(tbal[[#This Row],[DEBE]]-tbal[[#This Row],[HABER]]&gt;0,tbal[[#This Row],[DEBE]]-tbal[[#This Row],[HABER]],0)</f>
        <v>0</v>
      </c>
      <c r="H779" s="18">
        <f>IF(tbal[[#This Row],[HABER]]-tbal[[#This Row],[DEBE]]&gt;0,tbal[[#This Row],[HABER]]-tbal[[#This Row],[DEBE]],0)</f>
        <v>0</v>
      </c>
      <c r="I779" s="16">
        <f>IF((OR(tbal[[#This Row],[X]]=1,tbal[[#This Row],[X]]=2)),tbal[[#This Row],[DEUDOR]],0)</f>
        <v>0</v>
      </c>
      <c r="J779" s="18">
        <f>IF((OR(tbal[[#This Row],[X]]=2,tbal[[#This Row],[X]]=3)),tbal[[#This Row],[ACREEDOR]],0)</f>
        <v>0</v>
      </c>
      <c r="K779" s="16">
        <f>IF((OR(tbal[[#This Row],[X]]=3,tbal[[#This Row],[X]]=5)),tbal[[#This Row],[DEUDOR]],0)</f>
        <v>0</v>
      </c>
      <c r="L779" s="18">
        <f>IF((OR(tbal[[#This Row],[X]]=3,tbal[[#This Row],[X]]=4)),tbal[[#This Row],[ACREEDOR]],0)</f>
        <v>0</v>
      </c>
      <c r="M779" s="16">
        <f>IF((OR(tbal[[#This Row],[X]]=0,tbal[[#This Row],[X]]=6)),tbal[[#This Row],[DEUDOR]],0)</f>
        <v>0</v>
      </c>
      <c r="N779" s="18">
        <f>IF((OR(tbal[[#This Row],[X]]=0,tbal[[#This Row],[X]]=5)),tbal[[#This Row],[ACREEDOR]],0)</f>
        <v>0</v>
      </c>
    </row>
    <row r="780" spans="1:14" hidden="1" x14ac:dyDescent="0.3">
      <c r="A780" s="14">
        <f>+'PLAN DE CUENTAS'!A780</f>
        <v>0</v>
      </c>
      <c r="B780" s="13">
        <f>+'PLAN DE CUENTAS'!B780</f>
        <v>0</v>
      </c>
      <c r="C780" s="13">
        <f>+'PLAN DE CUENTAS'!C780</f>
        <v>0</v>
      </c>
      <c r="D780" t="str">
        <f>IF(tbal[[#This Row],[DEBE]]+tbal[[#This Row],[HABER]]=0,"","X")</f>
        <v/>
      </c>
      <c r="E780" s="16">
        <f>SUMIF(tdiario[CUENTA],tbal[[#This Row],[CUENTA]],tdiario[DEBE])</f>
        <v>0</v>
      </c>
      <c r="F780" s="17">
        <f>SUMIF(tdiario[CUENTA],tbal[[#This Row],[CUENTA]],tdiario[HABER])</f>
        <v>0</v>
      </c>
      <c r="G780" s="16">
        <f>IF(tbal[[#This Row],[DEBE]]-tbal[[#This Row],[HABER]]&gt;0,tbal[[#This Row],[DEBE]]-tbal[[#This Row],[HABER]],0)</f>
        <v>0</v>
      </c>
      <c r="H780" s="18">
        <f>IF(tbal[[#This Row],[HABER]]-tbal[[#This Row],[DEBE]]&gt;0,tbal[[#This Row],[HABER]]-tbal[[#This Row],[DEBE]],0)</f>
        <v>0</v>
      </c>
      <c r="I780" s="16">
        <f>IF((OR(tbal[[#This Row],[X]]=1,tbal[[#This Row],[X]]=2)),tbal[[#This Row],[DEUDOR]],0)</f>
        <v>0</v>
      </c>
      <c r="J780" s="18">
        <f>IF((OR(tbal[[#This Row],[X]]=2,tbal[[#This Row],[X]]=3)),tbal[[#This Row],[ACREEDOR]],0)</f>
        <v>0</v>
      </c>
      <c r="K780" s="16">
        <f>IF((OR(tbal[[#This Row],[X]]=3,tbal[[#This Row],[X]]=5)),tbal[[#This Row],[DEUDOR]],0)</f>
        <v>0</v>
      </c>
      <c r="L780" s="18">
        <f>IF((OR(tbal[[#This Row],[X]]=3,tbal[[#This Row],[X]]=4)),tbal[[#This Row],[ACREEDOR]],0)</f>
        <v>0</v>
      </c>
      <c r="M780" s="16">
        <f>IF((OR(tbal[[#This Row],[X]]=0,tbal[[#This Row],[X]]=6)),tbal[[#This Row],[DEUDOR]],0)</f>
        <v>0</v>
      </c>
      <c r="N780" s="18">
        <f>IF((OR(tbal[[#This Row],[X]]=0,tbal[[#This Row],[X]]=5)),tbal[[#This Row],[ACREEDOR]],0)</f>
        <v>0</v>
      </c>
    </row>
    <row r="781" spans="1:14" hidden="1" x14ac:dyDescent="0.3">
      <c r="A781" s="14">
        <f>+'PLAN DE CUENTAS'!A781</f>
        <v>0</v>
      </c>
      <c r="B781" s="13">
        <f>+'PLAN DE CUENTAS'!B781</f>
        <v>0</v>
      </c>
      <c r="C781" s="13">
        <f>+'PLAN DE CUENTAS'!C781</f>
        <v>0</v>
      </c>
      <c r="D781" t="str">
        <f>IF(tbal[[#This Row],[DEBE]]+tbal[[#This Row],[HABER]]=0,"","X")</f>
        <v/>
      </c>
      <c r="E781" s="16">
        <f>SUMIF(tdiario[CUENTA],tbal[[#This Row],[CUENTA]],tdiario[DEBE])</f>
        <v>0</v>
      </c>
      <c r="F781" s="17">
        <f>SUMIF(tdiario[CUENTA],tbal[[#This Row],[CUENTA]],tdiario[HABER])</f>
        <v>0</v>
      </c>
      <c r="G781" s="16">
        <f>IF(tbal[[#This Row],[DEBE]]-tbal[[#This Row],[HABER]]&gt;0,tbal[[#This Row],[DEBE]]-tbal[[#This Row],[HABER]],0)</f>
        <v>0</v>
      </c>
      <c r="H781" s="18">
        <f>IF(tbal[[#This Row],[HABER]]-tbal[[#This Row],[DEBE]]&gt;0,tbal[[#This Row],[HABER]]-tbal[[#This Row],[DEBE]],0)</f>
        <v>0</v>
      </c>
      <c r="I781" s="16">
        <f>IF((OR(tbal[[#This Row],[X]]=1,tbal[[#This Row],[X]]=2)),tbal[[#This Row],[DEUDOR]],0)</f>
        <v>0</v>
      </c>
      <c r="J781" s="18">
        <f>IF((OR(tbal[[#This Row],[X]]=2,tbal[[#This Row],[X]]=3)),tbal[[#This Row],[ACREEDOR]],0)</f>
        <v>0</v>
      </c>
      <c r="K781" s="16">
        <f>IF((OR(tbal[[#This Row],[X]]=3,tbal[[#This Row],[X]]=5)),tbal[[#This Row],[DEUDOR]],0)</f>
        <v>0</v>
      </c>
      <c r="L781" s="18">
        <f>IF((OR(tbal[[#This Row],[X]]=3,tbal[[#This Row],[X]]=4)),tbal[[#This Row],[ACREEDOR]],0)</f>
        <v>0</v>
      </c>
      <c r="M781" s="16">
        <f>IF((OR(tbal[[#This Row],[X]]=0,tbal[[#This Row],[X]]=6)),tbal[[#This Row],[DEUDOR]],0)</f>
        <v>0</v>
      </c>
      <c r="N781" s="18">
        <f>IF((OR(tbal[[#This Row],[X]]=0,tbal[[#This Row],[X]]=5)),tbal[[#This Row],[ACREEDOR]],0)</f>
        <v>0</v>
      </c>
    </row>
    <row r="782" spans="1:14" hidden="1" x14ac:dyDescent="0.3">
      <c r="A782" s="14">
        <f>+'PLAN DE CUENTAS'!A782</f>
        <v>0</v>
      </c>
      <c r="B782" s="13">
        <f>+'PLAN DE CUENTAS'!B782</f>
        <v>0</v>
      </c>
      <c r="C782" s="13">
        <f>+'PLAN DE CUENTAS'!C782</f>
        <v>0</v>
      </c>
      <c r="D782" t="str">
        <f>IF(tbal[[#This Row],[DEBE]]+tbal[[#This Row],[HABER]]=0,"","X")</f>
        <v/>
      </c>
      <c r="E782" s="16">
        <f>SUMIF(tdiario[CUENTA],tbal[[#This Row],[CUENTA]],tdiario[DEBE])</f>
        <v>0</v>
      </c>
      <c r="F782" s="17">
        <f>SUMIF(tdiario[CUENTA],tbal[[#This Row],[CUENTA]],tdiario[HABER])</f>
        <v>0</v>
      </c>
      <c r="G782" s="16">
        <f>IF(tbal[[#This Row],[DEBE]]-tbal[[#This Row],[HABER]]&gt;0,tbal[[#This Row],[DEBE]]-tbal[[#This Row],[HABER]],0)</f>
        <v>0</v>
      </c>
      <c r="H782" s="18">
        <f>IF(tbal[[#This Row],[HABER]]-tbal[[#This Row],[DEBE]]&gt;0,tbal[[#This Row],[HABER]]-tbal[[#This Row],[DEBE]],0)</f>
        <v>0</v>
      </c>
      <c r="I782" s="16">
        <f>IF((OR(tbal[[#This Row],[X]]=1,tbal[[#This Row],[X]]=2)),tbal[[#This Row],[DEUDOR]],0)</f>
        <v>0</v>
      </c>
      <c r="J782" s="18">
        <f>IF((OR(tbal[[#This Row],[X]]=2,tbal[[#This Row],[X]]=3)),tbal[[#This Row],[ACREEDOR]],0)</f>
        <v>0</v>
      </c>
      <c r="K782" s="16">
        <f>IF((OR(tbal[[#This Row],[X]]=3,tbal[[#This Row],[X]]=5)),tbal[[#This Row],[DEUDOR]],0)</f>
        <v>0</v>
      </c>
      <c r="L782" s="18">
        <f>IF((OR(tbal[[#This Row],[X]]=3,tbal[[#This Row],[X]]=4)),tbal[[#This Row],[ACREEDOR]],0)</f>
        <v>0</v>
      </c>
      <c r="M782" s="16">
        <f>IF((OR(tbal[[#This Row],[X]]=0,tbal[[#This Row],[X]]=6)),tbal[[#This Row],[DEUDOR]],0)</f>
        <v>0</v>
      </c>
      <c r="N782" s="18">
        <f>IF((OR(tbal[[#This Row],[X]]=0,tbal[[#This Row],[X]]=5)),tbal[[#This Row],[ACREEDOR]],0)</f>
        <v>0</v>
      </c>
    </row>
    <row r="783" spans="1:14" hidden="1" x14ac:dyDescent="0.3">
      <c r="A783" s="14">
        <f>+'PLAN DE CUENTAS'!A783</f>
        <v>0</v>
      </c>
      <c r="B783" s="13">
        <f>+'PLAN DE CUENTAS'!B783</f>
        <v>0</v>
      </c>
      <c r="C783" s="13">
        <f>+'PLAN DE CUENTAS'!C783</f>
        <v>0</v>
      </c>
      <c r="D783" t="str">
        <f>IF(tbal[[#This Row],[DEBE]]+tbal[[#This Row],[HABER]]=0,"","X")</f>
        <v/>
      </c>
      <c r="E783" s="16">
        <f>SUMIF(tdiario[CUENTA],tbal[[#This Row],[CUENTA]],tdiario[DEBE])</f>
        <v>0</v>
      </c>
      <c r="F783" s="17">
        <f>SUMIF(tdiario[CUENTA],tbal[[#This Row],[CUENTA]],tdiario[HABER])</f>
        <v>0</v>
      </c>
      <c r="G783" s="16">
        <f>IF(tbal[[#This Row],[DEBE]]-tbal[[#This Row],[HABER]]&gt;0,tbal[[#This Row],[DEBE]]-tbal[[#This Row],[HABER]],0)</f>
        <v>0</v>
      </c>
      <c r="H783" s="18">
        <f>IF(tbal[[#This Row],[HABER]]-tbal[[#This Row],[DEBE]]&gt;0,tbal[[#This Row],[HABER]]-tbal[[#This Row],[DEBE]],0)</f>
        <v>0</v>
      </c>
      <c r="I783" s="16">
        <f>IF((OR(tbal[[#This Row],[X]]=1,tbal[[#This Row],[X]]=2)),tbal[[#This Row],[DEUDOR]],0)</f>
        <v>0</v>
      </c>
      <c r="J783" s="18">
        <f>IF((OR(tbal[[#This Row],[X]]=2,tbal[[#This Row],[X]]=3)),tbal[[#This Row],[ACREEDOR]],0)</f>
        <v>0</v>
      </c>
      <c r="K783" s="16">
        <f>IF((OR(tbal[[#This Row],[X]]=3,tbal[[#This Row],[X]]=5)),tbal[[#This Row],[DEUDOR]],0)</f>
        <v>0</v>
      </c>
      <c r="L783" s="18">
        <f>IF((OR(tbal[[#This Row],[X]]=3,tbal[[#This Row],[X]]=4)),tbal[[#This Row],[ACREEDOR]],0)</f>
        <v>0</v>
      </c>
      <c r="M783" s="16">
        <f>IF((OR(tbal[[#This Row],[X]]=0,tbal[[#This Row],[X]]=6)),tbal[[#This Row],[DEUDOR]],0)</f>
        <v>0</v>
      </c>
      <c r="N783" s="18">
        <f>IF((OR(tbal[[#This Row],[X]]=0,tbal[[#This Row],[X]]=5)),tbal[[#This Row],[ACREEDOR]],0)</f>
        <v>0</v>
      </c>
    </row>
    <row r="784" spans="1:14" hidden="1" x14ac:dyDescent="0.3">
      <c r="A784" s="14">
        <f>+'PLAN DE CUENTAS'!A784</f>
        <v>0</v>
      </c>
      <c r="B784" s="13">
        <f>+'PLAN DE CUENTAS'!B784</f>
        <v>0</v>
      </c>
      <c r="C784" s="13">
        <f>+'PLAN DE CUENTAS'!C784</f>
        <v>0</v>
      </c>
      <c r="D784" t="str">
        <f>IF(tbal[[#This Row],[DEBE]]+tbal[[#This Row],[HABER]]=0,"","X")</f>
        <v/>
      </c>
      <c r="E784" s="16">
        <f>SUMIF(tdiario[CUENTA],tbal[[#This Row],[CUENTA]],tdiario[DEBE])</f>
        <v>0</v>
      </c>
      <c r="F784" s="17">
        <f>SUMIF(tdiario[CUENTA],tbal[[#This Row],[CUENTA]],tdiario[HABER])</f>
        <v>0</v>
      </c>
      <c r="G784" s="16">
        <f>IF(tbal[[#This Row],[DEBE]]-tbal[[#This Row],[HABER]]&gt;0,tbal[[#This Row],[DEBE]]-tbal[[#This Row],[HABER]],0)</f>
        <v>0</v>
      </c>
      <c r="H784" s="18">
        <f>IF(tbal[[#This Row],[HABER]]-tbal[[#This Row],[DEBE]]&gt;0,tbal[[#This Row],[HABER]]-tbal[[#This Row],[DEBE]],0)</f>
        <v>0</v>
      </c>
      <c r="I784" s="16">
        <f>IF((OR(tbal[[#This Row],[X]]=1,tbal[[#This Row],[X]]=2)),tbal[[#This Row],[DEUDOR]],0)</f>
        <v>0</v>
      </c>
      <c r="J784" s="18">
        <f>IF((OR(tbal[[#This Row],[X]]=2,tbal[[#This Row],[X]]=3)),tbal[[#This Row],[ACREEDOR]],0)</f>
        <v>0</v>
      </c>
      <c r="K784" s="16">
        <f>IF((OR(tbal[[#This Row],[X]]=3,tbal[[#This Row],[X]]=5)),tbal[[#This Row],[DEUDOR]],0)</f>
        <v>0</v>
      </c>
      <c r="L784" s="18">
        <f>IF((OR(tbal[[#This Row],[X]]=3,tbal[[#This Row],[X]]=4)),tbal[[#This Row],[ACREEDOR]],0)</f>
        <v>0</v>
      </c>
      <c r="M784" s="16">
        <f>IF((OR(tbal[[#This Row],[X]]=0,tbal[[#This Row],[X]]=6)),tbal[[#This Row],[DEUDOR]],0)</f>
        <v>0</v>
      </c>
      <c r="N784" s="18">
        <f>IF((OR(tbal[[#This Row],[X]]=0,tbal[[#This Row],[X]]=5)),tbal[[#This Row],[ACREEDOR]],0)</f>
        <v>0</v>
      </c>
    </row>
    <row r="785" spans="1:14" hidden="1" x14ac:dyDescent="0.3">
      <c r="A785" s="14">
        <f>+'PLAN DE CUENTAS'!A785</f>
        <v>0</v>
      </c>
      <c r="B785" s="13">
        <f>+'PLAN DE CUENTAS'!B785</f>
        <v>0</v>
      </c>
      <c r="C785" s="13">
        <f>+'PLAN DE CUENTAS'!C785</f>
        <v>0</v>
      </c>
      <c r="D785" t="str">
        <f>IF(tbal[[#This Row],[DEBE]]+tbal[[#This Row],[HABER]]=0,"","X")</f>
        <v/>
      </c>
      <c r="E785" s="16">
        <f>SUMIF(tdiario[CUENTA],tbal[[#This Row],[CUENTA]],tdiario[DEBE])</f>
        <v>0</v>
      </c>
      <c r="F785" s="17">
        <f>SUMIF(tdiario[CUENTA],tbal[[#This Row],[CUENTA]],tdiario[HABER])</f>
        <v>0</v>
      </c>
      <c r="G785" s="16">
        <f>IF(tbal[[#This Row],[DEBE]]-tbal[[#This Row],[HABER]]&gt;0,tbal[[#This Row],[DEBE]]-tbal[[#This Row],[HABER]],0)</f>
        <v>0</v>
      </c>
      <c r="H785" s="18">
        <f>IF(tbal[[#This Row],[HABER]]-tbal[[#This Row],[DEBE]]&gt;0,tbal[[#This Row],[HABER]]-tbal[[#This Row],[DEBE]],0)</f>
        <v>0</v>
      </c>
      <c r="I785" s="16">
        <f>IF((OR(tbal[[#This Row],[X]]=1,tbal[[#This Row],[X]]=2)),tbal[[#This Row],[DEUDOR]],0)</f>
        <v>0</v>
      </c>
      <c r="J785" s="18">
        <f>IF((OR(tbal[[#This Row],[X]]=2,tbal[[#This Row],[X]]=3)),tbal[[#This Row],[ACREEDOR]],0)</f>
        <v>0</v>
      </c>
      <c r="K785" s="16">
        <f>IF((OR(tbal[[#This Row],[X]]=3,tbal[[#This Row],[X]]=5)),tbal[[#This Row],[DEUDOR]],0)</f>
        <v>0</v>
      </c>
      <c r="L785" s="18">
        <f>IF((OR(tbal[[#This Row],[X]]=3,tbal[[#This Row],[X]]=4)),tbal[[#This Row],[ACREEDOR]],0)</f>
        <v>0</v>
      </c>
      <c r="M785" s="16">
        <f>IF((OR(tbal[[#This Row],[X]]=0,tbal[[#This Row],[X]]=6)),tbal[[#This Row],[DEUDOR]],0)</f>
        <v>0</v>
      </c>
      <c r="N785" s="18">
        <f>IF((OR(tbal[[#This Row],[X]]=0,tbal[[#This Row],[X]]=5)),tbal[[#This Row],[ACREEDOR]],0)</f>
        <v>0</v>
      </c>
    </row>
    <row r="786" spans="1:14" hidden="1" x14ac:dyDescent="0.3">
      <c r="A786" s="14">
        <f>+'PLAN DE CUENTAS'!A786</f>
        <v>0</v>
      </c>
      <c r="B786" s="13">
        <f>+'PLAN DE CUENTAS'!B786</f>
        <v>0</v>
      </c>
      <c r="C786" s="13">
        <f>+'PLAN DE CUENTAS'!C786</f>
        <v>0</v>
      </c>
      <c r="D786" t="str">
        <f>IF(tbal[[#This Row],[DEBE]]+tbal[[#This Row],[HABER]]=0,"","X")</f>
        <v/>
      </c>
      <c r="E786" s="16">
        <f>SUMIF(tdiario[CUENTA],tbal[[#This Row],[CUENTA]],tdiario[DEBE])</f>
        <v>0</v>
      </c>
      <c r="F786" s="17">
        <f>SUMIF(tdiario[CUENTA],tbal[[#This Row],[CUENTA]],tdiario[HABER])</f>
        <v>0</v>
      </c>
      <c r="G786" s="16">
        <f>IF(tbal[[#This Row],[DEBE]]-tbal[[#This Row],[HABER]]&gt;0,tbal[[#This Row],[DEBE]]-tbal[[#This Row],[HABER]],0)</f>
        <v>0</v>
      </c>
      <c r="H786" s="18">
        <f>IF(tbal[[#This Row],[HABER]]-tbal[[#This Row],[DEBE]]&gt;0,tbal[[#This Row],[HABER]]-tbal[[#This Row],[DEBE]],0)</f>
        <v>0</v>
      </c>
      <c r="I786" s="16">
        <f>IF((OR(tbal[[#This Row],[X]]=1,tbal[[#This Row],[X]]=2)),tbal[[#This Row],[DEUDOR]],0)</f>
        <v>0</v>
      </c>
      <c r="J786" s="18">
        <f>IF((OR(tbal[[#This Row],[X]]=2,tbal[[#This Row],[X]]=3)),tbal[[#This Row],[ACREEDOR]],0)</f>
        <v>0</v>
      </c>
      <c r="K786" s="16">
        <f>IF((OR(tbal[[#This Row],[X]]=3,tbal[[#This Row],[X]]=5)),tbal[[#This Row],[DEUDOR]],0)</f>
        <v>0</v>
      </c>
      <c r="L786" s="18">
        <f>IF((OR(tbal[[#This Row],[X]]=3,tbal[[#This Row],[X]]=4)),tbal[[#This Row],[ACREEDOR]],0)</f>
        <v>0</v>
      </c>
      <c r="M786" s="16">
        <f>IF((OR(tbal[[#This Row],[X]]=0,tbal[[#This Row],[X]]=6)),tbal[[#This Row],[DEUDOR]],0)</f>
        <v>0</v>
      </c>
      <c r="N786" s="18">
        <f>IF((OR(tbal[[#This Row],[X]]=0,tbal[[#This Row],[X]]=5)),tbal[[#This Row],[ACREEDOR]],0)</f>
        <v>0</v>
      </c>
    </row>
    <row r="787" spans="1:14" hidden="1" x14ac:dyDescent="0.3">
      <c r="A787" s="14">
        <f>+'PLAN DE CUENTAS'!A787</f>
        <v>0</v>
      </c>
      <c r="B787" s="13">
        <f>+'PLAN DE CUENTAS'!B787</f>
        <v>0</v>
      </c>
      <c r="C787" s="13">
        <f>+'PLAN DE CUENTAS'!C787</f>
        <v>0</v>
      </c>
      <c r="D787" t="str">
        <f>IF(tbal[[#This Row],[DEBE]]+tbal[[#This Row],[HABER]]=0,"","X")</f>
        <v/>
      </c>
      <c r="E787" s="16">
        <f>SUMIF(tdiario[CUENTA],tbal[[#This Row],[CUENTA]],tdiario[DEBE])</f>
        <v>0</v>
      </c>
      <c r="F787" s="17">
        <f>SUMIF(tdiario[CUENTA],tbal[[#This Row],[CUENTA]],tdiario[HABER])</f>
        <v>0</v>
      </c>
      <c r="G787" s="16">
        <f>IF(tbal[[#This Row],[DEBE]]-tbal[[#This Row],[HABER]]&gt;0,tbal[[#This Row],[DEBE]]-tbal[[#This Row],[HABER]],0)</f>
        <v>0</v>
      </c>
      <c r="H787" s="18">
        <f>IF(tbal[[#This Row],[HABER]]-tbal[[#This Row],[DEBE]]&gt;0,tbal[[#This Row],[HABER]]-tbal[[#This Row],[DEBE]],0)</f>
        <v>0</v>
      </c>
      <c r="I787" s="16">
        <f>IF((OR(tbal[[#This Row],[X]]=1,tbal[[#This Row],[X]]=2)),tbal[[#This Row],[DEUDOR]],0)</f>
        <v>0</v>
      </c>
      <c r="J787" s="18">
        <f>IF((OR(tbal[[#This Row],[X]]=2,tbal[[#This Row],[X]]=3)),tbal[[#This Row],[ACREEDOR]],0)</f>
        <v>0</v>
      </c>
      <c r="K787" s="16">
        <f>IF((OR(tbal[[#This Row],[X]]=3,tbal[[#This Row],[X]]=5)),tbal[[#This Row],[DEUDOR]],0)</f>
        <v>0</v>
      </c>
      <c r="L787" s="18">
        <f>IF((OR(tbal[[#This Row],[X]]=3,tbal[[#This Row],[X]]=4)),tbal[[#This Row],[ACREEDOR]],0)</f>
        <v>0</v>
      </c>
      <c r="M787" s="16">
        <f>IF((OR(tbal[[#This Row],[X]]=0,tbal[[#This Row],[X]]=6)),tbal[[#This Row],[DEUDOR]],0)</f>
        <v>0</v>
      </c>
      <c r="N787" s="18">
        <f>IF((OR(tbal[[#This Row],[X]]=0,tbal[[#This Row],[X]]=5)),tbal[[#This Row],[ACREEDOR]],0)</f>
        <v>0</v>
      </c>
    </row>
    <row r="788" spans="1:14" hidden="1" x14ac:dyDescent="0.3">
      <c r="A788" s="14">
        <f>+'PLAN DE CUENTAS'!A788</f>
        <v>0</v>
      </c>
      <c r="B788" s="13">
        <f>+'PLAN DE CUENTAS'!B788</f>
        <v>0</v>
      </c>
      <c r="C788" s="13">
        <f>+'PLAN DE CUENTAS'!C788</f>
        <v>0</v>
      </c>
      <c r="D788" t="str">
        <f>IF(tbal[[#This Row],[DEBE]]+tbal[[#This Row],[HABER]]=0,"","X")</f>
        <v/>
      </c>
      <c r="E788" s="16">
        <f>SUMIF(tdiario[CUENTA],tbal[[#This Row],[CUENTA]],tdiario[DEBE])</f>
        <v>0</v>
      </c>
      <c r="F788" s="17">
        <f>SUMIF(tdiario[CUENTA],tbal[[#This Row],[CUENTA]],tdiario[HABER])</f>
        <v>0</v>
      </c>
      <c r="G788" s="16">
        <f>IF(tbal[[#This Row],[DEBE]]-tbal[[#This Row],[HABER]]&gt;0,tbal[[#This Row],[DEBE]]-tbal[[#This Row],[HABER]],0)</f>
        <v>0</v>
      </c>
      <c r="H788" s="18">
        <f>IF(tbal[[#This Row],[HABER]]-tbal[[#This Row],[DEBE]]&gt;0,tbal[[#This Row],[HABER]]-tbal[[#This Row],[DEBE]],0)</f>
        <v>0</v>
      </c>
      <c r="I788" s="16">
        <f>IF((OR(tbal[[#This Row],[X]]=1,tbal[[#This Row],[X]]=2)),tbal[[#This Row],[DEUDOR]],0)</f>
        <v>0</v>
      </c>
      <c r="J788" s="18">
        <f>IF((OR(tbal[[#This Row],[X]]=2,tbal[[#This Row],[X]]=3)),tbal[[#This Row],[ACREEDOR]],0)</f>
        <v>0</v>
      </c>
      <c r="K788" s="16">
        <f>IF((OR(tbal[[#This Row],[X]]=3,tbal[[#This Row],[X]]=5)),tbal[[#This Row],[DEUDOR]],0)</f>
        <v>0</v>
      </c>
      <c r="L788" s="18">
        <f>IF((OR(tbal[[#This Row],[X]]=3,tbal[[#This Row],[X]]=4)),tbal[[#This Row],[ACREEDOR]],0)</f>
        <v>0</v>
      </c>
      <c r="M788" s="16">
        <f>IF((OR(tbal[[#This Row],[X]]=0,tbal[[#This Row],[X]]=6)),tbal[[#This Row],[DEUDOR]],0)</f>
        <v>0</v>
      </c>
      <c r="N788" s="18">
        <f>IF((OR(tbal[[#This Row],[X]]=0,tbal[[#This Row],[X]]=5)),tbal[[#This Row],[ACREEDOR]],0)</f>
        <v>0</v>
      </c>
    </row>
    <row r="789" spans="1:14" hidden="1" x14ac:dyDescent="0.3">
      <c r="A789" s="14">
        <f>+'PLAN DE CUENTAS'!A789</f>
        <v>0</v>
      </c>
      <c r="B789" s="13">
        <f>+'PLAN DE CUENTAS'!B789</f>
        <v>0</v>
      </c>
      <c r="C789" s="13">
        <f>+'PLAN DE CUENTAS'!C789</f>
        <v>0</v>
      </c>
      <c r="D789" t="str">
        <f>IF(tbal[[#This Row],[DEBE]]+tbal[[#This Row],[HABER]]=0,"","X")</f>
        <v/>
      </c>
      <c r="E789" s="16">
        <f>SUMIF(tdiario[CUENTA],tbal[[#This Row],[CUENTA]],tdiario[DEBE])</f>
        <v>0</v>
      </c>
      <c r="F789" s="17">
        <f>SUMIF(tdiario[CUENTA],tbal[[#This Row],[CUENTA]],tdiario[HABER])</f>
        <v>0</v>
      </c>
      <c r="G789" s="16">
        <f>IF(tbal[[#This Row],[DEBE]]-tbal[[#This Row],[HABER]]&gt;0,tbal[[#This Row],[DEBE]]-tbal[[#This Row],[HABER]],0)</f>
        <v>0</v>
      </c>
      <c r="H789" s="18">
        <f>IF(tbal[[#This Row],[HABER]]-tbal[[#This Row],[DEBE]]&gt;0,tbal[[#This Row],[HABER]]-tbal[[#This Row],[DEBE]],0)</f>
        <v>0</v>
      </c>
      <c r="I789" s="16">
        <f>IF((OR(tbal[[#This Row],[X]]=1,tbal[[#This Row],[X]]=2)),tbal[[#This Row],[DEUDOR]],0)</f>
        <v>0</v>
      </c>
      <c r="J789" s="18">
        <f>IF((OR(tbal[[#This Row],[X]]=2,tbal[[#This Row],[X]]=3)),tbal[[#This Row],[ACREEDOR]],0)</f>
        <v>0</v>
      </c>
      <c r="K789" s="16">
        <f>IF((OR(tbal[[#This Row],[X]]=3,tbal[[#This Row],[X]]=5)),tbal[[#This Row],[DEUDOR]],0)</f>
        <v>0</v>
      </c>
      <c r="L789" s="18">
        <f>IF((OR(tbal[[#This Row],[X]]=3,tbal[[#This Row],[X]]=4)),tbal[[#This Row],[ACREEDOR]],0)</f>
        <v>0</v>
      </c>
      <c r="M789" s="16">
        <f>IF((OR(tbal[[#This Row],[X]]=0,tbal[[#This Row],[X]]=6)),tbal[[#This Row],[DEUDOR]],0)</f>
        <v>0</v>
      </c>
      <c r="N789" s="18">
        <f>IF((OR(tbal[[#This Row],[X]]=0,tbal[[#This Row],[X]]=5)),tbal[[#This Row],[ACREEDOR]],0)</f>
        <v>0</v>
      </c>
    </row>
    <row r="790" spans="1:14" hidden="1" x14ac:dyDescent="0.3">
      <c r="A790" s="14">
        <f>+'PLAN DE CUENTAS'!A790</f>
        <v>0</v>
      </c>
      <c r="B790" s="13">
        <f>+'PLAN DE CUENTAS'!B790</f>
        <v>0</v>
      </c>
      <c r="C790" s="13">
        <f>+'PLAN DE CUENTAS'!C790</f>
        <v>0</v>
      </c>
      <c r="D790" t="str">
        <f>IF(tbal[[#This Row],[DEBE]]+tbal[[#This Row],[HABER]]=0,"","X")</f>
        <v/>
      </c>
      <c r="E790" s="16">
        <f>SUMIF(tdiario[CUENTA],tbal[[#This Row],[CUENTA]],tdiario[DEBE])</f>
        <v>0</v>
      </c>
      <c r="F790" s="17">
        <f>SUMIF(tdiario[CUENTA],tbal[[#This Row],[CUENTA]],tdiario[HABER])</f>
        <v>0</v>
      </c>
      <c r="G790" s="16">
        <f>IF(tbal[[#This Row],[DEBE]]-tbal[[#This Row],[HABER]]&gt;0,tbal[[#This Row],[DEBE]]-tbal[[#This Row],[HABER]],0)</f>
        <v>0</v>
      </c>
      <c r="H790" s="18">
        <f>IF(tbal[[#This Row],[HABER]]-tbal[[#This Row],[DEBE]]&gt;0,tbal[[#This Row],[HABER]]-tbal[[#This Row],[DEBE]],0)</f>
        <v>0</v>
      </c>
      <c r="I790" s="16">
        <f>IF((OR(tbal[[#This Row],[X]]=1,tbal[[#This Row],[X]]=2)),tbal[[#This Row],[DEUDOR]],0)</f>
        <v>0</v>
      </c>
      <c r="J790" s="18">
        <f>IF((OR(tbal[[#This Row],[X]]=2,tbal[[#This Row],[X]]=3)),tbal[[#This Row],[ACREEDOR]],0)</f>
        <v>0</v>
      </c>
      <c r="K790" s="16">
        <f>IF((OR(tbal[[#This Row],[X]]=3,tbal[[#This Row],[X]]=5)),tbal[[#This Row],[DEUDOR]],0)</f>
        <v>0</v>
      </c>
      <c r="L790" s="18">
        <f>IF((OR(tbal[[#This Row],[X]]=3,tbal[[#This Row],[X]]=4)),tbal[[#This Row],[ACREEDOR]],0)</f>
        <v>0</v>
      </c>
      <c r="M790" s="16">
        <f>IF((OR(tbal[[#This Row],[X]]=0,tbal[[#This Row],[X]]=6)),tbal[[#This Row],[DEUDOR]],0)</f>
        <v>0</v>
      </c>
      <c r="N790" s="18">
        <f>IF((OR(tbal[[#This Row],[X]]=0,tbal[[#This Row],[X]]=5)),tbal[[#This Row],[ACREEDOR]],0)</f>
        <v>0</v>
      </c>
    </row>
    <row r="791" spans="1:14" hidden="1" x14ac:dyDescent="0.3">
      <c r="A791" s="14">
        <f>+'PLAN DE CUENTAS'!A791</f>
        <v>0</v>
      </c>
      <c r="B791" s="13">
        <f>+'PLAN DE CUENTAS'!B791</f>
        <v>0</v>
      </c>
      <c r="C791" s="13">
        <f>+'PLAN DE CUENTAS'!C791</f>
        <v>0</v>
      </c>
      <c r="D791" t="str">
        <f>IF(tbal[[#This Row],[DEBE]]+tbal[[#This Row],[HABER]]=0,"","X")</f>
        <v/>
      </c>
      <c r="E791" s="16">
        <f>SUMIF(tdiario[CUENTA],tbal[[#This Row],[CUENTA]],tdiario[DEBE])</f>
        <v>0</v>
      </c>
      <c r="F791" s="17">
        <f>SUMIF(tdiario[CUENTA],tbal[[#This Row],[CUENTA]],tdiario[HABER])</f>
        <v>0</v>
      </c>
      <c r="G791" s="16">
        <f>IF(tbal[[#This Row],[DEBE]]-tbal[[#This Row],[HABER]]&gt;0,tbal[[#This Row],[DEBE]]-tbal[[#This Row],[HABER]],0)</f>
        <v>0</v>
      </c>
      <c r="H791" s="18">
        <f>IF(tbal[[#This Row],[HABER]]-tbal[[#This Row],[DEBE]]&gt;0,tbal[[#This Row],[HABER]]-tbal[[#This Row],[DEBE]],0)</f>
        <v>0</v>
      </c>
      <c r="I791" s="16">
        <f>IF((OR(tbal[[#This Row],[X]]=1,tbal[[#This Row],[X]]=2)),tbal[[#This Row],[DEUDOR]],0)</f>
        <v>0</v>
      </c>
      <c r="J791" s="18">
        <f>IF((OR(tbal[[#This Row],[X]]=2,tbal[[#This Row],[X]]=3)),tbal[[#This Row],[ACREEDOR]],0)</f>
        <v>0</v>
      </c>
      <c r="K791" s="16">
        <f>IF((OR(tbal[[#This Row],[X]]=3,tbal[[#This Row],[X]]=5)),tbal[[#This Row],[DEUDOR]],0)</f>
        <v>0</v>
      </c>
      <c r="L791" s="18">
        <f>IF((OR(tbal[[#This Row],[X]]=3,tbal[[#This Row],[X]]=4)),tbal[[#This Row],[ACREEDOR]],0)</f>
        <v>0</v>
      </c>
      <c r="M791" s="16">
        <f>IF((OR(tbal[[#This Row],[X]]=0,tbal[[#This Row],[X]]=6)),tbal[[#This Row],[DEUDOR]],0)</f>
        <v>0</v>
      </c>
      <c r="N791" s="18">
        <f>IF((OR(tbal[[#This Row],[X]]=0,tbal[[#This Row],[X]]=5)),tbal[[#This Row],[ACREEDOR]],0)</f>
        <v>0</v>
      </c>
    </row>
    <row r="792" spans="1:14" hidden="1" x14ac:dyDescent="0.3">
      <c r="A792" s="14">
        <f>+'PLAN DE CUENTAS'!A792</f>
        <v>0</v>
      </c>
      <c r="B792" s="13">
        <f>+'PLAN DE CUENTAS'!B792</f>
        <v>0</v>
      </c>
      <c r="C792" s="13">
        <f>+'PLAN DE CUENTAS'!C792</f>
        <v>0</v>
      </c>
      <c r="D792" t="str">
        <f>IF(tbal[[#This Row],[DEBE]]+tbal[[#This Row],[HABER]]=0,"","X")</f>
        <v/>
      </c>
      <c r="E792" s="16">
        <f>SUMIF(tdiario[CUENTA],tbal[[#This Row],[CUENTA]],tdiario[DEBE])</f>
        <v>0</v>
      </c>
      <c r="F792" s="17">
        <f>SUMIF(tdiario[CUENTA],tbal[[#This Row],[CUENTA]],tdiario[HABER])</f>
        <v>0</v>
      </c>
      <c r="G792" s="16">
        <f>IF(tbal[[#This Row],[DEBE]]-tbal[[#This Row],[HABER]]&gt;0,tbal[[#This Row],[DEBE]]-tbal[[#This Row],[HABER]],0)</f>
        <v>0</v>
      </c>
      <c r="H792" s="18">
        <f>IF(tbal[[#This Row],[HABER]]-tbal[[#This Row],[DEBE]]&gt;0,tbal[[#This Row],[HABER]]-tbal[[#This Row],[DEBE]],0)</f>
        <v>0</v>
      </c>
      <c r="I792" s="16">
        <f>IF((OR(tbal[[#This Row],[X]]=1,tbal[[#This Row],[X]]=2)),tbal[[#This Row],[DEUDOR]],0)</f>
        <v>0</v>
      </c>
      <c r="J792" s="18">
        <f>IF((OR(tbal[[#This Row],[X]]=2,tbal[[#This Row],[X]]=3)),tbal[[#This Row],[ACREEDOR]],0)</f>
        <v>0</v>
      </c>
      <c r="K792" s="16">
        <f>IF((OR(tbal[[#This Row],[X]]=3,tbal[[#This Row],[X]]=5)),tbal[[#This Row],[DEUDOR]],0)</f>
        <v>0</v>
      </c>
      <c r="L792" s="18">
        <f>IF((OR(tbal[[#This Row],[X]]=3,tbal[[#This Row],[X]]=4)),tbal[[#This Row],[ACREEDOR]],0)</f>
        <v>0</v>
      </c>
      <c r="M792" s="16">
        <f>IF((OR(tbal[[#This Row],[X]]=0,tbal[[#This Row],[X]]=6)),tbal[[#This Row],[DEUDOR]],0)</f>
        <v>0</v>
      </c>
      <c r="N792" s="18">
        <f>IF((OR(tbal[[#This Row],[X]]=0,tbal[[#This Row],[X]]=5)),tbal[[#This Row],[ACREEDOR]],0)</f>
        <v>0</v>
      </c>
    </row>
    <row r="793" spans="1:14" hidden="1" x14ac:dyDescent="0.3">
      <c r="A793" s="14">
        <f>+'PLAN DE CUENTAS'!A793</f>
        <v>0</v>
      </c>
      <c r="B793" s="13">
        <f>+'PLAN DE CUENTAS'!B793</f>
        <v>0</v>
      </c>
      <c r="C793" s="13">
        <f>+'PLAN DE CUENTAS'!C793</f>
        <v>0</v>
      </c>
      <c r="D793" t="str">
        <f>IF(tbal[[#This Row],[DEBE]]+tbal[[#This Row],[HABER]]=0,"","X")</f>
        <v/>
      </c>
      <c r="E793" s="16">
        <f>SUMIF(tdiario[CUENTA],tbal[[#This Row],[CUENTA]],tdiario[DEBE])</f>
        <v>0</v>
      </c>
      <c r="F793" s="17">
        <f>SUMIF(tdiario[CUENTA],tbal[[#This Row],[CUENTA]],tdiario[HABER])</f>
        <v>0</v>
      </c>
      <c r="G793" s="16">
        <f>IF(tbal[[#This Row],[DEBE]]-tbal[[#This Row],[HABER]]&gt;0,tbal[[#This Row],[DEBE]]-tbal[[#This Row],[HABER]],0)</f>
        <v>0</v>
      </c>
      <c r="H793" s="18">
        <f>IF(tbal[[#This Row],[HABER]]-tbal[[#This Row],[DEBE]]&gt;0,tbal[[#This Row],[HABER]]-tbal[[#This Row],[DEBE]],0)</f>
        <v>0</v>
      </c>
      <c r="I793" s="16">
        <f>IF((OR(tbal[[#This Row],[X]]=1,tbal[[#This Row],[X]]=2)),tbal[[#This Row],[DEUDOR]],0)</f>
        <v>0</v>
      </c>
      <c r="J793" s="18">
        <f>IF((OR(tbal[[#This Row],[X]]=2,tbal[[#This Row],[X]]=3)),tbal[[#This Row],[ACREEDOR]],0)</f>
        <v>0</v>
      </c>
      <c r="K793" s="16">
        <f>IF((OR(tbal[[#This Row],[X]]=3,tbal[[#This Row],[X]]=5)),tbal[[#This Row],[DEUDOR]],0)</f>
        <v>0</v>
      </c>
      <c r="L793" s="18">
        <f>IF((OR(tbal[[#This Row],[X]]=3,tbal[[#This Row],[X]]=4)),tbal[[#This Row],[ACREEDOR]],0)</f>
        <v>0</v>
      </c>
      <c r="M793" s="16">
        <f>IF((OR(tbal[[#This Row],[X]]=0,tbal[[#This Row],[X]]=6)),tbal[[#This Row],[DEUDOR]],0)</f>
        <v>0</v>
      </c>
      <c r="N793" s="18">
        <f>IF((OR(tbal[[#This Row],[X]]=0,tbal[[#This Row],[X]]=5)),tbal[[#This Row],[ACREEDOR]],0)</f>
        <v>0</v>
      </c>
    </row>
    <row r="794" spans="1:14" hidden="1" x14ac:dyDescent="0.3">
      <c r="A794" s="14">
        <f>+'PLAN DE CUENTAS'!A794</f>
        <v>0</v>
      </c>
      <c r="B794" s="13">
        <f>+'PLAN DE CUENTAS'!B794</f>
        <v>0</v>
      </c>
      <c r="C794" s="13">
        <f>+'PLAN DE CUENTAS'!C794</f>
        <v>0</v>
      </c>
      <c r="D794" t="str">
        <f>IF(tbal[[#This Row],[DEBE]]+tbal[[#This Row],[HABER]]=0,"","X")</f>
        <v/>
      </c>
      <c r="E794" s="16">
        <f>SUMIF(tdiario[CUENTA],tbal[[#This Row],[CUENTA]],tdiario[DEBE])</f>
        <v>0</v>
      </c>
      <c r="F794" s="17">
        <f>SUMIF(tdiario[CUENTA],tbal[[#This Row],[CUENTA]],tdiario[HABER])</f>
        <v>0</v>
      </c>
      <c r="G794" s="16">
        <f>IF(tbal[[#This Row],[DEBE]]-tbal[[#This Row],[HABER]]&gt;0,tbal[[#This Row],[DEBE]]-tbal[[#This Row],[HABER]],0)</f>
        <v>0</v>
      </c>
      <c r="H794" s="18">
        <f>IF(tbal[[#This Row],[HABER]]-tbal[[#This Row],[DEBE]]&gt;0,tbal[[#This Row],[HABER]]-tbal[[#This Row],[DEBE]],0)</f>
        <v>0</v>
      </c>
      <c r="I794" s="16">
        <f>IF((OR(tbal[[#This Row],[X]]=1,tbal[[#This Row],[X]]=2)),tbal[[#This Row],[DEUDOR]],0)</f>
        <v>0</v>
      </c>
      <c r="J794" s="18">
        <f>IF((OR(tbal[[#This Row],[X]]=2,tbal[[#This Row],[X]]=3)),tbal[[#This Row],[ACREEDOR]],0)</f>
        <v>0</v>
      </c>
      <c r="K794" s="16">
        <f>IF((OR(tbal[[#This Row],[X]]=3,tbal[[#This Row],[X]]=5)),tbal[[#This Row],[DEUDOR]],0)</f>
        <v>0</v>
      </c>
      <c r="L794" s="18">
        <f>IF((OR(tbal[[#This Row],[X]]=3,tbal[[#This Row],[X]]=4)),tbal[[#This Row],[ACREEDOR]],0)</f>
        <v>0</v>
      </c>
      <c r="M794" s="16">
        <f>IF((OR(tbal[[#This Row],[X]]=0,tbal[[#This Row],[X]]=6)),tbal[[#This Row],[DEUDOR]],0)</f>
        <v>0</v>
      </c>
      <c r="N794" s="18">
        <f>IF((OR(tbal[[#This Row],[X]]=0,tbal[[#This Row],[X]]=5)),tbal[[#This Row],[ACREEDOR]],0)</f>
        <v>0</v>
      </c>
    </row>
    <row r="795" spans="1:14" hidden="1" x14ac:dyDescent="0.3">
      <c r="A795" s="14">
        <f>+'PLAN DE CUENTAS'!A795</f>
        <v>0</v>
      </c>
      <c r="B795" s="13">
        <f>+'PLAN DE CUENTAS'!B795</f>
        <v>0</v>
      </c>
      <c r="C795" s="13">
        <f>+'PLAN DE CUENTAS'!C795</f>
        <v>0</v>
      </c>
      <c r="D795" t="str">
        <f>IF(tbal[[#This Row],[DEBE]]+tbal[[#This Row],[HABER]]=0,"","X")</f>
        <v/>
      </c>
      <c r="E795" s="16">
        <f>SUMIF(tdiario[CUENTA],tbal[[#This Row],[CUENTA]],tdiario[DEBE])</f>
        <v>0</v>
      </c>
      <c r="F795" s="17">
        <f>SUMIF(tdiario[CUENTA],tbal[[#This Row],[CUENTA]],tdiario[HABER])</f>
        <v>0</v>
      </c>
      <c r="G795" s="16">
        <f>IF(tbal[[#This Row],[DEBE]]-tbal[[#This Row],[HABER]]&gt;0,tbal[[#This Row],[DEBE]]-tbal[[#This Row],[HABER]],0)</f>
        <v>0</v>
      </c>
      <c r="H795" s="18">
        <f>IF(tbal[[#This Row],[HABER]]-tbal[[#This Row],[DEBE]]&gt;0,tbal[[#This Row],[HABER]]-tbal[[#This Row],[DEBE]],0)</f>
        <v>0</v>
      </c>
      <c r="I795" s="16">
        <f>IF((OR(tbal[[#This Row],[X]]=1,tbal[[#This Row],[X]]=2)),tbal[[#This Row],[DEUDOR]],0)</f>
        <v>0</v>
      </c>
      <c r="J795" s="18">
        <f>IF((OR(tbal[[#This Row],[X]]=2,tbal[[#This Row],[X]]=3)),tbal[[#This Row],[ACREEDOR]],0)</f>
        <v>0</v>
      </c>
      <c r="K795" s="16">
        <f>IF((OR(tbal[[#This Row],[X]]=3,tbal[[#This Row],[X]]=5)),tbal[[#This Row],[DEUDOR]],0)</f>
        <v>0</v>
      </c>
      <c r="L795" s="18">
        <f>IF((OR(tbal[[#This Row],[X]]=3,tbal[[#This Row],[X]]=4)),tbal[[#This Row],[ACREEDOR]],0)</f>
        <v>0</v>
      </c>
      <c r="M795" s="16">
        <f>IF((OR(tbal[[#This Row],[X]]=0,tbal[[#This Row],[X]]=6)),tbal[[#This Row],[DEUDOR]],0)</f>
        <v>0</v>
      </c>
      <c r="N795" s="18">
        <f>IF((OR(tbal[[#This Row],[X]]=0,tbal[[#This Row],[X]]=5)),tbal[[#This Row],[ACREEDOR]],0)</f>
        <v>0</v>
      </c>
    </row>
    <row r="796" spans="1:14" hidden="1" x14ac:dyDescent="0.3">
      <c r="A796" s="14">
        <f>+'PLAN DE CUENTAS'!A796</f>
        <v>0</v>
      </c>
      <c r="B796" s="13">
        <f>+'PLAN DE CUENTAS'!B796</f>
        <v>0</v>
      </c>
      <c r="C796" s="13">
        <f>+'PLAN DE CUENTAS'!C796</f>
        <v>0</v>
      </c>
      <c r="D796" t="str">
        <f>IF(tbal[[#This Row],[DEBE]]+tbal[[#This Row],[HABER]]=0,"","X")</f>
        <v/>
      </c>
      <c r="E796" s="16">
        <f>SUMIF(tdiario[CUENTA],tbal[[#This Row],[CUENTA]],tdiario[DEBE])</f>
        <v>0</v>
      </c>
      <c r="F796" s="17">
        <f>SUMIF(tdiario[CUENTA],tbal[[#This Row],[CUENTA]],tdiario[HABER])</f>
        <v>0</v>
      </c>
      <c r="G796" s="16">
        <f>IF(tbal[[#This Row],[DEBE]]-tbal[[#This Row],[HABER]]&gt;0,tbal[[#This Row],[DEBE]]-tbal[[#This Row],[HABER]],0)</f>
        <v>0</v>
      </c>
      <c r="H796" s="18">
        <f>IF(tbal[[#This Row],[HABER]]-tbal[[#This Row],[DEBE]]&gt;0,tbal[[#This Row],[HABER]]-tbal[[#This Row],[DEBE]],0)</f>
        <v>0</v>
      </c>
      <c r="I796" s="16">
        <f>IF((OR(tbal[[#This Row],[X]]=1,tbal[[#This Row],[X]]=2)),tbal[[#This Row],[DEUDOR]],0)</f>
        <v>0</v>
      </c>
      <c r="J796" s="18">
        <f>IF((OR(tbal[[#This Row],[X]]=2,tbal[[#This Row],[X]]=3)),tbal[[#This Row],[ACREEDOR]],0)</f>
        <v>0</v>
      </c>
      <c r="K796" s="16">
        <f>IF((OR(tbal[[#This Row],[X]]=3,tbal[[#This Row],[X]]=5)),tbal[[#This Row],[DEUDOR]],0)</f>
        <v>0</v>
      </c>
      <c r="L796" s="18">
        <f>IF((OR(tbal[[#This Row],[X]]=3,tbal[[#This Row],[X]]=4)),tbal[[#This Row],[ACREEDOR]],0)</f>
        <v>0</v>
      </c>
      <c r="M796" s="16">
        <f>IF((OR(tbal[[#This Row],[X]]=0,tbal[[#This Row],[X]]=6)),tbal[[#This Row],[DEUDOR]],0)</f>
        <v>0</v>
      </c>
      <c r="N796" s="18">
        <f>IF((OR(tbal[[#This Row],[X]]=0,tbal[[#This Row],[X]]=5)),tbal[[#This Row],[ACREEDOR]],0)</f>
        <v>0</v>
      </c>
    </row>
    <row r="797" spans="1:14" hidden="1" x14ac:dyDescent="0.3">
      <c r="A797" s="14">
        <f>+'PLAN DE CUENTAS'!A797</f>
        <v>0</v>
      </c>
      <c r="B797" s="13">
        <f>+'PLAN DE CUENTAS'!B797</f>
        <v>0</v>
      </c>
      <c r="C797" s="13">
        <f>+'PLAN DE CUENTAS'!C797</f>
        <v>0</v>
      </c>
      <c r="D797" t="str">
        <f>IF(tbal[[#This Row],[DEBE]]+tbal[[#This Row],[HABER]]=0,"","X")</f>
        <v/>
      </c>
      <c r="E797" s="16">
        <f>SUMIF(tdiario[CUENTA],tbal[[#This Row],[CUENTA]],tdiario[DEBE])</f>
        <v>0</v>
      </c>
      <c r="F797" s="17">
        <f>SUMIF(tdiario[CUENTA],tbal[[#This Row],[CUENTA]],tdiario[HABER])</f>
        <v>0</v>
      </c>
      <c r="G797" s="16">
        <f>IF(tbal[[#This Row],[DEBE]]-tbal[[#This Row],[HABER]]&gt;0,tbal[[#This Row],[DEBE]]-tbal[[#This Row],[HABER]],0)</f>
        <v>0</v>
      </c>
      <c r="H797" s="18">
        <f>IF(tbal[[#This Row],[HABER]]-tbal[[#This Row],[DEBE]]&gt;0,tbal[[#This Row],[HABER]]-tbal[[#This Row],[DEBE]],0)</f>
        <v>0</v>
      </c>
      <c r="I797" s="16">
        <f>IF((OR(tbal[[#This Row],[X]]=1,tbal[[#This Row],[X]]=2)),tbal[[#This Row],[DEUDOR]],0)</f>
        <v>0</v>
      </c>
      <c r="J797" s="18">
        <f>IF((OR(tbal[[#This Row],[X]]=2,tbal[[#This Row],[X]]=3)),tbal[[#This Row],[ACREEDOR]],0)</f>
        <v>0</v>
      </c>
      <c r="K797" s="16">
        <f>IF((OR(tbal[[#This Row],[X]]=3,tbal[[#This Row],[X]]=5)),tbal[[#This Row],[DEUDOR]],0)</f>
        <v>0</v>
      </c>
      <c r="L797" s="18">
        <f>IF((OR(tbal[[#This Row],[X]]=3,tbal[[#This Row],[X]]=4)),tbal[[#This Row],[ACREEDOR]],0)</f>
        <v>0</v>
      </c>
      <c r="M797" s="16">
        <f>IF((OR(tbal[[#This Row],[X]]=0,tbal[[#This Row],[X]]=6)),tbal[[#This Row],[DEUDOR]],0)</f>
        <v>0</v>
      </c>
      <c r="N797" s="18">
        <f>IF((OR(tbal[[#This Row],[X]]=0,tbal[[#This Row],[X]]=5)),tbal[[#This Row],[ACREEDOR]],0)</f>
        <v>0</v>
      </c>
    </row>
    <row r="798" spans="1:14" hidden="1" x14ac:dyDescent="0.3">
      <c r="A798" s="14">
        <f>+'PLAN DE CUENTAS'!A798</f>
        <v>0</v>
      </c>
      <c r="B798" s="13">
        <f>+'PLAN DE CUENTAS'!B798</f>
        <v>0</v>
      </c>
      <c r="C798" s="13">
        <f>+'PLAN DE CUENTAS'!C798</f>
        <v>0</v>
      </c>
      <c r="D798" t="str">
        <f>IF(tbal[[#This Row],[DEBE]]+tbal[[#This Row],[HABER]]=0,"","X")</f>
        <v/>
      </c>
      <c r="E798" s="16">
        <f>SUMIF(tdiario[CUENTA],tbal[[#This Row],[CUENTA]],tdiario[DEBE])</f>
        <v>0</v>
      </c>
      <c r="F798" s="17">
        <f>SUMIF(tdiario[CUENTA],tbal[[#This Row],[CUENTA]],tdiario[HABER])</f>
        <v>0</v>
      </c>
      <c r="G798" s="16">
        <f>IF(tbal[[#This Row],[DEBE]]-tbal[[#This Row],[HABER]]&gt;0,tbal[[#This Row],[DEBE]]-tbal[[#This Row],[HABER]],0)</f>
        <v>0</v>
      </c>
      <c r="H798" s="18">
        <f>IF(tbal[[#This Row],[HABER]]-tbal[[#This Row],[DEBE]]&gt;0,tbal[[#This Row],[HABER]]-tbal[[#This Row],[DEBE]],0)</f>
        <v>0</v>
      </c>
      <c r="I798" s="16">
        <f>IF((OR(tbal[[#This Row],[X]]=1,tbal[[#This Row],[X]]=2)),tbal[[#This Row],[DEUDOR]],0)</f>
        <v>0</v>
      </c>
      <c r="J798" s="18">
        <f>IF((OR(tbal[[#This Row],[X]]=2,tbal[[#This Row],[X]]=3)),tbal[[#This Row],[ACREEDOR]],0)</f>
        <v>0</v>
      </c>
      <c r="K798" s="16">
        <f>IF((OR(tbal[[#This Row],[X]]=3,tbal[[#This Row],[X]]=5)),tbal[[#This Row],[DEUDOR]],0)</f>
        <v>0</v>
      </c>
      <c r="L798" s="18">
        <f>IF((OR(tbal[[#This Row],[X]]=3,tbal[[#This Row],[X]]=4)),tbal[[#This Row],[ACREEDOR]],0)</f>
        <v>0</v>
      </c>
      <c r="M798" s="16">
        <f>IF((OR(tbal[[#This Row],[X]]=0,tbal[[#This Row],[X]]=6)),tbal[[#This Row],[DEUDOR]],0)</f>
        <v>0</v>
      </c>
      <c r="N798" s="18">
        <f>IF((OR(tbal[[#This Row],[X]]=0,tbal[[#This Row],[X]]=5)),tbal[[#This Row],[ACREEDOR]],0)</f>
        <v>0</v>
      </c>
    </row>
    <row r="799" spans="1:14" hidden="1" x14ac:dyDescent="0.3">
      <c r="A799" s="14">
        <f>+'PLAN DE CUENTAS'!A799</f>
        <v>0</v>
      </c>
      <c r="B799" s="13">
        <f>+'PLAN DE CUENTAS'!B799</f>
        <v>0</v>
      </c>
      <c r="C799" s="13">
        <f>+'PLAN DE CUENTAS'!C799</f>
        <v>0</v>
      </c>
      <c r="D799" t="str">
        <f>IF(tbal[[#This Row],[DEBE]]+tbal[[#This Row],[HABER]]=0,"","X")</f>
        <v/>
      </c>
      <c r="E799" s="16">
        <f>SUMIF(tdiario[CUENTA],tbal[[#This Row],[CUENTA]],tdiario[DEBE])</f>
        <v>0</v>
      </c>
      <c r="F799" s="17">
        <f>SUMIF(tdiario[CUENTA],tbal[[#This Row],[CUENTA]],tdiario[HABER])</f>
        <v>0</v>
      </c>
      <c r="G799" s="16">
        <f>IF(tbal[[#This Row],[DEBE]]-tbal[[#This Row],[HABER]]&gt;0,tbal[[#This Row],[DEBE]]-tbal[[#This Row],[HABER]],0)</f>
        <v>0</v>
      </c>
      <c r="H799" s="18">
        <f>IF(tbal[[#This Row],[HABER]]-tbal[[#This Row],[DEBE]]&gt;0,tbal[[#This Row],[HABER]]-tbal[[#This Row],[DEBE]],0)</f>
        <v>0</v>
      </c>
      <c r="I799" s="16">
        <f>IF((OR(tbal[[#This Row],[X]]=1,tbal[[#This Row],[X]]=2)),tbal[[#This Row],[DEUDOR]],0)</f>
        <v>0</v>
      </c>
      <c r="J799" s="18">
        <f>IF((OR(tbal[[#This Row],[X]]=2,tbal[[#This Row],[X]]=3)),tbal[[#This Row],[ACREEDOR]],0)</f>
        <v>0</v>
      </c>
      <c r="K799" s="16">
        <f>IF((OR(tbal[[#This Row],[X]]=3,tbal[[#This Row],[X]]=5)),tbal[[#This Row],[DEUDOR]],0)</f>
        <v>0</v>
      </c>
      <c r="L799" s="18">
        <f>IF((OR(tbal[[#This Row],[X]]=3,tbal[[#This Row],[X]]=4)),tbal[[#This Row],[ACREEDOR]],0)</f>
        <v>0</v>
      </c>
      <c r="M799" s="16">
        <f>IF((OR(tbal[[#This Row],[X]]=0,tbal[[#This Row],[X]]=6)),tbal[[#This Row],[DEUDOR]],0)</f>
        <v>0</v>
      </c>
      <c r="N799" s="18">
        <f>IF((OR(tbal[[#This Row],[X]]=0,tbal[[#This Row],[X]]=5)),tbal[[#This Row],[ACREEDOR]],0)</f>
        <v>0</v>
      </c>
    </row>
    <row r="800" spans="1:14" hidden="1" x14ac:dyDescent="0.3">
      <c r="A800" s="14">
        <f>+'PLAN DE CUENTAS'!A800</f>
        <v>0</v>
      </c>
      <c r="B800" s="13">
        <f>+'PLAN DE CUENTAS'!B800</f>
        <v>0</v>
      </c>
      <c r="C800" s="13">
        <f>+'PLAN DE CUENTAS'!C800</f>
        <v>0</v>
      </c>
      <c r="D800" t="str">
        <f>IF(tbal[[#This Row],[DEBE]]+tbal[[#This Row],[HABER]]=0,"","X")</f>
        <v/>
      </c>
      <c r="E800" s="16">
        <f>SUMIF(tdiario[CUENTA],tbal[[#This Row],[CUENTA]],tdiario[DEBE])</f>
        <v>0</v>
      </c>
      <c r="F800" s="17">
        <f>SUMIF(tdiario[CUENTA],tbal[[#This Row],[CUENTA]],tdiario[HABER])</f>
        <v>0</v>
      </c>
      <c r="G800" s="16">
        <f>IF(tbal[[#This Row],[DEBE]]-tbal[[#This Row],[HABER]]&gt;0,tbal[[#This Row],[DEBE]]-tbal[[#This Row],[HABER]],0)</f>
        <v>0</v>
      </c>
      <c r="H800" s="18">
        <f>IF(tbal[[#This Row],[HABER]]-tbal[[#This Row],[DEBE]]&gt;0,tbal[[#This Row],[HABER]]-tbal[[#This Row],[DEBE]],0)</f>
        <v>0</v>
      </c>
      <c r="I800" s="16">
        <f>IF((OR(tbal[[#This Row],[X]]=1,tbal[[#This Row],[X]]=2)),tbal[[#This Row],[DEUDOR]],0)</f>
        <v>0</v>
      </c>
      <c r="J800" s="18">
        <f>IF((OR(tbal[[#This Row],[X]]=2,tbal[[#This Row],[X]]=3)),tbal[[#This Row],[ACREEDOR]],0)</f>
        <v>0</v>
      </c>
      <c r="K800" s="16">
        <f>IF((OR(tbal[[#This Row],[X]]=3,tbal[[#This Row],[X]]=5)),tbal[[#This Row],[DEUDOR]],0)</f>
        <v>0</v>
      </c>
      <c r="L800" s="18">
        <f>IF((OR(tbal[[#This Row],[X]]=3,tbal[[#This Row],[X]]=4)),tbal[[#This Row],[ACREEDOR]],0)</f>
        <v>0</v>
      </c>
      <c r="M800" s="16">
        <f>IF((OR(tbal[[#This Row],[X]]=0,tbal[[#This Row],[X]]=6)),tbal[[#This Row],[DEUDOR]],0)</f>
        <v>0</v>
      </c>
      <c r="N800" s="18">
        <f>IF((OR(tbal[[#This Row],[X]]=0,tbal[[#This Row],[X]]=5)),tbal[[#This Row],[ACREEDOR]],0)</f>
        <v>0</v>
      </c>
    </row>
    <row r="801" spans="1:14" hidden="1" x14ac:dyDescent="0.3">
      <c r="A801" s="14">
        <f>+'PLAN DE CUENTAS'!A801</f>
        <v>0</v>
      </c>
      <c r="B801" s="13">
        <f>+'PLAN DE CUENTAS'!B801</f>
        <v>0</v>
      </c>
      <c r="C801" s="13">
        <f>+'PLAN DE CUENTAS'!C801</f>
        <v>0</v>
      </c>
      <c r="D801" t="str">
        <f>IF(tbal[[#This Row],[DEBE]]+tbal[[#This Row],[HABER]]=0,"","X")</f>
        <v/>
      </c>
      <c r="E801" s="16">
        <f>SUMIF(tdiario[CUENTA],tbal[[#This Row],[CUENTA]],tdiario[DEBE])</f>
        <v>0</v>
      </c>
      <c r="F801" s="17">
        <f>SUMIF(tdiario[CUENTA],tbal[[#This Row],[CUENTA]],tdiario[HABER])</f>
        <v>0</v>
      </c>
      <c r="G801" s="16">
        <f>IF(tbal[[#This Row],[DEBE]]-tbal[[#This Row],[HABER]]&gt;0,tbal[[#This Row],[DEBE]]-tbal[[#This Row],[HABER]],0)</f>
        <v>0</v>
      </c>
      <c r="H801" s="18">
        <f>IF(tbal[[#This Row],[HABER]]-tbal[[#This Row],[DEBE]]&gt;0,tbal[[#This Row],[HABER]]-tbal[[#This Row],[DEBE]],0)</f>
        <v>0</v>
      </c>
      <c r="I801" s="16">
        <f>IF((OR(tbal[[#This Row],[X]]=1,tbal[[#This Row],[X]]=2)),tbal[[#This Row],[DEUDOR]],0)</f>
        <v>0</v>
      </c>
      <c r="J801" s="18">
        <f>IF((OR(tbal[[#This Row],[X]]=2,tbal[[#This Row],[X]]=3)),tbal[[#This Row],[ACREEDOR]],0)</f>
        <v>0</v>
      </c>
      <c r="K801" s="16">
        <f>IF((OR(tbal[[#This Row],[X]]=3,tbal[[#This Row],[X]]=5)),tbal[[#This Row],[DEUDOR]],0)</f>
        <v>0</v>
      </c>
      <c r="L801" s="18">
        <f>IF((OR(tbal[[#This Row],[X]]=3,tbal[[#This Row],[X]]=4)),tbal[[#This Row],[ACREEDOR]],0)</f>
        <v>0</v>
      </c>
      <c r="M801" s="16">
        <f>IF((OR(tbal[[#This Row],[X]]=0,tbal[[#This Row],[X]]=6)),tbal[[#This Row],[DEUDOR]],0)</f>
        <v>0</v>
      </c>
      <c r="N801" s="18">
        <f>IF((OR(tbal[[#This Row],[X]]=0,tbal[[#This Row],[X]]=5)),tbal[[#This Row],[ACREEDOR]],0)</f>
        <v>0</v>
      </c>
    </row>
    <row r="802" spans="1:14" hidden="1" x14ac:dyDescent="0.3">
      <c r="A802" s="14">
        <f>+'PLAN DE CUENTAS'!A802</f>
        <v>0</v>
      </c>
      <c r="B802" s="13">
        <f>+'PLAN DE CUENTAS'!B802</f>
        <v>0</v>
      </c>
      <c r="C802" s="13">
        <f>+'PLAN DE CUENTAS'!C802</f>
        <v>0</v>
      </c>
      <c r="D802" t="str">
        <f>IF(tbal[[#This Row],[DEBE]]+tbal[[#This Row],[HABER]]=0,"","X")</f>
        <v/>
      </c>
      <c r="E802" s="16">
        <f>SUMIF(tdiario[CUENTA],tbal[[#This Row],[CUENTA]],tdiario[DEBE])</f>
        <v>0</v>
      </c>
      <c r="F802" s="17">
        <f>SUMIF(tdiario[CUENTA],tbal[[#This Row],[CUENTA]],tdiario[HABER])</f>
        <v>0</v>
      </c>
      <c r="G802" s="16">
        <f>IF(tbal[[#This Row],[DEBE]]-tbal[[#This Row],[HABER]]&gt;0,tbal[[#This Row],[DEBE]]-tbal[[#This Row],[HABER]],0)</f>
        <v>0</v>
      </c>
      <c r="H802" s="18">
        <f>IF(tbal[[#This Row],[HABER]]-tbal[[#This Row],[DEBE]]&gt;0,tbal[[#This Row],[HABER]]-tbal[[#This Row],[DEBE]],0)</f>
        <v>0</v>
      </c>
      <c r="I802" s="16">
        <f>IF((OR(tbal[[#This Row],[X]]=1,tbal[[#This Row],[X]]=2)),tbal[[#This Row],[DEUDOR]],0)</f>
        <v>0</v>
      </c>
      <c r="J802" s="18">
        <f>IF((OR(tbal[[#This Row],[X]]=2,tbal[[#This Row],[X]]=3)),tbal[[#This Row],[ACREEDOR]],0)</f>
        <v>0</v>
      </c>
      <c r="K802" s="16">
        <f>IF((OR(tbal[[#This Row],[X]]=3,tbal[[#This Row],[X]]=5)),tbal[[#This Row],[DEUDOR]],0)</f>
        <v>0</v>
      </c>
      <c r="L802" s="18">
        <f>IF((OR(tbal[[#This Row],[X]]=3,tbal[[#This Row],[X]]=4)),tbal[[#This Row],[ACREEDOR]],0)</f>
        <v>0</v>
      </c>
      <c r="M802" s="16">
        <f>IF((OR(tbal[[#This Row],[X]]=0,tbal[[#This Row],[X]]=6)),tbal[[#This Row],[DEUDOR]],0)</f>
        <v>0</v>
      </c>
      <c r="N802" s="18">
        <f>IF((OR(tbal[[#This Row],[X]]=0,tbal[[#This Row],[X]]=5)),tbal[[#This Row],[ACREEDOR]],0)</f>
        <v>0</v>
      </c>
    </row>
    <row r="803" spans="1:14" hidden="1" x14ac:dyDescent="0.3">
      <c r="A803" s="14">
        <f>+'PLAN DE CUENTAS'!A803</f>
        <v>0</v>
      </c>
      <c r="B803" s="13">
        <f>+'PLAN DE CUENTAS'!B803</f>
        <v>0</v>
      </c>
      <c r="C803" s="13">
        <f>+'PLAN DE CUENTAS'!C803</f>
        <v>0</v>
      </c>
      <c r="D803" t="str">
        <f>IF(tbal[[#This Row],[DEBE]]+tbal[[#This Row],[HABER]]=0,"","X")</f>
        <v/>
      </c>
      <c r="E803" s="16">
        <f>SUMIF(tdiario[CUENTA],tbal[[#This Row],[CUENTA]],tdiario[DEBE])</f>
        <v>0</v>
      </c>
      <c r="F803" s="17">
        <f>SUMIF(tdiario[CUENTA],tbal[[#This Row],[CUENTA]],tdiario[HABER])</f>
        <v>0</v>
      </c>
      <c r="G803" s="16">
        <f>IF(tbal[[#This Row],[DEBE]]-tbal[[#This Row],[HABER]]&gt;0,tbal[[#This Row],[DEBE]]-tbal[[#This Row],[HABER]],0)</f>
        <v>0</v>
      </c>
      <c r="H803" s="18">
        <f>IF(tbal[[#This Row],[HABER]]-tbal[[#This Row],[DEBE]]&gt;0,tbal[[#This Row],[HABER]]-tbal[[#This Row],[DEBE]],0)</f>
        <v>0</v>
      </c>
      <c r="I803" s="16">
        <f>IF((OR(tbal[[#This Row],[X]]=1,tbal[[#This Row],[X]]=2)),tbal[[#This Row],[DEUDOR]],0)</f>
        <v>0</v>
      </c>
      <c r="J803" s="18">
        <f>IF((OR(tbal[[#This Row],[X]]=2,tbal[[#This Row],[X]]=3)),tbal[[#This Row],[ACREEDOR]],0)</f>
        <v>0</v>
      </c>
      <c r="K803" s="16">
        <f>IF((OR(tbal[[#This Row],[X]]=3,tbal[[#This Row],[X]]=5)),tbal[[#This Row],[DEUDOR]],0)</f>
        <v>0</v>
      </c>
      <c r="L803" s="18">
        <f>IF((OR(tbal[[#This Row],[X]]=3,tbal[[#This Row],[X]]=4)),tbal[[#This Row],[ACREEDOR]],0)</f>
        <v>0</v>
      </c>
      <c r="M803" s="16">
        <f>IF((OR(tbal[[#This Row],[X]]=0,tbal[[#This Row],[X]]=6)),tbal[[#This Row],[DEUDOR]],0)</f>
        <v>0</v>
      </c>
      <c r="N803" s="18">
        <f>IF((OR(tbal[[#This Row],[X]]=0,tbal[[#This Row],[X]]=5)),tbal[[#This Row],[ACREEDOR]],0)</f>
        <v>0</v>
      </c>
    </row>
    <row r="804" spans="1:14" hidden="1" x14ac:dyDescent="0.3">
      <c r="A804" s="14">
        <f>+'PLAN DE CUENTAS'!A804</f>
        <v>0</v>
      </c>
      <c r="B804" s="13">
        <f>+'PLAN DE CUENTAS'!B804</f>
        <v>0</v>
      </c>
      <c r="C804" s="13">
        <f>+'PLAN DE CUENTAS'!C804</f>
        <v>0</v>
      </c>
      <c r="D804" t="str">
        <f>IF(tbal[[#This Row],[DEBE]]+tbal[[#This Row],[HABER]]=0,"","X")</f>
        <v/>
      </c>
      <c r="E804" s="16">
        <f>SUMIF(tdiario[CUENTA],tbal[[#This Row],[CUENTA]],tdiario[DEBE])</f>
        <v>0</v>
      </c>
      <c r="F804" s="17">
        <f>SUMIF(tdiario[CUENTA],tbal[[#This Row],[CUENTA]],tdiario[HABER])</f>
        <v>0</v>
      </c>
      <c r="G804" s="16">
        <f>IF(tbal[[#This Row],[DEBE]]-tbal[[#This Row],[HABER]]&gt;0,tbal[[#This Row],[DEBE]]-tbal[[#This Row],[HABER]],0)</f>
        <v>0</v>
      </c>
      <c r="H804" s="18">
        <f>IF(tbal[[#This Row],[HABER]]-tbal[[#This Row],[DEBE]]&gt;0,tbal[[#This Row],[HABER]]-tbal[[#This Row],[DEBE]],0)</f>
        <v>0</v>
      </c>
      <c r="I804" s="16">
        <f>IF((OR(tbal[[#This Row],[X]]=1,tbal[[#This Row],[X]]=2)),tbal[[#This Row],[DEUDOR]],0)</f>
        <v>0</v>
      </c>
      <c r="J804" s="18">
        <f>IF((OR(tbal[[#This Row],[X]]=2,tbal[[#This Row],[X]]=3)),tbal[[#This Row],[ACREEDOR]],0)</f>
        <v>0</v>
      </c>
      <c r="K804" s="16">
        <f>IF((OR(tbal[[#This Row],[X]]=3,tbal[[#This Row],[X]]=5)),tbal[[#This Row],[DEUDOR]],0)</f>
        <v>0</v>
      </c>
      <c r="L804" s="18">
        <f>IF((OR(tbal[[#This Row],[X]]=3,tbal[[#This Row],[X]]=4)),tbal[[#This Row],[ACREEDOR]],0)</f>
        <v>0</v>
      </c>
      <c r="M804" s="16">
        <f>IF((OR(tbal[[#This Row],[X]]=0,tbal[[#This Row],[X]]=6)),tbal[[#This Row],[DEUDOR]],0)</f>
        <v>0</v>
      </c>
      <c r="N804" s="18">
        <f>IF((OR(tbal[[#This Row],[X]]=0,tbal[[#This Row],[X]]=5)),tbal[[#This Row],[ACREEDOR]],0)</f>
        <v>0</v>
      </c>
    </row>
    <row r="805" spans="1:14" hidden="1" x14ac:dyDescent="0.3">
      <c r="A805" s="14">
        <f>+'PLAN DE CUENTAS'!A805</f>
        <v>0</v>
      </c>
      <c r="B805" s="13">
        <f>+'PLAN DE CUENTAS'!B805</f>
        <v>0</v>
      </c>
      <c r="C805" s="13">
        <f>+'PLAN DE CUENTAS'!C805</f>
        <v>0</v>
      </c>
      <c r="D805" t="str">
        <f>IF(tbal[[#This Row],[DEBE]]+tbal[[#This Row],[HABER]]=0,"","X")</f>
        <v/>
      </c>
      <c r="E805" s="16">
        <f>SUMIF(tdiario[CUENTA],tbal[[#This Row],[CUENTA]],tdiario[DEBE])</f>
        <v>0</v>
      </c>
      <c r="F805" s="17">
        <f>SUMIF(tdiario[CUENTA],tbal[[#This Row],[CUENTA]],tdiario[HABER])</f>
        <v>0</v>
      </c>
      <c r="G805" s="16">
        <f>IF(tbal[[#This Row],[DEBE]]-tbal[[#This Row],[HABER]]&gt;0,tbal[[#This Row],[DEBE]]-tbal[[#This Row],[HABER]],0)</f>
        <v>0</v>
      </c>
      <c r="H805" s="18">
        <f>IF(tbal[[#This Row],[HABER]]-tbal[[#This Row],[DEBE]]&gt;0,tbal[[#This Row],[HABER]]-tbal[[#This Row],[DEBE]],0)</f>
        <v>0</v>
      </c>
      <c r="I805" s="16">
        <f>IF((OR(tbal[[#This Row],[X]]=1,tbal[[#This Row],[X]]=2)),tbal[[#This Row],[DEUDOR]],0)</f>
        <v>0</v>
      </c>
      <c r="J805" s="18">
        <f>IF((OR(tbal[[#This Row],[X]]=2,tbal[[#This Row],[X]]=3)),tbal[[#This Row],[ACREEDOR]],0)</f>
        <v>0</v>
      </c>
      <c r="K805" s="16">
        <f>IF((OR(tbal[[#This Row],[X]]=3,tbal[[#This Row],[X]]=5)),tbal[[#This Row],[DEUDOR]],0)</f>
        <v>0</v>
      </c>
      <c r="L805" s="18">
        <f>IF((OR(tbal[[#This Row],[X]]=3,tbal[[#This Row],[X]]=4)),tbal[[#This Row],[ACREEDOR]],0)</f>
        <v>0</v>
      </c>
      <c r="M805" s="16">
        <f>IF((OR(tbal[[#This Row],[X]]=0,tbal[[#This Row],[X]]=6)),tbal[[#This Row],[DEUDOR]],0)</f>
        <v>0</v>
      </c>
      <c r="N805" s="18">
        <f>IF((OR(tbal[[#This Row],[X]]=0,tbal[[#This Row],[X]]=5)),tbal[[#This Row],[ACREEDOR]],0)</f>
        <v>0</v>
      </c>
    </row>
    <row r="806" spans="1:14" hidden="1" x14ac:dyDescent="0.3">
      <c r="A806" s="14">
        <f>+'PLAN DE CUENTAS'!A806</f>
        <v>0</v>
      </c>
      <c r="B806" s="13">
        <f>+'PLAN DE CUENTAS'!B806</f>
        <v>0</v>
      </c>
      <c r="C806" s="13">
        <f>+'PLAN DE CUENTAS'!C806</f>
        <v>0</v>
      </c>
      <c r="D806" t="str">
        <f>IF(tbal[[#This Row],[DEBE]]+tbal[[#This Row],[HABER]]=0,"","X")</f>
        <v/>
      </c>
      <c r="E806" s="16">
        <f>SUMIF(tdiario[CUENTA],tbal[[#This Row],[CUENTA]],tdiario[DEBE])</f>
        <v>0</v>
      </c>
      <c r="F806" s="17">
        <f>SUMIF(tdiario[CUENTA],tbal[[#This Row],[CUENTA]],tdiario[HABER])</f>
        <v>0</v>
      </c>
      <c r="G806" s="16">
        <f>IF(tbal[[#This Row],[DEBE]]-tbal[[#This Row],[HABER]]&gt;0,tbal[[#This Row],[DEBE]]-tbal[[#This Row],[HABER]],0)</f>
        <v>0</v>
      </c>
      <c r="H806" s="18">
        <f>IF(tbal[[#This Row],[HABER]]-tbal[[#This Row],[DEBE]]&gt;0,tbal[[#This Row],[HABER]]-tbal[[#This Row],[DEBE]],0)</f>
        <v>0</v>
      </c>
      <c r="I806" s="16">
        <f>IF((OR(tbal[[#This Row],[X]]=1,tbal[[#This Row],[X]]=2)),tbal[[#This Row],[DEUDOR]],0)</f>
        <v>0</v>
      </c>
      <c r="J806" s="18">
        <f>IF((OR(tbal[[#This Row],[X]]=2,tbal[[#This Row],[X]]=3)),tbal[[#This Row],[ACREEDOR]],0)</f>
        <v>0</v>
      </c>
      <c r="K806" s="16">
        <f>IF((OR(tbal[[#This Row],[X]]=3,tbal[[#This Row],[X]]=5)),tbal[[#This Row],[DEUDOR]],0)</f>
        <v>0</v>
      </c>
      <c r="L806" s="18">
        <f>IF((OR(tbal[[#This Row],[X]]=3,tbal[[#This Row],[X]]=4)),tbal[[#This Row],[ACREEDOR]],0)</f>
        <v>0</v>
      </c>
      <c r="M806" s="16">
        <f>IF((OR(tbal[[#This Row],[X]]=0,tbal[[#This Row],[X]]=6)),tbal[[#This Row],[DEUDOR]],0)</f>
        <v>0</v>
      </c>
      <c r="N806" s="18">
        <f>IF((OR(tbal[[#This Row],[X]]=0,tbal[[#This Row],[X]]=5)),tbal[[#This Row],[ACREEDOR]],0)</f>
        <v>0</v>
      </c>
    </row>
    <row r="807" spans="1:14" hidden="1" x14ac:dyDescent="0.3">
      <c r="A807" s="14">
        <f>+'PLAN DE CUENTAS'!A807</f>
        <v>0</v>
      </c>
      <c r="B807" s="13">
        <f>+'PLAN DE CUENTAS'!B807</f>
        <v>0</v>
      </c>
      <c r="C807" s="13">
        <f>+'PLAN DE CUENTAS'!C807</f>
        <v>0</v>
      </c>
      <c r="D807" t="str">
        <f>IF(tbal[[#This Row],[DEBE]]+tbal[[#This Row],[HABER]]=0,"","X")</f>
        <v/>
      </c>
      <c r="E807" s="16">
        <f>SUMIF(tdiario[CUENTA],tbal[[#This Row],[CUENTA]],tdiario[DEBE])</f>
        <v>0</v>
      </c>
      <c r="F807" s="17">
        <f>SUMIF(tdiario[CUENTA],tbal[[#This Row],[CUENTA]],tdiario[HABER])</f>
        <v>0</v>
      </c>
      <c r="G807" s="16">
        <f>IF(tbal[[#This Row],[DEBE]]-tbal[[#This Row],[HABER]]&gt;0,tbal[[#This Row],[DEBE]]-tbal[[#This Row],[HABER]],0)</f>
        <v>0</v>
      </c>
      <c r="H807" s="18">
        <f>IF(tbal[[#This Row],[HABER]]-tbal[[#This Row],[DEBE]]&gt;0,tbal[[#This Row],[HABER]]-tbal[[#This Row],[DEBE]],0)</f>
        <v>0</v>
      </c>
      <c r="I807" s="16">
        <f>IF((OR(tbal[[#This Row],[X]]=1,tbal[[#This Row],[X]]=2)),tbal[[#This Row],[DEUDOR]],0)</f>
        <v>0</v>
      </c>
      <c r="J807" s="18">
        <f>IF((OR(tbal[[#This Row],[X]]=2,tbal[[#This Row],[X]]=3)),tbal[[#This Row],[ACREEDOR]],0)</f>
        <v>0</v>
      </c>
      <c r="K807" s="16">
        <f>IF((OR(tbal[[#This Row],[X]]=3,tbal[[#This Row],[X]]=5)),tbal[[#This Row],[DEUDOR]],0)</f>
        <v>0</v>
      </c>
      <c r="L807" s="18">
        <f>IF((OR(tbal[[#This Row],[X]]=3,tbal[[#This Row],[X]]=4)),tbal[[#This Row],[ACREEDOR]],0)</f>
        <v>0</v>
      </c>
      <c r="M807" s="16">
        <f>IF((OR(tbal[[#This Row],[X]]=0,tbal[[#This Row],[X]]=6)),tbal[[#This Row],[DEUDOR]],0)</f>
        <v>0</v>
      </c>
      <c r="N807" s="18">
        <f>IF((OR(tbal[[#This Row],[X]]=0,tbal[[#This Row],[X]]=5)),tbal[[#This Row],[ACREEDOR]],0)</f>
        <v>0</v>
      </c>
    </row>
    <row r="808" spans="1:14" hidden="1" x14ac:dyDescent="0.3">
      <c r="A808" s="14">
        <f>+'PLAN DE CUENTAS'!A808</f>
        <v>0</v>
      </c>
      <c r="B808" s="13">
        <f>+'PLAN DE CUENTAS'!B808</f>
        <v>0</v>
      </c>
      <c r="C808" s="13">
        <f>+'PLAN DE CUENTAS'!C808</f>
        <v>0</v>
      </c>
      <c r="D808" t="str">
        <f>IF(tbal[[#This Row],[DEBE]]+tbal[[#This Row],[HABER]]=0,"","X")</f>
        <v/>
      </c>
      <c r="E808" s="16">
        <f>SUMIF(tdiario[CUENTA],tbal[[#This Row],[CUENTA]],tdiario[DEBE])</f>
        <v>0</v>
      </c>
      <c r="F808" s="17">
        <f>SUMIF(tdiario[CUENTA],tbal[[#This Row],[CUENTA]],tdiario[HABER])</f>
        <v>0</v>
      </c>
      <c r="G808" s="16">
        <f>IF(tbal[[#This Row],[DEBE]]-tbal[[#This Row],[HABER]]&gt;0,tbal[[#This Row],[DEBE]]-tbal[[#This Row],[HABER]],0)</f>
        <v>0</v>
      </c>
      <c r="H808" s="18">
        <f>IF(tbal[[#This Row],[HABER]]-tbal[[#This Row],[DEBE]]&gt;0,tbal[[#This Row],[HABER]]-tbal[[#This Row],[DEBE]],0)</f>
        <v>0</v>
      </c>
      <c r="I808" s="16">
        <f>IF((OR(tbal[[#This Row],[X]]=1,tbal[[#This Row],[X]]=2)),tbal[[#This Row],[DEUDOR]],0)</f>
        <v>0</v>
      </c>
      <c r="J808" s="18">
        <f>IF((OR(tbal[[#This Row],[X]]=2,tbal[[#This Row],[X]]=3)),tbal[[#This Row],[ACREEDOR]],0)</f>
        <v>0</v>
      </c>
      <c r="K808" s="16">
        <f>IF((OR(tbal[[#This Row],[X]]=3,tbal[[#This Row],[X]]=5)),tbal[[#This Row],[DEUDOR]],0)</f>
        <v>0</v>
      </c>
      <c r="L808" s="18">
        <f>IF((OR(tbal[[#This Row],[X]]=3,tbal[[#This Row],[X]]=4)),tbal[[#This Row],[ACREEDOR]],0)</f>
        <v>0</v>
      </c>
      <c r="M808" s="16">
        <f>IF((OR(tbal[[#This Row],[X]]=0,tbal[[#This Row],[X]]=6)),tbal[[#This Row],[DEUDOR]],0)</f>
        <v>0</v>
      </c>
      <c r="N808" s="18">
        <f>IF((OR(tbal[[#This Row],[X]]=0,tbal[[#This Row],[X]]=5)),tbal[[#This Row],[ACREEDOR]],0)</f>
        <v>0</v>
      </c>
    </row>
    <row r="809" spans="1:14" hidden="1" x14ac:dyDescent="0.3">
      <c r="A809" s="14">
        <f>+'PLAN DE CUENTAS'!A809</f>
        <v>0</v>
      </c>
      <c r="B809" s="13">
        <f>+'PLAN DE CUENTAS'!B809</f>
        <v>0</v>
      </c>
      <c r="C809" s="13">
        <f>+'PLAN DE CUENTAS'!C809</f>
        <v>0</v>
      </c>
      <c r="D809" t="str">
        <f>IF(tbal[[#This Row],[DEBE]]+tbal[[#This Row],[HABER]]=0,"","X")</f>
        <v/>
      </c>
      <c r="E809" s="16">
        <f>SUMIF(tdiario[CUENTA],tbal[[#This Row],[CUENTA]],tdiario[DEBE])</f>
        <v>0</v>
      </c>
      <c r="F809" s="17">
        <f>SUMIF(tdiario[CUENTA],tbal[[#This Row],[CUENTA]],tdiario[HABER])</f>
        <v>0</v>
      </c>
      <c r="G809" s="16">
        <f>IF(tbal[[#This Row],[DEBE]]-tbal[[#This Row],[HABER]]&gt;0,tbal[[#This Row],[DEBE]]-tbal[[#This Row],[HABER]],0)</f>
        <v>0</v>
      </c>
      <c r="H809" s="18">
        <f>IF(tbal[[#This Row],[HABER]]-tbal[[#This Row],[DEBE]]&gt;0,tbal[[#This Row],[HABER]]-tbal[[#This Row],[DEBE]],0)</f>
        <v>0</v>
      </c>
      <c r="I809" s="16">
        <f>IF((OR(tbal[[#This Row],[X]]=1,tbal[[#This Row],[X]]=2)),tbal[[#This Row],[DEUDOR]],0)</f>
        <v>0</v>
      </c>
      <c r="J809" s="18">
        <f>IF((OR(tbal[[#This Row],[X]]=2,tbal[[#This Row],[X]]=3)),tbal[[#This Row],[ACREEDOR]],0)</f>
        <v>0</v>
      </c>
      <c r="K809" s="16">
        <f>IF((OR(tbal[[#This Row],[X]]=3,tbal[[#This Row],[X]]=5)),tbal[[#This Row],[DEUDOR]],0)</f>
        <v>0</v>
      </c>
      <c r="L809" s="18">
        <f>IF((OR(tbal[[#This Row],[X]]=3,tbal[[#This Row],[X]]=4)),tbal[[#This Row],[ACREEDOR]],0)</f>
        <v>0</v>
      </c>
      <c r="M809" s="16">
        <f>IF((OR(tbal[[#This Row],[X]]=0,tbal[[#This Row],[X]]=6)),tbal[[#This Row],[DEUDOR]],0)</f>
        <v>0</v>
      </c>
      <c r="N809" s="18">
        <f>IF((OR(tbal[[#This Row],[X]]=0,tbal[[#This Row],[X]]=5)),tbal[[#This Row],[ACREEDOR]],0)</f>
        <v>0</v>
      </c>
    </row>
    <row r="810" spans="1:14" hidden="1" x14ac:dyDescent="0.3">
      <c r="A810" s="14">
        <f>+'PLAN DE CUENTAS'!A810</f>
        <v>0</v>
      </c>
      <c r="B810" s="13">
        <f>+'PLAN DE CUENTAS'!B810</f>
        <v>0</v>
      </c>
      <c r="C810" s="13">
        <f>+'PLAN DE CUENTAS'!C810</f>
        <v>0</v>
      </c>
      <c r="D810" t="str">
        <f>IF(tbal[[#This Row],[DEBE]]+tbal[[#This Row],[HABER]]=0,"","X")</f>
        <v/>
      </c>
      <c r="E810" s="16">
        <f>SUMIF(tdiario[CUENTA],tbal[[#This Row],[CUENTA]],tdiario[DEBE])</f>
        <v>0</v>
      </c>
      <c r="F810" s="17">
        <f>SUMIF(tdiario[CUENTA],tbal[[#This Row],[CUENTA]],tdiario[HABER])</f>
        <v>0</v>
      </c>
      <c r="G810" s="16">
        <f>IF(tbal[[#This Row],[DEBE]]-tbal[[#This Row],[HABER]]&gt;0,tbal[[#This Row],[DEBE]]-tbal[[#This Row],[HABER]],0)</f>
        <v>0</v>
      </c>
      <c r="H810" s="18">
        <f>IF(tbal[[#This Row],[HABER]]-tbal[[#This Row],[DEBE]]&gt;0,tbal[[#This Row],[HABER]]-tbal[[#This Row],[DEBE]],0)</f>
        <v>0</v>
      </c>
      <c r="I810" s="16">
        <f>IF((OR(tbal[[#This Row],[X]]=1,tbal[[#This Row],[X]]=2)),tbal[[#This Row],[DEUDOR]],0)</f>
        <v>0</v>
      </c>
      <c r="J810" s="18">
        <f>IF((OR(tbal[[#This Row],[X]]=2,tbal[[#This Row],[X]]=3)),tbal[[#This Row],[ACREEDOR]],0)</f>
        <v>0</v>
      </c>
      <c r="K810" s="16">
        <f>IF((OR(tbal[[#This Row],[X]]=3,tbal[[#This Row],[X]]=5)),tbal[[#This Row],[DEUDOR]],0)</f>
        <v>0</v>
      </c>
      <c r="L810" s="18">
        <f>IF((OR(tbal[[#This Row],[X]]=3,tbal[[#This Row],[X]]=4)),tbal[[#This Row],[ACREEDOR]],0)</f>
        <v>0</v>
      </c>
      <c r="M810" s="16">
        <f>IF((OR(tbal[[#This Row],[X]]=0,tbal[[#This Row],[X]]=6)),tbal[[#This Row],[DEUDOR]],0)</f>
        <v>0</v>
      </c>
      <c r="N810" s="18">
        <f>IF((OR(tbal[[#This Row],[X]]=0,tbal[[#This Row],[X]]=5)),tbal[[#This Row],[ACREEDOR]],0)</f>
        <v>0</v>
      </c>
    </row>
    <row r="811" spans="1:14" hidden="1" x14ac:dyDescent="0.3">
      <c r="A811" s="14">
        <f>+'PLAN DE CUENTAS'!A811</f>
        <v>0</v>
      </c>
      <c r="B811" s="13">
        <f>+'PLAN DE CUENTAS'!B811</f>
        <v>0</v>
      </c>
      <c r="C811" s="13">
        <f>+'PLAN DE CUENTAS'!C811</f>
        <v>0</v>
      </c>
      <c r="D811" t="str">
        <f>IF(tbal[[#This Row],[DEBE]]+tbal[[#This Row],[HABER]]=0,"","X")</f>
        <v/>
      </c>
      <c r="E811" s="16">
        <f>SUMIF(tdiario[CUENTA],tbal[[#This Row],[CUENTA]],tdiario[DEBE])</f>
        <v>0</v>
      </c>
      <c r="F811" s="17">
        <f>SUMIF(tdiario[CUENTA],tbal[[#This Row],[CUENTA]],tdiario[HABER])</f>
        <v>0</v>
      </c>
      <c r="G811" s="16">
        <f>IF(tbal[[#This Row],[DEBE]]-tbal[[#This Row],[HABER]]&gt;0,tbal[[#This Row],[DEBE]]-tbal[[#This Row],[HABER]],0)</f>
        <v>0</v>
      </c>
      <c r="H811" s="18">
        <f>IF(tbal[[#This Row],[HABER]]-tbal[[#This Row],[DEBE]]&gt;0,tbal[[#This Row],[HABER]]-tbal[[#This Row],[DEBE]],0)</f>
        <v>0</v>
      </c>
      <c r="I811" s="16">
        <f>IF((OR(tbal[[#This Row],[X]]=1,tbal[[#This Row],[X]]=2)),tbal[[#This Row],[DEUDOR]],0)</f>
        <v>0</v>
      </c>
      <c r="J811" s="18">
        <f>IF((OR(tbal[[#This Row],[X]]=2,tbal[[#This Row],[X]]=3)),tbal[[#This Row],[ACREEDOR]],0)</f>
        <v>0</v>
      </c>
      <c r="K811" s="16">
        <f>IF((OR(tbal[[#This Row],[X]]=3,tbal[[#This Row],[X]]=5)),tbal[[#This Row],[DEUDOR]],0)</f>
        <v>0</v>
      </c>
      <c r="L811" s="18">
        <f>IF((OR(tbal[[#This Row],[X]]=3,tbal[[#This Row],[X]]=4)),tbal[[#This Row],[ACREEDOR]],0)</f>
        <v>0</v>
      </c>
      <c r="M811" s="16">
        <f>IF((OR(tbal[[#This Row],[X]]=0,tbal[[#This Row],[X]]=6)),tbal[[#This Row],[DEUDOR]],0)</f>
        <v>0</v>
      </c>
      <c r="N811" s="18">
        <f>IF((OR(tbal[[#This Row],[X]]=0,tbal[[#This Row],[X]]=5)),tbal[[#This Row],[ACREEDOR]],0)</f>
        <v>0</v>
      </c>
    </row>
    <row r="812" spans="1:14" hidden="1" x14ac:dyDescent="0.3">
      <c r="A812" s="14">
        <f>+'PLAN DE CUENTAS'!A812</f>
        <v>0</v>
      </c>
      <c r="B812" s="13">
        <f>+'PLAN DE CUENTAS'!B812</f>
        <v>0</v>
      </c>
      <c r="C812" s="13">
        <f>+'PLAN DE CUENTAS'!C812</f>
        <v>0</v>
      </c>
      <c r="D812" t="str">
        <f>IF(tbal[[#This Row],[DEBE]]+tbal[[#This Row],[HABER]]=0,"","X")</f>
        <v/>
      </c>
      <c r="E812" s="16">
        <f>SUMIF(tdiario[CUENTA],tbal[[#This Row],[CUENTA]],tdiario[DEBE])</f>
        <v>0</v>
      </c>
      <c r="F812" s="17">
        <f>SUMIF(tdiario[CUENTA],tbal[[#This Row],[CUENTA]],tdiario[HABER])</f>
        <v>0</v>
      </c>
      <c r="G812" s="16">
        <f>IF(tbal[[#This Row],[DEBE]]-tbal[[#This Row],[HABER]]&gt;0,tbal[[#This Row],[DEBE]]-tbal[[#This Row],[HABER]],0)</f>
        <v>0</v>
      </c>
      <c r="H812" s="18">
        <f>IF(tbal[[#This Row],[HABER]]-tbal[[#This Row],[DEBE]]&gt;0,tbal[[#This Row],[HABER]]-tbal[[#This Row],[DEBE]],0)</f>
        <v>0</v>
      </c>
      <c r="I812" s="16">
        <f>IF((OR(tbal[[#This Row],[X]]=1,tbal[[#This Row],[X]]=2)),tbal[[#This Row],[DEUDOR]],0)</f>
        <v>0</v>
      </c>
      <c r="J812" s="18">
        <f>IF((OR(tbal[[#This Row],[X]]=2,tbal[[#This Row],[X]]=3)),tbal[[#This Row],[ACREEDOR]],0)</f>
        <v>0</v>
      </c>
      <c r="K812" s="16">
        <f>IF((OR(tbal[[#This Row],[X]]=3,tbal[[#This Row],[X]]=5)),tbal[[#This Row],[DEUDOR]],0)</f>
        <v>0</v>
      </c>
      <c r="L812" s="18">
        <f>IF((OR(tbal[[#This Row],[X]]=3,tbal[[#This Row],[X]]=4)),tbal[[#This Row],[ACREEDOR]],0)</f>
        <v>0</v>
      </c>
      <c r="M812" s="16">
        <f>IF((OR(tbal[[#This Row],[X]]=0,tbal[[#This Row],[X]]=6)),tbal[[#This Row],[DEUDOR]],0)</f>
        <v>0</v>
      </c>
      <c r="N812" s="18">
        <f>IF((OR(tbal[[#This Row],[X]]=0,tbal[[#This Row],[X]]=5)),tbal[[#This Row],[ACREEDOR]],0)</f>
        <v>0</v>
      </c>
    </row>
    <row r="813" spans="1:14" hidden="1" x14ac:dyDescent="0.3">
      <c r="A813" s="14">
        <f>+'PLAN DE CUENTAS'!A813</f>
        <v>0</v>
      </c>
      <c r="B813" s="13">
        <f>+'PLAN DE CUENTAS'!B813</f>
        <v>0</v>
      </c>
      <c r="C813" s="13">
        <f>+'PLAN DE CUENTAS'!C813</f>
        <v>0</v>
      </c>
      <c r="D813" t="str">
        <f>IF(tbal[[#This Row],[DEBE]]+tbal[[#This Row],[HABER]]=0,"","X")</f>
        <v/>
      </c>
      <c r="E813" s="16">
        <f>SUMIF(tdiario[CUENTA],tbal[[#This Row],[CUENTA]],tdiario[DEBE])</f>
        <v>0</v>
      </c>
      <c r="F813" s="17">
        <f>SUMIF(tdiario[CUENTA],tbal[[#This Row],[CUENTA]],tdiario[HABER])</f>
        <v>0</v>
      </c>
      <c r="G813" s="16">
        <f>IF(tbal[[#This Row],[DEBE]]-tbal[[#This Row],[HABER]]&gt;0,tbal[[#This Row],[DEBE]]-tbal[[#This Row],[HABER]],0)</f>
        <v>0</v>
      </c>
      <c r="H813" s="18">
        <f>IF(tbal[[#This Row],[HABER]]-tbal[[#This Row],[DEBE]]&gt;0,tbal[[#This Row],[HABER]]-tbal[[#This Row],[DEBE]],0)</f>
        <v>0</v>
      </c>
      <c r="I813" s="16">
        <f>IF((OR(tbal[[#This Row],[X]]=1,tbal[[#This Row],[X]]=2)),tbal[[#This Row],[DEUDOR]],0)</f>
        <v>0</v>
      </c>
      <c r="J813" s="18">
        <f>IF((OR(tbal[[#This Row],[X]]=2,tbal[[#This Row],[X]]=3)),tbal[[#This Row],[ACREEDOR]],0)</f>
        <v>0</v>
      </c>
      <c r="K813" s="16">
        <f>IF((OR(tbal[[#This Row],[X]]=3,tbal[[#This Row],[X]]=5)),tbal[[#This Row],[DEUDOR]],0)</f>
        <v>0</v>
      </c>
      <c r="L813" s="18">
        <f>IF((OR(tbal[[#This Row],[X]]=3,tbal[[#This Row],[X]]=4)),tbal[[#This Row],[ACREEDOR]],0)</f>
        <v>0</v>
      </c>
      <c r="M813" s="16">
        <f>IF((OR(tbal[[#This Row],[X]]=0,tbal[[#This Row],[X]]=6)),tbal[[#This Row],[DEUDOR]],0)</f>
        <v>0</v>
      </c>
      <c r="N813" s="18">
        <f>IF((OR(tbal[[#This Row],[X]]=0,tbal[[#This Row],[X]]=5)),tbal[[#This Row],[ACREEDOR]],0)</f>
        <v>0</v>
      </c>
    </row>
    <row r="814" spans="1:14" hidden="1" x14ac:dyDescent="0.3">
      <c r="A814" s="14">
        <f>+'PLAN DE CUENTAS'!A814</f>
        <v>0</v>
      </c>
      <c r="B814" s="13">
        <f>+'PLAN DE CUENTAS'!B814</f>
        <v>0</v>
      </c>
      <c r="C814" s="13">
        <f>+'PLAN DE CUENTAS'!C814</f>
        <v>0</v>
      </c>
      <c r="D814" t="str">
        <f>IF(tbal[[#This Row],[DEBE]]+tbal[[#This Row],[HABER]]=0,"","X")</f>
        <v/>
      </c>
      <c r="E814" s="16">
        <f>SUMIF(tdiario[CUENTA],tbal[[#This Row],[CUENTA]],tdiario[DEBE])</f>
        <v>0</v>
      </c>
      <c r="F814" s="17">
        <f>SUMIF(tdiario[CUENTA],tbal[[#This Row],[CUENTA]],tdiario[HABER])</f>
        <v>0</v>
      </c>
      <c r="G814" s="16">
        <f>IF(tbal[[#This Row],[DEBE]]-tbal[[#This Row],[HABER]]&gt;0,tbal[[#This Row],[DEBE]]-tbal[[#This Row],[HABER]],0)</f>
        <v>0</v>
      </c>
      <c r="H814" s="18">
        <f>IF(tbal[[#This Row],[HABER]]-tbal[[#This Row],[DEBE]]&gt;0,tbal[[#This Row],[HABER]]-tbal[[#This Row],[DEBE]],0)</f>
        <v>0</v>
      </c>
      <c r="I814" s="16">
        <f>IF((OR(tbal[[#This Row],[X]]=1,tbal[[#This Row],[X]]=2)),tbal[[#This Row],[DEUDOR]],0)</f>
        <v>0</v>
      </c>
      <c r="J814" s="18">
        <f>IF((OR(tbal[[#This Row],[X]]=2,tbal[[#This Row],[X]]=3)),tbal[[#This Row],[ACREEDOR]],0)</f>
        <v>0</v>
      </c>
      <c r="K814" s="16">
        <f>IF((OR(tbal[[#This Row],[X]]=3,tbal[[#This Row],[X]]=5)),tbal[[#This Row],[DEUDOR]],0)</f>
        <v>0</v>
      </c>
      <c r="L814" s="18">
        <f>IF((OR(tbal[[#This Row],[X]]=3,tbal[[#This Row],[X]]=4)),tbal[[#This Row],[ACREEDOR]],0)</f>
        <v>0</v>
      </c>
      <c r="M814" s="16">
        <f>IF((OR(tbal[[#This Row],[X]]=0,tbal[[#This Row],[X]]=6)),tbal[[#This Row],[DEUDOR]],0)</f>
        <v>0</v>
      </c>
      <c r="N814" s="18">
        <f>IF((OR(tbal[[#This Row],[X]]=0,tbal[[#This Row],[X]]=5)),tbal[[#This Row],[ACREEDOR]],0)</f>
        <v>0</v>
      </c>
    </row>
    <row r="815" spans="1:14" hidden="1" x14ac:dyDescent="0.3">
      <c r="A815" s="14">
        <f>+'PLAN DE CUENTAS'!A815</f>
        <v>0</v>
      </c>
      <c r="B815" s="13">
        <f>+'PLAN DE CUENTAS'!B815</f>
        <v>0</v>
      </c>
      <c r="C815" s="13">
        <f>+'PLAN DE CUENTAS'!C815</f>
        <v>0</v>
      </c>
      <c r="D815" t="str">
        <f>IF(tbal[[#This Row],[DEBE]]+tbal[[#This Row],[HABER]]=0,"","X")</f>
        <v/>
      </c>
      <c r="E815" s="16">
        <f>SUMIF(tdiario[CUENTA],tbal[[#This Row],[CUENTA]],tdiario[DEBE])</f>
        <v>0</v>
      </c>
      <c r="F815" s="17">
        <f>SUMIF(tdiario[CUENTA],tbal[[#This Row],[CUENTA]],tdiario[HABER])</f>
        <v>0</v>
      </c>
      <c r="G815" s="16">
        <f>IF(tbal[[#This Row],[DEBE]]-tbal[[#This Row],[HABER]]&gt;0,tbal[[#This Row],[DEBE]]-tbal[[#This Row],[HABER]],0)</f>
        <v>0</v>
      </c>
      <c r="H815" s="18">
        <f>IF(tbal[[#This Row],[HABER]]-tbal[[#This Row],[DEBE]]&gt;0,tbal[[#This Row],[HABER]]-tbal[[#This Row],[DEBE]],0)</f>
        <v>0</v>
      </c>
      <c r="I815" s="16">
        <f>IF((OR(tbal[[#This Row],[X]]=1,tbal[[#This Row],[X]]=2)),tbal[[#This Row],[DEUDOR]],0)</f>
        <v>0</v>
      </c>
      <c r="J815" s="18">
        <f>IF((OR(tbal[[#This Row],[X]]=2,tbal[[#This Row],[X]]=3)),tbal[[#This Row],[ACREEDOR]],0)</f>
        <v>0</v>
      </c>
      <c r="K815" s="16">
        <f>IF((OR(tbal[[#This Row],[X]]=3,tbal[[#This Row],[X]]=5)),tbal[[#This Row],[DEUDOR]],0)</f>
        <v>0</v>
      </c>
      <c r="L815" s="18">
        <f>IF((OR(tbal[[#This Row],[X]]=3,tbal[[#This Row],[X]]=4)),tbal[[#This Row],[ACREEDOR]],0)</f>
        <v>0</v>
      </c>
      <c r="M815" s="16">
        <f>IF((OR(tbal[[#This Row],[X]]=0,tbal[[#This Row],[X]]=6)),tbal[[#This Row],[DEUDOR]],0)</f>
        <v>0</v>
      </c>
      <c r="N815" s="18">
        <f>IF((OR(tbal[[#This Row],[X]]=0,tbal[[#This Row],[X]]=5)),tbal[[#This Row],[ACREEDOR]],0)</f>
        <v>0</v>
      </c>
    </row>
    <row r="816" spans="1:14" hidden="1" x14ac:dyDescent="0.3">
      <c r="A816" s="14">
        <f>+'PLAN DE CUENTAS'!A816</f>
        <v>0</v>
      </c>
      <c r="B816" s="13">
        <f>+'PLAN DE CUENTAS'!B816</f>
        <v>0</v>
      </c>
      <c r="C816" s="13">
        <f>+'PLAN DE CUENTAS'!C816</f>
        <v>0</v>
      </c>
      <c r="D816" t="str">
        <f>IF(tbal[[#This Row],[DEBE]]+tbal[[#This Row],[HABER]]=0,"","X")</f>
        <v/>
      </c>
      <c r="E816" s="16">
        <f>SUMIF(tdiario[CUENTA],tbal[[#This Row],[CUENTA]],tdiario[DEBE])</f>
        <v>0</v>
      </c>
      <c r="F816" s="17">
        <f>SUMIF(tdiario[CUENTA],tbal[[#This Row],[CUENTA]],tdiario[HABER])</f>
        <v>0</v>
      </c>
      <c r="G816" s="16">
        <f>IF(tbal[[#This Row],[DEBE]]-tbal[[#This Row],[HABER]]&gt;0,tbal[[#This Row],[DEBE]]-tbal[[#This Row],[HABER]],0)</f>
        <v>0</v>
      </c>
      <c r="H816" s="18">
        <f>IF(tbal[[#This Row],[HABER]]-tbal[[#This Row],[DEBE]]&gt;0,tbal[[#This Row],[HABER]]-tbal[[#This Row],[DEBE]],0)</f>
        <v>0</v>
      </c>
      <c r="I816" s="16">
        <f>IF((OR(tbal[[#This Row],[X]]=1,tbal[[#This Row],[X]]=2)),tbal[[#This Row],[DEUDOR]],0)</f>
        <v>0</v>
      </c>
      <c r="J816" s="18">
        <f>IF((OR(tbal[[#This Row],[X]]=2,tbal[[#This Row],[X]]=3)),tbal[[#This Row],[ACREEDOR]],0)</f>
        <v>0</v>
      </c>
      <c r="K816" s="16">
        <f>IF((OR(tbal[[#This Row],[X]]=3,tbal[[#This Row],[X]]=5)),tbal[[#This Row],[DEUDOR]],0)</f>
        <v>0</v>
      </c>
      <c r="L816" s="18">
        <f>IF((OR(tbal[[#This Row],[X]]=3,tbal[[#This Row],[X]]=4)),tbal[[#This Row],[ACREEDOR]],0)</f>
        <v>0</v>
      </c>
      <c r="M816" s="16">
        <f>IF((OR(tbal[[#This Row],[X]]=0,tbal[[#This Row],[X]]=6)),tbal[[#This Row],[DEUDOR]],0)</f>
        <v>0</v>
      </c>
      <c r="N816" s="18">
        <f>IF((OR(tbal[[#This Row],[X]]=0,tbal[[#This Row],[X]]=5)),tbal[[#This Row],[ACREEDOR]],0)</f>
        <v>0</v>
      </c>
    </row>
    <row r="817" spans="1:14" hidden="1" x14ac:dyDescent="0.3">
      <c r="A817" s="14">
        <f>+'PLAN DE CUENTAS'!A817</f>
        <v>0</v>
      </c>
      <c r="B817" s="13">
        <f>+'PLAN DE CUENTAS'!B817</f>
        <v>0</v>
      </c>
      <c r="C817" s="13">
        <f>+'PLAN DE CUENTAS'!C817</f>
        <v>0</v>
      </c>
      <c r="D817" t="str">
        <f>IF(tbal[[#This Row],[DEBE]]+tbal[[#This Row],[HABER]]=0,"","X")</f>
        <v/>
      </c>
      <c r="E817" s="16">
        <f>SUMIF(tdiario[CUENTA],tbal[[#This Row],[CUENTA]],tdiario[DEBE])</f>
        <v>0</v>
      </c>
      <c r="F817" s="17">
        <f>SUMIF(tdiario[CUENTA],tbal[[#This Row],[CUENTA]],tdiario[HABER])</f>
        <v>0</v>
      </c>
      <c r="G817" s="16">
        <f>IF(tbal[[#This Row],[DEBE]]-tbal[[#This Row],[HABER]]&gt;0,tbal[[#This Row],[DEBE]]-tbal[[#This Row],[HABER]],0)</f>
        <v>0</v>
      </c>
      <c r="H817" s="18">
        <f>IF(tbal[[#This Row],[HABER]]-tbal[[#This Row],[DEBE]]&gt;0,tbal[[#This Row],[HABER]]-tbal[[#This Row],[DEBE]],0)</f>
        <v>0</v>
      </c>
      <c r="I817" s="16">
        <f>IF((OR(tbal[[#This Row],[X]]=1,tbal[[#This Row],[X]]=2)),tbal[[#This Row],[DEUDOR]],0)</f>
        <v>0</v>
      </c>
      <c r="J817" s="18">
        <f>IF((OR(tbal[[#This Row],[X]]=2,tbal[[#This Row],[X]]=3)),tbal[[#This Row],[ACREEDOR]],0)</f>
        <v>0</v>
      </c>
      <c r="K817" s="16">
        <f>IF((OR(tbal[[#This Row],[X]]=3,tbal[[#This Row],[X]]=5)),tbal[[#This Row],[DEUDOR]],0)</f>
        <v>0</v>
      </c>
      <c r="L817" s="18">
        <f>IF((OR(tbal[[#This Row],[X]]=3,tbal[[#This Row],[X]]=4)),tbal[[#This Row],[ACREEDOR]],0)</f>
        <v>0</v>
      </c>
      <c r="M817" s="16">
        <f>IF((OR(tbal[[#This Row],[X]]=0,tbal[[#This Row],[X]]=6)),tbal[[#This Row],[DEUDOR]],0)</f>
        <v>0</v>
      </c>
      <c r="N817" s="18">
        <f>IF((OR(tbal[[#This Row],[X]]=0,tbal[[#This Row],[X]]=5)),tbal[[#This Row],[ACREEDOR]],0)</f>
        <v>0</v>
      </c>
    </row>
    <row r="818" spans="1:14" hidden="1" x14ac:dyDescent="0.3">
      <c r="A818" s="14">
        <f>+'PLAN DE CUENTAS'!A818</f>
        <v>0</v>
      </c>
      <c r="B818" s="13">
        <f>+'PLAN DE CUENTAS'!B818</f>
        <v>0</v>
      </c>
      <c r="C818" s="13">
        <f>+'PLAN DE CUENTAS'!C818</f>
        <v>0</v>
      </c>
      <c r="D818" t="str">
        <f>IF(tbal[[#This Row],[DEBE]]+tbal[[#This Row],[HABER]]=0,"","X")</f>
        <v/>
      </c>
      <c r="E818" s="16">
        <f>SUMIF(tdiario[CUENTA],tbal[[#This Row],[CUENTA]],tdiario[DEBE])</f>
        <v>0</v>
      </c>
      <c r="F818" s="17">
        <f>SUMIF(tdiario[CUENTA],tbal[[#This Row],[CUENTA]],tdiario[HABER])</f>
        <v>0</v>
      </c>
      <c r="G818" s="16">
        <f>IF(tbal[[#This Row],[DEBE]]-tbal[[#This Row],[HABER]]&gt;0,tbal[[#This Row],[DEBE]]-tbal[[#This Row],[HABER]],0)</f>
        <v>0</v>
      </c>
      <c r="H818" s="18">
        <f>IF(tbal[[#This Row],[HABER]]-tbal[[#This Row],[DEBE]]&gt;0,tbal[[#This Row],[HABER]]-tbal[[#This Row],[DEBE]],0)</f>
        <v>0</v>
      </c>
      <c r="I818" s="16">
        <f>IF((OR(tbal[[#This Row],[X]]=1,tbal[[#This Row],[X]]=2)),tbal[[#This Row],[DEUDOR]],0)</f>
        <v>0</v>
      </c>
      <c r="J818" s="18">
        <f>IF((OR(tbal[[#This Row],[X]]=2,tbal[[#This Row],[X]]=3)),tbal[[#This Row],[ACREEDOR]],0)</f>
        <v>0</v>
      </c>
      <c r="K818" s="16">
        <f>IF((OR(tbal[[#This Row],[X]]=3,tbal[[#This Row],[X]]=5)),tbal[[#This Row],[DEUDOR]],0)</f>
        <v>0</v>
      </c>
      <c r="L818" s="18">
        <f>IF((OR(tbal[[#This Row],[X]]=3,tbal[[#This Row],[X]]=4)),tbal[[#This Row],[ACREEDOR]],0)</f>
        <v>0</v>
      </c>
      <c r="M818" s="16">
        <f>IF((OR(tbal[[#This Row],[X]]=0,tbal[[#This Row],[X]]=6)),tbal[[#This Row],[DEUDOR]],0)</f>
        <v>0</v>
      </c>
      <c r="N818" s="18">
        <f>IF((OR(tbal[[#This Row],[X]]=0,tbal[[#This Row],[X]]=5)),tbal[[#This Row],[ACREEDOR]],0)</f>
        <v>0</v>
      </c>
    </row>
    <row r="819" spans="1:14" hidden="1" x14ac:dyDescent="0.3">
      <c r="A819" s="14">
        <f>+'PLAN DE CUENTAS'!A819</f>
        <v>0</v>
      </c>
      <c r="B819" s="13">
        <f>+'PLAN DE CUENTAS'!B819</f>
        <v>0</v>
      </c>
      <c r="C819" s="13">
        <f>+'PLAN DE CUENTAS'!C819</f>
        <v>0</v>
      </c>
      <c r="D819" t="str">
        <f>IF(tbal[[#This Row],[DEBE]]+tbal[[#This Row],[HABER]]=0,"","X")</f>
        <v/>
      </c>
      <c r="E819" s="16">
        <f>SUMIF(tdiario[CUENTA],tbal[[#This Row],[CUENTA]],tdiario[DEBE])</f>
        <v>0</v>
      </c>
      <c r="F819" s="17">
        <f>SUMIF(tdiario[CUENTA],tbal[[#This Row],[CUENTA]],tdiario[HABER])</f>
        <v>0</v>
      </c>
      <c r="G819" s="16">
        <f>IF(tbal[[#This Row],[DEBE]]-tbal[[#This Row],[HABER]]&gt;0,tbal[[#This Row],[DEBE]]-tbal[[#This Row],[HABER]],0)</f>
        <v>0</v>
      </c>
      <c r="H819" s="18">
        <f>IF(tbal[[#This Row],[HABER]]-tbal[[#This Row],[DEBE]]&gt;0,tbal[[#This Row],[HABER]]-tbal[[#This Row],[DEBE]],0)</f>
        <v>0</v>
      </c>
      <c r="I819" s="16">
        <f>IF((OR(tbal[[#This Row],[X]]=1,tbal[[#This Row],[X]]=2)),tbal[[#This Row],[DEUDOR]],0)</f>
        <v>0</v>
      </c>
      <c r="J819" s="18">
        <f>IF((OR(tbal[[#This Row],[X]]=2,tbal[[#This Row],[X]]=3)),tbal[[#This Row],[ACREEDOR]],0)</f>
        <v>0</v>
      </c>
      <c r="K819" s="16">
        <f>IF((OR(tbal[[#This Row],[X]]=3,tbal[[#This Row],[X]]=5)),tbal[[#This Row],[DEUDOR]],0)</f>
        <v>0</v>
      </c>
      <c r="L819" s="18">
        <f>IF((OR(tbal[[#This Row],[X]]=3,tbal[[#This Row],[X]]=4)),tbal[[#This Row],[ACREEDOR]],0)</f>
        <v>0</v>
      </c>
      <c r="M819" s="16">
        <f>IF((OR(tbal[[#This Row],[X]]=0,tbal[[#This Row],[X]]=6)),tbal[[#This Row],[DEUDOR]],0)</f>
        <v>0</v>
      </c>
      <c r="N819" s="18">
        <f>IF((OR(tbal[[#This Row],[X]]=0,tbal[[#This Row],[X]]=5)),tbal[[#This Row],[ACREEDOR]],0)</f>
        <v>0</v>
      </c>
    </row>
    <row r="820" spans="1:14" hidden="1" x14ac:dyDescent="0.3">
      <c r="A820" s="14">
        <f>+'PLAN DE CUENTAS'!A820</f>
        <v>0</v>
      </c>
      <c r="B820" s="13">
        <f>+'PLAN DE CUENTAS'!B820</f>
        <v>0</v>
      </c>
      <c r="C820" s="13">
        <f>+'PLAN DE CUENTAS'!C820</f>
        <v>0</v>
      </c>
      <c r="D820" t="str">
        <f>IF(tbal[[#This Row],[DEBE]]+tbal[[#This Row],[HABER]]=0,"","X")</f>
        <v/>
      </c>
      <c r="E820" s="16">
        <f>SUMIF(tdiario[CUENTA],tbal[[#This Row],[CUENTA]],tdiario[DEBE])</f>
        <v>0</v>
      </c>
      <c r="F820" s="17">
        <f>SUMIF(tdiario[CUENTA],tbal[[#This Row],[CUENTA]],tdiario[HABER])</f>
        <v>0</v>
      </c>
      <c r="G820" s="16">
        <f>IF(tbal[[#This Row],[DEBE]]-tbal[[#This Row],[HABER]]&gt;0,tbal[[#This Row],[DEBE]]-tbal[[#This Row],[HABER]],0)</f>
        <v>0</v>
      </c>
      <c r="H820" s="18">
        <f>IF(tbal[[#This Row],[HABER]]-tbal[[#This Row],[DEBE]]&gt;0,tbal[[#This Row],[HABER]]-tbal[[#This Row],[DEBE]],0)</f>
        <v>0</v>
      </c>
      <c r="I820" s="16">
        <f>IF((OR(tbal[[#This Row],[X]]=1,tbal[[#This Row],[X]]=2)),tbal[[#This Row],[DEUDOR]],0)</f>
        <v>0</v>
      </c>
      <c r="J820" s="18">
        <f>IF((OR(tbal[[#This Row],[X]]=2,tbal[[#This Row],[X]]=3)),tbal[[#This Row],[ACREEDOR]],0)</f>
        <v>0</v>
      </c>
      <c r="K820" s="16">
        <f>IF((OR(tbal[[#This Row],[X]]=3,tbal[[#This Row],[X]]=5)),tbal[[#This Row],[DEUDOR]],0)</f>
        <v>0</v>
      </c>
      <c r="L820" s="18">
        <f>IF((OR(tbal[[#This Row],[X]]=3,tbal[[#This Row],[X]]=4)),tbal[[#This Row],[ACREEDOR]],0)</f>
        <v>0</v>
      </c>
      <c r="M820" s="16">
        <f>IF((OR(tbal[[#This Row],[X]]=0,tbal[[#This Row],[X]]=6)),tbal[[#This Row],[DEUDOR]],0)</f>
        <v>0</v>
      </c>
      <c r="N820" s="18">
        <f>IF((OR(tbal[[#This Row],[X]]=0,tbal[[#This Row],[X]]=5)),tbal[[#This Row],[ACREEDOR]],0)</f>
        <v>0</v>
      </c>
    </row>
    <row r="821" spans="1:14" hidden="1" x14ac:dyDescent="0.3">
      <c r="A821" s="14">
        <f>+'PLAN DE CUENTAS'!A821</f>
        <v>0</v>
      </c>
      <c r="B821" s="13">
        <f>+'PLAN DE CUENTAS'!B821</f>
        <v>0</v>
      </c>
      <c r="C821" s="13">
        <f>+'PLAN DE CUENTAS'!C821</f>
        <v>0</v>
      </c>
      <c r="D821" t="str">
        <f>IF(tbal[[#This Row],[DEBE]]+tbal[[#This Row],[HABER]]=0,"","X")</f>
        <v/>
      </c>
      <c r="E821" s="16">
        <f>SUMIF(tdiario[CUENTA],tbal[[#This Row],[CUENTA]],tdiario[DEBE])</f>
        <v>0</v>
      </c>
      <c r="F821" s="17">
        <f>SUMIF(tdiario[CUENTA],tbal[[#This Row],[CUENTA]],tdiario[HABER])</f>
        <v>0</v>
      </c>
      <c r="G821" s="16">
        <f>IF(tbal[[#This Row],[DEBE]]-tbal[[#This Row],[HABER]]&gt;0,tbal[[#This Row],[DEBE]]-tbal[[#This Row],[HABER]],0)</f>
        <v>0</v>
      </c>
      <c r="H821" s="18">
        <f>IF(tbal[[#This Row],[HABER]]-tbal[[#This Row],[DEBE]]&gt;0,tbal[[#This Row],[HABER]]-tbal[[#This Row],[DEBE]],0)</f>
        <v>0</v>
      </c>
      <c r="I821" s="16">
        <f>IF((OR(tbal[[#This Row],[X]]=1,tbal[[#This Row],[X]]=2)),tbal[[#This Row],[DEUDOR]],0)</f>
        <v>0</v>
      </c>
      <c r="J821" s="18">
        <f>IF((OR(tbal[[#This Row],[X]]=2,tbal[[#This Row],[X]]=3)),tbal[[#This Row],[ACREEDOR]],0)</f>
        <v>0</v>
      </c>
      <c r="K821" s="16">
        <f>IF((OR(tbal[[#This Row],[X]]=3,tbal[[#This Row],[X]]=5)),tbal[[#This Row],[DEUDOR]],0)</f>
        <v>0</v>
      </c>
      <c r="L821" s="18">
        <f>IF((OR(tbal[[#This Row],[X]]=3,tbal[[#This Row],[X]]=4)),tbal[[#This Row],[ACREEDOR]],0)</f>
        <v>0</v>
      </c>
      <c r="M821" s="16">
        <f>IF((OR(tbal[[#This Row],[X]]=0,tbal[[#This Row],[X]]=6)),tbal[[#This Row],[DEUDOR]],0)</f>
        <v>0</v>
      </c>
      <c r="N821" s="18">
        <f>IF((OR(tbal[[#This Row],[X]]=0,tbal[[#This Row],[X]]=5)),tbal[[#This Row],[ACREEDOR]],0)</f>
        <v>0</v>
      </c>
    </row>
    <row r="822" spans="1:14" hidden="1" x14ac:dyDescent="0.3">
      <c r="A822" s="14">
        <f>+'PLAN DE CUENTAS'!A822</f>
        <v>0</v>
      </c>
      <c r="B822" s="13">
        <f>+'PLAN DE CUENTAS'!B822</f>
        <v>0</v>
      </c>
      <c r="C822" s="13">
        <f>+'PLAN DE CUENTAS'!C822</f>
        <v>0</v>
      </c>
      <c r="D822" t="str">
        <f>IF(tbal[[#This Row],[DEBE]]+tbal[[#This Row],[HABER]]=0,"","X")</f>
        <v/>
      </c>
      <c r="E822" s="16">
        <f>SUMIF(tdiario[CUENTA],tbal[[#This Row],[CUENTA]],tdiario[DEBE])</f>
        <v>0</v>
      </c>
      <c r="F822" s="17">
        <f>SUMIF(tdiario[CUENTA],tbal[[#This Row],[CUENTA]],tdiario[HABER])</f>
        <v>0</v>
      </c>
      <c r="G822" s="16">
        <f>IF(tbal[[#This Row],[DEBE]]-tbal[[#This Row],[HABER]]&gt;0,tbal[[#This Row],[DEBE]]-tbal[[#This Row],[HABER]],0)</f>
        <v>0</v>
      </c>
      <c r="H822" s="18">
        <f>IF(tbal[[#This Row],[HABER]]-tbal[[#This Row],[DEBE]]&gt;0,tbal[[#This Row],[HABER]]-tbal[[#This Row],[DEBE]],0)</f>
        <v>0</v>
      </c>
      <c r="I822" s="16">
        <f>IF((OR(tbal[[#This Row],[X]]=1,tbal[[#This Row],[X]]=2)),tbal[[#This Row],[DEUDOR]],0)</f>
        <v>0</v>
      </c>
      <c r="J822" s="18">
        <f>IF((OR(tbal[[#This Row],[X]]=2,tbal[[#This Row],[X]]=3)),tbal[[#This Row],[ACREEDOR]],0)</f>
        <v>0</v>
      </c>
      <c r="K822" s="16">
        <f>IF((OR(tbal[[#This Row],[X]]=3,tbal[[#This Row],[X]]=5)),tbal[[#This Row],[DEUDOR]],0)</f>
        <v>0</v>
      </c>
      <c r="L822" s="18">
        <f>IF((OR(tbal[[#This Row],[X]]=3,tbal[[#This Row],[X]]=4)),tbal[[#This Row],[ACREEDOR]],0)</f>
        <v>0</v>
      </c>
      <c r="M822" s="16">
        <f>IF((OR(tbal[[#This Row],[X]]=0,tbal[[#This Row],[X]]=6)),tbal[[#This Row],[DEUDOR]],0)</f>
        <v>0</v>
      </c>
      <c r="N822" s="18">
        <f>IF((OR(tbal[[#This Row],[X]]=0,tbal[[#This Row],[X]]=5)),tbal[[#This Row],[ACREEDOR]],0)</f>
        <v>0</v>
      </c>
    </row>
    <row r="823" spans="1:14" hidden="1" x14ac:dyDescent="0.3">
      <c r="A823" s="14">
        <f>+'PLAN DE CUENTAS'!A823</f>
        <v>0</v>
      </c>
      <c r="B823" s="13">
        <f>+'PLAN DE CUENTAS'!B823</f>
        <v>0</v>
      </c>
      <c r="C823" s="13">
        <f>+'PLAN DE CUENTAS'!C823</f>
        <v>0</v>
      </c>
      <c r="D823" t="str">
        <f>IF(tbal[[#This Row],[DEBE]]+tbal[[#This Row],[HABER]]=0,"","X")</f>
        <v/>
      </c>
      <c r="E823" s="16">
        <f>SUMIF(tdiario[CUENTA],tbal[[#This Row],[CUENTA]],tdiario[DEBE])</f>
        <v>0</v>
      </c>
      <c r="F823" s="17">
        <f>SUMIF(tdiario[CUENTA],tbal[[#This Row],[CUENTA]],tdiario[HABER])</f>
        <v>0</v>
      </c>
      <c r="G823" s="16">
        <f>IF(tbal[[#This Row],[DEBE]]-tbal[[#This Row],[HABER]]&gt;0,tbal[[#This Row],[DEBE]]-tbal[[#This Row],[HABER]],0)</f>
        <v>0</v>
      </c>
      <c r="H823" s="18">
        <f>IF(tbal[[#This Row],[HABER]]-tbal[[#This Row],[DEBE]]&gt;0,tbal[[#This Row],[HABER]]-tbal[[#This Row],[DEBE]],0)</f>
        <v>0</v>
      </c>
      <c r="I823" s="16">
        <f>IF((OR(tbal[[#This Row],[X]]=1,tbal[[#This Row],[X]]=2)),tbal[[#This Row],[DEUDOR]],0)</f>
        <v>0</v>
      </c>
      <c r="J823" s="18">
        <f>IF((OR(tbal[[#This Row],[X]]=2,tbal[[#This Row],[X]]=3)),tbal[[#This Row],[ACREEDOR]],0)</f>
        <v>0</v>
      </c>
      <c r="K823" s="16">
        <f>IF((OR(tbal[[#This Row],[X]]=3,tbal[[#This Row],[X]]=5)),tbal[[#This Row],[DEUDOR]],0)</f>
        <v>0</v>
      </c>
      <c r="L823" s="18">
        <f>IF((OR(tbal[[#This Row],[X]]=3,tbal[[#This Row],[X]]=4)),tbal[[#This Row],[ACREEDOR]],0)</f>
        <v>0</v>
      </c>
      <c r="M823" s="16">
        <f>IF((OR(tbal[[#This Row],[X]]=0,tbal[[#This Row],[X]]=6)),tbal[[#This Row],[DEUDOR]],0)</f>
        <v>0</v>
      </c>
      <c r="N823" s="18">
        <f>IF((OR(tbal[[#This Row],[X]]=0,tbal[[#This Row],[X]]=5)),tbal[[#This Row],[ACREEDOR]],0)</f>
        <v>0</v>
      </c>
    </row>
    <row r="824" spans="1:14" hidden="1" x14ac:dyDescent="0.3">
      <c r="A824" s="14">
        <f>+'PLAN DE CUENTAS'!A824</f>
        <v>0</v>
      </c>
      <c r="B824" s="13">
        <f>+'PLAN DE CUENTAS'!B824</f>
        <v>0</v>
      </c>
      <c r="C824" s="13">
        <f>+'PLAN DE CUENTAS'!C824</f>
        <v>0</v>
      </c>
      <c r="D824" t="str">
        <f>IF(tbal[[#This Row],[DEBE]]+tbal[[#This Row],[HABER]]=0,"","X")</f>
        <v/>
      </c>
      <c r="E824" s="16">
        <f>SUMIF(tdiario[CUENTA],tbal[[#This Row],[CUENTA]],tdiario[DEBE])</f>
        <v>0</v>
      </c>
      <c r="F824" s="17">
        <f>SUMIF(tdiario[CUENTA],tbal[[#This Row],[CUENTA]],tdiario[HABER])</f>
        <v>0</v>
      </c>
      <c r="G824" s="16">
        <f>IF(tbal[[#This Row],[DEBE]]-tbal[[#This Row],[HABER]]&gt;0,tbal[[#This Row],[DEBE]]-tbal[[#This Row],[HABER]],0)</f>
        <v>0</v>
      </c>
      <c r="H824" s="18">
        <f>IF(tbal[[#This Row],[HABER]]-tbal[[#This Row],[DEBE]]&gt;0,tbal[[#This Row],[HABER]]-tbal[[#This Row],[DEBE]],0)</f>
        <v>0</v>
      </c>
      <c r="I824" s="16">
        <f>IF((OR(tbal[[#This Row],[X]]=1,tbal[[#This Row],[X]]=2)),tbal[[#This Row],[DEUDOR]],0)</f>
        <v>0</v>
      </c>
      <c r="J824" s="18">
        <f>IF((OR(tbal[[#This Row],[X]]=2,tbal[[#This Row],[X]]=3)),tbal[[#This Row],[ACREEDOR]],0)</f>
        <v>0</v>
      </c>
      <c r="K824" s="16">
        <f>IF((OR(tbal[[#This Row],[X]]=3,tbal[[#This Row],[X]]=5)),tbal[[#This Row],[DEUDOR]],0)</f>
        <v>0</v>
      </c>
      <c r="L824" s="18">
        <f>IF((OR(tbal[[#This Row],[X]]=3,tbal[[#This Row],[X]]=4)),tbal[[#This Row],[ACREEDOR]],0)</f>
        <v>0</v>
      </c>
      <c r="M824" s="16">
        <f>IF((OR(tbal[[#This Row],[X]]=0,tbal[[#This Row],[X]]=6)),tbal[[#This Row],[DEUDOR]],0)</f>
        <v>0</v>
      </c>
      <c r="N824" s="18">
        <f>IF((OR(tbal[[#This Row],[X]]=0,tbal[[#This Row],[X]]=5)),tbal[[#This Row],[ACREEDOR]],0)</f>
        <v>0</v>
      </c>
    </row>
    <row r="825" spans="1:14" hidden="1" x14ac:dyDescent="0.3">
      <c r="A825" s="14">
        <f>+'PLAN DE CUENTAS'!A825</f>
        <v>0</v>
      </c>
      <c r="B825" s="13">
        <f>+'PLAN DE CUENTAS'!B825</f>
        <v>0</v>
      </c>
      <c r="C825" s="13">
        <f>+'PLAN DE CUENTAS'!C825</f>
        <v>0</v>
      </c>
      <c r="D825" t="str">
        <f>IF(tbal[[#This Row],[DEBE]]+tbal[[#This Row],[HABER]]=0,"","X")</f>
        <v/>
      </c>
      <c r="E825" s="16">
        <f>SUMIF(tdiario[CUENTA],tbal[[#This Row],[CUENTA]],tdiario[DEBE])</f>
        <v>0</v>
      </c>
      <c r="F825" s="17">
        <f>SUMIF(tdiario[CUENTA],tbal[[#This Row],[CUENTA]],tdiario[HABER])</f>
        <v>0</v>
      </c>
      <c r="G825" s="16">
        <f>IF(tbal[[#This Row],[DEBE]]-tbal[[#This Row],[HABER]]&gt;0,tbal[[#This Row],[DEBE]]-tbal[[#This Row],[HABER]],0)</f>
        <v>0</v>
      </c>
      <c r="H825" s="18">
        <f>IF(tbal[[#This Row],[HABER]]-tbal[[#This Row],[DEBE]]&gt;0,tbal[[#This Row],[HABER]]-tbal[[#This Row],[DEBE]],0)</f>
        <v>0</v>
      </c>
      <c r="I825" s="16">
        <f>IF((OR(tbal[[#This Row],[X]]=1,tbal[[#This Row],[X]]=2)),tbal[[#This Row],[DEUDOR]],0)</f>
        <v>0</v>
      </c>
      <c r="J825" s="18">
        <f>IF((OR(tbal[[#This Row],[X]]=2,tbal[[#This Row],[X]]=3)),tbal[[#This Row],[ACREEDOR]],0)</f>
        <v>0</v>
      </c>
      <c r="K825" s="16">
        <f>IF((OR(tbal[[#This Row],[X]]=3,tbal[[#This Row],[X]]=5)),tbal[[#This Row],[DEUDOR]],0)</f>
        <v>0</v>
      </c>
      <c r="L825" s="18">
        <f>IF((OR(tbal[[#This Row],[X]]=3,tbal[[#This Row],[X]]=4)),tbal[[#This Row],[ACREEDOR]],0)</f>
        <v>0</v>
      </c>
      <c r="M825" s="16">
        <f>IF((OR(tbal[[#This Row],[X]]=0,tbal[[#This Row],[X]]=6)),tbal[[#This Row],[DEUDOR]],0)</f>
        <v>0</v>
      </c>
      <c r="N825" s="18">
        <f>IF((OR(tbal[[#This Row],[X]]=0,tbal[[#This Row],[X]]=5)),tbal[[#This Row],[ACREEDOR]],0)</f>
        <v>0</v>
      </c>
    </row>
    <row r="826" spans="1:14" hidden="1" x14ac:dyDescent="0.3">
      <c r="A826" s="14">
        <f>+'PLAN DE CUENTAS'!A826</f>
        <v>0</v>
      </c>
      <c r="B826" s="13">
        <f>+'PLAN DE CUENTAS'!B826</f>
        <v>0</v>
      </c>
      <c r="C826" s="13">
        <f>+'PLAN DE CUENTAS'!C826</f>
        <v>0</v>
      </c>
      <c r="D826" t="str">
        <f>IF(tbal[[#This Row],[DEBE]]+tbal[[#This Row],[HABER]]=0,"","X")</f>
        <v/>
      </c>
      <c r="E826" s="16">
        <f>SUMIF(tdiario[CUENTA],tbal[[#This Row],[CUENTA]],tdiario[DEBE])</f>
        <v>0</v>
      </c>
      <c r="F826" s="17">
        <f>SUMIF(tdiario[CUENTA],tbal[[#This Row],[CUENTA]],tdiario[HABER])</f>
        <v>0</v>
      </c>
      <c r="G826" s="16">
        <f>IF(tbal[[#This Row],[DEBE]]-tbal[[#This Row],[HABER]]&gt;0,tbal[[#This Row],[DEBE]]-tbal[[#This Row],[HABER]],0)</f>
        <v>0</v>
      </c>
      <c r="H826" s="18">
        <f>IF(tbal[[#This Row],[HABER]]-tbal[[#This Row],[DEBE]]&gt;0,tbal[[#This Row],[HABER]]-tbal[[#This Row],[DEBE]],0)</f>
        <v>0</v>
      </c>
      <c r="I826" s="16">
        <f>IF((OR(tbal[[#This Row],[X]]=1,tbal[[#This Row],[X]]=2)),tbal[[#This Row],[DEUDOR]],0)</f>
        <v>0</v>
      </c>
      <c r="J826" s="18">
        <f>IF((OR(tbal[[#This Row],[X]]=2,tbal[[#This Row],[X]]=3)),tbal[[#This Row],[ACREEDOR]],0)</f>
        <v>0</v>
      </c>
      <c r="K826" s="16">
        <f>IF((OR(tbal[[#This Row],[X]]=3,tbal[[#This Row],[X]]=5)),tbal[[#This Row],[DEUDOR]],0)</f>
        <v>0</v>
      </c>
      <c r="L826" s="18">
        <f>IF((OR(tbal[[#This Row],[X]]=3,tbal[[#This Row],[X]]=4)),tbal[[#This Row],[ACREEDOR]],0)</f>
        <v>0</v>
      </c>
      <c r="M826" s="16">
        <f>IF((OR(tbal[[#This Row],[X]]=0,tbal[[#This Row],[X]]=6)),tbal[[#This Row],[DEUDOR]],0)</f>
        <v>0</v>
      </c>
      <c r="N826" s="18">
        <f>IF((OR(tbal[[#This Row],[X]]=0,tbal[[#This Row],[X]]=5)),tbal[[#This Row],[ACREEDOR]],0)</f>
        <v>0</v>
      </c>
    </row>
    <row r="827" spans="1:14" hidden="1" x14ac:dyDescent="0.3">
      <c r="A827" s="14">
        <f>+'PLAN DE CUENTAS'!A827</f>
        <v>0</v>
      </c>
      <c r="B827" s="13">
        <f>+'PLAN DE CUENTAS'!B827</f>
        <v>0</v>
      </c>
      <c r="C827" s="13">
        <f>+'PLAN DE CUENTAS'!C827</f>
        <v>0</v>
      </c>
      <c r="D827" t="str">
        <f>IF(tbal[[#This Row],[DEBE]]+tbal[[#This Row],[HABER]]=0,"","X")</f>
        <v/>
      </c>
      <c r="E827" s="16">
        <f>SUMIF(tdiario[CUENTA],tbal[[#This Row],[CUENTA]],tdiario[DEBE])</f>
        <v>0</v>
      </c>
      <c r="F827" s="17">
        <f>SUMIF(tdiario[CUENTA],tbal[[#This Row],[CUENTA]],tdiario[HABER])</f>
        <v>0</v>
      </c>
      <c r="G827" s="16">
        <f>IF(tbal[[#This Row],[DEBE]]-tbal[[#This Row],[HABER]]&gt;0,tbal[[#This Row],[DEBE]]-tbal[[#This Row],[HABER]],0)</f>
        <v>0</v>
      </c>
      <c r="H827" s="18">
        <f>IF(tbal[[#This Row],[HABER]]-tbal[[#This Row],[DEBE]]&gt;0,tbal[[#This Row],[HABER]]-tbal[[#This Row],[DEBE]],0)</f>
        <v>0</v>
      </c>
      <c r="I827" s="16">
        <f>IF((OR(tbal[[#This Row],[X]]=1,tbal[[#This Row],[X]]=2)),tbal[[#This Row],[DEUDOR]],0)</f>
        <v>0</v>
      </c>
      <c r="J827" s="18">
        <f>IF((OR(tbal[[#This Row],[X]]=2,tbal[[#This Row],[X]]=3)),tbal[[#This Row],[ACREEDOR]],0)</f>
        <v>0</v>
      </c>
      <c r="K827" s="16">
        <f>IF((OR(tbal[[#This Row],[X]]=3,tbal[[#This Row],[X]]=5)),tbal[[#This Row],[DEUDOR]],0)</f>
        <v>0</v>
      </c>
      <c r="L827" s="18">
        <f>IF((OR(tbal[[#This Row],[X]]=3,tbal[[#This Row],[X]]=4)),tbal[[#This Row],[ACREEDOR]],0)</f>
        <v>0</v>
      </c>
      <c r="M827" s="16">
        <f>IF((OR(tbal[[#This Row],[X]]=0,tbal[[#This Row],[X]]=6)),tbal[[#This Row],[DEUDOR]],0)</f>
        <v>0</v>
      </c>
      <c r="N827" s="18">
        <f>IF((OR(tbal[[#This Row],[X]]=0,tbal[[#This Row],[X]]=5)),tbal[[#This Row],[ACREEDOR]],0)</f>
        <v>0</v>
      </c>
    </row>
    <row r="828" spans="1:14" hidden="1" x14ac:dyDescent="0.3">
      <c r="A828" s="14">
        <f>+'PLAN DE CUENTAS'!A828</f>
        <v>0</v>
      </c>
      <c r="B828" s="13">
        <f>+'PLAN DE CUENTAS'!B828</f>
        <v>0</v>
      </c>
      <c r="C828" s="13">
        <f>+'PLAN DE CUENTAS'!C828</f>
        <v>0</v>
      </c>
      <c r="D828" t="str">
        <f>IF(tbal[[#This Row],[DEBE]]+tbal[[#This Row],[HABER]]=0,"","X")</f>
        <v/>
      </c>
      <c r="E828" s="16">
        <f>SUMIF(tdiario[CUENTA],tbal[[#This Row],[CUENTA]],tdiario[DEBE])</f>
        <v>0</v>
      </c>
      <c r="F828" s="17">
        <f>SUMIF(tdiario[CUENTA],tbal[[#This Row],[CUENTA]],tdiario[HABER])</f>
        <v>0</v>
      </c>
      <c r="G828" s="16">
        <f>IF(tbal[[#This Row],[DEBE]]-tbal[[#This Row],[HABER]]&gt;0,tbal[[#This Row],[DEBE]]-tbal[[#This Row],[HABER]],0)</f>
        <v>0</v>
      </c>
      <c r="H828" s="18">
        <f>IF(tbal[[#This Row],[HABER]]-tbal[[#This Row],[DEBE]]&gt;0,tbal[[#This Row],[HABER]]-tbal[[#This Row],[DEBE]],0)</f>
        <v>0</v>
      </c>
      <c r="I828" s="16">
        <f>IF((OR(tbal[[#This Row],[X]]=1,tbal[[#This Row],[X]]=2)),tbal[[#This Row],[DEUDOR]],0)</f>
        <v>0</v>
      </c>
      <c r="J828" s="18">
        <f>IF((OR(tbal[[#This Row],[X]]=2,tbal[[#This Row],[X]]=3)),tbal[[#This Row],[ACREEDOR]],0)</f>
        <v>0</v>
      </c>
      <c r="K828" s="16">
        <f>IF((OR(tbal[[#This Row],[X]]=3,tbal[[#This Row],[X]]=5)),tbal[[#This Row],[DEUDOR]],0)</f>
        <v>0</v>
      </c>
      <c r="L828" s="18">
        <f>IF((OR(tbal[[#This Row],[X]]=3,tbal[[#This Row],[X]]=4)),tbal[[#This Row],[ACREEDOR]],0)</f>
        <v>0</v>
      </c>
      <c r="M828" s="16">
        <f>IF((OR(tbal[[#This Row],[X]]=0,tbal[[#This Row],[X]]=6)),tbal[[#This Row],[DEUDOR]],0)</f>
        <v>0</v>
      </c>
      <c r="N828" s="18">
        <f>IF((OR(tbal[[#This Row],[X]]=0,tbal[[#This Row],[X]]=5)),tbal[[#This Row],[ACREEDOR]],0)</f>
        <v>0</v>
      </c>
    </row>
    <row r="829" spans="1:14" hidden="1" x14ac:dyDescent="0.3">
      <c r="A829" s="14">
        <f>+'PLAN DE CUENTAS'!A829</f>
        <v>0</v>
      </c>
      <c r="B829" s="13">
        <f>+'PLAN DE CUENTAS'!B829</f>
        <v>0</v>
      </c>
      <c r="C829" s="13">
        <f>+'PLAN DE CUENTAS'!C829</f>
        <v>0</v>
      </c>
      <c r="D829" t="str">
        <f>IF(tbal[[#This Row],[DEBE]]+tbal[[#This Row],[HABER]]=0,"","X")</f>
        <v/>
      </c>
      <c r="E829" s="16">
        <f>SUMIF(tdiario[CUENTA],tbal[[#This Row],[CUENTA]],tdiario[DEBE])</f>
        <v>0</v>
      </c>
      <c r="F829" s="17">
        <f>SUMIF(tdiario[CUENTA],tbal[[#This Row],[CUENTA]],tdiario[HABER])</f>
        <v>0</v>
      </c>
      <c r="G829" s="16">
        <f>IF(tbal[[#This Row],[DEBE]]-tbal[[#This Row],[HABER]]&gt;0,tbal[[#This Row],[DEBE]]-tbal[[#This Row],[HABER]],0)</f>
        <v>0</v>
      </c>
      <c r="H829" s="18">
        <f>IF(tbal[[#This Row],[HABER]]-tbal[[#This Row],[DEBE]]&gt;0,tbal[[#This Row],[HABER]]-tbal[[#This Row],[DEBE]],0)</f>
        <v>0</v>
      </c>
      <c r="I829" s="16">
        <f>IF((OR(tbal[[#This Row],[X]]=1,tbal[[#This Row],[X]]=2)),tbal[[#This Row],[DEUDOR]],0)</f>
        <v>0</v>
      </c>
      <c r="J829" s="18">
        <f>IF((OR(tbal[[#This Row],[X]]=2,tbal[[#This Row],[X]]=3)),tbal[[#This Row],[ACREEDOR]],0)</f>
        <v>0</v>
      </c>
      <c r="K829" s="16">
        <f>IF((OR(tbal[[#This Row],[X]]=3,tbal[[#This Row],[X]]=5)),tbal[[#This Row],[DEUDOR]],0)</f>
        <v>0</v>
      </c>
      <c r="L829" s="18">
        <f>IF((OR(tbal[[#This Row],[X]]=3,tbal[[#This Row],[X]]=4)),tbal[[#This Row],[ACREEDOR]],0)</f>
        <v>0</v>
      </c>
      <c r="M829" s="16">
        <f>IF((OR(tbal[[#This Row],[X]]=0,tbal[[#This Row],[X]]=6)),tbal[[#This Row],[DEUDOR]],0)</f>
        <v>0</v>
      </c>
      <c r="N829" s="18">
        <f>IF((OR(tbal[[#This Row],[X]]=0,tbal[[#This Row],[X]]=5)),tbal[[#This Row],[ACREEDOR]],0)</f>
        <v>0</v>
      </c>
    </row>
    <row r="830" spans="1:14" hidden="1" x14ac:dyDescent="0.3">
      <c r="A830" s="14">
        <f>+'PLAN DE CUENTAS'!A830</f>
        <v>0</v>
      </c>
      <c r="B830" s="13">
        <f>+'PLAN DE CUENTAS'!B830</f>
        <v>0</v>
      </c>
      <c r="C830" s="13">
        <f>+'PLAN DE CUENTAS'!C830</f>
        <v>0</v>
      </c>
      <c r="D830" t="str">
        <f>IF(tbal[[#This Row],[DEBE]]+tbal[[#This Row],[HABER]]=0,"","X")</f>
        <v/>
      </c>
      <c r="E830" s="16">
        <f>SUMIF(tdiario[CUENTA],tbal[[#This Row],[CUENTA]],tdiario[DEBE])</f>
        <v>0</v>
      </c>
      <c r="F830" s="17">
        <f>SUMIF(tdiario[CUENTA],tbal[[#This Row],[CUENTA]],tdiario[HABER])</f>
        <v>0</v>
      </c>
      <c r="G830" s="16">
        <f>IF(tbal[[#This Row],[DEBE]]-tbal[[#This Row],[HABER]]&gt;0,tbal[[#This Row],[DEBE]]-tbal[[#This Row],[HABER]],0)</f>
        <v>0</v>
      </c>
      <c r="H830" s="18">
        <f>IF(tbal[[#This Row],[HABER]]-tbal[[#This Row],[DEBE]]&gt;0,tbal[[#This Row],[HABER]]-tbal[[#This Row],[DEBE]],0)</f>
        <v>0</v>
      </c>
      <c r="I830" s="16">
        <f>IF((OR(tbal[[#This Row],[X]]=1,tbal[[#This Row],[X]]=2)),tbal[[#This Row],[DEUDOR]],0)</f>
        <v>0</v>
      </c>
      <c r="J830" s="18">
        <f>IF((OR(tbal[[#This Row],[X]]=2,tbal[[#This Row],[X]]=3)),tbal[[#This Row],[ACREEDOR]],0)</f>
        <v>0</v>
      </c>
      <c r="K830" s="16">
        <f>IF((OR(tbal[[#This Row],[X]]=3,tbal[[#This Row],[X]]=5)),tbal[[#This Row],[DEUDOR]],0)</f>
        <v>0</v>
      </c>
      <c r="L830" s="18">
        <f>IF((OR(tbal[[#This Row],[X]]=3,tbal[[#This Row],[X]]=4)),tbal[[#This Row],[ACREEDOR]],0)</f>
        <v>0</v>
      </c>
      <c r="M830" s="16">
        <f>IF((OR(tbal[[#This Row],[X]]=0,tbal[[#This Row],[X]]=6)),tbal[[#This Row],[DEUDOR]],0)</f>
        <v>0</v>
      </c>
      <c r="N830" s="18">
        <f>IF((OR(tbal[[#This Row],[X]]=0,tbal[[#This Row],[X]]=5)),tbal[[#This Row],[ACREEDOR]],0)</f>
        <v>0</v>
      </c>
    </row>
    <row r="831" spans="1:14" hidden="1" x14ac:dyDescent="0.3">
      <c r="A831" s="14">
        <f>+'PLAN DE CUENTAS'!A831</f>
        <v>0</v>
      </c>
      <c r="B831" s="13">
        <f>+'PLAN DE CUENTAS'!B831</f>
        <v>0</v>
      </c>
      <c r="C831" s="13">
        <f>+'PLAN DE CUENTAS'!C831</f>
        <v>0</v>
      </c>
      <c r="D831" t="str">
        <f>IF(tbal[[#This Row],[DEBE]]+tbal[[#This Row],[HABER]]=0,"","X")</f>
        <v/>
      </c>
      <c r="E831" s="16">
        <f>SUMIF(tdiario[CUENTA],tbal[[#This Row],[CUENTA]],tdiario[DEBE])</f>
        <v>0</v>
      </c>
      <c r="F831" s="17">
        <f>SUMIF(tdiario[CUENTA],tbal[[#This Row],[CUENTA]],tdiario[HABER])</f>
        <v>0</v>
      </c>
      <c r="G831" s="16">
        <f>IF(tbal[[#This Row],[DEBE]]-tbal[[#This Row],[HABER]]&gt;0,tbal[[#This Row],[DEBE]]-tbal[[#This Row],[HABER]],0)</f>
        <v>0</v>
      </c>
      <c r="H831" s="18">
        <f>IF(tbal[[#This Row],[HABER]]-tbal[[#This Row],[DEBE]]&gt;0,tbal[[#This Row],[HABER]]-tbal[[#This Row],[DEBE]],0)</f>
        <v>0</v>
      </c>
      <c r="I831" s="16">
        <f>IF((OR(tbal[[#This Row],[X]]=1,tbal[[#This Row],[X]]=2)),tbal[[#This Row],[DEUDOR]],0)</f>
        <v>0</v>
      </c>
      <c r="J831" s="18">
        <f>IF((OR(tbal[[#This Row],[X]]=2,tbal[[#This Row],[X]]=3)),tbal[[#This Row],[ACREEDOR]],0)</f>
        <v>0</v>
      </c>
      <c r="K831" s="16">
        <f>IF((OR(tbal[[#This Row],[X]]=3,tbal[[#This Row],[X]]=5)),tbal[[#This Row],[DEUDOR]],0)</f>
        <v>0</v>
      </c>
      <c r="L831" s="18">
        <f>IF((OR(tbal[[#This Row],[X]]=3,tbal[[#This Row],[X]]=4)),tbal[[#This Row],[ACREEDOR]],0)</f>
        <v>0</v>
      </c>
      <c r="M831" s="16">
        <f>IF((OR(tbal[[#This Row],[X]]=0,tbal[[#This Row],[X]]=6)),tbal[[#This Row],[DEUDOR]],0)</f>
        <v>0</v>
      </c>
      <c r="N831" s="18">
        <f>IF((OR(tbal[[#This Row],[X]]=0,tbal[[#This Row],[X]]=5)),tbal[[#This Row],[ACREEDOR]],0)</f>
        <v>0</v>
      </c>
    </row>
    <row r="832" spans="1:14" hidden="1" x14ac:dyDescent="0.3">
      <c r="A832" s="14">
        <f>+'PLAN DE CUENTAS'!A832</f>
        <v>0</v>
      </c>
      <c r="B832" s="13">
        <f>+'PLAN DE CUENTAS'!B832</f>
        <v>0</v>
      </c>
      <c r="C832" s="13">
        <f>+'PLAN DE CUENTAS'!C832</f>
        <v>0</v>
      </c>
      <c r="D832" t="str">
        <f>IF(tbal[[#This Row],[DEBE]]+tbal[[#This Row],[HABER]]=0,"","X")</f>
        <v/>
      </c>
      <c r="E832" s="16">
        <f>SUMIF(tdiario[CUENTA],tbal[[#This Row],[CUENTA]],tdiario[DEBE])</f>
        <v>0</v>
      </c>
      <c r="F832" s="17">
        <f>SUMIF(tdiario[CUENTA],tbal[[#This Row],[CUENTA]],tdiario[HABER])</f>
        <v>0</v>
      </c>
      <c r="G832" s="16">
        <f>IF(tbal[[#This Row],[DEBE]]-tbal[[#This Row],[HABER]]&gt;0,tbal[[#This Row],[DEBE]]-tbal[[#This Row],[HABER]],0)</f>
        <v>0</v>
      </c>
      <c r="H832" s="18">
        <f>IF(tbal[[#This Row],[HABER]]-tbal[[#This Row],[DEBE]]&gt;0,tbal[[#This Row],[HABER]]-tbal[[#This Row],[DEBE]],0)</f>
        <v>0</v>
      </c>
      <c r="I832" s="16">
        <f>IF((OR(tbal[[#This Row],[X]]=1,tbal[[#This Row],[X]]=2)),tbal[[#This Row],[DEUDOR]],0)</f>
        <v>0</v>
      </c>
      <c r="J832" s="18">
        <f>IF((OR(tbal[[#This Row],[X]]=2,tbal[[#This Row],[X]]=3)),tbal[[#This Row],[ACREEDOR]],0)</f>
        <v>0</v>
      </c>
      <c r="K832" s="16">
        <f>IF((OR(tbal[[#This Row],[X]]=3,tbal[[#This Row],[X]]=5)),tbal[[#This Row],[DEUDOR]],0)</f>
        <v>0</v>
      </c>
      <c r="L832" s="18">
        <f>IF((OR(tbal[[#This Row],[X]]=3,tbal[[#This Row],[X]]=4)),tbal[[#This Row],[ACREEDOR]],0)</f>
        <v>0</v>
      </c>
      <c r="M832" s="16">
        <f>IF((OR(tbal[[#This Row],[X]]=0,tbal[[#This Row],[X]]=6)),tbal[[#This Row],[DEUDOR]],0)</f>
        <v>0</v>
      </c>
      <c r="N832" s="18">
        <f>IF((OR(tbal[[#This Row],[X]]=0,tbal[[#This Row],[X]]=5)),tbal[[#This Row],[ACREEDOR]],0)</f>
        <v>0</v>
      </c>
    </row>
    <row r="833" spans="1:14" hidden="1" x14ac:dyDescent="0.3">
      <c r="A833" s="14">
        <f>+'PLAN DE CUENTAS'!A833</f>
        <v>0</v>
      </c>
      <c r="B833" s="13">
        <f>+'PLAN DE CUENTAS'!B833</f>
        <v>0</v>
      </c>
      <c r="C833" s="13">
        <f>+'PLAN DE CUENTAS'!C833</f>
        <v>0</v>
      </c>
      <c r="D833" t="str">
        <f>IF(tbal[[#This Row],[DEBE]]+tbal[[#This Row],[HABER]]=0,"","X")</f>
        <v/>
      </c>
      <c r="E833" s="16">
        <f>SUMIF(tdiario[CUENTA],tbal[[#This Row],[CUENTA]],tdiario[DEBE])</f>
        <v>0</v>
      </c>
      <c r="F833" s="17">
        <f>SUMIF(tdiario[CUENTA],tbal[[#This Row],[CUENTA]],tdiario[HABER])</f>
        <v>0</v>
      </c>
      <c r="G833" s="16">
        <f>IF(tbal[[#This Row],[DEBE]]-tbal[[#This Row],[HABER]]&gt;0,tbal[[#This Row],[DEBE]]-tbal[[#This Row],[HABER]],0)</f>
        <v>0</v>
      </c>
      <c r="H833" s="18">
        <f>IF(tbal[[#This Row],[HABER]]-tbal[[#This Row],[DEBE]]&gt;0,tbal[[#This Row],[HABER]]-tbal[[#This Row],[DEBE]],0)</f>
        <v>0</v>
      </c>
      <c r="I833" s="16">
        <f>IF((OR(tbal[[#This Row],[X]]=1,tbal[[#This Row],[X]]=2)),tbal[[#This Row],[DEUDOR]],0)</f>
        <v>0</v>
      </c>
      <c r="J833" s="18">
        <f>IF((OR(tbal[[#This Row],[X]]=2,tbal[[#This Row],[X]]=3)),tbal[[#This Row],[ACREEDOR]],0)</f>
        <v>0</v>
      </c>
      <c r="K833" s="16">
        <f>IF((OR(tbal[[#This Row],[X]]=3,tbal[[#This Row],[X]]=5)),tbal[[#This Row],[DEUDOR]],0)</f>
        <v>0</v>
      </c>
      <c r="L833" s="18">
        <f>IF((OR(tbal[[#This Row],[X]]=3,tbal[[#This Row],[X]]=4)),tbal[[#This Row],[ACREEDOR]],0)</f>
        <v>0</v>
      </c>
      <c r="M833" s="16">
        <f>IF((OR(tbal[[#This Row],[X]]=0,tbal[[#This Row],[X]]=6)),tbal[[#This Row],[DEUDOR]],0)</f>
        <v>0</v>
      </c>
      <c r="N833" s="18">
        <f>IF((OR(tbal[[#This Row],[X]]=0,tbal[[#This Row],[X]]=5)),tbal[[#This Row],[ACREEDOR]],0)</f>
        <v>0</v>
      </c>
    </row>
    <row r="834" spans="1:14" hidden="1" x14ac:dyDescent="0.3">
      <c r="A834" s="14">
        <f>+'PLAN DE CUENTAS'!A834</f>
        <v>0</v>
      </c>
      <c r="B834" s="13">
        <f>+'PLAN DE CUENTAS'!B834</f>
        <v>0</v>
      </c>
      <c r="C834" s="13">
        <f>+'PLAN DE CUENTAS'!C834</f>
        <v>0</v>
      </c>
      <c r="D834" t="str">
        <f>IF(tbal[[#This Row],[DEBE]]+tbal[[#This Row],[HABER]]=0,"","X")</f>
        <v/>
      </c>
      <c r="E834" s="16">
        <f>SUMIF(tdiario[CUENTA],tbal[[#This Row],[CUENTA]],tdiario[DEBE])</f>
        <v>0</v>
      </c>
      <c r="F834" s="17">
        <f>SUMIF(tdiario[CUENTA],tbal[[#This Row],[CUENTA]],tdiario[HABER])</f>
        <v>0</v>
      </c>
      <c r="G834" s="16">
        <f>IF(tbal[[#This Row],[DEBE]]-tbal[[#This Row],[HABER]]&gt;0,tbal[[#This Row],[DEBE]]-tbal[[#This Row],[HABER]],0)</f>
        <v>0</v>
      </c>
      <c r="H834" s="18">
        <f>IF(tbal[[#This Row],[HABER]]-tbal[[#This Row],[DEBE]]&gt;0,tbal[[#This Row],[HABER]]-tbal[[#This Row],[DEBE]],0)</f>
        <v>0</v>
      </c>
      <c r="I834" s="16">
        <f>IF((OR(tbal[[#This Row],[X]]=1,tbal[[#This Row],[X]]=2)),tbal[[#This Row],[DEUDOR]],0)</f>
        <v>0</v>
      </c>
      <c r="J834" s="18">
        <f>IF((OR(tbal[[#This Row],[X]]=2,tbal[[#This Row],[X]]=3)),tbal[[#This Row],[ACREEDOR]],0)</f>
        <v>0</v>
      </c>
      <c r="K834" s="16">
        <f>IF((OR(tbal[[#This Row],[X]]=3,tbal[[#This Row],[X]]=5)),tbal[[#This Row],[DEUDOR]],0)</f>
        <v>0</v>
      </c>
      <c r="L834" s="18">
        <f>IF((OR(tbal[[#This Row],[X]]=3,tbal[[#This Row],[X]]=4)),tbal[[#This Row],[ACREEDOR]],0)</f>
        <v>0</v>
      </c>
      <c r="M834" s="16">
        <f>IF((OR(tbal[[#This Row],[X]]=0,tbal[[#This Row],[X]]=6)),tbal[[#This Row],[DEUDOR]],0)</f>
        <v>0</v>
      </c>
      <c r="N834" s="18">
        <f>IF((OR(tbal[[#This Row],[X]]=0,tbal[[#This Row],[X]]=5)),tbal[[#This Row],[ACREEDOR]],0)</f>
        <v>0</v>
      </c>
    </row>
    <row r="835" spans="1:14" hidden="1" x14ac:dyDescent="0.3">
      <c r="A835" s="14">
        <f>+'PLAN DE CUENTAS'!A835</f>
        <v>0</v>
      </c>
      <c r="B835" s="13">
        <f>+'PLAN DE CUENTAS'!B835</f>
        <v>0</v>
      </c>
      <c r="C835" s="13">
        <f>+'PLAN DE CUENTAS'!C835</f>
        <v>0</v>
      </c>
      <c r="D835" t="str">
        <f>IF(tbal[[#This Row],[DEBE]]+tbal[[#This Row],[HABER]]=0,"","X")</f>
        <v/>
      </c>
      <c r="E835" s="16">
        <f>SUMIF(tdiario[CUENTA],tbal[[#This Row],[CUENTA]],tdiario[DEBE])</f>
        <v>0</v>
      </c>
      <c r="F835" s="17">
        <f>SUMIF(tdiario[CUENTA],tbal[[#This Row],[CUENTA]],tdiario[HABER])</f>
        <v>0</v>
      </c>
      <c r="G835" s="16">
        <f>IF(tbal[[#This Row],[DEBE]]-tbal[[#This Row],[HABER]]&gt;0,tbal[[#This Row],[DEBE]]-tbal[[#This Row],[HABER]],0)</f>
        <v>0</v>
      </c>
      <c r="H835" s="18">
        <f>IF(tbal[[#This Row],[HABER]]-tbal[[#This Row],[DEBE]]&gt;0,tbal[[#This Row],[HABER]]-tbal[[#This Row],[DEBE]],0)</f>
        <v>0</v>
      </c>
      <c r="I835" s="16">
        <f>IF((OR(tbal[[#This Row],[X]]=1,tbal[[#This Row],[X]]=2)),tbal[[#This Row],[DEUDOR]],0)</f>
        <v>0</v>
      </c>
      <c r="J835" s="18">
        <f>IF((OR(tbal[[#This Row],[X]]=2,tbal[[#This Row],[X]]=3)),tbal[[#This Row],[ACREEDOR]],0)</f>
        <v>0</v>
      </c>
      <c r="K835" s="16">
        <f>IF((OR(tbal[[#This Row],[X]]=3,tbal[[#This Row],[X]]=5)),tbal[[#This Row],[DEUDOR]],0)</f>
        <v>0</v>
      </c>
      <c r="L835" s="18">
        <f>IF((OR(tbal[[#This Row],[X]]=3,tbal[[#This Row],[X]]=4)),tbal[[#This Row],[ACREEDOR]],0)</f>
        <v>0</v>
      </c>
      <c r="M835" s="16">
        <f>IF((OR(tbal[[#This Row],[X]]=0,tbal[[#This Row],[X]]=6)),tbal[[#This Row],[DEUDOR]],0)</f>
        <v>0</v>
      </c>
      <c r="N835" s="18">
        <f>IF((OR(tbal[[#This Row],[X]]=0,tbal[[#This Row],[X]]=5)),tbal[[#This Row],[ACREEDOR]],0)</f>
        <v>0</v>
      </c>
    </row>
    <row r="836" spans="1:14" hidden="1" x14ac:dyDescent="0.3">
      <c r="A836" s="14">
        <f>+'PLAN DE CUENTAS'!A836</f>
        <v>0</v>
      </c>
      <c r="B836" s="13">
        <f>+'PLAN DE CUENTAS'!B836</f>
        <v>0</v>
      </c>
      <c r="C836" s="13">
        <f>+'PLAN DE CUENTAS'!C836</f>
        <v>0</v>
      </c>
      <c r="D836" t="str">
        <f>IF(tbal[[#This Row],[DEBE]]+tbal[[#This Row],[HABER]]=0,"","X")</f>
        <v/>
      </c>
      <c r="E836" s="16">
        <f>SUMIF(tdiario[CUENTA],tbal[[#This Row],[CUENTA]],tdiario[DEBE])</f>
        <v>0</v>
      </c>
      <c r="F836" s="17">
        <f>SUMIF(tdiario[CUENTA],tbal[[#This Row],[CUENTA]],tdiario[HABER])</f>
        <v>0</v>
      </c>
      <c r="G836" s="16">
        <f>IF(tbal[[#This Row],[DEBE]]-tbal[[#This Row],[HABER]]&gt;0,tbal[[#This Row],[DEBE]]-tbal[[#This Row],[HABER]],0)</f>
        <v>0</v>
      </c>
      <c r="H836" s="18">
        <f>IF(tbal[[#This Row],[HABER]]-tbal[[#This Row],[DEBE]]&gt;0,tbal[[#This Row],[HABER]]-tbal[[#This Row],[DEBE]],0)</f>
        <v>0</v>
      </c>
      <c r="I836" s="16">
        <f>IF((OR(tbal[[#This Row],[X]]=1,tbal[[#This Row],[X]]=2)),tbal[[#This Row],[DEUDOR]],0)</f>
        <v>0</v>
      </c>
      <c r="J836" s="18">
        <f>IF((OR(tbal[[#This Row],[X]]=2,tbal[[#This Row],[X]]=3)),tbal[[#This Row],[ACREEDOR]],0)</f>
        <v>0</v>
      </c>
      <c r="K836" s="16">
        <f>IF((OR(tbal[[#This Row],[X]]=3,tbal[[#This Row],[X]]=5)),tbal[[#This Row],[DEUDOR]],0)</f>
        <v>0</v>
      </c>
      <c r="L836" s="18">
        <f>IF((OR(tbal[[#This Row],[X]]=3,tbal[[#This Row],[X]]=4)),tbal[[#This Row],[ACREEDOR]],0)</f>
        <v>0</v>
      </c>
      <c r="M836" s="16">
        <f>IF((OR(tbal[[#This Row],[X]]=0,tbal[[#This Row],[X]]=6)),tbal[[#This Row],[DEUDOR]],0)</f>
        <v>0</v>
      </c>
      <c r="N836" s="18">
        <f>IF((OR(tbal[[#This Row],[X]]=0,tbal[[#This Row],[X]]=5)),tbal[[#This Row],[ACREEDOR]],0)</f>
        <v>0</v>
      </c>
    </row>
    <row r="837" spans="1:14" hidden="1" x14ac:dyDescent="0.3">
      <c r="A837" s="14">
        <f>+'PLAN DE CUENTAS'!A837</f>
        <v>0</v>
      </c>
      <c r="B837" s="13">
        <f>+'PLAN DE CUENTAS'!B837</f>
        <v>0</v>
      </c>
      <c r="C837" s="13">
        <f>+'PLAN DE CUENTAS'!C837</f>
        <v>0</v>
      </c>
      <c r="D837" t="str">
        <f>IF(tbal[[#This Row],[DEBE]]+tbal[[#This Row],[HABER]]=0,"","X")</f>
        <v/>
      </c>
      <c r="E837" s="16">
        <f>SUMIF(tdiario[CUENTA],tbal[[#This Row],[CUENTA]],tdiario[DEBE])</f>
        <v>0</v>
      </c>
      <c r="F837" s="17">
        <f>SUMIF(tdiario[CUENTA],tbal[[#This Row],[CUENTA]],tdiario[HABER])</f>
        <v>0</v>
      </c>
      <c r="G837" s="16">
        <f>IF(tbal[[#This Row],[DEBE]]-tbal[[#This Row],[HABER]]&gt;0,tbal[[#This Row],[DEBE]]-tbal[[#This Row],[HABER]],0)</f>
        <v>0</v>
      </c>
      <c r="H837" s="18">
        <f>IF(tbal[[#This Row],[HABER]]-tbal[[#This Row],[DEBE]]&gt;0,tbal[[#This Row],[HABER]]-tbal[[#This Row],[DEBE]],0)</f>
        <v>0</v>
      </c>
      <c r="I837" s="16">
        <f>IF((OR(tbal[[#This Row],[X]]=1,tbal[[#This Row],[X]]=2)),tbal[[#This Row],[DEUDOR]],0)</f>
        <v>0</v>
      </c>
      <c r="J837" s="18">
        <f>IF((OR(tbal[[#This Row],[X]]=2,tbal[[#This Row],[X]]=3)),tbal[[#This Row],[ACREEDOR]],0)</f>
        <v>0</v>
      </c>
      <c r="K837" s="16">
        <f>IF((OR(tbal[[#This Row],[X]]=3,tbal[[#This Row],[X]]=5)),tbal[[#This Row],[DEUDOR]],0)</f>
        <v>0</v>
      </c>
      <c r="L837" s="18">
        <f>IF((OR(tbal[[#This Row],[X]]=3,tbal[[#This Row],[X]]=4)),tbal[[#This Row],[ACREEDOR]],0)</f>
        <v>0</v>
      </c>
      <c r="M837" s="16">
        <f>IF((OR(tbal[[#This Row],[X]]=0,tbal[[#This Row],[X]]=6)),tbal[[#This Row],[DEUDOR]],0)</f>
        <v>0</v>
      </c>
      <c r="N837" s="18">
        <f>IF((OR(tbal[[#This Row],[X]]=0,tbal[[#This Row],[X]]=5)),tbal[[#This Row],[ACREEDOR]],0)</f>
        <v>0</v>
      </c>
    </row>
    <row r="838" spans="1:14" hidden="1" x14ac:dyDescent="0.3">
      <c r="A838" s="14">
        <f>+'PLAN DE CUENTAS'!A838</f>
        <v>0</v>
      </c>
      <c r="B838" s="13">
        <f>+'PLAN DE CUENTAS'!B838</f>
        <v>0</v>
      </c>
      <c r="C838" s="13">
        <f>+'PLAN DE CUENTAS'!C838</f>
        <v>0</v>
      </c>
      <c r="D838" t="str">
        <f>IF(tbal[[#This Row],[DEBE]]+tbal[[#This Row],[HABER]]=0,"","X")</f>
        <v/>
      </c>
      <c r="E838" s="16">
        <f>SUMIF(tdiario[CUENTA],tbal[[#This Row],[CUENTA]],tdiario[DEBE])</f>
        <v>0</v>
      </c>
      <c r="F838" s="17">
        <f>SUMIF(tdiario[CUENTA],tbal[[#This Row],[CUENTA]],tdiario[HABER])</f>
        <v>0</v>
      </c>
      <c r="G838" s="16">
        <f>IF(tbal[[#This Row],[DEBE]]-tbal[[#This Row],[HABER]]&gt;0,tbal[[#This Row],[DEBE]]-tbal[[#This Row],[HABER]],0)</f>
        <v>0</v>
      </c>
      <c r="H838" s="18">
        <f>IF(tbal[[#This Row],[HABER]]-tbal[[#This Row],[DEBE]]&gt;0,tbal[[#This Row],[HABER]]-tbal[[#This Row],[DEBE]],0)</f>
        <v>0</v>
      </c>
      <c r="I838" s="16">
        <f>IF((OR(tbal[[#This Row],[X]]=1,tbal[[#This Row],[X]]=2)),tbal[[#This Row],[DEUDOR]],0)</f>
        <v>0</v>
      </c>
      <c r="J838" s="18">
        <f>IF((OR(tbal[[#This Row],[X]]=2,tbal[[#This Row],[X]]=3)),tbal[[#This Row],[ACREEDOR]],0)</f>
        <v>0</v>
      </c>
      <c r="K838" s="16">
        <f>IF((OR(tbal[[#This Row],[X]]=3,tbal[[#This Row],[X]]=5)),tbal[[#This Row],[DEUDOR]],0)</f>
        <v>0</v>
      </c>
      <c r="L838" s="18">
        <f>IF((OR(tbal[[#This Row],[X]]=3,tbal[[#This Row],[X]]=4)),tbal[[#This Row],[ACREEDOR]],0)</f>
        <v>0</v>
      </c>
      <c r="M838" s="16">
        <f>IF((OR(tbal[[#This Row],[X]]=0,tbal[[#This Row],[X]]=6)),tbal[[#This Row],[DEUDOR]],0)</f>
        <v>0</v>
      </c>
      <c r="N838" s="18">
        <f>IF((OR(tbal[[#This Row],[X]]=0,tbal[[#This Row],[X]]=5)),tbal[[#This Row],[ACREEDOR]],0)</f>
        <v>0</v>
      </c>
    </row>
    <row r="839" spans="1:14" hidden="1" x14ac:dyDescent="0.3">
      <c r="A839" s="14">
        <f>+'PLAN DE CUENTAS'!A839</f>
        <v>0</v>
      </c>
      <c r="B839" s="13">
        <f>+'PLAN DE CUENTAS'!B839</f>
        <v>0</v>
      </c>
      <c r="C839" s="13">
        <f>+'PLAN DE CUENTAS'!C839</f>
        <v>0</v>
      </c>
      <c r="D839" t="str">
        <f>IF(tbal[[#This Row],[DEBE]]+tbal[[#This Row],[HABER]]=0,"","X")</f>
        <v/>
      </c>
      <c r="E839" s="16">
        <f>SUMIF(tdiario[CUENTA],tbal[[#This Row],[CUENTA]],tdiario[DEBE])</f>
        <v>0</v>
      </c>
      <c r="F839" s="17">
        <f>SUMIF(tdiario[CUENTA],tbal[[#This Row],[CUENTA]],tdiario[HABER])</f>
        <v>0</v>
      </c>
      <c r="G839" s="16">
        <f>IF(tbal[[#This Row],[DEBE]]-tbal[[#This Row],[HABER]]&gt;0,tbal[[#This Row],[DEBE]]-tbal[[#This Row],[HABER]],0)</f>
        <v>0</v>
      </c>
      <c r="H839" s="18">
        <f>IF(tbal[[#This Row],[HABER]]-tbal[[#This Row],[DEBE]]&gt;0,tbal[[#This Row],[HABER]]-tbal[[#This Row],[DEBE]],0)</f>
        <v>0</v>
      </c>
      <c r="I839" s="16">
        <f>IF((OR(tbal[[#This Row],[X]]=1,tbal[[#This Row],[X]]=2)),tbal[[#This Row],[DEUDOR]],0)</f>
        <v>0</v>
      </c>
      <c r="J839" s="18">
        <f>IF((OR(tbal[[#This Row],[X]]=2,tbal[[#This Row],[X]]=3)),tbal[[#This Row],[ACREEDOR]],0)</f>
        <v>0</v>
      </c>
      <c r="K839" s="16">
        <f>IF((OR(tbal[[#This Row],[X]]=3,tbal[[#This Row],[X]]=5)),tbal[[#This Row],[DEUDOR]],0)</f>
        <v>0</v>
      </c>
      <c r="L839" s="18">
        <f>IF((OR(tbal[[#This Row],[X]]=3,tbal[[#This Row],[X]]=4)),tbal[[#This Row],[ACREEDOR]],0)</f>
        <v>0</v>
      </c>
      <c r="M839" s="16">
        <f>IF((OR(tbal[[#This Row],[X]]=0,tbal[[#This Row],[X]]=6)),tbal[[#This Row],[DEUDOR]],0)</f>
        <v>0</v>
      </c>
      <c r="N839" s="18">
        <f>IF((OR(tbal[[#This Row],[X]]=0,tbal[[#This Row],[X]]=5)),tbal[[#This Row],[ACREEDOR]],0)</f>
        <v>0</v>
      </c>
    </row>
    <row r="840" spans="1:14" hidden="1" x14ac:dyDescent="0.3">
      <c r="A840" s="14">
        <f>+'PLAN DE CUENTAS'!A840</f>
        <v>0</v>
      </c>
      <c r="B840" s="13">
        <f>+'PLAN DE CUENTAS'!B840</f>
        <v>0</v>
      </c>
      <c r="C840" s="13">
        <f>+'PLAN DE CUENTAS'!C840</f>
        <v>0</v>
      </c>
      <c r="D840" t="str">
        <f>IF(tbal[[#This Row],[DEBE]]+tbal[[#This Row],[HABER]]=0,"","X")</f>
        <v/>
      </c>
      <c r="E840" s="16">
        <f>SUMIF(tdiario[CUENTA],tbal[[#This Row],[CUENTA]],tdiario[DEBE])</f>
        <v>0</v>
      </c>
      <c r="F840" s="17">
        <f>SUMIF(tdiario[CUENTA],tbal[[#This Row],[CUENTA]],tdiario[HABER])</f>
        <v>0</v>
      </c>
      <c r="G840" s="16">
        <f>IF(tbal[[#This Row],[DEBE]]-tbal[[#This Row],[HABER]]&gt;0,tbal[[#This Row],[DEBE]]-tbal[[#This Row],[HABER]],0)</f>
        <v>0</v>
      </c>
      <c r="H840" s="18">
        <f>IF(tbal[[#This Row],[HABER]]-tbal[[#This Row],[DEBE]]&gt;0,tbal[[#This Row],[HABER]]-tbal[[#This Row],[DEBE]],0)</f>
        <v>0</v>
      </c>
      <c r="I840" s="16">
        <f>IF((OR(tbal[[#This Row],[X]]=1,tbal[[#This Row],[X]]=2)),tbal[[#This Row],[DEUDOR]],0)</f>
        <v>0</v>
      </c>
      <c r="J840" s="18">
        <f>IF((OR(tbal[[#This Row],[X]]=2,tbal[[#This Row],[X]]=3)),tbal[[#This Row],[ACREEDOR]],0)</f>
        <v>0</v>
      </c>
      <c r="K840" s="16">
        <f>IF((OR(tbal[[#This Row],[X]]=3,tbal[[#This Row],[X]]=5)),tbal[[#This Row],[DEUDOR]],0)</f>
        <v>0</v>
      </c>
      <c r="L840" s="18">
        <f>IF((OR(tbal[[#This Row],[X]]=3,tbal[[#This Row],[X]]=4)),tbal[[#This Row],[ACREEDOR]],0)</f>
        <v>0</v>
      </c>
      <c r="M840" s="16">
        <f>IF((OR(tbal[[#This Row],[X]]=0,tbal[[#This Row],[X]]=6)),tbal[[#This Row],[DEUDOR]],0)</f>
        <v>0</v>
      </c>
      <c r="N840" s="18">
        <f>IF((OR(tbal[[#This Row],[X]]=0,tbal[[#This Row],[X]]=5)),tbal[[#This Row],[ACREEDOR]],0)</f>
        <v>0</v>
      </c>
    </row>
    <row r="841" spans="1:14" hidden="1" x14ac:dyDescent="0.3">
      <c r="A841" s="14">
        <f>+'PLAN DE CUENTAS'!A841</f>
        <v>0</v>
      </c>
      <c r="B841" s="13">
        <f>+'PLAN DE CUENTAS'!B841</f>
        <v>0</v>
      </c>
      <c r="C841" s="13">
        <f>+'PLAN DE CUENTAS'!C841</f>
        <v>0</v>
      </c>
      <c r="D841" t="str">
        <f>IF(tbal[[#This Row],[DEBE]]+tbal[[#This Row],[HABER]]=0,"","X")</f>
        <v/>
      </c>
      <c r="E841" s="16">
        <f>SUMIF(tdiario[CUENTA],tbal[[#This Row],[CUENTA]],tdiario[DEBE])</f>
        <v>0</v>
      </c>
      <c r="F841" s="17">
        <f>SUMIF(tdiario[CUENTA],tbal[[#This Row],[CUENTA]],tdiario[HABER])</f>
        <v>0</v>
      </c>
      <c r="G841" s="16">
        <f>IF(tbal[[#This Row],[DEBE]]-tbal[[#This Row],[HABER]]&gt;0,tbal[[#This Row],[DEBE]]-tbal[[#This Row],[HABER]],0)</f>
        <v>0</v>
      </c>
      <c r="H841" s="18">
        <f>IF(tbal[[#This Row],[HABER]]-tbal[[#This Row],[DEBE]]&gt;0,tbal[[#This Row],[HABER]]-tbal[[#This Row],[DEBE]],0)</f>
        <v>0</v>
      </c>
      <c r="I841" s="16">
        <f>IF((OR(tbal[[#This Row],[X]]=1,tbal[[#This Row],[X]]=2)),tbal[[#This Row],[DEUDOR]],0)</f>
        <v>0</v>
      </c>
      <c r="J841" s="18">
        <f>IF((OR(tbal[[#This Row],[X]]=2,tbal[[#This Row],[X]]=3)),tbal[[#This Row],[ACREEDOR]],0)</f>
        <v>0</v>
      </c>
      <c r="K841" s="16">
        <f>IF((OR(tbal[[#This Row],[X]]=3,tbal[[#This Row],[X]]=5)),tbal[[#This Row],[DEUDOR]],0)</f>
        <v>0</v>
      </c>
      <c r="L841" s="18">
        <f>IF((OR(tbal[[#This Row],[X]]=3,tbal[[#This Row],[X]]=4)),tbal[[#This Row],[ACREEDOR]],0)</f>
        <v>0</v>
      </c>
      <c r="M841" s="16">
        <f>IF((OR(tbal[[#This Row],[X]]=0,tbal[[#This Row],[X]]=6)),tbal[[#This Row],[DEUDOR]],0)</f>
        <v>0</v>
      </c>
      <c r="N841" s="18">
        <f>IF((OR(tbal[[#This Row],[X]]=0,tbal[[#This Row],[X]]=5)),tbal[[#This Row],[ACREEDOR]],0)</f>
        <v>0</v>
      </c>
    </row>
    <row r="842" spans="1:14" hidden="1" x14ac:dyDescent="0.3">
      <c r="A842" s="14">
        <f>+'PLAN DE CUENTAS'!A842</f>
        <v>0</v>
      </c>
      <c r="B842" s="13">
        <f>+'PLAN DE CUENTAS'!B842</f>
        <v>0</v>
      </c>
      <c r="C842" s="13">
        <f>+'PLAN DE CUENTAS'!C842</f>
        <v>0</v>
      </c>
      <c r="D842" t="str">
        <f>IF(tbal[[#This Row],[DEBE]]+tbal[[#This Row],[HABER]]=0,"","X")</f>
        <v/>
      </c>
      <c r="E842" s="16">
        <f>SUMIF(tdiario[CUENTA],tbal[[#This Row],[CUENTA]],tdiario[DEBE])</f>
        <v>0</v>
      </c>
      <c r="F842" s="17">
        <f>SUMIF(tdiario[CUENTA],tbal[[#This Row],[CUENTA]],tdiario[HABER])</f>
        <v>0</v>
      </c>
      <c r="G842" s="16">
        <f>IF(tbal[[#This Row],[DEBE]]-tbal[[#This Row],[HABER]]&gt;0,tbal[[#This Row],[DEBE]]-tbal[[#This Row],[HABER]],0)</f>
        <v>0</v>
      </c>
      <c r="H842" s="18">
        <f>IF(tbal[[#This Row],[HABER]]-tbal[[#This Row],[DEBE]]&gt;0,tbal[[#This Row],[HABER]]-tbal[[#This Row],[DEBE]],0)</f>
        <v>0</v>
      </c>
      <c r="I842" s="16">
        <f>IF((OR(tbal[[#This Row],[X]]=1,tbal[[#This Row],[X]]=2)),tbal[[#This Row],[DEUDOR]],0)</f>
        <v>0</v>
      </c>
      <c r="J842" s="18">
        <f>IF((OR(tbal[[#This Row],[X]]=2,tbal[[#This Row],[X]]=3)),tbal[[#This Row],[ACREEDOR]],0)</f>
        <v>0</v>
      </c>
      <c r="K842" s="16">
        <f>IF((OR(tbal[[#This Row],[X]]=3,tbal[[#This Row],[X]]=5)),tbal[[#This Row],[DEUDOR]],0)</f>
        <v>0</v>
      </c>
      <c r="L842" s="18">
        <f>IF((OR(tbal[[#This Row],[X]]=3,tbal[[#This Row],[X]]=4)),tbal[[#This Row],[ACREEDOR]],0)</f>
        <v>0</v>
      </c>
      <c r="M842" s="16">
        <f>IF((OR(tbal[[#This Row],[X]]=0,tbal[[#This Row],[X]]=6)),tbal[[#This Row],[DEUDOR]],0)</f>
        <v>0</v>
      </c>
      <c r="N842" s="18">
        <f>IF((OR(tbal[[#This Row],[X]]=0,tbal[[#This Row],[X]]=5)),tbal[[#This Row],[ACREEDOR]],0)</f>
        <v>0</v>
      </c>
    </row>
    <row r="843" spans="1:14" hidden="1" x14ac:dyDescent="0.3">
      <c r="A843" s="14">
        <f>+'PLAN DE CUENTAS'!A843</f>
        <v>0</v>
      </c>
      <c r="B843" s="13">
        <f>+'PLAN DE CUENTAS'!B843</f>
        <v>0</v>
      </c>
      <c r="C843" s="13">
        <f>+'PLAN DE CUENTAS'!C843</f>
        <v>0</v>
      </c>
      <c r="D843" t="str">
        <f>IF(tbal[[#This Row],[DEBE]]+tbal[[#This Row],[HABER]]=0,"","X")</f>
        <v/>
      </c>
      <c r="E843" s="16">
        <f>SUMIF(tdiario[CUENTA],tbal[[#This Row],[CUENTA]],tdiario[DEBE])</f>
        <v>0</v>
      </c>
      <c r="F843" s="17">
        <f>SUMIF(tdiario[CUENTA],tbal[[#This Row],[CUENTA]],tdiario[HABER])</f>
        <v>0</v>
      </c>
      <c r="G843" s="16">
        <f>IF(tbal[[#This Row],[DEBE]]-tbal[[#This Row],[HABER]]&gt;0,tbal[[#This Row],[DEBE]]-tbal[[#This Row],[HABER]],0)</f>
        <v>0</v>
      </c>
      <c r="H843" s="18">
        <f>IF(tbal[[#This Row],[HABER]]-tbal[[#This Row],[DEBE]]&gt;0,tbal[[#This Row],[HABER]]-tbal[[#This Row],[DEBE]],0)</f>
        <v>0</v>
      </c>
      <c r="I843" s="16">
        <f>IF((OR(tbal[[#This Row],[X]]=1,tbal[[#This Row],[X]]=2)),tbal[[#This Row],[DEUDOR]],0)</f>
        <v>0</v>
      </c>
      <c r="J843" s="18">
        <f>IF((OR(tbal[[#This Row],[X]]=2,tbal[[#This Row],[X]]=3)),tbal[[#This Row],[ACREEDOR]],0)</f>
        <v>0</v>
      </c>
      <c r="K843" s="16">
        <f>IF((OR(tbal[[#This Row],[X]]=3,tbal[[#This Row],[X]]=5)),tbal[[#This Row],[DEUDOR]],0)</f>
        <v>0</v>
      </c>
      <c r="L843" s="18">
        <f>IF((OR(tbal[[#This Row],[X]]=3,tbal[[#This Row],[X]]=4)),tbal[[#This Row],[ACREEDOR]],0)</f>
        <v>0</v>
      </c>
      <c r="M843" s="16">
        <f>IF((OR(tbal[[#This Row],[X]]=0,tbal[[#This Row],[X]]=6)),tbal[[#This Row],[DEUDOR]],0)</f>
        <v>0</v>
      </c>
      <c r="N843" s="18">
        <f>IF((OR(tbal[[#This Row],[X]]=0,tbal[[#This Row],[X]]=5)),tbal[[#This Row],[ACREEDOR]],0)</f>
        <v>0</v>
      </c>
    </row>
    <row r="844" spans="1:14" hidden="1" x14ac:dyDescent="0.3">
      <c r="A844" s="14">
        <f>+'PLAN DE CUENTAS'!A844</f>
        <v>0</v>
      </c>
      <c r="B844" s="13">
        <f>+'PLAN DE CUENTAS'!B844</f>
        <v>0</v>
      </c>
      <c r="C844" s="13">
        <f>+'PLAN DE CUENTAS'!C844</f>
        <v>0</v>
      </c>
      <c r="D844" t="str">
        <f>IF(tbal[[#This Row],[DEBE]]+tbal[[#This Row],[HABER]]=0,"","X")</f>
        <v/>
      </c>
      <c r="E844" s="16">
        <f>SUMIF(tdiario[CUENTA],tbal[[#This Row],[CUENTA]],tdiario[DEBE])</f>
        <v>0</v>
      </c>
      <c r="F844" s="17">
        <f>SUMIF(tdiario[CUENTA],tbal[[#This Row],[CUENTA]],tdiario[HABER])</f>
        <v>0</v>
      </c>
      <c r="G844" s="16">
        <f>IF(tbal[[#This Row],[DEBE]]-tbal[[#This Row],[HABER]]&gt;0,tbal[[#This Row],[DEBE]]-tbal[[#This Row],[HABER]],0)</f>
        <v>0</v>
      </c>
      <c r="H844" s="18">
        <f>IF(tbal[[#This Row],[HABER]]-tbal[[#This Row],[DEBE]]&gt;0,tbal[[#This Row],[HABER]]-tbal[[#This Row],[DEBE]],0)</f>
        <v>0</v>
      </c>
      <c r="I844" s="16">
        <f>IF((OR(tbal[[#This Row],[X]]=1,tbal[[#This Row],[X]]=2)),tbal[[#This Row],[DEUDOR]],0)</f>
        <v>0</v>
      </c>
      <c r="J844" s="18">
        <f>IF((OR(tbal[[#This Row],[X]]=2,tbal[[#This Row],[X]]=3)),tbal[[#This Row],[ACREEDOR]],0)</f>
        <v>0</v>
      </c>
      <c r="K844" s="16">
        <f>IF((OR(tbal[[#This Row],[X]]=3,tbal[[#This Row],[X]]=5)),tbal[[#This Row],[DEUDOR]],0)</f>
        <v>0</v>
      </c>
      <c r="L844" s="18">
        <f>IF((OR(tbal[[#This Row],[X]]=3,tbal[[#This Row],[X]]=4)),tbal[[#This Row],[ACREEDOR]],0)</f>
        <v>0</v>
      </c>
      <c r="M844" s="16">
        <f>IF((OR(tbal[[#This Row],[X]]=0,tbal[[#This Row],[X]]=6)),tbal[[#This Row],[DEUDOR]],0)</f>
        <v>0</v>
      </c>
      <c r="N844" s="18">
        <f>IF((OR(tbal[[#This Row],[X]]=0,tbal[[#This Row],[X]]=5)),tbal[[#This Row],[ACREEDOR]],0)</f>
        <v>0</v>
      </c>
    </row>
    <row r="845" spans="1:14" hidden="1" x14ac:dyDescent="0.3">
      <c r="A845" s="14">
        <f>+'PLAN DE CUENTAS'!A845</f>
        <v>0</v>
      </c>
      <c r="B845" s="13">
        <f>+'PLAN DE CUENTAS'!B845</f>
        <v>0</v>
      </c>
      <c r="C845" s="13">
        <f>+'PLAN DE CUENTAS'!C845</f>
        <v>0</v>
      </c>
      <c r="D845" t="str">
        <f>IF(tbal[[#This Row],[DEBE]]+tbal[[#This Row],[HABER]]=0,"","X")</f>
        <v/>
      </c>
      <c r="E845" s="16">
        <f>SUMIF(tdiario[CUENTA],tbal[[#This Row],[CUENTA]],tdiario[DEBE])</f>
        <v>0</v>
      </c>
      <c r="F845" s="17">
        <f>SUMIF(tdiario[CUENTA],tbal[[#This Row],[CUENTA]],tdiario[HABER])</f>
        <v>0</v>
      </c>
      <c r="G845" s="16">
        <f>IF(tbal[[#This Row],[DEBE]]-tbal[[#This Row],[HABER]]&gt;0,tbal[[#This Row],[DEBE]]-tbal[[#This Row],[HABER]],0)</f>
        <v>0</v>
      </c>
      <c r="H845" s="18">
        <f>IF(tbal[[#This Row],[HABER]]-tbal[[#This Row],[DEBE]]&gt;0,tbal[[#This Row],[HABER]]-tbal[[#This Row],[DEBE]],0)</f>
        <v>0</v>
      </c>
      <c r="I845" s="16">
        <f>IF((OR(tbal[[#This Row],[X]]=1,tbal[[#This Row],[X]]=2)),tbal[[#This Row],[DEUDOR]],0)</f>
        <v>0</v>
      </c>
      <c r="J845" s="18">
        <f>IF((OR(tbal[[#This Row],[X]]=2,tbal[[#This Row],[X]]=3)),tbal[[#This Row],[ACREEDOR]],0)</f>
        <v>0</v>
      </c>
      <c r="K845" s="16">
        <f>IF((OR(tbal[[#This Row],[X]]=3,tbal[[#This Row],[X]]=5)),tbal[[#This Row],[DEUDOR]],0)</f>
        <v>0</v>
      </c>
      <c r="L845" s="18">
        <f>IF((OR(tbal[[#This Row],[X]]=3,tbal[[#This Row],[X]]=4)),tbal[[#This Row],[ACREEDOR]],0)</f>
        <v>0</v>
      </c>
      <c r="M845" s="16">
        <f>IF((OR(tbal[[#This Row],[X]]=0,tbal[[#This Row],[X]]=6)),tbal[[#This Row],[DEUDOR]],0)</f>
        <v>0</v>
      </c>
      <c r="N845" s="18">
        <f>IF((OR(tbal[[#This Row],[X]]=0,tbal[[#This Row],[X]]=5)),tbal[[#This Row],[ACREEDOR]],0)</f>
        <v>0</v>
      </c>
    </row>
    <row r="846" spans="1:14" hidden="1" x14ac:dyDescent="0.3">
      <c r="A846" s="14">
        <f>+'PLAN DE CUENTAS'!A846</f>
        <v>0</v>
      </c>
      <c r="B846" s="13">
        <f>+'PLAN DE CUENTAS'!B846</f>
        <v>0</v>
      </c>
      <c r="C846" s="13">
        <f>+'PLAN DE CUENTAS'!C846</f>
        <v>0</v>
      </c>
      <c r="D846" t="str">
        <f>IF(tbal[[#This Row],[DEBE]]+tbal[[#This Row],[HABER]]=0,"","X")</f>
        <v/>
      </c>
      <c r="E846" s="16">
        <f>SUMIF(tdiario[CUENTA],tbal[[#This Row],[CUENTA]],tdiario[DEBE])</f>
        <v>0</v>
      </c>
      <c r="F846" s="17">
        <f>SUMIF(tdiario[CUENTA],tbal[[#This Row],[CUENTA]],tdiario[HABER])</f>
        <v>0</v>
      </c>
      <c r="G846" s="16">
        <f>IF(tbal[[#This Row],[DEBE]]-tbal[[#This Row],[HABER]]&gt;0,tbal[[#This Row],[DEBE]]-tbal[[#This Row],[HABER]],0)</f>
        <v>0</v>
      </c>
      <c r="H846" s="18">
        <f>IF(tbal[[#This Row],[HABER]]-tbal[[#This Row],[DEBE]]&gt;0,tbal[[#This Row],[HABER]]-tbal[[#This Row],[DEBE]],0)</f>
        <v>0</v>
      </c>
      <c r="I846" s="16">
        <f>IF((OR(tbal[[#This Row],[X]]=1,tbal[[#This Row],[X]]=2)),tbal[[#This Row],[DEUDOR]],0)</f>
        <v>0</v>
      </c>
      <c r="J846" s="18">
        <f>IF((OR(tbal[[#This Row],[X]]=2,tbal[[#This Row],[X]]=3)),tbal[[#This Row],[ACREEDOR]],0)</f>
        <v>0</v>
      </c>
      <c r="K846" s="16">
        <f>IF((OR(tbal[[#This Row],[X]]=3,tbal[[#This Row],[X]]=5)),tbal[[#This Row],[DEUDOR]],0)</f>
        <v>0</v>
      </c>
      <c r="L846" s="18">
        <f>IF((OR(tbal[[#This Row],[X]]=3,tbal[[#This Row],[X]]=4)),tbal[[#This Row],[ACREEDOR]],0)</f>
        <v>0</v>
      </c>
      <c r="M846" s="16">
        <f>IF((OR(tbal[[#This Row],[X]]=0,tbal[[#This Row],[X]]=6)),tbal[[#This Row],[DEUDOR]],0)</f>
        <v>0</v>
      </c>
      <c r="N846" s="18">
        <f>IF((OR(tbal[[#This Row],[X]]=0,tbal[[#This Row],[X]]=5)),tbal[[#This Row],[ACREEDOR]],0)</f>
        <v>0</v>
      </c>
    </row>
    <row r="847" spans="1:14" hidden="1" x14ac:dyDescent="0.3">
      <c r="A847" s="14">
        <f>+'PLAN DE CUENTAS'!A847</f>
        <v>0</v>
      </c>
      <c r="B847" s="13">
        <f>+'PLAN DE CUENTAS'!B847</f>
        <v>0</v>
      </c>
      <c r="C847" s="13">
        <f>+'PLAN DE CUENTAS'!C847</f>
        <v>0</v>
      </c>
      <c r="D847" t="str">
        <f>IF(tbal[[#This Row],[DEBE]]+tbal[[#This Row],[HABER]]=0,"","X")</f>
        <v/>
      </c>
      <c r="E847" s="16">
        <f>SUMIF(tdiario[CUENTA],tbal[[#This Row],[CUENTA]],tdiario[DEBE])</f>
        <v>0</v>
      </c>
      <c r="F847" s="17">
        <f>SUMIF(tdiario[CUENTA],tbal[[#This Row],[CUENTA]],tdiario[HABER])</f>
        <v>0</v>
      </c>
      <c r="G847" s="16">
        <f>IF(tbal[[#This Row],[DEBE]]-tbal[[#This Row],[HABER]]&gt;0,tbal[[#This Row],[DEBE]]-tbal[[#This Row],[HABER]],0)</f>
        <v>0</v>
      </c>
      <c r="H847" s="18">
        <f>IF(tbal[[#This Row],[HABER]]-tbal[[#This Row],[DEBE]]&gt;0,tbal[[#This Row],[HABER]]-tbal[[#This Row],[DEBE]],0)</f>
        <v>0</v>
      </c>
      <c r="I847" s="16">
        <f>IF((OR(tbal[[#This Row],[X]]=1,tbal[[#This Row],[X]]=2)),tbal[[#This Row],[DEUDOR]],0)</f>
        <v>0</v>
      </c>
      <c r="J847" s="18">
        <f>IF((OR(tbal[[#This Row],[X]]=2,tbal[[#This Row],[X]]=3)),tbal[[#This Row],[ACREEDOR]],0)</f>
        <v>0</v>
      </c>
      <c r="K847" s="16">
        <f>IF((OR(tbal[[#This Row],[X]]=3,tbal[[#This Row],[X]]=5)),tbal[[#This Row],[DEUDOR]],0)</f>
        <v>0</v>
      </c>
      <c r="L847" s="18">
        <f>IF((OR(tbal[[#This Row],[X]]=3,tbal[[#This Row],[X]]=4)),tbal[[#This Row],[ACREEDOR]],0)</f>
        <v>0</v>
      </c>
      <c r="M847" s="16">
        <f>IF((OR(tbal[[#This Row],[X]]=0,tbal[[#This Row],[X]]=6)),tbal[[#This Row],[DEUDOR]],0)</f>
        <v>0</v>
      </c>
      <c r="N847" s="18">
        <f>IF((OR(tbal[[#This Row],[X]]=0,tbal[[#This Row],[X]]=5)),tbal[[#This Row],[ACREEDOR]],0)</f>
        <v>0</v>
      </c>
    </row>
    <row r="848" spans="1:14" hidden="1" x14ac:dyDescent="0.3">
      <c r="A848" s="14">
        <f>+'PLAN DE CUENTAS'!A848</f>
        <v>0</v>
      </c>
      <c r="B848" s="13">
        <f>+'PLAN DE CUENTAS'!B848</f>
        <v>0</v>
      </c>
      <c r="C848" s="13">
        <f>+'PLAN DE CUENTAS'!C848</f>
        <v>0</v>
      </c>
      <c r="D848" t="str">
        <f>IF(tbal[[#This Row],[DEBE]]+tbal[[#This Row],[HABER]]=0,"","X")</f>
        <v/>
      </c>
      <c r="E848" s="16">
        <f>SUMIF(tdiario[CUENTA],tbal[[#This Row],[CUENTA]],tdiario[DEBE])</f>
        <v>0</v>
      </c>
      <c r="F848" s="17">
        <f>SUMIF(tdiario[CUENTA],tbal[[#This Row],[CUENTA]],tdiario[HABER])</f>
        <v>0</v>
      </c>
      <c r="G848" s="16">
        <f>IF(tbal[[#This Row],[DEBE]]-tbal[[#This Row],[HABER]]&gt;0,tbal[[#This Row],[DEBE]]-tbal[[#This Row],[HABER]],0)</f>
        <v>0</v>
      </c>
      <c r="H848" s="18">
        <f>IF(tbal[[#This Row],[HABER]]-tbal[[#This Row],[DEBE]]&gt;0,tbal[[#This Row],[HABER]]-tbal[[#This Row],[DEBE]],0)</f>
        <v>0</v>
      </c>
      <c r="I848" s="16">
        <f>IF((OR(tbal[[#This Row],[X]]=1,tbal[[#This Row],[X]]=2)),tbal[[#This Row],[DEUDOR]],0)</f>
        <v>0</v>
      </c>
      <c r="J848" s="18">
        <f>IF((OR(tbal[[#This Row],[X]]=2,tbal[[#This Row],[X]]=3)),tbal[[#This Row],[ACREEDOR]],0)</f>
        <v>0</v>
      </c>
      <c r="K848" s="16">
        <f>IF((OR(tbal[[#This Row],[X]]=3,tbal[[#This Row],[X]]=5)),tbal[[#This Row],[DEUDOR]],0)</f>
        <v>0</v>
      </c>
      <c r="L848" s="18">
        <f>IF((OR(tbal[[#This Row],[X]]=3,tbal[[#This Row],[X]]=4)),tbal[[#This Row],[ACREEDOR]],0)</f>
        <v>0</v>
      </c>
      <c r="M848" s="16">
        <f>IF((OR(tbal[[#This Row],[X]]=0,tbal[[#This Row],[X]]=6)),tbal[[#This Row],[DEUDOR]],0)</f>
        <v>0</v>
      </c>
      <c r="N848" s="18">
        <f>IF((OR(tbal[[#This Row],[X]]=0,tbal[[#This Row],[X]]=5)),tbal[[#This Row],[ACREEDOR]],0)</f>
        <v>0</v>
      </c>
    </row>
    <row r="849" spans="1:14" hidden="1" x14ac:dyDescent="0.3">
      <c r="A849" s="14">
        <f>+'PLAN DE CUENTAS'!A849</f>
        <v>0</v>
      </c>
      <c r="B849" s="13">
        <f>+'PLAN DE CUENTAS'!B849</f>
        <v>0</v>
      </c>
      <c r="C849" s="13">
        <f>+'PLAN DE CUENTAS'!C849</f>
        <v>0</v>
      </c>
      <c r="D849" t="str">
        <f>IF(tbal[[#This Row],[DEBE]]+tbal[[#This Row],[HABER]]=0,"","X")</f>
        <v/>
      </c>
      <c r="E849" s="16">
        <f>SUMIF(tdiario[CUENTA],tbal[[#This Row],[CUENTA]],tdiario[DEBE])</f>
        <v>0</v>
      </c>
      <c r="F849" s="17">
        <f>SUMIF(tdiario[CUENTA],tbal[[#This Row],[CUENTA]],tdiario[HABER])</f>
        <v>0</v>
      </c>
      <c r="G849" s="16">
        <f>IF(tbal[[#This Row],[DEBE]]-tbal[[#This Row],[HABER]]&gt;0,tbal[[#This Row],[DEBE]]-tbal[[#This Row],[HABER]],0)</f>
        <v>0</v>
      </c>
      <c r="H849" s="18">
        <f>IF(tbal[[#This Row],[HABER]]-tbal[[#This Row],[DEBE]]&gt;0,tbal[[#This Row],[HABER]]-tbal[[#This Row],[DEBE]],0)</f>
        <v>0</v>
      </c>
      <c r="I849" s="16">
        <f>IF((OR(tbal[[#This Row],[X]]=1,tbal[[#This Row],[X]]=2)),tbal[[#This Row],[DEUDOR]],0)</f>
        <v>0</v>
      </c>
      <c r="J849" s="18">
        <f>IF((OR(tbal[[#This Row],[X]]=2,tbal[[#This Row],[X]]=3)),tbal[[#This Row],[ACREEDOR]],0)</f>
        <v>0</v>
      </c>
      <c r="K849" s="16">
        <f>IF((OR(tbal[[#This Row],[X]]=3,tbal[[#This Row],[X]]=5)),tbal[[#This Row],[DEUDOR]],0)</f>
        <v>0</v>
      </c>
      <c r="L849" s="18">
        <f>IF((OR(tbal[[#This Row],[X]]=3,tbal[[#This Row],[X]]=4)),tbal[[#This Row],[ACREEDOR]],0)</f>
        <v>0</v>
      </c>
      <c r="M849" s="16">
        <f>IF((OR(tbal[[#This Row],[X]]=0,tbal[[#This Row],[X]]=6)),tbal[[#This Row],[DEUDOR]],0)</f>
        <v>0</v>
      </c>
      <c r="N849" s="18">
        <f>IF((OR(tbal[[#This Row],[X]]=0,tbal[[#This Row],[X]]=5)),tbal[[#This Row],[ACREEDOR]],0)</f>
        <v>0</v>
      </c>
    </row>
    <row r="850" spans="1:14" hidden="1" x14ac:dyDescent="0.3">
      <c r="A850" s="14">
        <f>+'PLAN DE CUENTAS'!A850</f>
        <v>0</v>
      </c>
      <c r="B850" s="13">
        <f>+'PLAN DE CUENTAS'!B850</f>
        <v>0</v>
      </c>
      <c r="C850" s="13">
        <f>+'PLAN DE CUENTAS'!C850</f>
        <v>0</v>
      </c>
      <c r="D850" t="str">
        <f>IF(tbal[[#This Row],[DEBE]]+tbal[[#This Row],[HABER]]=0,"","X")</f>
        <v/>
      </c>
      <c r="E850" s="16">
        <f>SUMIF(tdiario[CUENTA],tbal[[#This Row],[CUENTA]],tdiario[DEBE])</f>
        <v>0</v>
      </c>
      <c r="F850" s="17">
        <f>SUMIF(tdiario[CUENTA],tbal[[#This Row],[CUENTA]],tdiario[HABER])</f>
        <v>0</v>
      </c>
      <c r="G850" s="16">
        <f>IF(tbal[[#This Row],[DEBE]]-tbal[[#This Row],[HABER]]&gt;0,tbal[[#This Row],[DEBE]]-tbal[[#This Row],[HABER]],0)</f>
        <v>0</v>
      </c>
      <c r="H850" s="18">
        <f>IF(tbal[[#This Row],[HABER]]-tbal[[#This Row],[DEBE]]&gt;0,tbal[[#This Row],[HABER]]-tbal[[#This Row],[DEBE]],0)</f>
        <v>0</v>
      </c>
      <c r="I850" s="16">
        <f>IF((OR(tbal[[#This Row],[X]]=1,tbal[[#This Row],[X]]=2)),tbal[[#This Row],[DEUDOR]],0)</f>
        <v>0</v>
      </c>
      <c r="J850" s="18">
        <f>IF((OR(tbal[[#This Row],[X]]=2,tbal[[#This Row],[X]]=3)),tbal[[#This Row],[ACREEDOR]],0)</f>
        <v>0</v>
      </c>
      <c r="K850" s="16">
        <f>IF((OR(tbal[[#This Row],[X]]=3,tbal[[#This Row],[X]]=5)),tbal[[#This Row],[DEUDOR]],0)</f>
        <v>0</v>
      </c>
      <c r="L850" s="18">
        <f>IF((OR(tbal[[#This Row],[X]]=3,tbal[[#This Row],[X]]=4)),tbal[[#This Row],[ACREEDOR]],0)</f>
        <v>0</v>
      </c>
      <c r="M850" s="16">
        <f>IF((OR(tbal[[#This Row],[X]]=0,tbal[[#This Row],[X]]=6)),tbal[[#This Row],[DEUDOR]],0)</f>
        <v>0</v>
      </c>
      <c r="N850" s="18">
        <f>IF((OR(tbal[[#This Row],[X]]=0,tbal[[#This Row],[X]]=5)),tbal[[#This Row],[ACREEDOR]],0)</f>
        <v>0</v>
      </c>
    </row>
    <row r="851" spans="1:14" hidden="1" x14ac:dyDescent="0.3">
      <c r="A851" s="14">
        <f>+'PLAN DE CUENTAS'!A851</f>
        <v>0</v>
      </c>
      <c r="B851" s="13">
        <f>+'PLAN DE CUENTAS'!B851</f>
        <v>0</v>
      </c>
      <c r="C851" s="13">
        <f>+'PLAN DE CUENTAS'!C851</f>
        <v>0</v>
      </c>
      <c r="D851" t="str">
        <f>IF(tbal[[#This Row],[DEBE]]+tbal[[#This Row],[HABER]]=0,"","X")</f>
        <v/>
      </c>
      <c r="E851" s="16">
        <f>SUMIF(tdiario[CUENTA],tbal[[#This Row],[CUENTA]],tdiario[DEBE])</f>
        <v>0</v>
      </c>
      <c r="F851" s="17">
        <f>SUMIF(tdiario[CUENTA],tbal[[#This Row],[CUENTA]],tdiario[HABER])</f>
        <v>0</v>
      </c>
      <c r="G851" s="16">
        <f>IF(tbal[[#This Row],[DEBE]]-tbal[[#This Row],[HABER]]&gt;0,tbal[[#This Row],[DEBE]]-tbal[[#This Row],[HABER]],0)</f>
        <v>0</v>
      </c>
      <c r="H851" s="18">
        <f>IF(tbal[[#This Row],[HABER]]-tbal[[#This Row],[DEBE]]&gt;0,tbal[[#This Row],[HABER]]-tbal[[#This Row],[DEBE]],0)</f>
        <v>0</v>
      </c>
      <c r="I851" s="16">
        <f>IF((OR(tbal[[#This Row],[X]]=1,tbal[[#This Row],[X]]=2)),tbal[[#This Row],[DEUDOR]],0)</f>
        <v>0</v>
      </c>
      <c r="J851" s="18">
        <f>IF((OR(tbal[[#This Row],[X]]=2,tbal[[#This Row],[X]]=3)),tbal[[#This Row],[ACREEDOR]],0)</f>
        <v>0</v>
      </c>
      <c r="K851" s="16">
        <f>IF((OR(tbal[[#This Row],[X]]=3,tbal[[#This Row],[X]]=5)),tbal[[#This Row],[DEUDOR]],0)</f>
        <v>0</v>
      </c>
      <c r="L851" s="18">
        <f>IF((OR(tbal[[#This Row],[X]]=3,tbal[[#This Row],[X]]=4)),tbal[[#This Row],[ACREEDOR]],0)</f>
        <v>0</v>
      </c>
      <c r="M851" s="16">
        <f>IF((OR(tbal[[#This Row],[X]]=0,tbal[[#This Row],[X]]=6)),tbal[[#This Row],[DEUDOR]],0)</f>
        <v>0</v>
      </c>
      <c r="N851" s="18">
        <f>IF((OR(tbal[[#This Row],[X]]=0,tbal[[#This Row],[X]]=5)),tbal[[#This Row],[ACREEDOR]],0)</f>
        <v>0</v>
      </c>
    </row>
    <row r="852" spans="1:14" hidden="1" x14ac:dyDescent="0.3">
      <c r="A852" s="14">
        <f>+'PLAN DE CUENTAS'!A852</f>
        <v>0</v>
      </c>
      <c r="B852" s="13">
        <f>+'PLAN DE CUENTAS'!B852</f>
        <v>0</v>
      </c>
      <c r="C852" s="13">
        <f>+'PLAN DE CUENTAS'!C852</f>
        <v>0</v>
      </c>
      <c r="D852" t="str">
        <f>IF(tbal[[#This Row],[DEBE]]+tbal[[#This Row],[HABER]]=0,"","X")</f>
        <v/>
      </c>
      <c r="E852" s="16">
        <f>SUMIF(tdiario[CUENTA],tbal[[#This Row],[CUENTA]],tdiario[DEBE])</f>
        <v>0</v>
      </c>
      <c r="F852" s="17">
        <f>SUMIF(tdiario[CUENTA],tbal[[#This Row],[CUENTA]],tdiario[HABER])</f>
        <v>0</v>
      </c>
      <c r="G852" s="16">
        <f>IF(tbal[[#This Row],[DEBE]]-tbal[[#This Row],[HABER]]&gt;0,tbal[[#This Row],[DEBE]]-tbal[[#This Row],[HABER]],0)</f>
        <v>0</v>
      </c>
      <c r="H852" s="18">
        <f>IF(tbal[[#This Row],[HABER]]-tbal[[#This Row],[DEBE]]&gt;0,tbal[[#This Row],[HABER]]-tbal[[#This Row],[DEBE]],0)</f>
        <v>0</v>
      </c>
      <c r="I852" s="16">
        <f>IF((OR(tbal[[#This Row],[X]]=1,tbal[[#This Row],[X]]=2)),tbal[[#This Row],[DEUDOR]],0)</f>
        <v>0</v>
      </c>
      <c r="J852" s="18">
        <f>IF((OR(tbal[[#This Row],[X]]=2,tbal[[#This Row],[X]]=3)),tbal[[#This Row],[ACREEDOR]],0)</f>
        <v>0</v>
      </c>
      <c r="K852" s="16">
        <f>IF((OR(tbal[[#This Row],[X]]=3,tbal[[#This Row],[X]]=5)),tbal[[#This Row],[DEUDOR]],0)</f>
        <v>0</v>
      </c>
      <c r="L852" s="18">
        <f>IF((OR(tbal[[#This Row],[X]]=3,tbal[[#This Row],[X]]=4)),tbal[[#This Row],[ACREEDOR]],0)</f>
        <v>0</v>
      </c>
      <c r="M852" s="16">
        <f>IF((OR(tbal[[#This Row],[X]]=0,tbal[[#This Row],[X]]=6)),tbal[[#This Row],[DEUDOR]],0)</f>
        <v>0</v>
      </c>
      <c r="N852" s="18">
        <f>IF((OR(tbal[[#This Row],[X]]=0,tbal[[#This Row],[X]]=5)),tbal[[#This Row],[ACREEDOR]],0)</f>
        <v>0</v>
      </c>
    </row>
    <row r="853" spans="1:14" hidden="1" x14ac:dyDescent="0.3">
      <c r="A853" s="14">
        <f>+'PLAN DE CUENTAS'!A853</f>
        <v>0</v>
      </c>
      <c r="B853" s="13">
        <f>+'PLAN DE CUENTAS'!B853</f>
        <v>0</v>
      </c>
      <c r="C853" s="13">
        <f>+'PLAN DE CUENTAS'!C853</f>
        <v>0</v>
      </c>
      <c r="D853" t="str">
        <f>IF(tbal[[#This Row],[DEBE]]+tbal[[#This Row],[HABER]]=0,"","X")</f>
        <v/>
      </c>
      <c r="E853" s="16">
        <f>SUMIF(tdiario[CUENTA],tbal[[#This Row],[CUENTA]],tdiario[DEBE])</f>
        <v>0</v>
      </c>
      <c r="F853" s="17">
        <f>SUMIF(tdiario[CUENTA],tbal[[#This Row],[CUENTA]],tdiario[HABER])</f>
        <v>0</v>
      </c>
      <c r="G853" s="16">
        <f>IF(tbal[[#This Row],[DEBE]]-tbal[[#This Row],[HABER]]&gt;0,tbal[[#This Row],[DEBE]]-tbal[[#This Row],[HABER]],0)</f>
        <v>0</v>
      </c>
      <c r="H853" s="18">
        <f>IF(tbal[[#This Row],[HABER]]-tbal[[#This Row],[DEBE]]&gt;0,tbal[[#This Row],[HABER]]-tbal[[#This Row],[DEBE]],0)</f>
        <v>0</v>
      </c>
      <c r="I853" s="16">
        <f>IF((OR(tbal[[#This Row],[X]]=1,tbal[[#This Row],[X]]=2)),tbal[[#This Row],[DEUDOR]],0)</f>
        <v>0</v>
      </c>
      <c r="J853" s="18">
        <f>IF((OR(tbal[[#This Row],[X]]=2,tbal[[#This Row],[X]]=3)),tbal[[#This Row],[ACREEDOR]],0)</f>
        <v>0</v>
      </c>
      <c r="K853" s="16">
        <f>IF((OR(tbal[[#This Row],[X]]=3,tbal[[#This Row],[X]]=5)),tbal[[#This Row],[DEUDOR]],0)</f>
        <v>0</v>
      </c>
      <c r="L853" s="18">
        <f>IF((OR(tbal[[#This Row],[X]]=3,tbal[[#This Row],[X]]=4)),tbal[[#This Row],[ACREEDOR]],0)</f>
        <v>0</v>
      </c>
      <c r="M853" s="16">
        <f>IF((OR(tbal[[#This Row],[X]]=0,tbal[[#This Row],[X]]=6)),tbal[[#This Row],[DEUDOR]],0)</f>
        <v>0</v>
      </c>
      <c r="N853" s="18">
        <f>IF((OR(tbal[[#This Row],[X]]=0,tbal[[#This Row],[X]]=5)),tbal[[#This Row],[ACREEDOR]],0)</f>
        <v>0</v>
      </c>
    </row>
    <row r="854" spans="1:14" hidden="1" x14ac:dyDescent="0.3">
      <c r="A854" s="14">
        <f>+'PLAN DE CUENTAS'!A854</f>
        <v>0</v>
      </c>
      <c r="B854" s="13">
        <f>+'PLAN DE CUENTAS'!B854</f>
        <v>0</v>
      </c>
      <c r="C854" s="13">
        <f>+'PLAN DE CUENTAS'!C854</f>
        <v>0</v>
      </c>
      <c r="D854" t="str">
        <f>IF(tbal[[#This Row],[DEBE]]+tbal[[#This Row],[HABER]]=0,"","X")</f>
        <v/>
      </c>
      <c r="E854" s="16">
        <f>SUMIF(tdiario[CUENTA],tbal[[#This Row],[CUENTA]],tdiario[DEBE])</f>
        <v>0</v>
      </c>
      <c r="F854" s="17">
        <f>SUMIF(tdiario[CUENTA],tbal[[#This Row],[CUENTA]],tdiario[HABER])</f>
        <v>0</v>
      </c>
      <c r="G854" s="16">
        <f>IF(tbal[[#This Row],[DEBE]]-tbal[[#This Row],[HABER]]&gt;0,tbal[[#This Row],[DEBE]]-tbal[[#This Row],[HABER]],0)</f>
        <v>0</v>
      </c>
      <c r="H854" s="18">
        <f>IF(tbal[[#This Row],[HABER]]-tbal[[#This Row],[DEBE]]&gt;0,tbal[[#This Row],[HABER]]-tbal[[#This Row],[DEBE]],0)</f>
        <v>0</v>
      </c>
      <c r="I854" s="16">
        <f>IF((OR(tbal[[#This Row],[X]]=1,tbal[[#This Row],[X]]=2)),tbal[[#This Row],[DEUDOR]],0)</f>
        <v>0</v>
      </c>
      <c r="J854" s="18">
        <f>IF((OR(tbal[[#This Row],[X]]=2,tbal[[#This Row],[X]]=3)),tbal[[#This Row],[ACREEDOR]],0)</f>
        <v>0</v>
      </c>
      <c r="K854" s="16">
        <f>IF((OR(tbal[[#This Row],[X]]=3,tbal[[#This Row],[X]]=5)),tbal[[#This Row],[DEUDOR]],0)</f>
        <v>0</v>
      </c>
      <c r="L854" s="18">
        <f>IF((OR(tbal[[#This Row],[X]]=3,tbal[[#This Row],[X]]=4)),tbal[[#This Row],[ACREEDOR]],0)</f>
        <v>0</v>
      </c>
      <c r="M854" s="16">
        <f>IF((OR(tbal[[#This Row],[X]]=0,tbal[[#This Row],[X]]=6)),tbal[[#This Row],[DEUDOR]],0)</f>
        <v>0</v>
      </c>
      <c r="N854" s="18">
        <f>IF((OR(tbal[[#This Row],[X]]=0,tbal[[#This Row],[X]]=5)),tbal[[#This Row],[ACREEDOR]],0)</f>
        <v>0</v>
      </c>
    </row>
    <row r="855" spans="1:14" hidden="1" x14ac:dyDescent="0.3">
      <c r="A855" s="14">
        <f>+'PLAN DE CUENTAS'!A855</f>
        <v>0</v>
      </c>
      <c r="B855" s="13">
        <f>+'PLAN DE CUENTAS'!B855</f>
        <v>0</v>
      </c>
      <c r="C855" s="13">
        <f>+'PLAN DE CUENTAS'!C855</f>
        <v>0</v>
      </c>
      <c r="D855" t="str">
        <f>IF(tbal[[#This Row],[DEBE]]+tbal[[#This Row],[HABER]]=0,"","X")</f>
        <v/>
      </c>
      <c r="E855" s="16">
        <f>SUMIF(tdiario[CUENTA],tbal[[#This Row],[CUENTA]],tdiario[DEBE])</f>
        <v>0</v>
      </c>
      <c r="F855" s="17">
        <f>SUMIF(tdiario[CUENTA],tbal[[#This Row],[CUENTA]],tdiario[HABER])</f>
        <v>0</v>
      </c>
      <c r="G855" s="16">
        <f>IF(tbal[[#This Row],[DEBE]]-tbal[[#This Row],[HABER]]&gt;0,tbal[[#This Row],[DEBE]]-tbal[[#This Row],[HABER]],0)</f>
        <v>0</v>
      </c>
      <c r="H855" s="18">
        <f>IF(tbal[[#This Row],[HABER]]-tbal[[#This Row],[DEBE]]&gt;0,tbal[[#This Row],[HABER]]-tbal[[#This Row],[DEBE]],0)</f>
        <v>0</v>
      </c>
      <c r="I855" s="16">
        <f>IF((OR(tbal[[#This Row],[X]]=1,tbal[[#This Row],[X]]=2)),tbal[[#This Row],[DEUDOR]],0)</f>
        <v>0</v>
      </c>
      <c r="J855" s="18">
        <f>IF((OR(tbal[[#This Row],[X]]=2,tbal[[#This Row],[X]]=3)),tbal[[#This Row],[ACREEDOR]],0)</f>
        <v>0</v>
      </c>
      <c r="K855" s="16">
        <f>IF((OR(tbal[[#This Row],[X]]=3,tbal[[#This Row],[X]]=5)),tbal[[#This Row],[DEUDOR]],0)</f>
        <v>0</v>
      </c>
      <c r="L855" s="18">
        <f>IF((OR(tbal[[#This Row],[X]]=3,tbal[[#This Row],[X]]=4)),tbal[[#This Row],[ACREEDOR]],0)</f>
        <v>0</v>
      </c>
      <c r="M855" s="16">
        <f>IF((OR(tbal[[#This Row],[X]]=0,tbal[[#This Row],[X]]=6)),tbal[[#This Row],[DEUDOR]],0)</f>
        <v>0</v>
      </c>
      <c r="N855" s="18">
        <f>IF((OR(tbal[[#This Row],[X]]=0,tbal[[#This Row],[X]]=5)),tbal[[#This Row],[ACREEDOR]],0)</f>
        <v>0</v>
      </c>
    </row>
    <row r="856" spans="1:14" hidden="1" x14ac:dyDescent="0.3">
      <c r="A856" s="14">
        <f>+'PLAN DE CUENTAS'!A856</f>
        <v>0</v>
      </c>
      <c r="B856" s="13">
        <f>+'PLAN DE CUENTAS'!B856</f>
        <v>0</v>
      </c>
      <c r="C856" s="13">
        <f>+'PLAN DE CUENTAS'!C856</f>
        <v>0</v>
      </c>
      <c r="D856" t="str">
        <f>IF(tbal[[#This Row],[DEBE]]+tbal[[#This Row],[HABER]]=0,"","X")</f>
        <v/>
      </c>
      <c r="E856" s="16">
        <f>SUMIF(tdiario[CUENTA],tbal[[#This Row],[CUENTA]],tdiario[DEBE])</f>
        <v>0</v>
      </c>
      <c r="F856" s="17">
        <f>SUMIF(tdiario[CUENTA],tbal[[#This Row],[CUENTA]],tdiario[HABER])</f>
        <v>0</v>
      </c>
      <c r="G856" s="16">
        <f>IF(tbal[[#This Row],[DEBE]]-tbal[[#This Row],[HABER]]&gt;0,tbal[[#This Row],[DEBE]]-tbal[[#This Row],[HABER]],0)</f>
        <v>0</v>
      </c>
      <c r="H856" s="18">
        <f>IF(tbal[[#This Row],[HABER]]-tbal[[#This Row],[DEBE]]&gt;0,tbal[[#This Row],[HABER]]-tbal[[#This Row],[DEBE]],0)</f>
        <v>0</v>
      </c>
      <c r="I856" s="16">
        <f>IF((OR(tbal[[#This Row],[X]]=1,tbal[[#This Row],[X]]=2)),tbal[[#This Row],[DEUDOR]],0)</f>
        <v>0</v>
      </c>
      <c r="J856" s="18">
        <f>IF((OR(tbal[[#This Row],[X]]=2,tbal[[#This Row],[X]]=3)),tbal[[#This Row],[ACREEDOR]],0)</f>
        <v>0</v>
      </c>
      <c r="K856" s="16">
        <f>IF((OR(tbal[[#This Row],[X]]=3,tbal[[#This Row],[X]]=5)),tbal[[#This Row],[DEUDOR]],0)</f>
        <v>0</v>
      </c>
      <c r="L856" s="18">
        <f>IF((OR(tbal[[#This Row],[X]]=3,tbal[[#This Row],[X]]=4)),tbal[[#This Row],[ACREEDOR]],0)</f>
        <v>0</v>
      </c>
      <c r="M856" s="16">
        <f>IF((OR(tbal[[#This Row],[X]]=0,tbal[[#This Row],[X]]=6)),tbal[[#This Row],[DEUDOR]],0)</f>
        <v>0</v>
      </c>
      <c r="N856" s="18">
        <f>IF((OR(tbal[[#This Row],[X]]=0,tbal[[#This Row],[X]]=5)),tbal[[#This Row],[ACREEDOR]],0)</f>
        <v>0</v>
      </c>
    </row>
    <row r="857" spans="1:14" hidden="1" x14ac:dyDescent="0.3">
      <c r="A857" s="14">
        <f>+'PLAN DE CUENTAS'!A857</f>
        <v>0</v>
      </c>
      <c r="B857" s="13">
        <f>+'PLAN DE CUENTAS'!B857</f>
        <v>0</v>
      </c>
      <c r="C857" s="13">
        <f>+'PLAN DE CUENTAS'!C857</f>
        <v>0</v>
      </c>
      <c r="D857" t="str">
        <f>IF(tbal[[#This Row],[DEBE]]+tbal[[#This Row],[HABER]]=0,"","X")</f>
        <v/>
      </c>
      <c r="E857" s="16">
        <f>SUMIF(tdiario[CUENTA],tbal[[#This Row],[CUENTA]],tdiario[DEBE])</f>
        <v>0</v>
      </c>
      <c r="F857" s="17">
        <f>SUMIF(tdiario[CUENTA],tbal[[#This Row],[CUENTA]],tdiario[HABER])</f>
        <v>0</v>
      </c>
      <c r="G857" s="16">
        <f>IF(tbal[[#This Row],[DEBE]]-tbal[[#This Row],[HABER]]&gt;0,tbal[[#This Row],[DEBE]]-tbal[[#This Row],[HABER]],0)</f>
        <v>0</v>
      </c>
      <c r="H857" s="18">
        <f>IF(tbal[[#This Row],[HABER]]-tbal[[#This Row],[DEBE]]&gt;0,tbal[[#This Row],[HABER]]-tbal[[#This Row],[DEBE]],0)</f>
        <v>0</v>
      </c>
      <c r="I857" s="16">
        <f>IF((OR(tbal[[#This Row],[X]]=1,tbal[[#This Row],[X]]=2)),tbal[[#This Row],[DEUDOR]],0)</f>
        <v>0</v>
      </c>
      <c r="J857" s="18">
        <f>IF((OR(tbal[[#This Row],[X]]=2,tbal[[#This Row],[X]]=3)),tbal[[#This Row],[ACREEDOR]],0)</f>
        <v>0</v>
      </c>
      <c r="K857" s="16">
        <f>IF((OR(tbal[[#This Row],[X]]=3,tbal[[#This Row],[X]]=5)),tbal[[#This Row],[DEUDOR]],0)</f>
        <v>0</v>
      </c>
      <c r="L857" s="18">
        <f>IF((OR(tbal[[#This Row],[X]]=3,tbal[[#This Row],[X]]=4)),tbal[[#This Row],[ACREEDOR]],0)</f>
        <v>0</v>
      </c>
      <c r="M857" s="16">
        <f>IF((OR(tbal[[#This Row],[X]]=0,tbal[[#This Row],[X]]=6)),tbal[[#This Row],[DEUDOR]],0)</f>
        <v>0</v>
      </c>
      <c r="N857" s="18">
        <f>IF((OR(tbal[[#This Row],[X]]=0,tbal[[#This Row],[X]]=5)),tbal[[#This Row],[ACREEDOR]],0)</f>
        <v>0</v>
      </c>
    </row>
    <row r="858" spans="1:14" hidden="1" x14ac:dyDescent="0.3">
      <c r="A858" s="14">
        <f>+'PLAN DE CUENTAS'!A858</f>
        <v>0</v>
      </c>
      <c r="B858" s="13">
        <f>+'PLAN DE CUENTAS'!B858</f>
        <v>0</v>
      </c>
      <c r="C858" s="13">
        <f>+'PLAN DE CUENTAS'!C858</f>
        <v>0</v>
      </c>
      <c r="D858" t="str">
        <f>IF(tbal[[#This Row],[DEBE]]+tbal[[#This Row],[HABER]]=0,"","X")</f>
        <v/>
      </c>
      <c r="E858" s="16">
        <f>SUMIF(tdiario[CUENTA],tbal[[#This Row],[CUENTA]],tdiario[DEBE])</f>
        <v>0</v>
      </c>
      <c r="F858" s="17">
        <f>SUMIF(tdiario[CUENTA],tbal[[#This Row],[CUENTA]],tdiario[HABER])</f>
        <v>0</v>
      </c>
      <c r="G858" s="16">
        <f>IF(tbal[[#This Row],[DEBE]]-tbal[[#This Row],[HABER]]&gt;0,tbal[[#This Row],[DEBE]]-tbal[[#This Row],[HABER]],0)</f>
        <v>0</v>
      </c>
      <c r="H858" s="18">
        <f>IF(tbal[[#This Row],[HABER]]-tbal[[#This Row],[DEBE]]&gt;0,tbal[[#This Row],[HABER]]-tbal[[#This Row],[DEBE]],0)</f>
        <v>0</v>
      </c>
      <c r="I858" s="16">
        <f>IF((OR(tbal[[#This Row],[X]]=1,tbal[[#This Row],[X]]=2)),tbal[[#This Row],[DEUDOR]],0)</f>
        <v>0</v>
      </c>
      <c r="J858" s="18">
        <f>IF((OR(tbal[[#This Row],[X]]=2,tbal[[#This Row],[X]]=3)),tbal[[#This Row],[ACREEDOR]],0)</f>
        <v>0</v>
      </c>
      <c r="K858" s="16">
        <f>IF((OR(tbal[[#This Row],[X]]=3,tbal[[#This Row],[X]]=5)),tbal[[#This Row],[DEUDOR]],0)</f>
        <v>0</v>
      </c>
      <c r="L858" s="18">
        <f>IF((OR(tbal[[#This Row],[X]]=3,tbal[[#This Row],[X]]=4)),tbal[[#This Row],[ACREEDOR]],0)</f>
        <v>0</v>
      </c>
      <c r="M858" s="16">
        <f>IF((OR(tbal[[#This Row],[X]]=0,tbal[[#This Row],[X]]=6)),tbal[[#This Row],[DEUDOR]],0)</f>
        <v>0</v>
      </c>
      <c r="N858" s="18">
        <f>IF((OR(tbal[[#This Row],[X]]=0,tbal[[#This Row],[X]]=5)),tbal[[#This Row],[ACREEDOR]],0)</f>
        <v>0</v>
      </c>
    </row>
    <row r="859" spans="1:14" hidden="1" x14ac:dyDescent="0.3">
      <c r="A859" s="14">
        <f>+'PLAN DE CUENTAS'!A859</f>
        <v>0</v>
      </c>
      <c r="B859" s="13">
        <f>+'PLAN DE CUENTAS'!B859</f>
        <v>0</v>
      </c>
      <c r="C859" s="13">
        <f>+'PLAN DE CUENTAS'!C859</f>
        <v>0</v>
      </c>
      <c r="D859" t="str">
        <f>IF(tbal[[#This Row],[DEBE]]+tbal[[#This Row],[HABER]]=0,"","X")</f>
        <v/>
      </c>
      <c r="E859" s="16">
        <f>SUMIF(tdiario[CUENTA],tbal[[#This Row],[CUENTA]],tdiario[DEBE])</f>
        <v>0</v>
      </c>
      <c r="F859" s="17">
        <f>SUMIF(tdiario[CUENTA],tbal[[#This Row],[CUENTA]],tdiario[HABER])</f>
        <v>0</v>
      </c>
      <c r="G859" s="16">
        <f>IF(tbal[[#This Row],[DEBE]]-tbal[[#This Row],[HABER]]&gt;0,tbal[[#This Row],[DEBE]]-tbal[[#This Row],[HABER]],0)</f>
        <v>0</v>
      </c>
      <c r="H859" s="18">
        <f>IF(tbal[[#This Row],[HABER]]-tbal[[#This Row],[DEBE]]&gt;0,tbal[[#This Row],[HABER]]-tbal[[#This Row],[DEBE]],0)</f>
        <v>0</v>
      </c>
      <c r="I859" s="16">
        <f>IF((OR(tbal[[#This Row],[X]]=1,tbal[[#This Row],[X]]=2)),tbal[[#This Row],[DEUDOR]],0)</f>
        <v>0</v>
      </c>
      <c r="J859" s="18">
        <f>IF((OR(tbal[[#This Row],[X]]=2,tbal[[#This Row],[X]]=3)),tbal[[#This Row],[ACREEDOR]],0)</f>
        <v>0</v>
      </c>
      <c r="K859" s="16">
        <f>IF((OR(tbal[[#This Row],[X]]=3,tbal[[#This Row],[X]]=5)),tbal[[#This Row],[DEUDOR]],0)</f>
        <v>0</v>
      </c>
      <c r="L859" s="18">
        <f>IF((OR(tbal[[#This Row],[X]]=3,tbal[[#This Row],[X]]=4)),tbal[[#This Row],[ACREEDOR]],0)</f>
        <v>0</v>
      </c>
      <c r="M859" s="16">
        <f>IF((OR(tbal[[#This Row],[X]]=0,tbal[[#This Row],[X]]=6)),tbal[[#This Row],[DEUDOR]],0)</f>
        <v>0</v>
      </c>
      <c r="N859" s="18">
        <f>IF((OR(tbal[[#This Row],[X]]=0,tbal[[#This Row],[X]]=5)),tbal[[#This Row],[ACREEDOR]],0)</f>
        <v>0</v>
      </c>
    </row>
    <row r="860" spans="1:14" hidden="1" x14ac:dyDescent="0.3">
      <c r="A860" s="14">
        <f>+'PLAN DE CUENTAS'!A860</f>
        <v>0</v>
      </c>
      <c r="B860" s="13">
        <f>+'PLAN DE CUENTAS'!B860</f>
        <v>0</v>
      </c>
      <c r="C860" s="13">
        <f>+'PLAN DE CUENTAS'!C860</f>
        <v>0</v>
      </c>
      <c r="D860" t="str">
        <f>IF(tbal[[#This Row],[DEBE]]+tbal[[#This Row],[HABER]]=0,"","X")</f>
        <v/>
      </c>
      <c r="E860" s="16">
        <f>SUMIF(tdiario[CUENTA],tbal[[#This Row],[CUENTA]],tdiario[DEBE])</f>
        <v>0</v>
      </c>
      <c r="F860" s="17">
        <f>SUMIF(tdiario[CUENTA],tbal[[#This Row],[CUENTA]],tdiario[HABER])</f>
        <v>0</v>
      </c>
      <c r="G860" s="16">
        <f>IF(tbal[[#This Row],[DEBE]]-tbal[[#This Row],[HABER]]&gt;0,tbal[[#This Row],[DEBE]]-tbal[[#This Row],[HABER]],0)</f>
        <v>0</v>
      </c>
      <c r="H860" s="18">
        <f>IF(tbal[[#This Row],[HABER]]-tbal[[#This Row],[DEBE]]&gt;0,tbal[[#This Row],[HABER]]-tbal[[#This Row],[DEBE]],0)</f>
        <v>0</v>
      </c>
      <c r="I860" s="16">
        <f>IF((OR(tbal[[#This Row],[X]]=1,tbal[[#This Row],[X]]=2)),tbal[[#This Row],[DEUDOR]],0)</f>
        <v>0</v>
      </c>
      <c r="J860" s="18">
        <f>IF((OR(tbal[[#This Row],[X]]=2,tbal[[#This Row],[X]]=3)),tbal[[#This Row],[ACREEDOR]],0)</f>
        <v>0</v>
      </c>
      <c r="K860" s="16">
        <f>IF((OR(tbal[[#This Row],[X]]=3,tbal[[#This Row],[X]]=5)),tbal[[#This Row],[DEUDOR]],0)</f>
        <v>0</v>
      </c>
      <c r="L860" s="18">
        <f>IF((OR(tbal[[#This Row],[X]]=3,tbal[[#This Row],[X]]=4)),tbal[[#This Row],[ACREEDOR]],0)</f>
        <v>0</v>
      </c>
      <c r="M860" s="16">
        <f>IF((OR(tbal[[#This Row],[X]]=0,tbal[[#This Row],[X]]=6)),tbal[[#This Row],[DEUDOR]],0)</f>
        <v>0</v>
      </c>
      <c r="N860" s="18">
        <f>IF((OR(tbal[[#This Row],[X]]=0,tbal[[#This Row],[X]]=5)),tbal[[#This Row],[ACREEDOR]],0)</f>
        <v>0</v>
      </c>
    </row>
    <row r="861" spans="1:14" hidden="1" x14ac:dyDescent="0.3">
      <c r="A861" s="14">
        <f>+'PLAN DE CUENTAS'!A861</f>
        <v>0</v>
      </c>
      <c r="B861" s="13">
        <f>+'PLAN DE CUENTAS'!B861</f>
        <v>0</v>
      </c>
      <c r="C861" s="13">
        <f>+'PLAN DE CUENTAS'!C861</f>
        <v>0</v>
      </c>
      <c r="D861" t="str">
        <f>IF(tbal[[#This Row],[DEBE]]+tbal[[#This Row],[HABER]]=0,"","X")</f>
        <v/>
      </c>
      <c r="E861" s="16">
        <f>SUMIF(tdiario[CUENTA],tbal[[#This Row],[CUENTA]],tdiario[DEBE])</f>
        <v>0</v>
      </c>
      <c r="F861" s="17">
        <f>SUMIF(tdiario[CUENTA],tbal[[#This Row],[CUENTA]],tdiario[HABER])</f>
        <v>0</v>
      </c>
      <c r="G861" s="16">
        <f>IF(tbal[[#This Row],[DEBE]]-tbal[[#This Row],[HABER]]&gt;0,tbal[[#This Row],[DEBE]]-tbal[[#This Row],[HABER]],0)</f>
        <v>0</v>
      </c>
      <c r="H861" s="18">
        <f>IF(tbal[[#This Row],[HABER]]-tbal[[#This Row],[DEBE]]&gt;0,tbal[[#This Row],[HABER]]-tbal[[#This Row],[DEBE]],0)</f>
        <v>0</v>
      </c>
      <c r="I861" s="16">
        <f>IF((OR(tbal[[#This Row],[X]]=1,tbal[[#This Row],[X]]=2)),tbal[[#This Row],[DEUDOR]],0)</f>
        <v>0</v>
      </c>
      <c r="J861" s="18">
        <f>IF((OR(tbal[[#This Row],[X]]=2,tbal[[#This Row],[X]]=3)),tbal[[#This Row],[ACREEDOR]],0)</f>
        <v>0</v>
      </c>
      <c r="K861" s="16">
        <f>IF((OR(tbal[[#This Row],[X]]=3,tbal[[#This Row],[X]]=5)),tbal[[#This Row],[DEUDOR]],0)</f>
        <v>0</v>
      </c>
      <c r="L861" s="18">
        <f>IF((OR(tbal[[#This Row],[X]]=3,tbal[[#This Row],[X]]=4)),tbal[[#This Row],[ACREEDOR]],0)</f>
        <v>0</v>
      </c>
      <c r="M861" s="16">
        <f>IF((OR(tbal[[#This Row],[X]]=0,tbal[[#This Row],[X]]=6)),tbal[[#This Row],[DEUDOR]],0)</f>
        <v>0</v>
      </c>
      <c r="N861" s="18">
        <f>IF((OR(tbal[[#This Row],[X]]=0,tbal[[#This Row],[X]]=5)),tbal[[#This Row],[ACREEDOR]],0)</f>
        <v>0</v>
      </c>
    </row>
    <row r="862" spans="1:14" hidden="1" x14ac:dyDescent="0.3">
      <c r="A862" s="14">
        <f>+'PLAN DE CUENTAS'!A862</f>
        <v>0</v>
      </c>
      <c r="B862" s="13">
        <f>+'PLAN DE CUENTAS'!B862</f>
        <v>0</v>
      </c>
      <c r="C862" s="13">
        <f>+'PLAN DE CUENTAS'!C862</f>
        <v>0</v>
      </c>
      <c r="D862" t="str">
        <f>IF(tbal[[#This Row],[DEBE]]+tbal[[#This Row],[HABER]]=0,"","X")</f>
        <v/>
      </c>
      <c r="E862" s="16">
        <f>SUMIF(tdiario[CUENTA],tbal[[#This Row],[CUENTA]],tdiario[DEBE])</f>
        <v>0</v>
      </c>
      <c r="F862" s="17">
        <f>SUMIF(tdiario[CUENTA],tbal[[#This Row],[CUENTA]],tdiario[HABER])</f>
        <v>0</v>
      </c>
      <c r="G862" s="16">
        <f>IF(tbal[[#This Row],[DEBE]]-tbal[[#This Row],[HABER]]&gt;0,tbal[[#This Row],[DEBE]]-tbal[[#This Row],[HABER]],0)</f>
        <v>0</v>
      </c>
      <c r="H862" s="18">
        <f>IF(tbal[[#This Row],[HABER]]-tbal[[#This Row],[DEBE]]&gt;0,tbal[[#This Row],[HABER]]-tbal[[#This Row],[DEBE]],0)</f>
        <v>0</v>
      </c>
      <c r="I862" s="16">
        <f>IF((OR(tbal[[#This Row],[X]]=1,tbal[[#This Row],[X]]=2)),tbal[[#This Row],[DEUDOR]],0)</f>
        <v>0</v>
      </c>
      <c r="J862" s="18">
        <f>IF((OR(tbal[[#This Row],[X]]=2,tbal[[#This Row],[X]]=3)),tbal[[#This Row],[ACREEDOR]],0)</f>
        <v>0</v>
      </c>
      <c r="K862" s="16">
        <f>IF((OR(tbal[[#This Row],[X]]=3,tbal[[#This Row],[X]]=5)),tbal[[#This Row],[DEUDOR]],0)</f>
        <v>0</v>
      </c>
      <c r="L862" s="18">
        <f>IF((OR(tbal[[#This Row],[X]]=3,tbal[[#This Row],[X]]=4)),tbal[[#This Row],[ACREEDOR]],0)</f>
        <v>0</v>
      </c>
      <c r="M862" s="16">
        <f>IF((OR(tbal[[#This Row],[X]]=0,tbal[[#This Row],[X]]=6)),tbal[[#This Row],[DEUDOR]],0)</f>
        <v>0</v>
      </c>
      <c r="N862" s="18">
        <f>IF((OR(tbal[[#This Row],[X]]=0,tbal[[#This Row],[X]]=5)),tbal[[#This Row],[ACREEDOR]],0)</f>
        <v>0</v>
      </c>
    </row>
    <row r="863" spans="1:14" hidden="1" x14ac:dyDescent="0.3">
      <c r="A863" s="14">
        <f>+'PLAN DE CUENTAS'!A863</f>
        <v>0</v>
      </c>
      <c r="B863" s="13">
        <f>+'PLAN DE CUENTAS'!B863</f>
        <v>0</v>
      </c>
      <c r="C863" s="13">
        <f>+'PLAN DE CUENTAS'!C863</f>
        <v>0</v>
      </c>
      <c r="D863" t="str">
        <f>IF(tbal[[#This Row],[DEBE]]+tbal[[#This Row],[HABER]]=0,"","X")</f>
        <v/>
      </c>
      <c r="E863" s="16">
        <f>SUMIF(tdiario[CUENTA],tbal[[#This Row],[CUENTA]],tdiario[DEBE])</f>
        <v>0</v>
      </c>
      <c r="F863" s="17">
        <f>SUMIF(tdiario[CUENTA],tbal[[#This Row],[CUENTA]],tdiario[HABER])</f>
        <v>0</v>
      </c>
      <c r="G863" s="16">
        <f>IF(tbal[[#This Row],[DEBE]]-tbal[[#This Row],[HABER]]&gt;0,tbal[[#This Row],[DEBE]]-tbal[[#This Row],[HABER]],0)</f>
        <v>0</v>
      </c>
      <c r="H863" s="18">
        <f>IF(tbal[[#This Row],[HABER]]-tbal[[#This Row],[DEBE]]&gt;0,tbal[[#This Row],[HABER]]-tbal[[#This Row],[DEBE]],0)</f>
        <v>0</v>
      </c>
      <c r="I863" s="16">
        <f>IF((OR(tbal[[#This Row],[X]]=1,tbal[[#This Row],[X]]=2)),tbal[[#This Row],[DEUDOR]],0)</f>
        <v>0</v>
      </c>
      <c r="J863" s="18">
        <f>IF((OR(tbal[[#This Row],[X]]=2,tbal[[#This Row],[X]]=3)),tbal[[#This Row],[ACREEDOR]],0)</f>
        <v>0</v>
      </c>
      <c r="K863" s="16">
        <f>IF((OR(tbal[[#This Row],[X]]=3,tbal[[#This Row],[X]]=5)),tbal[[#This Row],[DEUDOR]],0)</f>
        <v>0</v>
      </c>
      <c r="L863" s="18">
        <f>IF((OR(tbal[[#This Row],[X]]=3,tbal[[#This Row],[X]]=4)),tbal[[#This Row],[ACREEDOR]],0)</f>
        <v>0</v>
      </c>
      <c r="M863" s="16">
        <f>IF((OR(tbal[[#This Row],[X]]=0,tbal[[#This Row],[X]]=6)),tbal[[#This Row],[DEUDOR]],0)</f>
        <v>0</v>
      </c>
      <c r="N863" s="18">
        <f>IF((OR(tbal[[#This Row],[X]]=0,tbal[[#This Row],[X]]=5)),tbal[[#This Row],[ACREEDOR]],0)</f>
        <v>0</v>
      </c>
    </row>
    <row r="864" spans="1:14" hidden="1" x14ac:dyDescent="0.3">
      <c r="A864" s="14">
        <f>+'PLAN DE CUENTAS'!A864</f>
        <v>0</v>
      </c>
      <c r="B864" s="13">
        <f>+'PLAN DE CUENTAS'!B864</f>
        <v>0</v>
      </c>
      <c r="C864" s="13">
        <f>+'PLAN DE CUENTAS'!C864</f>
        <v>0</v>
      </c>
      <c r="D864" t="str">
        <f>IF(tbal[[#This Row],[DEBE]]+tbal[[#This Row],[HABER]]=0,"","X")</f>
        <v/>
      </c>
      <c r="E864" s="16">
        <f>SUMIF(tdiario[CUENTA],tbal[[#This Row],[CUENTA]],tdiario[DEBE])</f>
        <v>0</v>
      </c>
      <c r="F864" s="17">
        <f>SUMIF(tdiario[CUENTA],tbal[[#This Row],[CUENTA]],tdiario[HABER])</f>
        <v>0</v>
      </c>
      <c r="G864" s="16">
        <f>IF(tbal[[#This Row],[DEBE]]-tbal[[#This Row],[HABER]]&gt;0,tbal[[#This Row],[DEBE]]-tbal[[#This Row],[HABER]],0)</f>
        <v>0</v>
      </c>
      <c r="H864" s="18">
        <f>IF(tbal[[#This Row],[HABER]]-tbal[[#This Row],[DEBE]]&gt;0,tbal[[#This Row],[HABER]]-tbal[[#This Row],[DEBE]],0)</f>
        <v>0</v>
      </c>
      <c r="I864" s="16">
        <f>IF((OR(tbal[[#This Row],[X]]=1,tbal[[#This Row],[X]]=2)),tbal[[#This Row],[DEUDOR]],0)</f>
        <v>0</v>
      </c>
      <c r="J864" s="18">
        <f>IF((OR(tbal[[#This Row],[X]]=2,tbal[[#This Row],[X]]=3)),tbal[[#This Row],[ACREEDOR]],0)</f>
        <v>0</v>
      </c>
      <c r="K864" s="16">
        <f>IF((OR(tbal[[#This Row],[X]]=3,tbal[[#This Row],[X]]=5)),tbal[[#This Row],[DEUDOR]],0)</f>
        <v>0</v>
      </c>
      <c r="L864" s="18">
        <f>IF((OR(tbal[[#This Row],[X]]=3,tbal[[#This Row],[X]]=4)),tbal[[#This Row],[ACREEDOR]],0)</f>
        <v>0</v>
      </c>
      <c r="M864" s="16">
        <f>IF((OR(tbal[[#This Row],[X]]=0,tbal[[#This Row],[X]]=6)),tbal[[#This Row],[DEUDOR]],0)</f>
        <v>0</v>
      </c>
      <c r="N864" s="18">
        <f>IF((OR(tbal[[#This Row],[X]]=0,tbal[[#This Row],[X]]=5)),tbal[[#This Row],[ACREEDOR]],0)</f>
        <v>0</v>
      </c>
    </row>
    <row r="865" spans="1:14" hidden="1" x14ac:dyDescent="0.3">
      <c r="A865" s="14">
        <f>+'PLAN DE CUENTAS'!A865</f>
        <v>0</v>
      </c>
      <c r="B865" s="13">
        <f>+'PLAN DE CUENTAS'!B865</f>
        <v>0</v>
      </c>
      <c r="C865" s="13">
        <f>+'PLAN DE CUENTAS'!C865</f>
        <v>0</v>
      </c>
      <c r="D865" t="str">
        <f>IF(tbal[[#This Row],[DEBE]]+tbal[[#This Row],[HABER]]=0,"","X")</f>
        <v/>
      </c>
      <c r="E865" s="16">
        <f>SUMIF(tdiario[CUENTA],tbal[[#This Row],[CUENTA]],tdiario[DEBE])</f>
        <v>0</v>
      </c>
      <c r="F865" s="17">
        <f>SUMIF(tdiario[CUENTA],tbal[[#This Row],[CUENTA]],tdiario[HABER])</f>
        <v>0</v>
      </c>
      <c r="G865" s="16">
        <f>IF(tbal[[#This Row],[DEBE]]-tbal[[#This Row],[HABER]]&gt;0,tbal[[#This Row],[DEBE]]-tbal[[#This Row],[HABER]],0)</f>
        <v>0</v>
      </c>
      <c r="H865" s="18">
        <f>IF(tbal[[#This Row],[HABER]]-tbal[[#This Row],[DEBE]]&gt;0,tbal[[#This Row],[HABER]]-tbal[[#This Row],[DEBE]],0)</f>
        <v>0</v>
      </c>
      <c r="I865" s="16">
        <f>IF((OR(tbal[[#This Row],[X]]=1,tbal[[#This Row],[X]]=2)),tbal[[#This Row],[DEUDOR]],0)</f>
        <v>0</v>
      </c>
      <c r="J865" s="18">
        <f>IF((OR(tbal[[#This Row],[X]]=2,tbal[[#This Row],[X]]=3)),tbal[[#This Row],[ACREEDOR]],0)</f>
        <v>0</v>
      </c>
      <c r="K865" s="16">
        <f>IF((OR(tbal[[#This Row],[X]]=3,tbal[[#This Row],[X]]=5)),tbal[[#This Row],[DEUDOR]],0)</f>
        <v>0</v>
      </c>
      <c r="L865" s="18">
        <f>IF((OR(tbal[[#This Row],[X]]=3,tbal[[#This Row],[X]]=4)),tbal[[#This Row],[ACREEDOR]],0)</f>
        <v>0</v>
      </c>
      <c r="M865" s="16">
        <f>IF((OR(tbal[[#This Row],[X]]=0,tbal[[#This Row],[X]]=6)),tbal[[#This Row],[DEUDOR]],0)</f>
        <v>0</v>
      </c>
      <c r="N865" s="18">
        <f>IF((OR(tbal[[#This Row],[X]]=0,tbal[[#This Row],[X]]=5)),tbal[[#This Row],[ACREEDOR]],0)</f>
        <v>0</v>
      </c>
    </row>
    <row r="866" spans="1:14" hidden="1" x14ac:dyDescent="0.3">
      <c r="A866" s="14">
        <f>+'PLAN DE CUENTAS'!A866</f>
        <v>0</v>
      </c>
      <c r="B866" s="13">
        <f>+'PLAN DE CUENTAS'!B866</f>
        <v>0</v>
      </c>
      <c r="C866" s="13">
        <f>+'PLAN DE CUENTAS'!C866</f>
        <v>0</v>
      </c>
      <c r="D866" t="str">
        <f>IF(tbal[[#This Row],[DEBE]]+tbal[[#This Row],[HABER]]=0,"","X")</f>
        <v/>
      </c>
      <c r="E866" s="16">
        <f>SUMIF(tdiario[CUENTA],tbal[[#This Row],[CUENTA]],tdiario[DEBE])</f>
        <v>0</v>
      </c>
      <c r="F866" s="17">
        <f>SUMIF(tdiario[CUENTA],tbal[[#This Row],[CUENTA]],tdiario[HABER])</f>
        <v>0</v>
      </c>
      <c r="G866" s="16">
        <f>IF(tbal[[#This Row],[DEBE]]-tbal[[#This Row],[HABER]]&gt;0,tbal[[#This Row],[DEBE]]-tbal[[#This Row],[HABER]],0)</f>
        <v>0</v>
      </c>
      <c r="H866" s="18">
        <f>IF(tbal[[#This Row],[HABER]]-tbal[[#This Row],[DEBE]]&gt;0,tbal[[#This Row],[HABER]]-tbal[[#This Row],[DEBE]],0)</f>
        <v>0</v>
      </c>
      <c r="I866" s="16">
        <f>IF((OR(tbal[[#This Row],[X]]=1,tbal[[#This Row],[X]]=2)),tbal[[#This Row],[DEUDOR]],0)</f>
        <v>0</v>
      </c>
      <c r="J866" s="18">
        <f>IF((OR(tbal[[#This Row],[X]]=2,tbal[[#This Row],[X]]=3)),tbal[[#This Row],[ACREEDOR]],0)</f>
        <v>0</v>
      </c>
      <c r="K866" s="16">
        <f>IF((OR(tbal[[#This Row],[X]]=3,tbal[[#This Row],[X]]=5)),tbal[[#This Row],[DEUDOR]],0)</f>
        <v>0</v>
      </c>
      <c r="L866" s="18">
        <f>IF((OR(tbal[[#This Row],[X]]=3,tbal[[#This Row],[X]]=4)),tbal[[#This Row],[ACREEDOR]],0)</f>
        <v>0</v>
      </c>
      <c r="M866" s="16">
        <f>IF((OR(tbal[[#This Row],[X]]=0,tbal[[#This Row],[X]]=6)),tbal[[#This Row],[DEUDOR]],0)</f>
        <v>0</v>
      </c>
      <c r="N866" s="18">
        <f>IF((OR(tbal[[#This Row],[X]]=0,tbal[[#This Row],[X]]=5)),tbal[[#This Row],[ACREEDOR]],0)</f>
        <v>0</v>
      </c>
    </row>
    <row r="867" spans="1:14" hidden="1" x14ac:dyDescent="0.3">
      <c r="A867" s="14">
        <f>+'PLAN DE CUENTAS'!A867</f>
        <v>0</v>
      </c>
      <c r="B867" s="13">
        <f>+'PLAN DE CUENTAS'!B867</f>
        <v>0</v>
      </c>
      <c r="C867" s="13">
        <f>+'PLAN DE CUENTAS'!C867</f>
        <v>0</v>
      </c>
      <c r="D867" t="str">
        <f>IF(tbal[[#This Row],[DEBE]]+tbal[[#This Row],[HABER]]=0,"","X")</f>
        <v/>
      </c>
      <c r="E867" s="16">
        <f>SUMIF(tdiario[CUENTA],tbal[[#This Row],[CUENTA]],tdiario[DEBE])</f>
        <v>0</v>
      </c>
      <c r="F867" s="17">
        <f>SUMIF(tdiario[CUENTA],tbal[[#This Row],[CUENTA]],tdiario[HABER])</f>
        <v>0</v>
      </c>
      <c r="G867" s="16">
        <f>IF(tbal[[#This Row],[DEBE]]-tbal[[#This Row],[HABER]]&gt;0,tbal[[#This Row],[DEBE]]-tbal[[#This Row],[HABER]],0)</f>
        <v>0</v>
      </c>
      <c r="H867" s="18">
        <f>IF(tbal[[#This Row],[HABER]]-tbal[[#This Row],[DEBE]]&gt;0,tbal[[#This Row],[HABER]]-tbal[[#This Row],[DEBE]],0)</f>
        <v>0</v>
      </c>
      <c r="I867" s="16">
        <f>IF((OR(tbal[[#This Row],[X]]=1,tbal[[#This Row],[X]]=2)),tbal[[#This Row],[DEUDOR]],0)</f>
        <v>0</v>
      </c>
      <c r="J867" s="18">
        <f>IF((OR(tbal[[#This Row],[X]]=2,tbal[[#This Row],[X]]=3)),tbal[[#This Row],[ACREEDOR]],0)</f>
        <v>0</v>
      </c>
      <c r="K867" s="16">
        <f>IF((OR(tbal[[#This Row],[X]]=3,tbal[[#This Row],[X]]=5)),tbal[[#This Row],[DEUDOR]],0)</f>
        <v>0</v>
      </c>
      <c r="L867" s="18">
        <f>IF((OR(tbal[[#This Row],[X]]=3,tbal[[#This Row],[X]]=4)),tbal[[#This Row],[ACREEDOR]],0)</f>
        <v>0</v>
      </c>
      <c r="M867" s="16">
        <f>IF((OR(tbal[[#This Row],[X]]=0,tbal[[#This Row],[X]]=6)),tbal[[#This Row],[DEUDOR]],0)</f>
        <v>0</v>
      </c>
      <c r="N867" s="18">
        <f>IF((OR(tbal[[#This Row],[X]]=0,tbal[[#This Row],[X]]=5)),tbal[[#This Row],[ACREEDOR]],0)</f>
        <v>0</v>
      </c>
    </row>
    <row r="868" spans="1:14" hidden="1" x14ac:dyDescent="0.3">
      <c r="A868" s="14">
        <f>+'PLAN DE CUENTAS'!A868</f>
        <v>0</v>
      </c>
      <c r="B868" s="13">
        <f>+'PLAN DE CUENTAS'!B868</f>
        <v>0</v>
      </c>
      <c r="C868" s="13">
        <f>+'PLAN DE CUENTAS'!C868</f>
        <v>0</v>
      </c>
      <c r="D868" t="str">
        <f>IF(tbal[[#This Row],[DEBE]]+tbal[[#This Row],[HABER]]=0,"","X")</f>
        <v/>
      </c>
      <c r="E868" s="16">
        <f>SUMIF(tdiario[CUENTA],tbal[[#This Row],[CUENTA]],tdiario[DEBE])</f>
        <v>0</v>
      </c>
      <c r="F868" s="17">
        <f>SUMIF(tdiario[CUENTA],tbal[[#This Row],[CUENTA]],tdiario[HABER])</f>
        <v>0</v>
      </c>
      <c r="G868" s="16">
        <f>IF(tbal[[#This Row],[DEBE]]-tbal[[#This Row],[HABER]]&gt;0,tbal[[#This Row],[DEBE]]-tbal[[#This Row],[HABER]],0)</f>
        <v>0</v>
      </c>
      <c r="H868" s="18">
        <f>IF(tbal[[#This Row],[HABER]]-tbal[[#This Row],[DEBE]]&gt;0,tbal[[#This Row],[HABER]]-tbal[[#This Row],[DEBE]],0)</f>
        <v>0</v>
      </c>
      <c r="I868" s="16">
        <f>IF((OR(tbal[[#This Row],[X]]=1,tbal[[#This Row],[X]]=2)),tbal[[#This Row],[DEUDOR]],0)</f>
        <v>0</v>
      </c>
      <c r="J868" s="18">
        <f>IF((OR(tbal[[#This Row],[X]]=2,tbal[[#This Row],[X]]=3)),tbal[[#This Row],[ACREEDOR]],0)</f>
        <v>0</v>
      </c>
      <c r="K868" s="16">
        <f>IF((OR(tbal[[#This Row],[X]]=3,tbal[[#This Row],[X]]=5)),tbal[[#This Row],[DEUDOR]],0)</f>
        <v>0</v>
      </c>
      <c r="L868" s="18">
        <f>IF((OR(tbal[[#This Row],[X]]=3,tbal[[#This Row],[X]]=4)),tbal[[#This Row],[ACREEDOR]],0)</f>
        <v>0</v>
      </c>
      <c r="M868" s="16">
        <f>IF((OR(tbal[[#This Row],[X]]=0,tbal[[#This Row],[X]]=6)),tbal[[#This Row],[DEUDOR]],0)</f>
        <v>0</v>
      </c>
      <c r="N868" s="18">
        <f>IF((OR(tbal[[#This Row],[X]]=0,tbal[[#This Row],[X]]=5)),tbal[[#This Row],[ACREEDOR]],0)</f>
        <v>0</v>
      </c>
    </row>
    <row r="869" spans="1:14" hidden="1" x14ac:dyDescent="0.3">
      <c r="A869" s="14">
        <f>+'PLAN DE CUENTAS'!A869</f>
        <v>0</v>
      </c>
      <c r="B869" s="13">
        <f>+'PLAN DE CUENTAS'!B869</f>
        <v>0</v>
      </c>
      <c r="C869" s="13">
        <f>+'PLAN DE CUENTAS'!C869</f>
        <v>0</v>
      </c>
      <c r="D869" t="str">
        <f>IF(tbal[[#This Row],[DEBE]]+tbal[[#This Row],[HABER]]=0,"","X")</f>
        <v/>
      </c>
      <c r="E869" s="16">
        <f>SUMIF(tdiario[CUENTA],tbal[[#This Row],[CUENTA]],tdiario[DEBE])</f>
        <v>0</v>
      </c>
      <c r="F869" s="17">
        <f>SUMIF(tdiario[CUENTA],tbal[[#This Row],[CUENTA]],tdiario[HABER])</f>
        <v>0</v>
      </c>
      <c r="G869" s="16">
        <f>IF(tbal[[#This Row],[DEBE]]-tbal[[#This Row],[HABER]]&gt;0,tbal[[#This Row],[DEBE]]-tbal[[#This Row],[HABER]],0)</f>
        <v>0</v>
      </c>
      <c r="H869" s="18">
        <f>IF(tbal[[#This Row],[HABER]]-tbal[[#This Row],[DEBE]]&gt;0,tbal[[#This Row],[HABER]]-tbal[[#This Row],[DEBE]],0)</f>
        <v>0</v>
      </c>
      <c r="I869" s="16">
        <f>IF((OR(tbal[[#This Row],[X]]=1,tbal[[#This Row],[X]]=2)),tbal[[#This Row],[DEUDOR]],0)</f>
        <v>0</v>
      </c>
      <c r="J869" s="18">
        <f>IF((OR(tbal[[#This Row],[X]]=2,tbal[[#This Row],[X]]=3)),tbal[[#This Row],[ACREEDOR]],0)</f>
        <v>0</v>
      </c>
      <c r="K869" s="16">
        <f>IF((OR(tbal[[#This Row],[X]]=3,tbal[[#This Row],[X]]=5)),tbal[[#This Row],[DEUDOR]],0)</f>
        <v>0</v>
      </c>
      <c r="L869" s="18">
        <f>IF((OR(tbal[[#This Row],[X]]=3,tbal[[#This Row],[X]]=4)),tbal[[#This Row],[ACREEDOR]],0)</f>
        <v>0</v>
      </c>
      <c r="M869" s="16">
        <f>IF((OR(tbal[[#This Row],[X]]=0,tbal[[#This Row],[X]]=6)),tbal[[#This Row],[DEUDOR]],0)</f>
        <v>0</v>
      </c>
      <c r="N869" s="18">
        <f>IF((OR(tbal[[#This Row],[X]]=0,tbal[[#This Row],[X]]=5)),tbal[[#This Row],[ACREEDOR]],0)</f>
        <v>0</v>
      </c>
    </row>
    <row r="870" spans="1:14" hidden="1" x14ac:dyDescent="0.3">
      <c r="A870" s="14">
        <f>+'PLAN DE CUENTAS'!A870</f>
        <v>0</v>
      </c>
      <c r="B870" s="13">
        <f>+'PLAN DE CUENTAS'!B870</f>
        <v>0</v>
      </c>
      <c r="C870" s="13">
        <f>+'PLAN DE CUENTAS'!C870</f>
        <v>0</v>
      </c>
      <c r="D870" t="str">
        <f>IF(tbal[[#This Row],[DEBE]]+tbal[[#This Row],[HABER]]=0,"","X")</f>
        <v/>
      </c>
      <c r="E870" s="16">
        <f>SUMIF(tdiario[CUENTA],tbal[[#This Row],[CUENTA]],tdiario[DEBE])</f>
        <v>0</v>
      </c>
      <c r="F870" s="17">
        <f>SUMIF(tdiario[CUENTA],tbal[[#This Row],[CUENTA]],tdiario[HABER])</f>
        <v>0</v>
      </c>
      <c r="G870" s="16">
        <f>IF(tbal[[#This Row],[DEBE]]-tbal[[#This Row],[HABER]]&gt;0,tbal[[#This Row],[DEBE]]-tbal[[#This Row],[HABER]],0)</f>
        <v>0</v>
      </c>
      <c r="H870" s="18">
        <f>IF(tbal[[#This Row],[HABER]]-tbal[[#This Row],[DEBE]]&gt;0,tbal[[#This Row],[HABER]]-tbal[[#This Row],[DEBE]],0)</f>
        <v>0</v>
      </c>
      <c r="I870" s="16">
        <f>IF((OR(tbal[[#This Row],[X]]=1,tbal[[#This Row],[X]]=2)),tbal[[#This Row],[DEUDOR]],0)</f>
        <v>0</v>
      </c>
      <c r="J870" s="18">
        <f>IF((OR(tbal[[#This Row],[X]]=2,tbal[[#This Row],[X]]=3)),tbal[[#This Row],[ACREEDOR]],0)</f>
        <v>0</v>
      </c>
      <c r="K870" s="16">
        <f>IF((OR(tbal[[#This Row],[X]]=3,tbal[[#This Row],[X]]=5)),tbal[[#This Row],[DEUDOR]],0)</f>
        <v>0</v>
      </c>
      <c r="L870" s="18">
        <f>IF((OR(tbal[[#This Row],[X]]=3,tbal[[#This Row],[X]]=4)),tbal[[#This Row],[ACREEDOR]],0)</f>
        <v>0</v>
      </c>
      <c r="M870" s="16">
        <f>IF((OR(tbal[[#This Row],[X]]=0,tbal[[#This Row],[X]]=6)),tbal[[#This Row],[DEUDOR]],0)</f>
        <v>0</v>
      </c>
      <c r="N870" s="18">
        <f>IF((OR(tbal[[#This Row],[X]]=0,tbal[[#This Row],[X]]=5)),tbal[[#This Row],[ACREEDOR]],0)</f>
        <v>0</v>
      </c>
    </row>
    <row r="871" spans="1:14" hidden="1" x14ac:dyDescent="0.3">
      <c r="A871" s="14">
        <f>+'PLAN DE CUENTAS'!A871</f>
        <v>0</v>
      </c>
      <c r="B871" s="13">
        <f>+'PLAN DE CUENTAS'!B871</f>
        <v>0</v>
      </c>
      <c r="C871" s="13">
        <f>+'PLAN DE CUENTAS'!C871</f>
        <v>0</v>
      </c>
      <c r="D871" t="str">
        <f>IF(tbal[[#This Row],[DEBE]]+tbal[[#This Row],[HABER]]=0,"","X")</f>
        <v/>
      </c>
      <c r="E871" s="16">
        <f>SUMIF(tdiario[CUENTA],tbal[[#This Row],[CUENTA]],tdiario[DEBE])</f>
        <v>0</v>
      </c>
      <c r="F871" s="17">
        <f>SUMIF(tdiario[CUENTA],tbal[[#This Row],[CUENTA]],tdiario[HABER])</f>
        <v>0</v>
      </c>
      <c r="G871" s="16">
        <f>IF(tbal[[#This Row],[DEBE]]-tbal[[#This Row],[HABER]]&gt;0,tbal[[#This Row],[DEBE]]-tbal[[#This Row],[HABER]],0)</f>
        <v>0</v>
      </c>
      <c r="H871" s="18">
        <f>IF(tbal[[#This Row],[HABER]]-tbal[[#This Row],[DEBE]]&gt;0,tbal[[#This Row],[HABER]]-tbal[[#This Row],[DEBE]],0)</f>
        <v>0</v>
      </c>
      <c r="I871" s="16">
        <f>IF((OR(tbal[[#This Row],[X]]=1,tbal[[#This Row],[X]]=2)),tbal[[#This Row],[DEUDOR]],0)</f>
        <v>0</v>
      </c>
      <c r="J871" s="18">
        <f>IF((OR(tbal[[#This Row],[X]]=2,tbal[[#This Row],[X]]=3)),tbal[[#This Row],[ACREEDOR]],0)</f>
        <v>0</v>
      </c>
      <c r="K871" s="16">
        <f>IF((OR(tbal[[#This Row],[X]]=3,tbal[[#This Row],[X]]=5)),tbal[[#This Row],[DEUDOR]],0)</f>
        <v>0</v>
      </c>
      <c r="L871" s="18">
        <f>IF((OR(tbal[[#This Row],[X]]=3,tbal[[#This Row],[X]]=4)),tbal[[#This Row],[ACREEDOR]],0)</f>
        <v>0</v>
      </c>
      <c r="M871" s="16">
        <f>IF((OR(tbal[[#This Row],[X]]=0,tbal[[#This Row],[X]]=6)),tbal[[#This Row],[DEUDOR]],0)</f>
        <v>0</v>
      </c>
      <c r="N871" s="18">
        <f>IF((OR(tbal[[#This Row],[X]]=0,tbal[[#This Row],[X]]=5)),tbal[[#This Row],[ACREEDOR]],0)</f>
        <v>0</v>
      </c>
    </row>
    <row r="872" spans="1:14" hidden="1" x14ac:dyDescent="0.3">
      <c r="A872" s="14">
        <f>+'PLAN DE CUENTAS'!A872</f>
        <v>0</v>
      </c>
      <c r="B872" s="13">
        <f>+'PLAN DE CUENTAS'!B872</f>
        <v>0</v>
      </c>
      <c r="C872" s="13">
        <f>+'PLAN DE CUENTAS'!C872</f>
        <v>0</v>
      </c>
      <c r="D872" t="str">
        <f>IF(tbal[[#This Row],[DEBE]]+tbal[[#This Row],[HABER]]=0,"","X")</f>
        <v/>
      </c>
      <c r="E872" s="16">
        <f>SUMIF(tdiario[CUENTA],tbal[[#This Row],[CUENTA]],tdiario[DEBE])</f>
        <v>0</v>
      </c>
      <c r="F872" s="17">
        <f>SUMIF(tdiario[CUENTA],tbal[[#This Row],[CUENTA]],tdiario[HABER])</f>
        <v>0</v>
      </c>
      <c r="G872" s="16">
        <f>IF(tbal[[#This Row],[DEBE]]-tbal[[#This Row],[HABER]]&gt;0,tbal[[#This Row],[DEBE]]-tbal[[#This Row],[HABER]],0)</f>
        <v>0</v>
      </c>
      <c r="H872" s="18">
        <f>IF(tbal[[#This Row],[HABER]]-tbal[[#This Row],[DEBE]]&gt;0,tbal[[#This Row],[HABER]]-tbal[[#This Row],[DEBE]],0)</f>
        <v>0</v>
      </c>
      <c r="I872" s="16">
        <f>IF((OR(tbal[[#This Row],[X]]=1,tbal[[#This Row],[X]]=2)),tbal[[#This Row],[DEUDOR]],0)</f>
        <v>0</v>
      </c>
      <c r="J872" s="18">
        <f>IF((OR(tbal[[#This Row],[X]]=2,tbal[[#This Row],[X]]=3)),tbal[[#This Row],[ACREEDOR]],0)</f>
        <v>0</v>
      </c>
      <c r="K872" s="16">
        <f>IF((OR(tbal[[#This Row],[X]]=3,tbal[[#This Row],[X]]=5)),tbal[[#This Row],[DEUDOR]],0)</f>
        <v>0</v>
      </c>
      <c r="L872" s="18">
        <f>IF((OR(tbal[[#This Row],[X]]=3,tbal[[#This Row],[X]]=4)),tbal[[#This Row],[ACREEDOR]],0)</f>
        <v>0</v>
      </c>
      <c r="M872" s="16">
        <f>IF((OR(tbal[[#This Row],[X]]=0,tbal[[#This Row],[X]]=6)),tbal[[#This Row],[DEUDOR]],0)</f>
        <v>0</v>
      </c>
      <c r="N872" s="18">
        <f>IF((OR(tbal[[#This Row],[X]]=0,tbal[[#This Row],[X]]=5)),tbal[[#This Row],[ACREEDOR]],0)</f>
        <v>0</v>
      </c>
    </row>
    <row r="873" spans="1:14" hidden="1" x14ac:dyDescent="0.3">
      <c r="A873" s="14">
        <f>+'PLAN DE CUENTAS'!A873</f>
        <v>0</v>
      </c>
      <c r="B873" s="13">
        <f>+'PLAN DE CUENTAS'!B873</f>
        <v>0</v>
      </c>
      <c r="C873" s="13">
        <f>+'PLAN DE CUENTAS'!C873</f>
        <v>0</v>
      </c>
      <c r="D873" t="str">
        <f>IF(tbal[[#This Row],[DEBE]]+tbal[[#This Row],[HABER]]=0,"","X")</f>
        <v/>
      </c>
      <c r="E873" s="16">
        <f>SUMIF(tdiario[CUENTA],tbal[[#This Row],[CUENTA]],tdiario[DEBE])</f>
        <v>0</v>
      </c>
      <c r="F873" s="17">
        <f>SUMIF(tdiario[CUENTA],tbal[[#This Row],[CUENTA]],tdiario[HABER])</f>
        <v>0</v>
      </c>
      <c r="G873" s="16">
        <f>IF(tbal[[#This Row],[DEBE]]-tbal[[#This Row],[HABER]]&gt;0,tbal[[#This Row],[DEBE]]-tbal[[#This Row],[HABER]],0)</f>
        <v>0</v>
      </c>
      <c r="H873" s="18">
        <f>IF(tbal[[#This Row],[HABER]]-tbal[[#This Row],[DEBE]]&gt;0,tbal[[#This Row],[HABER]]-tbal[[#This Row],[DEBE]],0)</f>
        <v>0</v>
      </c>
      <c r="I873" s="16">
        <f>IF((OR(tbal[[#This Row],[X]]=1,tbal[[#This Row],[X]]=2)),tbal[[#This Row],[DEUDOR]],0)</f>
        <v>0</v>
      </c>
      <c r="J873" s="18">
        <f>IF((OR(tbal[[#This Row],[X]]=2,tbal[[#This Row],[X]]=3)),tbal[[#This Row],[ACREEDOR]],0)</f>
        <v>0</v>
      </c>
      <c r="K873" s="16">
        <f>IF((OR(tbal[[#This Row],[X]]=3,tbal[[#This Row],[X]]=5)),tbal[[#This Row],[DEUDOR]],0)</f>
        <v>0</v>
      </c>
      <c r="L873" s="18">
        <f>IF((OR(tbal[[#This Row],[X]]=3,tbal[[#This Row],[X]]=4)),tbal[[#This Row],[ACREEDOR]],0)</f>
        <v>0</v>
      </c>
      <c r="M873" s="16">
        <f>IF((OR(tbal[[#This Row],[X]]=0,tbal[[#This Row],[X]]=6)),tbal[[#This Row],[DEUDOR]],0)</f>
        <v>0</v>
      </c>
      <c r="N873" s="18">
        <f>IF((OR(tbal[[#This Row],[X]]=0,tbal[[#This Row],[X]]=5)),tbal[[#This Row],[ACREEDOR]],0)</f>
        <v>0</v>
      </c>
    </row>
    <row r="874" spans="1:14" hidden="1" x14ac:dyDescent="0.3">
      <c r="A874" s="14">
        <f>+'PLAN DE CUENTAS'!A874</f>
        <v>0</v>
      </c>
      <c r="B874" s="13">
        <f>+'PLAN DE CUENTAS'!B874</f>
        <v>0</v>
      </c>
      <c r="C874" s="13">
        <f>+'PLAN DE CUENTAS'!C874</f>
        <v>0</v>
      </c>
      <c r="D874" t="str">
        <f>IF(tbal[[#This Row],[DEBE]]+tbal[[#This Row],[HABER]]=0,"","X")</f>
        <v/>
      </c>
      <c r="E874" s="16">
        <f>SUMIF(tdiario[CUENTA],tbal[[#This Row],[CUENTA]],tdiario[DEBE])</f>
        <v>0</v>
      </c>
      <c r="F874" s="17">
        <f>SUMIF(tdiario[CUENTA],tbal[[#This Row],[CUENTA]],tdiario[HABER])</f>
        <v>0</v>
      </c>
      <c r="G874" s="16">
        <f>IF(tbal[[#This Row],[DEBE]]-tbal[[#This Row],[HABER]]&gt;0,tbal[[#This Row],[DEBE]]-tbal[[#This Row],[HABER]],0)</f>
        <v>0</v>
      </c>
      <c r="H874" s="18">
        <f>IF(tbal[[#This Row],[HABER]]-tbal[[#This Row],[DEBE]]&gt;0,tbal[[#This Row],[HABER]]-tbal[[#This Row],[DEBE]],0)</f>
        <v>0</v>
      </c>
      <c r="I874" s="16">
        <f>IF((OR(tbal[[#This Row],[X]]=1,tbal[[#This Row],[X]]=2)),tbal[[#This Row],[DEUDOR]],0)</f>
        <v>0</v>
      </c>
      <c r="J874" s="18">
        <f>IF((OR(tbal[[#This Row],[X]]=2,tbal[[#This Row],[X]]=3)),tbal[[#This Row],[ACREEDOR]],0)</f>
        <v>0</v>
      </c>
      <c r="K874" s="16">
        <f>IF((OR(tbal[[#This Row],[X]]=3,tbal[[#This Row],[X]]=5)),tbal[[#This Row],[DEUDOR]],0)</f>
        <v>0</v>
      </c>
      <c r="L874" s="18">
        <f>IF((OR(tbal[[#This Row],[X]]=3,tbal[[#This Row],[X]]=4)),tbal[[#This Row],[ACREEDOR]],0)</f>
        <v>0</v>
      </c>
      <c r="M874" s="16">
        <f>IF((OR(tbal[[#This Row],[X]]=0,tbal[[#This Row],[X]]=6)),tbal[[#This Row],[DEUDOR]],0)</f>
        <v>0</v>
      </c>
      <c r="N874" s="18">
        <f>IF((OR(tbal[[#This Row],[X]]=0,tbal[[#This Row],[X]]=5)),tbal[[#This Row],[ACREEDOR]],0)</f>
        <v>0</v>
      </c>
    </row>
    <row r="875" spans="1:14" hidden="1" x14ac:dyDescent="0.3">
      <c r="A875" s="14">
        <f>+'PLAN DE CUENTAS'!A875</f>
        <v>0</v>
      </c>
      <c r="B875" s="13">
        <f>+'PLAN DE CUENTAS'!B875</f>
        <v>0</v>
      </c>
      <c r="C875" s="13">
        <f>+'PLAN DE CUENTAS'!C875</f>
        <v>0</v>
      </c>
      <c r="D875" t="str">
        <f>IF(tbal[[#This Row],[DEBE]]+tbal[[#This Row],[HABER]]=0,"","X")</f>
        <v/>
      </c>
      <c r="E875" s="16">
        <f>SUMIF(tdiario[CUENTA],tbal[[#This Row],[CUENTA]],tdiario[DEBE])</f>
        <v>0</v>
      </c>
      <c r="F875" s="17">
        <f>SUMIF(tdiario[CUENTA],tbal[[#This Row],[CUENTA]],tdiario[HABER])</f>
        <v>0</v>
      </c>
      <c r="G875" s="16">
        <f>IF(tbal[[#This Row],[DEBE]]-tbal[[#This Row],[HABER]]&gt;0,tbal[[#This Row],[DEBE]]-tbal[[#This Row],[HABER]],0)</f>
        <v>0</v>
      </c>
      <c r="H875" s="18">
        <f>IF(tbal[[#This Row],[HABER]]-tbal[[#This Row],[DEBE]]&gt;0,tbal[[#This Row],[HABER]]-tbal[[#This Row],[DEBE]],0)</f>
        <v>0</v>
      </c>
      <c r="I875" s="16">
        <f>IF((OR(tbal[[#This Row],[X]]=1,tbal[[#This Row],[X]]=2)),tbal[[#This Row],[DEUDOR]],0)</f>
        <v>0</v>
      </c>
      <c r="J875" s="18">
        <f>IF((OR(tbal[[#This Row],[X]]=2,tbal[[#This Row],[X]]=3)),tbal[[#This Row],[ACREEDOR]],0)</f>
        <v>0</v>
      </c>
      <c r="K875" s="16">
        <f>IF((OR(tbal[[#This Row],[X]]=3,tbal[[#This Row],[X]]=5)),tbal[[#This Row],[DEUDOR]],0)</f>
        <v>0</v>
      </c>
      <c r="L875" s="18">
        <f>IF((OR(tbal[[#This Row],[X]]=3,tbal[[#This Row],[X]]=4)),tbal[[#This Row],[ACREEDOR]],0)</f>
        <v>0</v>
      </c>
      <c r="M875" s="16">
        <f>IF((OR(tbal[[#This Row],[X]]=0,tbal[[#This Row],[X]]=6)),tbal[[#This Row],[DEUDOR]],0)</f>
        <v>0</v>
      </c>
      <c r="N875" s="18">
        <f>IF((OR(tbal[[#This Row],[X]]=0,tbal[[#This Row],[X]]=5)),tbal[[#This Row],[ACREEDOR]],0)</f>
        <v>0</v>
      </c>
    </row>
    <row r="876" spans="1:14" hidden="1" x14ac:dyDescent="0.3">
      <c r="A876" s="14">
        <f>+'PLAN DE CUENTAS'!A876</f>
        <v>0</v>
      </c>
      <c r="B876" s="13">
        <f>+'PLAN DE CUENTAS'!B876</f>
        <v>0</v>
      </c>
      <c r="C876" s="13">
        <f>+'PLAN DE CUENTAS'!C876</f>
        <v>0</v>
      </c>
      <c r="D876" t="str">
        <f>IF(tbal[[#This Row],[DEBE]]+tbal[[#This Row],[HABER]]=0,"","X")</f>
        <v/>
      </c>
      <c r="E876" s="16">
        <f>SUMIF(tdiario[CUENTA],tbal[[#This Row],[CUENTA]],tdiario[DEBE])</f>
        <v>0</v>
      </c>
      <c r="F876" s="17">
        <f>SUMIF(tdiario[CUENTA],tbal[[#This Row],[CUENTA]],tdiario[HABER])</f>
        <v>0</v>
      </c>
      <c r="G876" s="16">
        <f>IF(tbal[[#This Row],[DEBE]]-tbal[[#This Row],[HABER]]&gt;0,tbal[[#This Row],[DEBE]]-tbal[[#This Row],[HABER]],0)</f>
        <v>0</v>
      </c>
      <c r="H876" s="18">
        <f>IF(tbal[[#This Row],[HABER]]-tbal[[#This Row],[DEBE]]&gt;0,tbal[[#This Row],[HABER]]-tbal[[#This Row],[DEBE]],0)</f>
        <v>0</v>
      </c>
      <c r="I876" s="16">
        <f>IF((OR(tbal[[#This Row],[X]]=1,tbal[[#This Row],[X]]=2)),tbal[[#This Row],[DEUDOR]],0)</f>
        <v>0</v>
      </c>
      <c r="J876" s="18">
        <f>IF((OR(tbal[[#This Row],[X]]=2,tbal[[#This Row],[X]]=3)),tbal[[#This Row],[ACREEDOR]],0)</f>
        <v>0</v>
      </c>
      <c r="K876" s="16">
        <f>IF((OR(tbal[[#This Row],[X]]=3,tbal[[#This Row],[X]]=5)),tbal[[#This Row],[DEUDOR]],0)</f>
        <v>0</v>
      </c>
      <c r="L876" s="18">
        <f>IF((OR(tbal[[#This Row],[X]]=3,tbal[[#This Row],[X]]=4)),tbal[[#This Row],[ACREEDOR]],0)</f>
        <v>0</v>
      </c>
      <c r="M876" s="16">
        <f>IF((OR(tbal[[#This Row],[X]]=0,tbal[[#This Row],[X]]=6)),tbal[[#This Row],[DEUDOR]],0)</f>
        <v>0</v>
      </c>
      <c r="N876" s="18">
        <f>IF((OR(tbal[[#This Row],[X]]=0,tbal[[#This Row],[X]]=5)),tbal[[#This Row],[ACREEDOR]],0)</f>
        <v>0</v>
      </c>
    </row>
    <row r="877" spans="1:14" hidden="1" x14ac:dyDescent="0.3">
      <c r="A877" s="14">
        <f>+'PLAN DE CUENTAS'!A877</f>
        <v>0</v>
      </c>
      <c r="B877" s="13">
        <f>+'PLAN DE CUENTAS'!B877</f>
        <v>0</v>
      </c>
      <c r="C877" s="13">
        <f>+'PLAN DE CUENTAS'!C877</f>
        <v>0</v>
      </c>
      <c r="D877" t="str">
        <f>IF(tbal[[#This Row],[DEBE]]+tbal[[#This Row],[HABER]]=0,"","X")</f>
        <v/>
      </c>
      <c r="E877" s="16">
        <f>SUMIF(tdiario[CUENTA],tbal[[#This Row],[CUENTA]],tdiario[DEBE])</f>
        <v>0</v>
      </c>
      <c r="F877" s="17">
        <f>SUMIF(tdiario[CUENTA],tbal[[#This Row],[CUENTA]],tdiario[HABER])</f>
        <v>0</v>
      </c>
      <c r="G877" s="16">
        <f>IF(tbal[[#This Row],[DEBE]]-tbal[[#This Row],[HABER]]&gt;0,tbal[[#This Row],[DEBE]]-tbal[[#This Row],[HABER]],0)</f>
        <v>0</v>
      </c>
      <c r="H877" s="18">
        <f>IF(tbal[[#This Row],[HABER]]-tbal[[#This Row],[DEBE]]&gt;0,tbal[[#This Row],[HABER]]-tbal[[#This Row],[DEBE]],0)</f>
        <v>0</v>
      </c>
      <c r="I877" s="16">
        <f>IF((OR(tbal[[#This Row],[X]]=1,tbal[[#This Row],[X]]=2)),tbal[[#This Row],[DEUDOR]],0)</f>
        <v>0</v>
      </c>
      <c r="J877" s="18">
        <f>IF((OR(tbal[[#This Row],[X]]=2,tbal[[#This Row],[X]]=3)),tbal[[#This Row],[ACREEDOR]],0)</f>
        <v>0</v>
      </c>
      <c r="K877" s="16">
        <f>IF((OR(tbal[[#This Row],[X]]=3,tbal[[#This Row],[X]]=5)),tbal[[#This Row],[DEUDOR]],0)</f>
        <v>0</v>
      </c>
      <c r="L877" s="18">
        <f>IF((OR(tbal[[#This Row],[X]]=3,tbal[[#This Row],[X]]=4)),tbal[[#This Row],[ACREEDOR]],0)</f>
        <v>0</v>
      </c>
      <c r="M877" s="16">
        <f>IF((OR(tbal[[#This Row],[X]]=0,tbal[[#This Row],[X]]=6)),tbal[[#This Row],[DEUDOR]],0)</f>
        <v>0</v>
      </c>
      <c r="N877" s="18">
        <f>IF((OR(tbal[[#This Row],[X]]=0,tbal[[#This Row],[X]]=5)),tbal[[#This Row],[ACREEDOR]],0)</f>
        <v>0</v>
      </c>
    </row>
    <row r="878" spans="1:14" hidden="1" x14ac:dyDescent="0.3">
      <c r="A878" s="14">
        <f>+'PLAN DE CUENTAS'!A878</f>
        <v>0</v>
      </c>
      <c r="B878" s="13">
        <f>+'PLAN DE CUENTAS'!B878</f>
        <v>0</v>
      </c>
      <c r="C878" s="13">
        <f>+'PLAN DE CUENTAS'!C878</f>
        <v>0</v>
      </c>
      <c r="D878" t="str">
        <f>IF(tbal[[#This Row],[DEBE]]+tbal[[#This Row],[HABER]]=0,"","X")</f>
        <v/>
      </c>
      <c r="E878" s="16">
        <f>SUMIF(tdiario[CUENTA],tbal[[#This Row],[CUENTA]],tdiario[DEBE])</f>
        <v>0</v>
      </c>
      <c r="F878" s="17">
        <f>SUMIF(tdiario[CUENTA],tbal[[#This Row],[CUENTA]],tdiario[HABER])</f>
        <v>0</v>
      </c>
      <c r="G878" s="16">
        <f>IF(tbal[[#This Row],[DEBE]]-tbal[[#This Row],[HABER]]&gt;0,tbal[[#This Row],[DEBE]]-tbal[[#This Row],[HABER]],0)</f>
        <v>0</v>
      </c>
      <c r="H878" s="18">
        <f>IF(tbal[[#This Row],[HABER]]-tbal[[#This Row],[DEBE]]&gt;0,tbal[[#This Row],[HABER]]-tbal[[#This Row],[DEBE]],0)</f>
        <v>0</v>
      </c>
      <c r="I878" s="16">
        <f>IF((OR(tbal[[#This Row],[X]]=1,tbal[[#This Row],[X]]=2)),tbal[[#This Row],[DEUDOR]],0)</f>
        <v>0</v>
      </c>
      <c r="J878" s="18">
        <f>IF((OR(tbal[[#This Row],[X]]=2,tbal[[#This Row],[X]]=3)),tbal[[#This Row],[ACREEDOR]],0)</f>
        <v>0</v>
      </c>
      <c r="K878" s="16">
        <f>IF((OR(tbal[[#This Row],[X]]=3,tbal[[#This Row],[X]]=5)),tbal[[#This Row],[DEUDOR]],0)</f>
        <v>0</v>
      </c>
      <c r="L878" s="18">
        <f>IF((OR(tbal[[#This Row],[X]]=3,tbal[[#This Row],[X]]=4)),tbal[[#This Row],[ACREEDOR]],0)</f>
        <v>0</v>
      </c>
      <c r="M878" s="16">
        <f>IF((OR(tbal[[#This Row],[X]]=0,tbal[[#This Row],[X]]=6)),tbal[[#This Row],[DEUDOR]],0)</f>
        <v>0</v>
      </c>
      <c r="N878" s="18">
        <f>IF((OR(tbal[[#This Row],[X]]=0,tbal[[#This Row],[X]]=5)),tbal[[#This Row],[ACREEDOR]],0)</f>
        <v>0</v>
      </c>
    </row>
    <row r="879" spans="1:14" hidden="1" x14ac:dyDescent="0.3">
      <c r="A879" s="14">
        <f>+'PLAN DE CUENTAS'!A879</f>
        <v>0</v>
      </c>
      <c r="B879" s="13">
        <f>+'PLAN DE CUENTAS'!B879</f>
        <v>0</v>
      </c>
      <c r="C879" s="13">
        <f>+'PLAN DE CUENTAS'!C879</f>
        <v>0</v>
      </c>
      <c r="D879" t="str">
        <f>IF(tbal[[#This Row],[DEBE]]+tbal[[#This Row],[HABER]]=0,"","X")</f>
        <v/>
      </c>
      <c r="E879" s="16">
        <f>SUMIF(tdiario[CUENTA],tbal[[#This Row],[CUENTA]],tdiario[DEBE])</f>
        <v>0</v>
      </c>
      <c r="F879" s="17">
        <f>SUMIF(tdiario[CUENTA],tbal[[#This Row],[CUENTA]],tdiario[HABER])</f>
        <v>0</v>
      </c>
      <c r="G879" s="16">
        <f>IF(tbal[[#This Row],[DEBE]]-tbal[[#This Row],[HABER]]&gt;0,tbal[[#This Row],[DEBE]]-tbal[[#This Row],[HABER]],0)</f>
        <v>0</v>
      </c>
      <c r="H879" s="18">
        <f>IF(tbal[[#This Row],[HABER]]-tbal[[#This Row],[DEBE]]&gt;0,tbal[[#This Row],[HABER]]-tbal[[#This Row],[DEBE]],0)</f>
        <v>0</v>
      </c>
      <c r="I879" s="16">
        <f>IF((OR(tbal[[#This Row],[X]]=1,tbal[[#This Row],[X]]=2)),tbal[[#This Row],[DEUDOR]],0)</f>
        <v>0</v>
      </c>
      <c r="J879" s="18">
        <f>IF((OR(tbal[[#This Row],[X]]=2,tbal[[#This Row],[X]]=3)),tbal[[#This Row],[ACREEDOR]],0)</f>
        <v>0</v>
      </c>
      <c r="K879" s="16">
        <f>IF((OR(tbal[[#This Row],[X]]=3,tbal[[#This Row],[X]]=5)),tbal[[#This Row],[DEUDOR]],0)</f>
        <v>0</v>
      </c>
      <c r="L879" s="18">
        <f>IF((OR(tbal[[#This Row],[X]]=3,tbal[[#This Row],[X]]=4)),tbal[[#This Row],[ACREEDOR]],0)</f>
        <v>0</v>
      </c>
      <c r="M879" s="16">
        <f>IF((OR(tbal[[#This Row],[X]]=0,tbal[[#This Row],[X]]=6)),tbal[[#This Row],[DEUDOR]],0)</f>
        <v>0</v>
      </c>
      <c r="N879" s="18">
        <f>IF((OR(tbal[[#This Row],[X]]=0,tbal[[#This Row],[X]]=5)),tbal[[#This Row],[ACREEDOR]],0)</f>
        <v>0</v>
      </c>
    </row>
    <row r="880" spans="1:14" hidden="1" x14ac:dyDescent="0.3">
      <c r="A880" s="14">
        <f>+'PLAN DE CUENTAS'!A880</f>
        <v>0</v>
      </c>
      <c r="B880" s="13">
        <f>+'PLAN DE CUENTAS'!B880</f>
        <v>0</v>
      </c>
      <c r="C880" s="13">
        <f>+'PLAN DE CUENTAS'!C880</f>
        <v>0</v>
      </c>
      <c r="D880" t="str">
        <f>IF(tbal[[#This Row],[DEBE]]+tbal[[#This Row],[HABER]]=0,"","X")</f>
        <v/>
      </c>
      <c r="E880" s="16">
        <f>SUMIF(tdiario[CUENTA],tbal[[#This Row],[CUENTA]],tdiario[DEBE])</f>
        <v>0</v>
      </c>
      <c r="F880" s="17">
        <f>SUMIF(tdiario[CUENTA],tbal[[#This Row],[CUENTA]],tdiario[HABER])</f>
        <v>0</v>
      </c>
      <c r="G880" s="16">
        <f>IF(tbal[[#This Row],[DEBE]]-tbal[[#This Row],[HABER]]&gt;0,tbal[[#This Row],[DEBE]]-tbal[[#This Row],[HABER]],0)</f>
        <v>0</v>
      </c>
      <c r="H880" s="18">
        <f>IF(tbal[[#This Row],[HABER]]-tbal[[#This Row],[DEBE]]&gt;0,tbal[[#This Row],[HABER]]-tbal[[#This Row],[DEBE]],0)</f>
        <v>0</v>
      </c>
      <c r="I880" s="16">
        <f>IF((OR(tbal[[#This Row],[X]]=1,tbal[[#This Row],[X]]=2)),tbal[[#This Row],[DEUDOR]],0)</f>
        <v>0</v>
      </c>
      <c r="J880" s="18">
        <f>IF((OR(tbal[[#This Row],[X]]=2,tbal[[#This Row],[X]]=3)),tbal[[#This Row],[ACREEDOR]],0)</f>
        <v>0</v>
      </c>
      <c r="K880" s="16">
        <f>IF((OR(tbal[[#This Row],[X]]=3,tbal[[#This Row],[X]]=5)),tbal[[#This Row],[DEUDOR]],0)</f>
        <v>0</v>
      </c>
      <c r="L880" s="18">
        <f>IF((OR(tbal[[#This Row],[X]]=3,tbal[[#This Row],[X]]=4)),tbal[[#This Row],[ACREEDOR]],0)</f>
        <v>0</v>
      </c>
      <c r="M880" s="16">
        <f>IF((OR(tbal[[#This Row],[X]]=0,tbal[[#This Row],[X]]=6)),tbal[[#This Row],[DEUDOR]],0)</f>
        <v>0</v>
      </c>
      <c r="N880" s="18">
        <f>IF((OR(tbal[[#This Row],[X]]=0,tbal[[#This Row],[X]]=5)),tbal[[#This Row],[ACREEDOR]],0)</f>
        <v>0</v>
      </c>
    </row>
    <row r="881" spans="1:14" hidden="1" x14ac:dyDescent="0.3">
      <c r="A881" s="14">
        <f>+'PLAN DE CUENTAS'!A881</f>
        <v>0</v>
      </c>
      <c r="B881" s="13">
        <f>+'PLAN DE CUENTAS'!B881</f>
        <v>0</v>
      </c>
      <c r="C881" s="13">
        <f>+'PLAN DE CUENTAS'!C881</f>
        <v>0</v>
      </c>
      <c r="D881" t="str">
        <f>IF(tbal[[#This Row],[DEBE]]+tbal[[#This Row],[HABER]]=0,"","X")</f>
        <v/>
      </c>
      <c r="E881" s="16">
        <f>SUMIF(tdiario[CUENTA],tbal[[#This Row],[CUENTA]],tdiario[DEBE])</f>
        <v>0</v>
      </c>
      <c r="F881" s="17">
        <f>SUMIF(tdiario[CUENTA],tbal[[#This Row],[CUENTA]],tdiario[HABER])</f>
        <v>0</v>
      </c>
      <c r="G881" s="16">
        <f>IF(tbal[[#This Row],[DEBE]]-tbal[[#This Row],[HABER]]&gt;0,tbal[[#This Row],[DEBE]]-tbal[[#This Row],[HABER]],0)</f>
        <v>0</v>
      </c>
      <c r="H881" s="18">
        <f>IF(tbal[[#This Row],[HABER]]-tbal[[#This Row],[DEBE]]&gt;0,tbal[[#This Row],[HABER]]-tbal[[#This Row],[DEBE]],0)</f>
        <v>0</v>
      </c>
      <c r="I881" s="16">
        <f>IF((OR(tbal[[#This Row],[X]]=1,tbal[[#This Row],[X]]=2)),tbal[[#This Row],[DEUDOR]],0)</f>
        <v>0</v>
      </c>
      <c r="J881" s="18">
        <f>IF((OR(tbal[[#This Row],[X]]=2,tbal[[#This Row],[X]]=3)),tbal[[#This Row],[ACREEDOR]],0)</f>
        <v>0</v>
      </c>
      <c r="K881" s="16">
        <f>IF((OR(tbal[[#This Row],[X]]=3,tbal[[#This Row],[X]]=5)),tbal[[#This Row],[DEUDOR]],0)</f>
        <v>0</v>
      </c>
      <c r="L881" s="18">
        <f>IF((OR(tbal[[#This Row],[X]]=3,tbal[[#This Row],[X]]=4)),tbal[[#This Row],[ACREEDOR]],0)</f>
        <v>0</v>
      </c>
      <c r="M881" s="16">
        <f>IF((OR(tbal[[#This Row],[X]]=0,tbal[[#This Row],[X]]=6)),tbal[[#This Row],[DEUDOR]],0)</f>
        <v>0</v>
      </c>
      <c r="N881" s="18">
        <f>IF((OR(tbal[[#This Row],[X]]=0,tbal[[#This Row],[X]]=5)),tbal[[#This Row],[ACREEDOR]],0)</f>
        <v>0</v>
      </c>
    </row>
    <row r="882" spans="1:14" hidden="1" x14ac:dyDescent="0.3">
      <c r="A882" s="14">
        <f>+'PLAN DE CUENTAS'!A882</f>
        <v>0</v>
      </c>
      <c r="B882" s="13">
        <f>+'PLAN DE CUENTAS'!B882</f>
        <v>0</v>
      </c>
      <c r="C882" s="13">
        <f>+'PLAN DE CUENTAS'!C882</f>
        <v>0</v>
      </c>
      <c r="D882" t="str">
        <f>IF(tbal[[#This Row],[DEBE]]+tbal[[#This Row],[HABER]]=0,"","X")</f>
        <v/>
      </c>
      <c r="E882" s="16">
        <f>SUMIF(tdiario[CUENTA],tbal[[#This Row],[CUENTA]],tdiario[DEBE])</f>
        <v>0</v>
      </c>
      <c r="F882" s="17">
        <f>SUMIF(tdiario[CUENTA],tbal[[#This Row],[CUENTA]],tdiario[HABER])</f>
        <v>0</v>
      </c>
      <c r="G882" s="16">
        <f>IF(tbal[[#This Row],[DEBE]]-tbal[[#This Row],[HABER]]&gt;0,tbal[[#This Row],[DEBE]]-tbal[[#This Row],[HABER]],0)</f>
        <v>0</v>
      </c>
      <c r="H882" s="18">
        <f>IF(tbal[[#This Row],[HABER]]-tbal[[#This Row],[DEBE]]&gt;0,tbal[[#This Row],[HABER]]-tbal[[#This Row],[DEBE]],0)</f>
        <v>0</v>
      </c>
      <c r="I882" s="16">
        <f>IF((OR(tbal[[#This Row],[X]]=1,tbal[[#This Row],[X]]=2)),tbal[[#This Row],[DEUDOR]],0)</f>
        <v>0</v>
      </c>
      <c r="J882" s="18">
        <f>IF((OR(tbal[[#This Row],[X]]=2,tbal[[#This Row],[X]]=3)),tbal[[#This Row],[ACREEDOR]],0)</f>
        <v>0</v>
      </c>
      <c r="K882" s="16">
        <f>IF((OR(tbal[[#This Row],[X]]=3,tbal[[#This Row],[X]]=5)),tbal[[#This Row],[DEUDOR]],0)</f>
        <v>0</v>
      </c>
      <c r="L882" s="18">
        <f>IF((OR(tbal[[#This Row],[X]]=3,tbal[[#This Row],[X]]=4)),tbal[[#This Row],[ACREEDOR]],0)</f>
        <v>0</v>
      </c>
      <c r="M882" s="16">
        <f>IF((OR(tbal[[#This Row],[X]]=0,tbal[[#This Row],[X]]=6)),tbal[[#This Row],[DEUDOR]],0)</f>
        <v>0</v>
      </c>
      <c r="N882" s="18">
        <f>IF((OR(tbal[[#This Row],[X]]=0,tbal[[#This Row],[X]]=5)),tbal[[#This Row],[ACREEDOR]],0)</f>
        <v>0</v>
      </c>
    </row>
    <row r="883" spans="1:14" hidden="1" x14ac:dyDescent="0.3">
      <c r="A883" s="14">
        <f>+'PLAN DE CUENTAS'!A883</f>
        <v>0</v>
      </c>
      <c r="B883" s="13">
        <f>+'PLAN DE CUENTAS'!B883</f>
        <v>0</v>
      </c>
      <c r="C883" s="13">
        <f>+'PLAN DE CUENTAS'!C883</f>
        <v>0</v>
      </c>
      <c r="D883" t="str">
        <f>IF(tbal[[#This Row],[DEBE]]+tbal[[#This Row],[HABER]]=0,"","X")</f>
        <v/>
      </c>
      <c r="E883" s="16">
        <f>SUMIF(tdiario[CUENTA],tbal[[#This Row],[CUENTA]],tdiario[DEBE])</f>
        <v>0</v>
      </c>
      <c r="F883" s="17">
        <f>SUMIF(tdiario[CUENTA],tbal[[#This Row],[CUENTA]],tdiario[HABER])</f>
        <v>0</v>
      </c>
      <c r="G883" s="16">
        <f>IF(tbal[[#This Row],[DEBE]]-tbal[[#This Row],[HABER]]&gt;0,tbal[[#This Row],[DEBE]]-tbal[[#This Row],[HABER]],0)</f>
        <v>0</v>
      </c>
      <c r="H883" s="18">
        <f>IF(tbal[[#This Row],[HABER]]-tbal[[#This Row],[DEBE]]&gt;0,tbal[[#This Row],[HABER]]-tbal[[#This Row],[DEBE]],0)</f>
        <v>0</v>
      </c>
      <c r="I883" s="16">
        <f>IF((OR(tbal[[#This Row],[X]]=1,tbal[[#This Row],[X]]=2)),tbal[[#This Row],[DEUDOR]],0)</f>
        <v>0</v>
      </c>
      <c r="J883" s="18">
        <f>IF((OR(tbal[[#This Row],[X]]=2,tbal[[#This Row],[X]]=3)),tbal[[#This Row],[ACREEDOR]],0)</f>
        <v>0</v>
      </c>
      <c r="K883" s="16">
        <f>IF((OR(tbal[[#This Row],[X]]=3,tbal[[#This Row],[X]]=5)),tbal[[#This Row],[DEUDOR]],0)</f>
        <v>0</v>
      </c>
      <c r="L883" s="18">
        <f>IF((OR(tbal[[#This Row],[X]]=3,tbal[[#This Row],[X]]=4)),tbal[[#This Row],[ACREEDOR]],0)</f>
        <v>0</v>
      </c>
      <c r="M883" s="16">
        <f>IF((OR(tbal[[#This Row],[X]]=0,tbal[[#This Row],[X]]=6)),tbal[[#This Row],[DEUDOR]],0)</f>
        <v>0</v>
      </c>
      <c r="N883" s="18">
        <f>IF((OR(tbal[[#This Row],[X]]=0,tbal[[#This Row],[X]]=5)),tbal[[#This Row],[ACREEDOR]],0)</f>
        <v>0</v>
      </c>
    </row>
    <row r="884" spans="1:14" hidden="1" x14ac:dyDescent="0.3">
      <c r="A884" s="14">
        <f>+'PLAN DE CUENTAS'!A884</f>
        <v>0</v>
      </c>
      <c r="B884" s="13">
        <f>+'PLAN DE CUENTAS'!B884</f>
        <v>0</v>
      </c>
      <c r="C884" s="13">
        <f>+'PLAN DE CUENTAS'!C884</f>
        <v>0</v>
      </c>
      <c r="D884" t="str">
        <f>IF(tbal[[#This Row],[DEBE]]+tbal[[#This Row],[HABER]]=0,"","X")</f>
        <v/>
      </c>
      <c r="E884" s="16">
        <f>SUMIF(tdiario[CUENTA],tbal[[#This Row],[CUENTA]],tdiario[DEBE])</f>
        <v>0</v>
      </c>
      <c r="F884" s="17">
        <f>SUMIF(tdiario[CUENTA],tbal[[#This Row],[CUENTA]],tdiario[HABER])</f>
        <v>0</v>
      </c>
      <c r="G884" s="16">
        <f>IF(tbal[[#This Row],[DEBE]]-tbal[[#This Row],[HABER]]&gt;0,tbal[[#This Row],[DEBE]]-tbal[[#This Row],[HABER]],0)</f>
        <v>0</v>
      </c>
      <c r="H884" s="18">
        <f>IF(tbal[[#This Row],[HABER]]-tbal[[#This Row],[DEBE]]&gt;0,tbal[[#This Row],[HABER]]-tbal[[#This Row],[DEBE]],0)</f>
        <v>0</v>
      </c>
      <c r="I884" s="16">
        <f>IF((OR(tbal[[#This Row],[X]]=1,tbal[[#This Row],[X]]=2)),tbal[[#This Row],[DEUDOR]],0)</f>
        <v>0</v>
      </c>
      <c r="J884" s="18">
        <f>IF((OR(tbal[[#This Row],[X]]=2,tbal[[#This Row],[X]]=3)),tbal[[#This Row],[ACREEDOR]],0)</f>
        <v>0</v>
      </c>
      <c r="K884" s="16">
        <f>IF((OR(tbal[[#This Row],[X]]=3,tbal[[#This Row],[X]]=5)),tbal[[#This Row],[DEUDOR]],0)</f>
        <v>0</v>
      </c>
      <c r="L884" s="18">
        <f>IF((OR(tbal[[#This Row],[X]]=3,tbal[[#This Row],[X]]=4)),tbal[[#This Row],[ACREEDOR]],0)</f>
        <v>0</v>
      </c>
      <c r="M884" s="16">
        <f>IF((OR(tbal[[#This Row],[X]]=0,tbal[[#This Row],[X]]=6)),tbal[[#This Row],[DEUDOR]],0)</f>
        <v>0</v>
      </c>
      <c r="N884" s="18">
        <f>IF((OR(tbal[[#This Row],[X]]=0,tbal[[#This Row],[X]]=5)),tbal[[#This Row],[ACREEDOR]],0)</f>
        <v>0</v>
      </c>
    </row>
    <row r="885" spans="1:14" hidden="1" x14ac:dyDescent="0.3">
      <c r="A885" s="14">
        <f>+'PLAN DE CUENTAS'!A885</f>
        <v>0</v>
      </c>
      <c r="B885" s="13">
        <f>+'PLAN DE CUENTAS'!B885</f>
        <v>0</v>
      </c>
      <c r="C885" s="13">
        <f>+'PLAN DE CUENTAS'!C885</f>
        <v>0</v>
      </c>
      <c r="D885" t="str">
        <f>IF(tbal[[#This Row],[DEBE]]+tbal[[#This Row],[HABER]]=0,"","X")</f>
        <v/>
      </c>
      <c r="E885" s="16">
        <f>SUMIF(tdiario[CUENTA],tbal[[#This Row],[CUENTA]],tdiario[DEBE])</f>
        <v>0</v>
      </c>
      <c r="F885" s="17">
        <f>SUMIF(tdiario[CUENTA],tbal[[#This Row],[CUENTA]],tdiario[HABER])</f>
        <v>0</v>
      </c>
      <c r="G885" s="16">
        <f>IF(tbal[[#This Row],[DEBE]]-tbal[[#This Row],[HABER]]&gt;0,tbal[[#This Row],[DEBE]]-tbal[[#This Row],[HABER]],0)</f>
        <v>0</v>
      </c>
      <c r="H885" s="18">
        <f>IF(tbal[[#This Row],[HABER]]-tbal[[#This Row],[DEBE]]&gt;0,tbal[[#This Row],[HABER]]-tbal[[#This Row],[DEBE]],0)</f>
        <v>0</v>
      </c>
      <c r="I885" s="16">
        <f>IF((OR(tbal[[#This Row],[X]]=1,tbal[[#This Row],[X]]=2)),tbal[[#This Row],[DEUDOR]],0)</f>
        <v>0</v>
      </c>
      <c r="J885" s="18">
        <f>IF((OR(tbal[[#This Row],[X]]=2,tbal[[#This Row],[X]]=3)),tbal[[#This Row],[ACREEDOR]],0)</f>
        <v>0</v>
      </c>
      <c r="K885" s="16">
        <f>IF((OR(tbal[[#This Row],[X]]=3,tbal[[#This Row],[X]]=5)),tbal[[#This Row],[DEUDOR]],0)</f>
        <v>0</v>
      </c>
      <c r="L885" s="18">
        <f>IF((OR(tbal[[#This Row],[X]]=3,tbal[[#This Row],[X]]=4)),tbal[[#This Row],[ACREEDOR]],0)</f>
        <v>0</v>
      </c>
      <c r="M885" s="16">
        <f>IF((OR(tbal[[#This Row],[X]]=0,tbal[[#This Row],[X]]=6)),tbal[[#This Row],[DEUDOR]],0)</f>
        <v>0</v>
      </c>
      <c r="N885" s="18">
        <f>IF((OR(tbal[[#This Row],[X]]=0,tbal[[#This Row],[X]]=5)),tbal[[#This Row],[ACREEDOR]],0)</f>
        <v>0</v>
      </c>
    </row>
    <row r="886" spans="1:14" hidden="1" x14ac:dyDescent="0.3">
      <c r="A886" s="14">
        <f>+'PLAN DE CUENTAS'!A886</f>
        <v>0</v>
      </c>
      <c r="B886" s="13">
        <f>+'PLAN DE CUENTAS'!B886</f>
        <v>0</v>
      </c>
      <c r="C886" s="13">
        <f>+'PLAN DE CUENTAS'!C886</f>
        <v>0</v>
      </c>
      <c r="D886" t="str">
        <f>IF(tbal[[#This Row],[DEBE]]+tbal[[#This Row],[HABER]]=0,"","X")</f>
        <v/>
      </c>
      <c r="E886" s="16">
        <f>SUMIF(tdiario[CUENTA],tbal[[#This Row],[CUENTA]],tdiario[DEBE])</f>
        <v>0</v>
      </c>
      <c r="F886" s="17">
        <f>SUMIF(tdiario[CUENTA],tbal[[#This Row],[CUENTA]],tdiario[HABER])</f>
        <v>0</v>
      </c>
      <c r="G886" s="16">
        <f>IF(tbal[[#This Row],[DEBE]]-tbal[[#This Row],[HABER]]&gt;0,tbal[[#This Row],[DEBE]]-tbal[[#This Row],[HABER]],0)</f>
        <v>0</v>
      </c>
      <c r="H886" s="18">
        <f>IF(tbal[[#This Row],[HABER]]-tbal[[#This Row],[DEBE]]&gt;0,tbal[[#This Row],[HABER]]-tbal[[#This Row],[DEBE]],0)</f>
        <v>0</v>
      </c>
      <c r="I886" s="16">
        <f>IF((OR(tbal[[#This Row],[X]]=1,tbal[[#This Row],[X]]=2)),tbal[[#This Row],[DEUDOR]],0)</f>
        <v>0</v>
      </c>
      <c r="J886" s="18">
        <f>IF((OR(tbal[[#This Row],[X]]=2,tbal[[#This Row],[X]]=3)),tbal[[#This Row],[ACREEDOR]],0)</f>
        <v>0</v>
      </c>
      <c r="K886" s="16">
        <f>IF((OR(tbal[[#This Row],[X]]=3,tbal[[#This Row],[X]]=5)),tbal[[#This Row],[DEUDOR]],0)</f>
        <v>0</v>
      </c>
      <c r="L886" s="18">
        <f>IF((OR(tbal[[#This Row],[X]]=3,tbal[[#This Row],[X]]=4)),tbal[[#This Row],[ACREEDOR]],0)</f>
        <v>0</v>
      </c>
      <c r="M886" s="16">
        <f>IF((OR(tbal[[#This Row],[X]]=0,tbal[[#This Row],[X]]=6)),tbal[[#This Row],[DEUDOR]],0)</f>
        <v>0</v>
      </c>
      <c r="N886" s="18">
        <f>IF((OR(tbal[[#This Row],[X]]=0,tbal[[#This Row],[X]]=5)),tbal[[#This Row],[ACREEDOR]],0)</f>
        <v>0</v>
      </c>
    </row>
    <row r="887" spans="1:14" hidden="1" x14ac:dyDescent="0.3">
      <c r="A887" s="14">
        <f>+'PLAN DE CUENTAS'!A887</f>
        <v>0</v>
      </c>
      <c r="B887" s="13">
        <f>+'PLAN DE CUENTAS'!B887</f>
        <v>0</v>
      </c>
      <c r="C887" s="13">
        <f>+'PLAN DE CUENTAS'!C887</f>
        <v>0</v>
      </c>
      <c r="D887" t="str">
        <f>IF(tbal[[#This Row],[DEBE]]+tbal[[#This Row],[HABER]]=0,"","X")</f>
        <v/>
      </c>
      <c r="E887" s="16">
        <f>SUMIF(tdiario[CUENTA],tbal[[#This Row],[CUENTA]],tdiario[DEBE])</f>
        <v>0</v>
      </c>
      <c r="F887" s="17">
        <f>SUMIF(tdiario[CUENTA],tbal[[#This Row],[CUENTA]],tdiario[HABER])</f>
        <v>0</v>
      </c>
      <c r="G887" s="16">
        <f>IF(tbal[[#This Row],[DEBE]]-tbal[[#This Row],[HABER]]&gt;0,tbal[[#This Row],[DEBE]]-tbal[[#This Row],[HABER]],0)</f>
        <v>0</v>
      </c>
      <c r="H887" s="18">
        <f>IF(tbal[[#This Row],[HABER]]-tbal[[#This Row],[DEBE]]&gt;0,tbal[[#This Row],[HABER]]-tbal[[#This Row],[DEBE]],0)</f>
        <v>0</v>
      </c>
      <c r="I887" s="16">
        <f>IF((OR(tbal[[#This Row],[X]]=1,tbal[[#This Row],[X]]=2)),tbal[[#This Row],[DEUDOR]],0)</f>
        <v>0</v>
      </c>
      <c r="J887" s="18">
        <f>IF((OR(tbal[[#This Row],[X]]=2,tbal[[#This Row],[X]]=3)),tbal[[#This Row],[ACREEDOR]],0)</f>
        <v>0</v>
      </c>
      <c r="K887" s="16">
        <f>IF((OR(tbal[[#This Row],[X]]=3,tbal[[#This Row],[X]]=5)),tbal[[#This Row],[DEUDOR]],0)</f>
        <v>0</v>
      </c>
      <c r="L887" s="18">
        <f>IF((OR(tbal[[#This Row],[X]]=3,tbal[[#This Row],[X]]=4)),tbal[[#This Row],[ACREEDOR]],0)</f>
        <v>0</v>
      </c>
      <c r="M887" s="16">
        <f>IF((OR(tbal[[#This Row],[X]]=0,tbal[[#This Row],[X]]=6)),tbal[[#This Row],[DEUDOR]],0)</f>
        <v>0</v>
      </c>
      <c r="N887" s="18">
        <f>IF((OR(tbal[[#This Row],[X]]=0,tbal[[#This Row],[X]]=5)),tbal[[#This Row],[ACREEDOR]],0)</f>
        <v>0</v>
      </c>
    </row>
    <row r="888" spans="1:14" hidden="1" x14ac:dyDescent="0.3">
      <c r="A888" s="14">
        <f>+'PLAN DE CUENTAS'!A888</f>
        <v>0</v>
      </c>
      <c r="B888" s="13">
        <f>+'PLAN DE CUENTAS'!B888</f>
        <v>0</v>
      </c>
      <c r="C888" s="13">
        <f>+'PLAN DE CUENTAS'!C888</f>
        <v>0</v>
      </c>
      <c r="D888" t="str">
        <f>IF(tbal[[#This Row],[DEBE]]+tbal[[#This Row],[HABER]]=0,"","X")</f>
        <v/>
      </c>
      <c r="E888" s="16">
        <f>SUMIF(tdiario[CUENTA],tbal[[#This Row],[CUENTA]],tdiario[DEBE])</f>
        <v>0</v>
      </c>
      <c r="F888" s="17">
        <f>SUMIF(tdiario[CUENTA],tbal[[#This Row],[CUENTA]],tdiario[HABER])</f>
        <v>0</v>
      </c>
      <c r="G888" s="16">
        <f>IF(tbal[[#This Row],[DEBE]]-tbal[[#This Row],[HABER]]&gt;0,tbal[[#This Row],[DEBE]]-tbal[[#This Row],[HABER]],0)</f>
        <v>0</v>
      </c>
      <c r="H888" s="18">
        <f>IF(tbal[[#This Row],[HABER]]-tbal[[#This Row],[DEBE]]&gt;0,tbal[[#This Row],[HABER]]-tbal[[#This Row],[DEBE]],0)</f>
        <v>0</v>
      </c>
      <c r="I888" s="16">
        <f>IF((OR(tbal[[#This Row],[X]]=1,tbal[[#This Row],[X]]=2)),tbal[[#This Row],[DEUDOR]],0)</f>
        <v>0</v>
      </c>
      <c r="J888" s="18">
        <f>IF((OR(tbal[[#This Row],[X]]=2,tbal[[#This Row],[X]]=3)),tbal[[#This Row],[ACREEDOR]],0)</f>
        <v>0</v>
      </c>
      <c r="K888" s="16">
        <f>IF((OR(tbal[[#This Row],[X]]=3,tbal[[#This Row],[X]]=5)),tbal[[#This Row],[DEUDOR]],0)</f>
        <v>0</v>
      </c>
      <c r="L888" s="18">
        <f>IF((OR(tbal[[#This Row],[X]]=3,tbal[[#This Row],[X]]=4)),tbal[[#This Row],[ACREEDOR]],0)</f>
        <v>0</v>
      </c>
      <c r="M888" s="16">
        <f>IF((OR(tbal[[#This Row],[X]]=0,tbal[[#This Row],[X]]=6)),tbal[[#This Row],[DEUDOR]],0)</f>
        <v>0</v>
      </c>
      <c r="N888" s="18">
        <f>IF((OR(tbal[[#This Row],[X]]=0,tbal[[#This Row],[X]]=5)),tbal[[#This Row],[ACREEDOR]],0)</f>
        <v>0</v>
      </c>
    </row>
    <row r="889" spans="1:14" hidden="1" x14ac:dyDescent="0.3">
      <c r="A889" s="14">
        <f>+'PLAN DE CUENTAS'!A889</f>
        <v>0</v>
      </c>
      <c r="B889" s="13">
        <f>+'PLAN DE CUENTAS'!B889</f>
        <v>0</v>
      </c>
      <c r="C889" s="13">
        <f>+'PLAN DE CUENTAS'!C889</f>
        <v>0</v>
      </c>
      <c r="D889" t="str">
        <f>IF(tbal[[#This Row],[DEBE]]+tbal[[#This Row],[HABER]]=0,"","X")</f>
        <v/>
      </c>
      <c r="E889" s="16">
        <f>SUMIF(tdiario[CUENTA],tbal[[#This Row],[CUENTA]],tdiario[DEBE])</f>
        <v>0</v>
      </c>
      <c r="F889" s="17">
        <f>SUMIF(tdiario[CUENTA],tbal[[#This Row],[CUENTA]],tdiario[HABER])</f>
        <v>0</v>
      </c>
      <c r="G889" s="16">
        <f>IF(tbal[[#This Row],[DEBE]]-tbal[[#This Row],[HABER]]&gt;0,tbal[[#This Row],[DEBE]]-tbal[[#This Row],[HABER]],0)</f>
        <v>0</v>
      </c>
      <c r="H889" s="18">
        <f>IF(tbal[[#This Row],[HABER]]-tbal[[#This Row],[DEBE]]&gt;0,tbal[[#This Row],[HABER]]-tbal[[#This Row],[DEBE]],0)</f>
        <v>0</v>
      </c>
      <c r="I889" s="16">
        <f>IF((OR(tbal[[#This Row],[X]]=1,tbal[[#This Row],[X]]=2)),tbal[[#This Row],[DEUDOR]],0)</f>
        <v>0</v>
      </c>
      <c r="J889" s="18">
        <f>IF((OR(tbal[[#This Row],[X]]=2,tbal[[#This Row],[X]]=3)),tbal[[#This Row],[ACREEDOR]],0)</f>
        <v>0</v>
      </c>
      <c r="K889" s="16">
        <f>IF((OR(tbal[[#This Row],[X]]=3,tbal[[#This Row],[X]]=5)),tbal[[#This Row],[DEUDOR]],0)</f>
        <v>0</v>
      </c>
      <c r="L889" s="18">
        <f>IF((OR(tbal[[#This Row],[X]]=3,tbal[[#This Row],[X]]=4)),tbal[[#This Row],[ACREEDOR]],0)</f>
        <v>0</v>
      </c>
      <c r="M889" s="16">
        <f>IF((OR(tbal[[#This Row],[X]]=0,tbal[[#This Row],[X]]=6)),tbal[[#This Row],[DEUDOR]],0)</f>
        <v>0</v>
      </c>
      <c r="N889" s="18">
        <f>IF((OR(tbal[[#This Row],[X]]=0,tbal[[#This Row],[X]]=5)),tbal[[#This Row],[ACREEDOR]],0)</f>
        <v>0</v>
      </c>
    </row>
    <row r="890" spans="1:14" hidden="1" x14ac:dyDescent="0.3">
      <c r="A890" s="14">
        <f>+'PLAN DE CUENTAS'!A890</f>
        <v>0</v>
      </c>
      <c r="B890" s="13">
        <f>+'PLAN DE CUENTAS'!B890</f>
        <v>0</v>
      </c>
      <c r="C890" s="13">
        <f>+'PLAN DE CUENTAS'!C890</f>
        <v>0</v>
      </c>
      <c r="D890" t="str">
        <f>IF(tbal[[#This Row],[DEBE]]+tbal[[#This Row],[HABER]]=0,"","X")</f>
        <v/>
      </c>
      <c r="E890" s="16">
        <f>SUMIF(tdiario[CUENTA],tbal[[#This Row],[CUENTA]],tdiario[DEBE])</f>
        <v>0</v>
      </c>
      <c r="F890" s="17">
        <f>SUMIF(tdiario[CUENTA],tbal[[#This Row],[CUENTA]],tdiario[HABER])</f>
        <v>0</v>
      </c>
      <c r="G890" s="16">
        <f>IF(tbal[[#This Row],[DEBE]]-tbal[[#This Row],[HABER]]&gt;0,tbal[[#This Row],[DEBE]]-tbal[[#This Row],[HABER]],0)</f>
        <v>0</v>
      </c>
      <c r="H890" s="18">
        <f>IF(tbal[[#This Row],[HABER]]-tbal[[#This Row],[DEBE]]&gt;0,tbal[[#This Row],[HABER]]-tbal[[#This Row],[DEBE]],0)</f>
        <v>0</v>
      </c>
      <c r="I890" s="16">
        <f>IF((OR(tbal[[#This Row],[X]]=1,tbal[[#This Row],[X]]=2)),tbal[[#This Row],[DEUDOR]],0)</f>
        <v>0</v>
      </c>
      <c r="J890" s="18">
        <f>IF((OR(tbal[[#This Row],[X]]=2,tbal[[#This Row],[X]]=3)),tbal[[#This Row],[ACREEDOR]],0)</f>
        <v>0</v>
      </c>
      <c r="K890" s="16">
        <f>IF((OR(tbal[[#This Row],[X]]=3,tbal[[#This Row],[X]]=5)),tbal[[#This Row],[DEUDOR]],0)</f>
        <v>0</v>
      </c>
      <c r="L890" s="18">
        <f>IF((OR(tbal[[#This Row],[X]]=3,tbal[[#This Row],[X]]=4)),tbal[[#This Row],[ACREEDOR]],0)</f>
        <v>0</v>
      </c>
      <c r="M890" s="16">
        <f>IF((OR(tbal[[#This Row],[X]]=0,tbal[[#This Row],[X]]=6)),tbal[[#This Row],[DEUDOR]],0)</f>
        <v>0</v>
      </c>
      <c r="N890" s="18">
        <f>IF((OR(tbal[[#This Row],[X]]=0,tbal[[#This Row],[X]]=5)),tbal[[#This Row],[ACREEDOR]],0)</f>
        <v>0</v>
      </c>
    </row>
    <row r="891" spans="1:14" hidden="1" x14ac:dyDescent="0.3">
      <c r="A891" s="14">
        <f>+'PLAN DE CUENTAS'!A891</f>
        <v>0</v>
      </c>
      <c r="B891" s="13">
        <f>+'PLAN DE CUENTAS'!B891</f>
        <v>0</v>
      </c>
      <c r="C891" s="13">
        <f>+'PLAN DE CUENTAS'!C891</f>
        <v>0</v>
      </c>
      <c r="D891" t="str">
        <f>IF(tbal[[#This Row],[DEBE]]+tbal[[#This Row],[HABER]]=0,"","X")</f>
        <v/>
      </c>
      <c r="E891" s="16">
        <f>SUMIF(tdiario[CUENTA],tbal[[#This Row],[CUENTA]],tdiario[DEBE])</f>
        <v>0</v>
      </c>
      <c r="F891" s="17">
        <f>SUMIF(tdiario[CUENTA],tbal[[#This Row],[CUENTA]],tdiario[HABER])</f>
        <v>0</v>
      </c>
      <c r="G891" s="16">
        <f>IF(tbal[[#This Row],[DEBE]]-tbal[[#This Row],[HABER]]&gt;0,tbal[[#This Row],[DEBE]]-tbal[[#This Row],[HABER]],0)</f>
        <v>0</v>
      </c>
      <c r="H891" s="18">
        <f>IF(tbal[[#This Row],[HABER]]-tbal[[#This Row],[DEBE]]&gt;0,tbal[[#This Row],[HABER]]-tbal[[#This Row],[DEBE]],0)</f>
        <v>0</v>
      </c>
      <c r="I891" s="16">
        <f>IF((OR(tbal[[#This Row],[X]]=1,tbal[[#This Row],[X]]=2)),tbal[[#This Row],[DEUDOR]],0)</f>
        <v>0</v>
      </c>
      <c r="J891" s="18">
        <f>IF((OR(tbal[[#This Row],[X]]=2,tbal[[#This Row],[X]]=3)),tbal[[#This Row],[ACREEDOR]],0)</f>
        <v>0</v>
      </c>
      <c r="K891" s="16">
        <f>IF((OR(tbal[[#This Row],[X]]=3,tbal[[#This Row],[X]]=5)),tbal[[#This Row],[DEUDOR]],0)</f>
        <v>0</v>
      </c>
      <c r="L891" s="18">
        <f>IF((OR(tbal[[#This Row],[X]]=3,tbal[[#This Row],[X]]=4)),tbal[[#This Row],[ACREEDOR]],0)</f>
        <v>0</v>
      </c>
      <c r="M891" s="16">
        <f>IF((OR(tbal[[#This Row],[X]]=0,tbal[[#This Row],[X]]=6)),tbal[[#This Row],[DEUDOR]],0)</f>
        <v>0</v>
      </c>
      <c r="N891" s="18">
        <f>IF((OR(tbal[[#This Row],[X]]=0,tbal[[#This Row],[X]]=5)),tbal[[#This Row],[ACREEDOR]],0)</f>
        <v>0</v>
      </c>
    </row>
    <row r="892" spans="1:14" hidden="1" x14ac:dyDescent="0.3">
      <c r="A892" s="14">
        <f>+'PLAN DE CUENTAS'!A892</f>
        <v>0</v>
      </c>
      <c r="B892" s="13">
        <f>+'PLAN DE CUENTAS'!B892</f>
        <v>0</v>
      </c>
      <c r="C892" s="13">
        <f>+'PLAN DE CUENTAS'!C892</f>
        <v>0</v>
      </c>
      <c r="D892" t="str">
        <f>IF(tbal[[#This Row],[DEBE]]+tbal[[#This Row],[HABER]]=0,"","X")</f>
        <v/>
      </c>
      <c r="E892" s="16">
        <f>SUMIF(tdiario[CUENTA],tbal[[#This Row],[CUENTA]],tdiario[DEBE])</f>
        <v>0</v>
      </c>
      <c r="F892" s="17">
        <f>SUMIF(tdiario[CUENTA],tbal[[#This Row],[CUENTA]],tdiario[HABER])</f>
        <v>0</v>
      </c>
      <c r="G892" s="16">
        <f>IF(tbal[[#This Row],[DEBE]]-tbal[[#This Row],[HABER]]&gt;0,tbal[[#This Row],[DEBE]]-tbal[[#This Row],[HABER]],0)</f>
        <v>0</v>
      </c>
      <c r="H892" s="18">
        <f>IF(tbal[[#This Row],[HABER]]-tbal[[#This Row],[DEBE]]&gt;0,tbal[[#This Row],[HABER]]-tbal[[#This Row],[DEBE]],0)</f>
        <v>0</v>
      </c>
      <c r="I892" s="16">
        <f>IF((OR(tbal[[#This Row],[X]]=1,tbal[[#This Row],[X]]=2)),tbal[[#This Row],[DEUDOR]],0)</f>
        <v>0</v>
      </c>
      <c r="J892" s="18">
        <f>IF((OR(tbal[[#This Row],[X]]=2,tbal[[#This Row],[X]]=3)),tbal[[#This Row],[ACREEDOR]],0)</f>
        <v>0</v>
      </c>
      <c r="K892" s="16">
        <f>IF((OR(tbal[[#This Row],[X]]=3,tbal[[#This Row],[X]]=5)),tbal[[#This Row],[DEUDOR]],0)</f>
        <v>0</v>
      </c>
      <c r="L892" s="18">
        <f>IF((OR(tbal[[#This Row],[X]]=3,tbal[[#This Row],[X]]=4)),tbal[[#This Row],[ACREEDOR]],0)</f>
        <v>0</v>
      </c>
      <c r="M892" s="16">
        <f>IF((OR(tbal[[#This Row],[X]]=0,tbal[[#This Row],[X]]=6)),tbal[[#This Row],[DEUDOR]],0)</f>
        <v>0</v>
      </c>
      <c r="N892" s="18">
        <f>IF((OR(tbal[[#This Row],[X]]=0,tbal[[#This Row],[X]]=5)),tbal[[#This Row],[ACREEDOR]],0)</f>
        <v>0</v>
      </c>
    </row>
    <row r="893" spans="1:14" hidden="1" x14ac:dyDescent="0.3">
      <c r="A893" s="14">
        <f>+'PLAN DE CUENTAS'!A893</f>
        <v>0</v>
      </c>
      <c r="B893" s="13">
        <f>+'PLAN DE CUENTAS'!B893</f>
        <v>0</v>
      </c>
      <c r="C893" s="13">
        <f>+'PLAN DE CUENTAS'!C893</f>
        <v>0</v>
      </c>
      <c r="D893" t="str">
        <f>IF(tbal[[#This Row],[DEBE]]+tbal[[#This Row],[HABER]]=0,"","X")</f>
        <v/>
      </c>
      <c r="E893" s="16">
        <f>SUMIF(tdiario[CUENTA],tbal[[#This Row],[CUENTA]],tdiario[DEBE])</f>
        <v>0</v>
      </c>
      <c r="F893" s="17">
        <f>SUMIF(tdiario[CUENTA],tbal[[#This Row],[CUENTA]],tdiario[HABER])</f>
        <v>0</v>
      </c>
      <c r="G893" s="16">
        <f>IF(tbal[[#This Row],[DEBE]]-tbal[[#This Row],[HABER]]&gt;0,tbal[[#This Row],[DEBE]]-tbal[[#This Row],[HABER]],0)</f>
        <v>0</v>
      </c>
      <c r="H893" s="18">
        <f>IF(tbal[[#This Row],[HABER]]-tbal[[#This Row],[DEBE]]&gt;0,tbal[[#This Row],[HABER]]-tbal[[#This Row],[DEBE]],0)</f>
        <v>0</v>
      </c>
      <c r="I893" s="16">
        <f>IF((OR(tbal[[#This Row],[X]]=1,tbal[[#This Row],[X]]=2)),tbal[[#This Row],[DEUDOR]],0)</f>
        <v>0</v>
      </c>
      <c r="J893" s="18">
        <f>IF((OR(tbal[[#This Row],[X]]=2,tbal[[#This Row],[X]]=3)),tbal[[#This Row],[ACREEDOR]],0)</f>
        <v>0</v>
      </c>
      <c r="K893" s="16">
        <f>IF((OR(tbal[[#This Row],[X]]=3,tbal[[#This Row],[X]]=5)),tbal[[#This Row],[DEUDOR]],0)</f>
        <v>0</v>
      </c>
      <c r="L893" s="18">
        <f>IF((OR(tbal[[#This Row],[X]]=3,tbal[[#This Row],[X]]=4)),tbal[[#This Row],[ACREEDOR]],0)</f>
        <v>0</v>
      </c>
      <c r="M893" s="16">
        <f>IF((OR(tbal[[#This Row],[X]]=0,tbal[[#This Row],[X]]=6)),tbal[[#This Row],[DEUDOR]],0)</f>
        <v>0</v>
      </c>
      <c r="N893" s="18">
        <f>IF((OR(tbal[[#This Row],[X]]=0,tbal[[#This Row],[X]]=5)),tbal[[#This Row],[ACREEDOR]],0)</f>
        <v>0</v>
      </c>
    </row>
    <row r="894" spans="1:14" hidden="1" x14ac:dyDescent="0.3">
      <c r="A894" s="14">
        <f>+'PLAN DE CUENTAS'!A894</f>
        <v>0</v>
      </c>
      <c r="B894" s="13">
        <f>+'PLAN DE CUENTAS'!B894</f>
        <v>0</v>
      </c>
      <c r="C894" s="13">
        <f>+'PLAN DE CUENTAS'!C894</f>
        <v>0</v>
      </c>
      <c r="D894" t="str">
        <f>IF(tbal[[#This Row],[DEBE]]+tbal[[#This Row],[HABER]]=0,"","X")</f>
        <v/>
      </c>
      <c r="E894" s="16">
        <f>SUMIF(tdiario[CUENTA],tbal[[#This Row],[CUENTA]],tdiario[DEBE])</f>
        <v>0</v>
      </c>
      <c r="F894" s="17">
        <f>SUMIF(tdiario[CUENTA],tbal[[#This Row],[CUENTA]],tdiario[HABER])</f>
        <v>0</v>
      </c>
      <c r="G894" s="16">
        <f>IF(tbal[[#This Row],[DEBE]]-tbal[[#This Row],[HABER]]&gt;0,tbal[[#This Row],[DEBE]]-tbal[[#This Row],[HABER]],0)</f>
        <v>0</v>
      </c>
      <c r="H894" s="18">
        <f>IF(tbal[[#This Row],[HABER]]-tbal[[#This Row],[DEBE]]&gt;0,tbal[[#This Row],[HABER]]-tbal[[#This Row],[DEBE]],0)</f>
        <v>0</v>
      </c>
      <c r="I894" s="16">
        <f>IF((OR(tbal[[#This Row],[X]]=1,tbal[[#This Row],[X]]=2)),tbal[[#This Row],[DEUDOR]],0)</f>
        <v>0</v>
      </c>
      <c r="J894" s="18">
        <f>IF((OR(tbal[[#This Row],[X]]=2,tbal[[#This Row],[X]]=3)),tbal[[#This Row],[ACREEDOR]],0)</f>
        <v>0</v>
      </c>
      <c r="K894" s="16">
        <f>IF((OR(tbal[[#This Row],[X]]=3,tbal[[#This Row],[X]]=5)),tbal[[#This Row],[DEUDOR]],0)</f>
        <v>0</v>
      </c>
      <c r="L894" s="18">
        <f>IF((OR(tbal[[#This Row],[X]]=3,tbal[[#This Row],[X]]=4)),tbal[[#This Row],[ACREEDOR]],0)</f>
        <v>0</v>
      </c>
      <c r="M894" s="16">
        <f>IF((OR(tbal[[#This Row],[X]]=0,tbal[[#This Row],[X]]=6)),tbal[[#This Row],[DEUDOR]],0)</f>
        <v>0</v>
      </c>
      <c r="N894" s="18">
        <f>IF((OR(tbal[[#This Row],[X]]=0,tbal[[#This Row],[X]]=5)),tbal[[#This Row],[ACREEDOR]],0)</f>
        <v>0</v>
      </c>
    </row>
    <row r="895" spans="1:14" hidden="1" x14ac:dyDescent="0.3">
      <c r="A895" s="14">
        <f>+'PLAN DE CUENTAS'!A895</f>
        <v>0</v>
      </c>
      <c r="B895" s="13">
        <f>+'PLAN DE CUENTAS'!B895</f>
        <v>0</v>
      </c>
      <c r="C895" s="13">
        <f>+'PLAN DE CUENTAS'!C895</f>
        <v>0</v>
      </c>
      <c r="D895" t="str">
        <f>IF(tbal[[#This Row],[DEBE]]+tbal[[#This Row],[HABER]]=0,"","X")</f>
        <v/>
      </c>
      <c r="E895" s="16">
        <f>SUMIF(tdiario[CUENTA],tbal[[#This Row],[CUENTA]],tdiario[DEBE])</f>
        <v>0</v>
      </c>
      <c r="F895" s="17">
        <f>SUMIF(tdiario[CUENTA],tbal[[#This Row],[CUENTA]],tdiario[HABER])</f>
        <v>0</v>
      </c>
      <c r="G895" s="16">
        <f>IF(tbal[[#This Row],[DEBE]]-tbal[[#This Row],[HABER]]&gt;0,tbal[[#This Row],[DEBE]]-tbal[[#This Row],[HABER]],0)</f>
        <v>0</v>
      </c>
      <c r="H895" s="18">
        <f>IF(tbal[[#This Row],[HABER]]-tbal[[#This Row],[DEBE]]&gt;0,tbal[[#This Row],[HABER]]-tbal[[#This Row],[DEBE]],0)</f>
        <v>0</v>
      </c>
      <c r="I895" s="16">
        <f>IF((OR(tbal[[#This Row],[X]]=1,tbal[[#This Row],[X]]=2)),tbal[[#This Row],[DEUDOR]],0)</f>
        <v>0</v>
      </c>
      <c r="J895" s="18">
        <f>IF((OR(tbal[[#This Row],[X]]=2,tbal[[#This Row],[X]]=3)),tbal[[#This Row],[ACREEDOR]],0)</f>
        <v>0</v>
      </c>
      <c r="K895" s="16">
        <f>IF((OR(tbal[[#This Row],[X]]=3,tbal[[#This Row],[X]]=5)),tbal[[#This Row],[DEUDOR]],0)</f>
        <v>0</v>
      </c>
      <c r="L895" s="18">
        <f>IF((OR(tbal[[#This Row],[X]]=3,tbal[[#This Row],[X]]=4)),tbal[[#This Row],[ACREEDOR]],0)</f>
        <v>0</v>
      </c>
      <c r="M895" s="16">
        <f>IF((OR(tbal[[#This Row],[X]]=0,tbal[[#This Row],[X]]=6)),tbal[[#This Row],[DEUDOR]],0)</f>
        <v>0</v>
      </c>
      <c r="N895" s="18">
        <f>IF((OR(tbal[[#This Row],[X]]=0,tbal[[#This Row],[X]]=5)),tbal[[#This Row],[ACREEDOR]],0)</f>
        <v>0</v>
      </c>
    </row>
    <row r="896" spans="1:14" hidden="1" x14ac:dyDescent="0.3">
      <c r="A896" s="14">
        <f>+'PLAN DE CUENTAS'!A896</f>
        <v>0</v>
      </c>
      <c r="B896" s="13">
        <f>+'PLAN DE CUENTAS'!B896</f>
        <v>0</v>
      </c>
      <c r="C896" s="13">
        <f>+'PLAN DE CUENTAS'!C896</f>
        <v>0</v>
      </c>
      <c r="D896" t="str">
        <f>IF(tbal[[#This Row],[DEBE]]+tbal[[#This Row],[HABER]]=0,"","X")</f>
        <v/>
      </c>
      <c r="E896" s="16">
        <f>SUMIF(tdiario[CUENTA],tbal[[#This Row],[CUENTA]],tdiario[DEBE])</f>
        <v>0</v>
      </c>
      <c r="F896" s="17">
        <f>SUMIF(tdiario[CUENTA],tbal[[#This Row],[CUENTA]],tdiario[HABER])</f>
        <v>0</v>
      </c>
      <c r="G896" s="16">
        <f>IF(tbal[[#This Row],[DEBE]]-tbal[[#This Row],[HABER]]&gt;0,tbal[[#This Row],[DEBE]]-tbal[[#This Row],[HABER]],0)</f>
        <v>0</v>
      </c>
      <c r="H896" s="18">
        <f>IF(tbal[[#This Row],[HABER]]-tbal[[#This Row],[DEBE]]&gt;0,tbal[[#This Row],[HABER]]-tbal[[#This Row],[DEBE]],0)</f>
        <v>0</v>
      </c>
      <c r="I896" s="16">
        <f>IF((OR(tbal[[#This Row],[X]]=1,tbal[[#This Row],[X]]=2)),tbal[[#This Row],[DEUDOR]],0)</f>
        <v>0</v>
      </c>
      <c r="J896" s="18">
        <f>IF((OR(tbal[[#This Row],[X]]=2,tbal[[#This Row],[X]]=3)),tbal[[#This Row],[ACREEDOR]],0)</f>
        <v>0</v>
      </c>
      <c r="K896" s="16">
        <f>IF((OR(tbal[[#This Row],[X]]=3,tbal[[#This Row],[X]]=5)),tbal[[#This Row],[DEUDOR]],0)</f>
        <v>0</v>
      </c>
      <c r="L896" s="18">
        <f>IF((OR(tbal[[#This Row],[X]]=3,tbal[[#This Row],[X]]=4)),tbal[[#This Row],[ACREEDOR]],0)</f>
        <v>0</v>
      </c>
      <c r="M896" s="16">
        <f>IF((OR(tbal[[#This Row],[X]]=0,tbal[[#This Row],[X]]=6)),tbal[[#This Row],[DEUDOR]],0)</f>
        <v>0</v>
      </c>
      <c r="N896" s="18">
        <f>IF((OR(tbal[[#This Row],[X]]=0,tbal[[#This Row],[X]]=5)),tbal[[#This Row],[ACREEDOR]],0)</f>
        <v>0</v>
      </c>
    </row>
    <row r="897" spans="1:14" hidden="1" x14ac:dyDescent="0.3">
      <c r="A897" s="14">
        <f>+'PLAN DE CUENTAS'!A897</f>
        <v>0</v>
      </c>
      <c r="B897" s="13">
        <f>+'PLAN DE CUENTAS'!B897</f>
        <v>0</v>
      </c>
      <c r="C897" s="13">
        <f>+'PLAN DE CUENTAS'!C897</f>
        <v>0</v>
      </c>
      <c r="D897" t="str">
        <f>IF(tbal[[#This Row],[DEBE]]+tbal[[#This Row],[HABER]]=0,"","X")</f>
        <v/>
      </c>
      <c r="E897" s="16">
        <f>SUMIF(tdiario[CUENTA],tbal[[#This Row],[CUENTA]],tdiario[DEBE])</f>
        <v>0</v>
      </c>
      <c r="F897" s="17">
        <f>SUMIF(tdiario[CUENTA],tbal[[#This Row],[CUENTA]],tdiario[HABER])</f>
        <v>0</v>
      </c>
      <c r="G897" s="16">
        <f>IF(tbal[[#This Row],[DEBE]]-tbal[[#This Row],[HABER]]&gt;0,tbal[[#This Row],[DEBE]]-tbal[[#This Row],[HABER]],0)</f>
        <v>0</v>
      </c>
      <c r="H897" s="18">
        <f>IF(tbal[[#This Row],[HABER]]-tbal[[#This Row],[DEBE]]&gt;0,tbal[[#This Row],[HABER]]-tbal[[#This Row],[DEBE]],0)</f>
        <v>0</v>
      </c>
      <c r="I897" s="16">
        <f>IF((OR(tbal[[#This Row],[X]]=1,tbal[[#This Row],[X]]=2)),tbal[[#This Row],[DEUDOR]],0)</f>
        <v>0</v>
      </c>
      <c r="J897" s="18">
        <f>IF((OR(tbal[[#This Row],[X]]=2,tbal[[#This Row],[X]]=3)),tbal[[#This Row],[ACREEDOR]],0)</f>
        <v>0</v>
      </c>
      <c r="K897" s="16">
        <f>IF((OR(tbal[[#This Row],[X]]=3,tbal[[#This Row],[X]]=5)),tbal[[#This Row],[DEUDOR]],0)</f>
        <v>0</v>
      </c>
      <c r="L897" s="18">
        <f>IF((OR(tbal[[#This Row],[X]]=3,tbal[[#This Row],[X]]=4)),tbal[[#This Row],[ACREEDOR]],0)</f>
        <v>0</v>
      </c>
      <c r="M897" s="16">
        <f>IF((OR(tbal[[#This Row],[X]]=0,tbal[[#This Row],[X]]=6)),tbal[[#This Row],[DEUDOR]],0)</f>
        <v>0</v>
      </c>
      <c r="N897" s="18">
        <f>IF((OR(tbal[[#This Row],[X]]=0,tbal[[#This Row],[X]]=5)),tbal[[#This Row],[ACREEDOR]],0)</f>
        <v>0</v>
      </c>
    </row>
    <row r="898" spans="1:14" hidden="1" x14ac:dyDescent="0.3">
      <c r="A898" s="14">
        <f>+'PLAN DE CUENTAS'!A898</f>
        <v>0</v>
      </c>
      <c r="B898" s="13">
        <f>+'PLAN DE CUENTAS'!B898</f>
        <v>0</v>
      </c>
      <c r="C898" s="13">
        <f>+'PLAN DE CUENTAS'!C898</f>
        <v>0</v>
      </c>
      <c r="D898" t="str">
        <f>IF(tbal[[#This Row],[DEBE]]+tbal[[#This Row],[HABER]]=0,"","X")</f>
        <v/>
      </c>
      <c r="E898" s="16">
        <f>SUMIF(tdiario[CUENTA],tbal[[#This Row],[CUENTA]],tdiario[DEBE])</f>
        <v>0</v>
      </c>
      <c r="F898" s="17">
        <f>SUMIF(tdiario[CUENTA],tbal[[#This Row],[CUENTA]],tdiario[HABER])</f>
        <v>0</v>
      </c>
      <c r="G898" s="16">
        <f>IF(tbal[[#This Row],[DEBE]]-tbal[[#This Row],[HABER]]&gt;0,tbal[[#This Row],[DEBE]]-tbal[[#This Row],[HABER]],0)</f>
        <v>0</v>
      </c>
      <c r="H898" s="18">
        <f>IF(tbal[[#This Row],[HABER]]-tbal[[#This Row],[DEBE]]&gt;0,tbal[[#This Row],[HABER]]-tbal[[#This Row],[DEBE]],0)</f>
        <v>0</v>
      </c>
      <c r="I898" s="16">
        <f>IF((OR(tbal[[#This Row],[X]]=1,tbal[[#This Row],[X]]=2)),tbal[[#This Row],[DEUDOR]],0)</f>
        <v>0</v>
      </c>
      <c r="J898" s="18">
        <f>IF((OR(tbal[[#This Row],[X]]=2,tbal[[#This Row],[X]]=3)),tbal[[#This Row],[ACREEDOR]],0)</f>
        <v>0</v>
      </c>
      <c r="K898" s="16">
        <f>IF((OR(tbal[[#This Row],[X]]=3,tbal[[#This Row],[X]]=5)),tbal[[#This Row],[DEUDOR]],0)</f>
        <v>0</v>
      </c>
      <c r="L898" s="18">
        <f>IF((OR(tbal[[#This Row],[X]]=3,tbal[[#This Row],[X]]=4)),tbal[[#This Row],[ACREEDOR]],0)</f>
        <v>0</v>
      </c>
      <c r="M898" s="16">
        <f>IF((OR(tbal[[#This Row],[X]]=0,tbal[[#This Row],[X]]=6)),tbal[[#This Row],[DEUDOR]],0)</f>
        <v>0</v>
      </c>
      <c r="N898" s="18">
        <f>IF((OR(tbal[[#This Row],[X]]=0,tbal[[#This Row],[X]]=5)),tbal[[#This Row],[ACREEDOR]],0)</f>
        <v>0</v>
      </c>
    </row>
    <row r="899" spans="1:14" hidden="1" x14ac:dyDescent="0.3">
      <c r="A899" s="14">
        <f>+'PLAN DE CUENTAS'!A899</f>
        <v>0</v>
      </c>
      <c r="B899" s="13">
        <f>+'PLAN DE CUENTAS'!B899</f>
        <v>0</v>
      </c>
      <c r="C899" s="13">
        <f>+'PLAN DE CUENTAS'!C899</f>
        <v>0</v>
      </c>
      <c r="D899" t="str">
        <f>IF(tbal[[#This Row],[DEBE]]+tbal[[#This Row],[HABER]]=0,"","X")</f>
        <v/>
      </c>
      <c r="E899" s="16">
        <f>SUMIF(tdiario[CUENTA],tbal[[#This Row],[CUENTA]],tdiario[DEBE])</f>
        <v>0</v>
      </c>
      <c r="F899" s="17">
        <f>SUMIF(tdiario[CUENTA],tbal[[#This Row],[CUENTA]],tdiario[HABER])</f>
        <v>0</v>
      </c>
      <c r="G899" s="16">
        <f>IF(tbal[[#This Row],[DEBE]]-tbal[[#This Row],[HABER]]&gt;0,tbal[[#This Row],[DEBE]]-tbal[[#This Row],[HABER]],0)</f>
        <v>0</v>
      </c>
      <c r="H899" s="18">
        <f>IF(tbal[[#This Row],[HABER]]-tbal[[#This Row],[DEBE]]&gt;0,tbal[[#This Row],[HABER]]-tbal[[#This Row],[DEBE]],0)</f>
        <v>0</v>
      </c>
      <c r="I899" s="16">
        <f>IF((OR(tbal[[#This Row],[X]]=1,tbal[[#This Row],[X]]=2)),tbal[[#This Row],[DEUDOR]],0)</f>
        <v>0</v>
      </c>
      <c r="J899" s="18">
        <f>IF((OR(tbal[[#This Row],[X]]=2,tbal[[#This Row],[X]]=3)),tbal[[#This Row],[ACREEDOR]],0)</f>
        <v>0</v>
      </c>
      <c r="K899" s="16">
        <f>IF((OR(tbal[[#This Row],[X]]=3,tbal[[#This Row],[X]]=5)),tbal[[#This Row],[DEUDOR]],0)</f>
        <v>0</v>
      </c>
      <c r="L899" s="18">
        <f>IF((OR(tbal[[#This Row],[X]]=3,tbal[[#This Row],[X]]=4)),tbal[[#This Row],[ACREEDOR]],0)</f>
        <v>0</v>
      </c>
      <c r="M899" s="16">
        <f>IF((OR(tbal[[#This Row],[X]]=0,tbal[[#This Row],[X]]=6)),tbal[[#This Row],[DEUDOR]],0)</f>
        <v>0</v>
      </c>
      <c r="N899" s="18">
        <f>IF((OR(tbal[[#This Row],[X]]=0,tbal[[#This Row],[X]]=5)),tbal[[#This Row],[ACREEDOR]],0)</f>
        <v>0</v>
      </c>
    </row>
    <row r="900" spans="1:14" hidden="1" x14ac:dyDescent="0.3">
      <c r="A900" s="14">
        <f>+'PLAN DE CUENTAS'!A900</f>
        <v>0</v>
      </c>
      <c r="B900" s="13">
        <f>+'PLAN DE CUENTAS'!B900</f>
        <v>0</v>
      </c>
      <c r="C900" s="13">
        <f>+'PLAN DE CUENTAS'!C900</f>
        <v>0</v>
      </c>
      <c r="D900" t="str">
        <f>IF(tbal[[#This Row],[DEBE]]+tbal[[#This Row],[HABER]]=0,"","X")</f>
        <v/>
      </c>
      <c r="E900" s="16">
        <f>SUMIF(tdiario[CUENTA],tbal[[#This Row],[CUENTA]],tdiario[DEBE])</f>
        <v>0</v>
      </c>
      <c r="F900" s="17">
        <f>SUMIF(tdiario[CUENTA],tbal[[#This Row],[CUENTA]],tdiario[HABER])</f>
        <v>0</v>
      </c>
      <c r="G900" s="16">
        <f>IF(tbal[[#This Row],[DEBE]]-tbal[[#This Row],[HABER]]&gt;0,tbal[[#This Row],[DEBE]]-tbal[[#This Row],[HABER]],0)</f>
        <v>0</v>
      </c>
      <c r="H900" s="18">
        <f>IF(tbal[[#This Row],[HABER]]-tbal[[#This Row],[DEBE]]&gt;0,tbal[[#This Row],[HABER]]-tbal[[#This Row],[DEBE]],0)</f>
        <v>0</v>
      </c>
      <c r="I900" s="16">
        <f>IF((OR(tbal[[#This Row],[X]]=1,tbal[[#This Row],[X]]=2)),tbal[[#This Row],[DEUDOR]],0)</f>
        <v>0</v>
      </c>
      <c r="J900" s="18">
        <f>IF((OR(tbal[[#This Row],[X]]=2,tbal[[#This Row],[X]]=3)),tbal[[#This Row],[ACREEDOR]],0)</f>
        <v>0</v>
      </c>
      <c r="K900" s="16">
        <f>IF((OR(tbal[[#This Row],[X]]=3,tbal[[#This Row],[X]]=5)),tbal[[#This Row],[DEUDOR]],0)</f>
        <v>0</v>
      </c>
      <c r="L900" s="18">
        <f>IF((OR(tbal[[#This Row],[X]]=3,tbal[[#This Row],[X]]=4)),tbal[[#This Row],[ACREEDOR]],0)</f>
        <v>0</v>
      </c>
      <c r="M900" s="16">
        <f>IF((OR(tbal[[#This Row],[X]]=0,tbal[[#This Row],[X]]=6)),tbal[[#This Row],[DEUDOR]],0)</f>
        <v>0</v>
      </c>
      <c r="N900" s="18">
        <f>IF((OR(tbal[[#This Row],[X]]=0,tbal[[#This Row],[X]]=5)),tbal[[#This Row],[ACREEDOR]],0)</f>
        <v>0</v>
      </c>
    </row>
    <row r="901" spans="1:14" hidden="1" x14ac:dyDescent="0.3">
      <c r="A901" s="14">
        <f>+'PLAN DE CUENTAS'!A901</f>
        <v>0</v>
      </c>
      <c r="B901" s="13">
        <f>+'PLAN DE CUENTAS'!B901</f>
        <v>0</v>
      </c>
      <c r="C901" s="13">
        <f>+'PLAN DE CUENTAS'!C901</f>
        <v>0</v>
      </c>
      <c r="D901" t="str">
        <f>IF(tbal[[#This Row],[DEBE]]+tbal[[#This Row],[HABER]]=0,"","X")</f>
        <v/>
      </c>
      <c r="E901" s="16">
        <f>SUMIF(tdiario[CUENTA],tbal[[#This Row],[CUENTA]],tdiario[DEBE])</f>
        <v>0</v>
      </c>
      <c r="F901" s="17">
        <f>SUMIF(tdiario[CUENTA],tbal[[#This Row],[CUENTA]],tdiario[HABER])</f>
        <v>0</v>
      </c>
      <c r="G901" s="16">
        <f>IF(tbal[[#This Row],[DEBE]]-tbal[[#This Row],[HABER]]&gt;0,tbal[[#This Row],[DEBE]]-tbal[[#This Row],[HABER]],0)</f>
        <v>0</v>
      </c>
      <c r="H901" s="18">
        <f>IF(tbal[[#This Row],[HABER]]-tbal[[#This Row],[DEBE]]&gt;0,tbal[[#This Row],[HABER]]-tbal[[#This Row],[DEBE]],0)</f>
        <v>0</v>
      </c>
      <c r="I901" s="16">
        <f>IF((OR(tbal[[#This Row],[X]]=1,tbal[[#This Row],[X]]=2)),tbal[[#This Row],[DEUDOR]],0)</f>
        <v>0</v>
      </c>
      <c r="J901" s="18">
        <f>IF((OR(tbal[[#This Row],[X]]=2,tbal[[#This Row],[X]]=3)),tbal[[#This Row],[ACREEDOR]],0)</f>
        <v>0</v>
      </c>
      <c r="K901" s="16">
        <f>IF((OR(tbal[[#This Row],[X]]=3,tbal[[#This Row],[X]]=5)),tbal[[#This Row],[DEUDOR]],0)</f>
        <v>0</v>
      </c>
      <c r="L901" s="18">
        <f>IF((OR(tbal[[#This Row],[X]]=3,tbal[[#This Row],[X]]=4)),tbal[[#This Row],[ACREEDOR]],0)</f>
        <v>0</v>
      </c>
      <c r="M901" s="16">
        <f>IF((OR(tbal[[#This Row],[X]]=0,tbal[[#This Row],[X]]=6)),tbal[[#This Row],[DEUDOR]],0)</f>
        <v>0</v>
      </c>
      <c r="N901" s="18">
        <f>IF((OR(tbal[[#This Row],[X]]=0,tbal[[#This Row],[X]]=5)),tbal[[#This Row],[ACREEDOR]],0)</f>
        <v>0</v>
      </c>
    </row>
    <row r="902" spans="1:14" hidden="1" x14ac:dyDescent="0.3">
      <c r="A902" s="14">
        <f>+'PLAN DE CUENTAS'!A902</f>
        <v>0</v>
      </c>
      <c r="B902" s="13">
        <f>+'PLAN DE CUENTAS'!B902</f>
        <v>0</v>
      </c>
      <c r="C902" s="13">
        <f>+'PLAN DE CUENTAS'!C902</f>
        <v>0</v>
      </c>
      <c r="D902" t="str">
        <f>IF(tbal[[#This Row],[DEBE]]+tbal[[#This Row],[HABER]]=0,"","X")</f>
        <v/>
      </c>
      <c r="E902" s="16">
        <f>SUMIF(tdiario[CUENTA],tbal[[#This Row],[CUENTA]],tdiario[DEBE])</f>
        <v>0</v>
      </c>
      <c r="F902" s="17">
        <f>SUMIF(tdiario[CUENTA],tbal[[#This Row],[CUENTA]],tdiario[HABER])</f>
        <v>0</v>
      </c>
      <c r="G902" s="16">
        <f>IF(tbal[[#This Row],[DEBE]]-tbal[[#This Row],[HABER]]&gt;0,tbal[[#This Row],[DEBE]]-tbal[[#This Row],[HABER]],0)</f>
        <v>0</v>
      </c>
      <c r="H902" s="18">
        <f>IF(tbal[[#This Row],[HABER]]-tbal[[#This Row],[DEBE]]&gt;0,tbal[[#This Row],[HABER]]-tbal[[#This Row],[DEBE]],0)</f>
        <v>0</v>
      </c>
      <c r="I902" s="16">
        <f>IF((OR(tbal[[#This Row],[X]]=1,tbal[[#This Row],[X]]=2)),tbal[[#This Row],[DEUDOR]],0)</f>
        <v>0</v>
      </c>
      <c r="J902" s="18">
        <f>IF((OR(tbal[[#This Row],[X]]=2,tbal[[#This Row],[X]]=3)),tbal[[#This Row],[ACREEDOR]],0)</f>
        <v>0</v>
      </c>
      <c r="K902" s="16">
        <f>IF((OR(tbal[[#This Row],[X]]=3,tbal[[#This Row],[X]]=5)),tbal[[#This Row],[DEUDOR]],0)</f>
        <v>0</v>
      </c>
      <c r="L902" s="18">
        <f>IF((OR(tbal[[#This Row],[X]]=3,tbal[[#This Row],[X]]=4)),tbal[[#This Row],[ACREEDOR]],0)</f>
        <v>0</v>
      </c>
      <c r="M902" s="16">
        <f>IF((OR(tbal[[#This Row],[X]]=0,tbal[[#This Row],[X]]=6)),tbal[[#This Row],[DEUDOR]],0)</f>
        <v>0</v>
      </c>
      <c r="N902" s="18">
        <f>IF((OR(tbal[[#This Row],[X]]=0,tbal[[#This Row],[X]]=5)),tbal[[#This Row],[ACREEDOR]],0)</f>
        <v>0</v>
      </c>
    </row>
    <row r="903" spans="1:14" hidden="1" x14ac:dyDescent="0.3">
      <c r="A903" s="14">
        <f>+'PLAN DE CUENTAS'!A903</f>
        <v>0</v>
      </c>
      <c r="B903" s="13">
        <f>+'PLAN DE CUENTAS'!B903</f>
        <v>0</v>
      </c>
      <c r="C903" s="13">
        <f>+'PLAN DE CUENTAS'!C903</f>
        <v>0</v>
      </c>
      <c r="D903" t="str">
        <f>IF(tbal[[#This Row],[DEBE]]+tbal[[#This Row],[HABER]]=0,"","X")</f>
        <v/>
      </c>
      <c r="E903" s="16">
        <f>SUMIF(tdiario[CUENTA],tbal[[#This Row],[CUENTA]],tdiario[DEBE])</f>
        <v>0</v>
      </c>
      <c r="F903" s="17">
        <f>SUMIF(tdiario[CUENTA],tbal[[#This Row],[CUENTA]],tdiario[HABER])</f>
        <v>0</v>
      </c>
      <c r="G903" s="16">
        <f>IF(tbal[[#This Row],[DEBE]]-tbal[[#This Row],[HABER]]&gt;0,tbal[[#This Row],[DEBE]]-tbal[[#This Row],[HABER]],0)</f>
        <v>0</v>
      </c>
      <c r="H903" s="18">
        <f>IF(tbal[[#This Row],[HABER]]-tbal[[#This Row],[DEBE]]&gt;0,tbal[[#This Row],[HABER]]-tbal[[#This Row],[DEBE]],0)</f>
        <v>0</v>
      </c>
      <c r="I903" s="16">
        <f>IF((OR(tbal[[#This Row],[X]]=1,tbal[[#This Row],[X]]=2)),tbal[[#This Row],[DEUDOR]],0)</f>
        <v>0</v>
      </c>
      <c r="J903" s="18">
        <f>IF((OR(tbal[[#This Row],[X]]=2,tbal[[#This Row],[X]]=3)),tbal[[#This Row],[ACREEDOR]],0)</f>
        <v>0</v>
      </c>
      <c r="K903" s="16">
        <f>IF((OR(tbal[[#This Row],[X]]=3,tbal[[#This Row],[X]]=5)),tbal[[#This Row],[DEUDOR]],0)</f>
        <v>0</v>
      </c>
      <c r="L903" s="18">
        <f>IF((OR(tbal[[#This Row],[X]]=3,tbal[[#This Row],[X]]=4)),tbal[[#This Row],[ACREEDOR]],0)</f>
        <v>0</v>
      </c>
      <c r="M903" s="16">
        <f>IF((OR(tbal[[#This Row],[X]]=0,tbal[[#This Row],[X]]=6)),tbal[[#This Row],[DEUDOR]],0)</f>
        <v>0</v>
      </c>
      <c r="N903" s="18">
        <f>IF((OR(tbal[[#This Row],[X]]=0,tbal[[#This Row],[X]]=5)),tbal[[#This Row],[ACREEDOR]],0)</f>
        <v>0</v>
      </c>
    </row>
    <row r="904" spans="1:14" hidden="1" x14ac:dyDescent="0.3">
      <c r="A904" s="14">
        <f>+'PLAN DE CUENTAS'!A904</f>
        <v>0</v>
      </c>
      <c r="B904" s="13">
        <f>+'PLAN DE CUENTAS'!B904</f>
        <v>0</v>
      </c>
      <c r="C904" s="13">
        <f>+'PLAN DE CUENTAS'!C904</f>
        <v>0</v>
      </c>
      <c r="D904" t="str">
        <f>IF(tbal[[#This Row],[DEBE]]+tbal[[#This Row],[HABER]]=0,"","X")</f>
        <v/>
      </c>
      <c r="E904" s="16">
        <f>SUMIF(tdiario[CUENTA],tbal[[#This Row],[CUENTA]],tdiario[DEBE])</f>
        <v>0</v>
      </c>
      <c r="F904" s="17">
        <f>SUMIF(tdiario[CUENTA],tbal[[#This Row],[CUENTA]],tdiario[HABER])</f>
        <v>0</v>
      </c>
      <c r="G904" s="16">
        <f>IF(tbal[[#This Row],[DEBE]]-tbal[[#This Row],[HABER]]&gt;0,tbal[[#This Row],[DEBE]]-tbal[[#This Row],[HABER]],0)</f>
        <v>0</v>
      </c>
      <c r="H904" s="18">
        <f>IF(tbal[[#This Row],[HABER]]-tbal[[#This Row],[DEBE]]&gt;0,tbal[[#This Row],[HABER]]-tbal[[#This Row],[DEBE]],0)</f>
        <v>0</v>
      </c>
      <c r="I904" s="16">
        <f>IF((OR(tbal[[#This Row],[X]]=1,tbal[[#This Row],[X]]=2)),tbal[[#This Row],[DEUDOR]],0)</f>
        <v>0</v>
      </c>
      <c r="J904" s="18">
        <f>IF((OR(tbal[[#This Row],[X]]=2,tbal[[#This Row],[X]]=3)),tbal[[#This Row],[ACREEDOR]],0)</f>
        <v>0</v>
      </c>
      <c r="K904" s="16">
        <f>IF((OR(tbal[[#This Row],[X]]=3,tbal[[#This Row],[X]]=5)),tbal[[#This Row],[DEUDOR]],0)</f>
        <v>0</v>
      </c>
      <c r="L904" s="18">
        <f>IF((OR(tbal[[#This Row],[X]]=3,tbal[[#This Row],[X]]=4)),tbal[[#This Row],[ACREEDOR]],0)</f>
        <v>0</v>
      </c>
      <c r="M904" s="16">
        <f>IF((OR(tbal[[#This Row],[X]]=0,tbal[[#This Row],[X]]=6)),tbal[[#This Row],[DEUDOR]],0)</f>
        <v>0</v>
      </c>
      <c r="N904" s="18">
        <f>IF((OR(tbal[[#This Row],[X]]=0,tbal[[#This Row],[X]]=5)),tbal[[#This Row],[ACREEDOR]],0)</f>
        <v>0</v>
      </c>
    </row>
    <row r="905" spans="1:14" hidden="1" x14ac:dyDescent="0.3">
      <c r="A905" s="14">
        <f>+'PLAN DE CUENTAS'!A905</f>
        <v>0</v>
      </c>
      <c r="B905" s="13">
        <f>+'PLAN DE CUENTAS'!B905</f>
        <v>0</v>
      </c>
      <c r="C905" s="13">
        <f>+'PLAN DE CUENTAS'!C905</f>
        <v>0</v>
      </c>
      <c r="D905" t="str">
        <f>IF(tbal[[#This Row],[DEBE]]+tbal[[#This Row],[HABER]]=0,"","X")</f>
        <v/>
      </c>
      <c r="E905" s="16">
        <f>SUMIF(tdiario[CUENTA],tbal[[#This Row],[CUENTA]],tdiario[DEBE])</f>
        <v>0</v>
      </c>
      <c r="F905" s="17">
        <f>SUMIF(tdiario[CUENTA],tbal[[#This Row],[CUENTA]],tdiario[HABER])</f>
        <v>0</v>
      </c>
      <c r="G905" s="16">
        <f>IF(tbal[[#This Row],[DEBE]]-tbal[[#This Row],[HABER]]&gt;0,tbal[[#This Row],[DEBE]]-tbal[[#This Row],[HABER]],0)</f>
        <v>0</v>
      </c>
      <c r="H905" s="18">
        <f>IF(tbal[[#This Row],[HABER]]-tbal[[#This Row],[DEBE]]&gt;0,tbal[[#This Row],[HABER]]-tbal[[#This Row],[DEBE]],0)</f>
        <v>0</v>
      </c>
      <c r="I905" s="16">
        <f>IF((OR(tbal[[#This Row],[X]]=1,tbal[[#This Row],[X]]=2)),tbal[[#This Row],[DEUDOR]],0)</f>
        <v>0</v>
      </c>
      <c r="J905" s="18">
        <f>IF((OR(tbal[[#This Row],[X]]=2,tbal[[#This Row],[X]]=3)),tbal[[#This Row],[ACREEDOR]],0)</f>
        <v>0</v>
      </c>
      <c r="K905" s="16">
        <f>IF((OR(tbal[[#This Row],[X]]=3,tbal[[#This Row],[X]]=5)),tbal[[#This Row],[DEUDOR]],0)</f>
        <v>0</v>
      </c>
      <c r="L905" s="18">
        <f>IF((OR(tbal[[#This Row],[X]]=3,tbal[[#This Row],[X]]=4)),tbal[[#This Row],[ACREEDOR]],0)</f>
        <v>0</v>
      </c>
      <c r="M905" s="16">
        <f>IF((OR(tbal[[#This Row],[X]]=0,tbal[[#This Row],[X]]=6)),tbal[[#This Row],[DEUDOR]],0)</f>
        <v>0</v>
      </c>
      <c r="N905" s="18">
        <f>IF((OR(tbal[[#This Row],[X]]=0,tbal[[#This Row],[X]]=5)),tbal[[#This Row],[ACREEDOR]],0)</f>
        <v>0</v>
      </c>
    </row>
    <row r="906" spans="1:14" hidden="1" x14ac:dyDescent="0.3">
      <c r="A906" s="14">
        <f>+'PLAN DE CUENTAS'!A906</f>
        <v>0</v>
      </c>
      <c r="B906" s="13">
        <f>+'PLAN DE CUENTAS'!B906</f>
        <v>0</v>
      </c>
      <c r="C906" s="13">
        <f>+'PLAN DE CUENTAS'!C906</f>
        <v>0</v>
      </c>
      <c r="D906" t="str">
        <f>IF(tbal[[#This Row],[DEBE]]+tbal[[#This Row],[HABER]]=0,"","X")</f>
        <v/>
      </c>
      <c r="E906" s="16">
        <f>SUMIF(tdiario[CUENTA],tbal[[#This Row],[CUENTA]],tdiario[DEBE])</f>
        <v>0</v>
      </c>
      <c r="F906" s="17">
        <f>SUMIF(tdiario[CUENTA],tbal[[#This Row],[CUENTA]],tdiario[HABER])</f>
        <v>0</v>
      </c>
      <c r="G906" s="16">
        <f>IF(tbal[[#This Row],[DEBE]]-tbal[[#This Row],[HABER]]&gt;0,tbal[[#This Row],[DEBE]]-tbal[[#This Row],[HABER]],0)</f>
        <v>0</v>
      </c>
      <c r="H906" s="18">
        <f>IF(tbal[[#This Row],[HABER]]-tbal[[#This Row],[DEBE]]&gt;0,tbal[[#This Row],[HABER]]-tbal[[#This Row],[DEBE]],0)</f>
        <v>0</v>
      </c>
      <c r="I906" s="16">
        <f>IF((OR(tbal[[#This Row],[X]]=1,tbal[[#This Row],[X]]=2)),tbal[[#This Row],[DEUDOR]],0)</f>
        <v>0</v>
      </c>
      <c r="J906" s="18">
        <f>IF((OR(tbal[[#This Row],[X]]=2,tbal[[#This Row],[X]]=3)),tbal[[#This Row],[ACREEDOR]],0)</f>
        <v>0</v>
      </c>
      <c r="K906" s="16">
        <f>IF((OR(tbal[[#This Row],[X]]=3,tbal[[#This Row],[X]]=5)),tbal[[#This Row],[DEUDOR]],0)</f>
        <v>0</v>
      </c>
      <c r="L906" s="18">
        <f>IF((OR(tbal[[#This Row],[X]]=3,tbal[[#This Row],[X]]=4)),tbal[[#This Row],[ACREEDOR]],0)</f>
        <v>0</v>
      </c>
      <c r="M906" s="16">
        <f>IF((OR(tbal[[#This Row],[X]]=0,tbal[[#This Row],[X]]=6)),tbal[[#This Row],[DEUDOR]],0)</f>
        <v>0</v>
      </c>
      <c r="N906" s="18">
        <f>IF((OR(tbal[[#This Row],[X]]=0,tbal[[#This Row],[X]]=5)),tbal[[#This Row],[ACREEDOR]],0)</f>
        <v>0</v>
      </c>
    </row>
    <row r="907" spans="1:14" hidden="1" x14ac:dyDescent="0.3">
      <c r="A907" s="14">
        <f>+'PLAN DE CUENTAS'!A907</f>
        <v>0</v>
      </c>
      <c r="B907" s="13">
        <f>+'PLAN DE CUENTAS'!B907</f>
        <v>0</v>
      </c>
      <c r="C907" s="13">
        <f>+'PLAN DE CUENTAS'!C907</f>
        <v>0</v>
      </c>
      <c r="D907" t="str">
        <f>IF(tbal[[#This Row],[DEBE]]+tbal[[#This Row],[HABER]]=0,"","X")</f>
        <v/>
      </c>
      <c r="E907" s="16">
        <f>SUMIF(tdiario[CUENTA],tbal[[#This Row],[CUENTA]],tdiario[DEBE])</f>
        <v>0</v>
      </c>
      <c r="F907" s="17">
        <f>SUMIF(tdiario[CUENTA],tbal[[#This Row],[CUENTA]],tdiario[HABER])</f>
        <v>0</v>
      </c>
      <c r="G907" s="16">
        <f>IF(tbal[[#This Row],[DEBE]]-tbal[[#This Row],[HABER]]&gt;0,tbal[[#This Row],[DEBE]]-tbal[[#This Row],[HABER]],0)</f>
        <v>0</v>
      </c>
      <c r="H907" s="18">
        <f>IF(tbal[[#This Row],[HABER]]-tbal[[#This Row],[DEBE]]&gt;0,tbal[[#This Row],[HABER]]-tbal[[#This Row],[DEBE]],0)</f>
        <v>0</v>
      </c>
      <c r="I907" s="16">
        <f>IF((OR(tbal[[#This Row],[X]]=1,tbal[[#This Row],[X]]=2)),tbal[[#This Row],[DEUDOR]],0)</f>
        <v>0</v>
      </c>
      <c r="J907" s="18">
        <f>IF((OR(tbal[[#This Row],[X]]=2,tbal[[#This Row],[X]]=3)),tbal[[#This Row],[ACREEDOR]],0)</f>
        <v>0</v>
      </c>
      <c r="K907" s="16">
        <f>IF((OR(tbal[[#This Row],[X]]=3,tbal[[#This Row],[X]]=5)),tbal[[#This Row],[DEUDOR]],0)</f>
        <v>0</v>
      </c>
      <c r="L907" s="18">
        <f>IF((OR(tbal[[#This Row],[X]]=3,tbal[[#This Row],[X]]=4)),tbal[[#This Row],[ACREEDOR]],0)</f>
        <v>0</v>
      </c>
      <c r="M907" s="16">
        <f>IF((OR(tbal[[#This Row],[X]]=0,tbal[[#This Row],[X]]=6)),tbal[[#This Row],[DEUDOR]],0)</f>
        <v>0</v>
      </c>
      <c r="N907" s="18">
        <f>IF((OR(tbal[[#This Row],[X]]=0,tbal[[#This Row],[X]]=5)),tbal[[#This Row],[ACREEDOR]],0)</f>
        <v>0</v>
      </c>
    </row>
    <row r="908" spans="1:14" hidden="1" x14ac:dyDescent="0.3">
      <c r="A908" s="14">
        <f>+'PLAN DE CUENTAS'!A908</f>
        <v>0</v>
      </c>
      <c r="B908" s="13">
        <f>+'PLAN DE CUENTAS'!B908</f>
        <v>0</v>
      </c>
      <c r="C908" s="13">
        <f>+'PLAN DE CUENTAS'!C908</f>
        <v>0</v>
      </c>
      <c r="D908" t="str">
        <f>IF(tbal[[#This Row],[DEBE]]+tbal[[#This Row],[HABER]]=0,"","X")</f>
        <v/>
      </c>
      <c r="E908" s="16">
        <f>SUMIF(tdiario[CUENTA],tbal[[#This Row],[CUENTA]],tdiario[DEBE])</f>
        <v>0</v>
      </c>
      <c r="F908" s="17">
        <f>SUMIF(tdiario[CUENTA],tbal[[#This Row],[CUENTA]],tdiario[HABER])</f>
        <v>0</v>
      </c>
      <c r="G908" s="16">
        <f>IF(tbal[[#This Row],[DEBE]]-tbal[[#This Row],[HABER]]&gt;0,tbal[[#This Row],[DEBE]]-tbal[[#This Row],[HABER]],0)</f>
        <v>0</v>
      </c>
      <c r="H908" s="18">
        <f>IF(tbal[[#This Row],[HABER]]-tbal[[#This Row],[DEBE]]&gt;0,tbal[[#This Row],[HABER]]-tbal[[#This Row],[DEBE]],0)</f>
        <v>0</v>
      </c>
      <c r="I908" s="16">
        <f>IF((OR(tbal[[#This Row],[X]]=1,tbal[[#This Row],[X]]=2)),tbal[[#This Row],[DEUDOR]],0)</f>
        <v>0</v>
      </c>
      <c r="J908" s="18">
        <f>IF((OR(tbal[[#This Row],[X]]=2,tbal[[#This Row],[X]]=3)),tbal[[#This Row],[ACREEDOR]],0)</f>
        <v>0</v>
      </c>
      <c r="K908" s="16">
        <f>IF((OR(tbal[[#This Row],[X]]=3,tbal[[#This Row],[X]]=5)),tbal[[#This Row],[DEUDOR]],0)</f>
        <v>0</v>
      </c>
      <c r="L908" s="18">
        <f>IF((OR(tbal[[#This Row],[X]]=3,tbal[[#This Row],[X]]=4)),tbal[[#This Row],[ACREEDOR]],0)</f>
        <v>0</v>
      </c>
      <c r="M908" s="16">
        <f>IF((OR(tbal[[#This Row],[X]]=0,tbal[[#This Row],[X]]=6)),tbal[[#This Row],[DEUDOR]],0)</f>
        <v>0</v>
      </c>
      <c r="N908" s="18">
        <f>IF((OR(tbal[[#This Row],[X]]=0,tbal[[#This Row],[X]]=5)),tbal[[#This Row],[ACREEDOR]],0)</f>
        <v>0</v>
      </c>
    </row>
    <row r="909" spans="1:14" hidden="1" x14ac:dyDescent="0.3">
      <c r="A909" s="14">
        <f>+'PLAN DE CUENTAS'!A909</f>
        <v>0</v>
      </c>
      <c r="B909" s="13">
        <f>+'PLAN DE CUENTAS'!B909</f>
        <v>0</v>
      </c>
      <c r="C909" s="13">
        <f>+'PLAN DE CUENTAS'!C909</f>
        <v>0</v>
      </c>
      <c r="D909" t="str">
        <f>IF(tbal[[#This Row],[DEBE]]+tbal[[#This Row],[HABER]]=0,"","X")</f>
        <v/>
      </c>
      <c r="E909" s="16">
        <f>SUMIF(tdiario[CUENTA],tbal[[#This Row],[CUENTA]],tdiario[DEBE])</f>
        <v>0</v>
      </c>
      <c r="F909" s="17">
        <f>SUMIF(tdiario[CUENTA],tbal[[#This Row],[CUENTA]],tdiario[HABER])</f>
        <v>0</v>
      </c>
      <c r="G909" s="16">
        <f>IF(tbal[[#This Row],[DEBE]]-tbal[[#This Row],[HABER]]&gt;0,tbal[[#This Row],[DEBE]]-tbal[[#This Row],[HABER]],0)</f>
        <v>0</v>
      </c>
      <c r="H909" s="18">
        <f>IF(tbal[[#This Row],[HABER]]-tbal[[#This Row],[DEBE]]&gt;0,tbal[[#This Row],[HABER]]-tbal[[#This Row],[DEBE]],0)</f>
        <v>0</v>
      </c>
      <c r="I909" s="16">
        <f>IF((OR(tbal[[#This Row],[X]]=1,tbal[[#This Row],[X]]=2)),tbal[[#This Row],[DEUDOR]],0)</f>
        <v>0</v>
      </c>
      <c r="J909" s="18">
        <f>IF((OR(tbal[[#This Row],[X]]=2,tbal[[#This Row],[X]]=3)),tbal[[#This Row],[ACREEDOR]],0)</f>
        <v>0</v>
      </c>
      <c r="K909" s="16">
        <f>IF((OR(tbal[[#This Row],[X]]=3,tbal[[#This Row],[X]]=5)),tbal[[#This Row],[DEUDOR]],0)</f>
        <v>0</v>
      </c>
      <c r="L909" s="18">
        <f>IF((OR(tbal[[#This Row],[X]]=3,tbal[[#This Row],[X]]=4)),tbal[[#This Row],[ACREEDOR]],0)</f>
        <v>0</v>
      </c>
      <c r="M909" s="16">
        <f>IF((OR(tbal[[#This Row],[X]]=0,tbal[[#This Row],[X]]=6)),tbal[[#This Row],[DEUDOR]],0)</f>
        <v>0</v>
      </c>
      <c r="N909" s="18">
        <f>IF((OR(tbal[[#This Row],[X]]=0,tbal[[#This Row],[X]]=5)),tbal[[#This Row],[ACREEDOR]],0)</f>
        <v>0</v>
      </c>
    </row>
    <row r="910" spans="1:14" hidden="1" x14ac:dyDescent="0.3">
      <c r="A910" s="14">
        <f>+'PLAN DE CUENTAS'!A910</f>
        <v>0</v>
      </c>
      <c r="B910" s="13">
        <f>+'PLAN DE CUENTAS'!B910</f>
        <v>0</v>
      </c>
      <c r="C910" s="13">
        <f>+'PLAN DE CUENTAS'!C910</f>
        <v>0</v>
      </c>
      <c r="D910" t="str">
        <f>IF(tbal[[#This Row],[DEBE]]+tbal[[#This Row],[HABER]]=0,"","X")</f>
        <v/>
      </c>
      <c r="E910" s="16">
        <f>SUMIF(tdiario[CUENTA],tbal[[#This Row],[CUENTA]],tdiario[DEBE])</f>
        <v>0</v>
      </c>
      <c r="F910" s="17">
        <f>SUMIF(tdiario[CUENTA],tbal[[#This Row],[CUENTA]],tdiario[HABER])</f>
        <v>0</v>
      </c>
      <c r="G910" s="16">
        <f>IF(tbal[[#This Row],[DEBE]]-tbal[[#This Row],[HABER]]&gt;0,tbal[[#This Row],[DEBE]]-tbal[[#This Row],[HABER]],0)</f>
        <v>0</v>
      </c>
      <c r="H910" s="18">
        <f>IF(tbal[[#This Row],[HABER]]-tbal[[#This Row],[DEBE]]&gt;0,tbal[[#This Row],[HABER]]-tbal[[#This Row],[DEBE]],0)</f>
        <v>0</v>
      </c>
      <c r="I910" s="16">
        <f>IF((OR(tbal[[#This Row],[X]]=1,tbal[[#This Row],[X]]=2)),tbal[[#This Row],[DEUDOR]],0)</f>
        <v>0</v>
      </c>
      <c r="J910" s="18">
        <f>IF((OR(tbal[[#This Row],[X]]=2,tbal[[#This Row],[X]]=3)),tbal[[#This Row],[ACREEDOR]],0)</f>
        <v>0</v>
      </c>
      <c r="K910" s="16">
        <f>IF((OR(tbal[[#This Row],[X]]=3,tbal[[#This Row],[X]]=5)),tbal[[#This Row],[DEUDOR]],0)</f>
        <v>0</v>
      </c>
      <c r="L910" s="18">
        <f>IF((OR(tbal[[#This Row],[X]]=3,tbal[[#This Row],[X]]=4)),tbal[[#This Row],[ACREEDOR]],0)</f>
        <v>0</v>
      </c>
      <c r="M910" s="16">
        <f>IF((OR(tbal[[#This Row],[X]]=0,tbal[[#This Row],[X]]=6)),tbal[[#This Row],[DEUDOR]],0)</f>
        <v>0</v>
      </c>
      <c r="N910" s="18">
        <f>IF((OR(tbal[[#This Row],[X]]=0,tbal[[#This Row],[X]]=5)),tbal[[#This Row],[ACREEDOR]],0)</f>
        <v>0</v>
      </c>
    </row>
    <row r="911" spans="1:14" hidden="1" x14ac:dyDescent="0.3">
      <c r="A911" s="14">
        <f>+'PLAN DE CUENTAS'!A911</f>
        <v>0</v>
      </c>
      <c r="B911" s="13">
        <f>+'PLAN DE CUENTAS'!B911</f>
        <v>0</v>
      </c>
      <c r="C911" s="13">
        <f>+'PLAN DE CUENTAS'!C911</f>
        <v>0</v>
      </c>
      <c r="D911" t="str">
        <f>IF(tbal[[#This Row],[DEBE]]+tbal[[#This Row],[HABER]]=0,"","X")</f>
        <v/>
      </c>
      <c r="E911" s="16">
        <f>SUMIF(tdiario[CUENTA],tbal[[#This Row],[CUENTA]],tdiario[DEBE])</f>
        <v>0</v>
      </c>
      <c r="F911" s="17">
        <f>SUMIF(tdiario[CUENTA],tbal[[#This Row],[CUENTA]],tdiario[HABER])</f>
        <v>0</v>
      </c>
      <c r="G911" s="16">
        <f>IF(tbal[[#This Row],[DEBE]]-tbal[[#This Row],[HABER]]&gt;0,tbal[[#This Row],[DEBE]]-tbal[[#This Row],[HABER]],0)</f>
        <v>0</v>
      </c>
      <c r="H911" s="18">
        <f>IF(tbal[[#This Row],[HABER]]-tbal[[#This Row],[DEBE]]&gt;0,tbal[[#This Row],[HABER]]-tbal[[#This Row],[DEBE]],0)</f>
        <v>0</v>
      </c>
      <c r="I911" s="16">
        <f>IF((OR(tbal[[#This Row],[X]]=1,tbal[[#This Row],[X]]=2)),tbal[[#This Row],[DEUDOR]],0)</f>
        <v>0</v>
      </c>
      <c r="J911" s="18">
        <f>IF((OR(tbal[[#This Row],[X]]=2,tbal[[#This Row],[X]]=3)),tbal[[#This Row],[ACREEDOR]],0)</f>
        <v>0</v>
      </c>
      <c r="K911" s="16">
        <f>IF((OR(tbal[[#This Row],[X]]=3,tbal[[#This Row],[X]]=5)),tbal[[#This Row],[DEUDOR]],0)</f>
        <v>0</v>
      </c>
      <c r="L911" s="18">
        <f>IF((OR(tbal[[#This Row],[X]]=3,tbal[[#This Row],[X]]=4)),tbal[[#This Row],[ACREEDOR]],0)</f>
        <v>0</v>
      </c>
      <c r="M911" s="16">
        <f>IF((OR(tbal[[#This Row],[X]]=0,tbal[[#This Row],[X]]=6)),tbal[[#This Row],[DEUDOR]],0)</f>
        <v>0</v>
      </c>
      <c r="N911" s="18">
        <f>IF((OR(tbal[[#This Row],[X]]=0,tbal[[#This Row],[X]]=5)),tbal[[#This Row],[ACREEDOR]],0)</f>
        <v>0</v>
      </c>
    </row>
    <row r="912" spans="1:14" hidden="1" x14ac:dyDescent="0.3">
      <c r="A912" s="14">
        <f>+'PLAN DE CUENTAS'!A912</f>
        <v>0</v>
      </c>
      <c r="B912" s="13">
        <f>+'PLAN DE CUENTAS'!B912</f>
        <v>0</v>
      </c>
      <c r="C912" s="13">
        <f>+'PLAN DE CUENTAS'!C912</f>
        <v>0</v>
      </c>
      <c r="D912" t="str">
        <f>IF(tbal[[#This Row],[DEBE]]+tbal[[#This Row],[HABER]]=0,"","X")</f>
        <v/>
      </c>
      <c r="E912" s="16">
        <f>SUMIF(tdiario[CUENTA],tbal[[#This Row],[CUENTA]],tdiario[DEBE])</f>
        <v>0</v>
      </c>
      <c r="F912" s="17">
        <f>SUMIF(tdiario[CUENTA],tbal[[#This Row],[CUENTA]],tdiario[HABER])</f>
        <v>0</v>
      </c>
      <c r="G912" s="16">
        <f>IF(tbal[[#This Row],[DEBE]]-tbal[[#This Row],[HABER]]&gt;0,tbal[[#This Row],[DEBE]]-tbal[[#This Row],[HABER]],0)</f>
        <v>0</v>
      </c>
      <c r="H912" s="18">
        <f>IF(tbal[[#This Row],[HABER]]-tbal[[#This Row],[DEBE]]&gt;0,tbal[[#This Row],[HABER]]-tbal[[#This Row],[DEBE]],0)</f>
        <v>0</v>
      </c>
      <c r="I912" s="16">
        <f>IF((OR(tbal[[#This Row],[X]]=1,tbal[[#This Row],[X]]=2)),tbal[[#This Row],[DEUDOR]],0)</f>
        <v>0</v>
      </c>
      <c r="J912" s="18">
        <f>IF((OR(tbal[[#This Row],[X]]=2,tbal[[#This Row],[X]]=3)),tbal[[#This Row],[ACREEDOR]],0)</f>
        <v>0</v>
      </c>
      <c r="K912" s="16">
        <f>IF((OR(tbal[[#This Row],[X]]=3,tbal[[#This Row],[X]]=5)),tbal[[#This Row],[DEUDOR]],0)</f>
        <v>0</v>
      </c>
      <c r="L912" s="18">
        <f>IF((OR(tbal[[#This Row],[X]]=3,tbal[[#This Row],[X]]=4)),tbal[[#This Row],[ACREEDOR]],0)</f>
        <v>0</v>
      </c>
      <c r="M912" s="16">
        <f>IF((OR(tbal[[#This Row],[X]]=0,tbal[[#This Row],[X]]=6)),tbal[[#This Row],[DEUDOR]],0)</f>
        <v>0</v>
      </c>
      <c r="N912" s="18">
        <f>IF((OR(tbal[[#This Row],[X]]=0,tbal[[#This Row],[X]]=5)),tbal[[#This Row],[ACREEDOR]],0)</f>
        <v>0</v>
      </c>
    </row>
    <row r="913" spans="1:14" hidden="1" x14ac:dyDescent="0.3">
      <c r="A913" s="14">
        <f>+'PLAN DE CUENTAS'!A913</f>
        <v>0</v>
      </c>
      <c r="B913" s="13">
        <f>+'PLAN DE CUENTAS'!B913</f>
        <v>0</v>
      </c>
      <c r="C913" s="13">
        <f>+'PLAN DE CUENTAS'!C913</f>
        <v>0</v>
      </c>
      <c r="D913" t="str">
        <f>IF(tbal[[#This Row],[DEBE]]+tbal[[#This Row],[HABER]]=0,"","X")</f>
        <v/>
      </c>
      <c r="E913" s="16">
        <f>SUMIF(tdiario[CUENTA],tbal[[#This Row],[CUENTA]],tdiario[DEBE])</f>
        <v>0</v>
      </c>
      <c r="F913" s="17">
        <f>SUMIF(tdiario[CUENTA],tbal[[#This Row],[CUENTA]],tdiario[HABER])</f>
        <v>0</v>
      </c>
      <c r="G913" s="16">
        <f>IF(tbal[[#This Row],[DEBE]]-tbal[[#This Row],[HABER]]&gt;0,tbal[[#This Row],[DEBE]]-tbal[[#This Row],[HABER]],0)</f>
        <v>0</v>
      </c>
      <c r="H913" s="18">
        <f>IF(tbal[[#This Row],[HABER]]-tbal[[#This Row],[DEBE]]&gt;0,tbal[[#This Row],[HABER]]-tbal[[#This Row],[DEBE]],0)</f>
        <v>0</v>
      </c>
      <c r="I913" s="16">
        <f>IF((OR(tbal[[#This Row],[X]]=1,tbal[[#This Row],[X]]=2)),tbal[[#This Row],[DEUDOR]],0)</f>
        <v>0</v>
      </c>
      <c r="J913" s="18">
        <f>IF((OR(tbal[[#This Row],[X]]=2,tbal[[#This Row],[X]]=3)),tbal[[#This Row],[ACREEDOR]],0)</f>
        <v>0</v>
      </c>
      <c r="K913" s="16">
        <f>IF((OR(tbal[[#This Row],[X]]=3,tbal[[#This Row],[X]]=5)),tbal[[#This Row],[DEUDOR]],0)</f>
        <v>0</v>
      </c>
      <c r="L913" s="18">
        <f>IF((OR(tbal[[#This Row],[X]]=3,tbal[[#This Row],[X]]=4)),tbal[[#This Row],[ACREEDOR]],0)</f>
        <v>0</v>
      </c>
      <c r="M913" s="16">
        <f>IF((OR(tbal[[#This Row],[X]]=0,tbal[[#This Row],[X]]=6)),tbal[[#This Row],[DEUDOR]],0)</f>
        <v>0</v>
      </c>
      <c r="N913" s="18">
        <f>IF((OR(tbal[[#This Row],[X]]=0,tbal[[#This Row],[X]]=5)),tbal[[#This Row],[ACREEDOR]],0)</f>
        <v>0</v>
      </c>
    </row>
    <row r="914" spans="1:14" hidden="1" x14ac:dyDescent="0.3">
      <c r="A914" s="14">
        <f>+'PLAN DE CUENTAS'!A914</f>
        <v>0</v>
      </c>
      <c r="B914" s="13">
        <f>+'PLAN DE CUENTAS'!B914</f>
        <v>0</v>
      </c>
      <c r="C914" s="13">
        <f>+'PLAN DE CUENTAS'!C914</f>
        <v>0</v>
      </c>
      <c r="D914" t="str">
        <f>IF(tbal[[#This Row],[DEBE]]+tbal[[#This Row],[HABER]]=0,"","X")</f>
        <v/>
      </c>
      <c r="E914" s="16">
        <f>SUMIF(tdiario[CUENTA],tbal[[#This Row],[CUENTA]],tdiario[DEBE])</f>
        <v>0</v>
      </c>
      <c r="F914" s="17">
        <f>SUMIF(tdiario[CUENTA],tbal[[#This Row],[CUENTA]],tdiario[HABER])</f>
        <v>0</v>
      </c>
      <c r="G914" s="16">
        <f>IF(tbal[[#This Row],[DEBE]]-tbal[[#This Row],[HABER]]&gt;0,tbal[[#This Row],[DEBE]]-tbal[[#This Row],[HABER]],0)</f>
        <v>0</v>
      </c>
      <c r="H914" s="18">
        <f>IF(tbal[[#This Row],[HABER]]-tbal[[#This Row],[DEBE]]&gt;0,tbal[[#This Row],[HABER]]-tbal[[#This Row],[DEBE]],0)</f>
        <v>0</v>
      </c>
      <c r="I914" s="16">
        <f>IF((OR(tbal[[#This Row],[X]]=1,tbal[[#This Row],[X]]=2)),tbal[[#This Row],[DEUDOR]],0)</f>
        <v>0</v>
      </c>
      <c r="J914" s="18">
        <f>IF((OR(tbal[[#This Row],[X]]=2,tbal[[#This Row],[X]]=3)),tbal[[#This Row],[ACREEDOR]],0)</f>
        <v>0</v>
      </c>
      <c r="K914" s="16">
        <f>IF((OR(tbal[[#This Row],[X]]=3,tbal[[#This Row],[X]]=5)),tbal[[#This Row],[DEUDOR]],0)</f>
        <v>0</v>
      </c>
      <c r="L914" s="18">
        <f>IF((OR(tbal[[#This Row],[X]]=3,tbal[[#This Row],[X]]=4)),tbal[[#This Row],[ACREEDOR]],0)</f>
        <v>0</v>
      </c>
      <c r="M914" s="16">
        <f>IF((OR(tbal[[#This Row],[X]]=0,tbal[[#This Row],[X]]=6)),tbal[[#This Row],[DEUDOR]],0)</f>
        <v>0</v>
      </c>
      <c r="N914" s="18">
        <f>IF((OR(tbal[[#This Row],[X]]=0,tbal[[#This Row],[X]]=5)),tbal[[#This Row],[ACREEDOR]],0)</f>
        <v>0</v>
      </c>
    </row>
    <row r="915" spans="1:14" hidden="1" x14ac:dyDescent="0.3">
      <c r="A915" s="14">
        <f>+'PLAN DE CUENTAS'!A915</f>
        <v>0</v>
      </c>
      <c r="B915" s="13">
        <f>+'PLAN DE CUENTAS'!B915</f>
        <v>0</v>
      </c>
      <c r="C915" s="13">
        <f>+'PLAN DE CUENTAS'!C915</f>
        <v>0</v>
      </c>
      <c r="D915" t="str">
        <f>IF(tbal[[#This Row],[DEBE]]+tbal[[#This Row],[HABER]]=0,"","X")</f>
        <v/>
      </c>
      <c r="E915" s="16">
        <f>SUMIF(tdiario[CUENTA],tbal[[#This Row],[CUENTA]],tdiario[DEBE])</f>
        <v>0</v>
      </c>
      <c r="F915" s="17">
        <f>SUMIF(tdiario[CUENTA],tbal[[#This Row],[CUENTA]],tdiario[HABER])</f>
        <v>0</v>
      </c>
      <c r="G915" s="16">
        <f>IF(tbal[[#This Row],[DEBE]]-tbal[[#This Row],[HABER]]&gt;0,tbal[[#This Row],[DEBE]]-tbal[[#This Row],[HABER]],0)</f>
        <v>0</v>
      </c>
      <c r="H915" s="18">
        <f>IF(tbal[[#This Row],[HABER]]-tbal[[#This Row],[DEBE]]&gt;0,tbal[[#This Row],[HABER]]-tbal[[#This Row],[DEBE]],0)</f>
        <v>0</v>
      </c>
      <c r="I915" s="16">
        <f>IF((OR(tbal[[#This Row],[X]]=1,tbal[[#This Row],[X]]=2)),tbal[[#This Row],[DEUDOR]],0)</f>
        <v>0</v>
      </c>
      <c r="J915" s="18">
        <f>IF((OR(tbal[[#This Row],[X]]=2,tbal[[#This Row],[X]]=3)),tbal[[#This Row],[ACREEDOR]],0)</f>
        <v>0</v>
      </c>
      <c r="K915" s="16">
        <f>IF((OR(tbal[[#This Row],[X]]=3,tbal[[#This Row],[X]]=5)),tbal[[#This Row],[DEUDOR]],0)</f>
        <v>0</v>
      </c>
      <c r="L915" s="18">
        <f>IF((OR(tbal[[#This Row],[X]]=3,tbal[[#This Row],[X]]=4)),tbal[[#This Row],[ACREEDOR]],0)</f>
        <v>0</v>
      </c>
      <c r="M915" s="16">
        <f>IF((OR(tbal[[#This Row],[X]]=0,tbal[[#This Row],[X]]=6)),tbal[[#This Row],[DEUDOR]],0)</f>
        <v>0</v>
      </c>
      <c r="N915" s="18">
        <f>IF((OR(tbal[[#This Row],[X]]=0,tbal[[#This Row],[X]]=5)),tbal[[#This Row],[ACREEDOR]],0)</f>
        <v>0</v>
      </c>
    </row>
    <row r="916" spans="1:14" hidden="1" x14ac:dyDescent="0.3">
      <c r="A916" s="14">
        <f>+'PLAN DE CUENTAS'!A916</f>
        <v>0</v>
      </c>
      <c r="B916" s="13">
        <f>+'PLAN DE CUENTAS'!B916</f>
        <v>0</v>
      </c>
      <c r="C916" s="13">
        <f>+'PLAN DE CUENTAS'!C916</f>
        <v>0</v>
      </c>
      <c r="D916" t="str">
        <f>IF(tbal[[#This Row],[DEBE]]+tbal[[#This Row],[HABER]]=0,"","X")</f>
        <v/>
      </c>
      <c r="E916" s="16">
        <f>SUMIF(tdiario[CUENTA],tbal[[#This Row],[CUENTA]],tdiario[DEBE])</f>
        <v>0</v>
      </c>
      <c r="F916" s="17">
        <f>SUMIF(tdiario[CUENTA],tbal[[#This Row],[CUENTA]],tdiario[HABER])</f>
        <v>0</v>
      </c>
      <c r="G916" s="16">
        <f>IF(tbal[[#This Row],[DEBE]]-tbal[[#This Row],[HABER]]&gt;0,tbal[[#This Row],[DEBE]]-tbal[[#This Row],[HABER]],0)</f>
        <v>0</v>
      </c>
      <c r="H916" s="18">
        <f>IF(tbal[[#This Row],[HABER]]-tbal[[#This Row],[DEBE]]&gt;0,tbal[[#This Row],[HABER]]-tbal[[#This Row],[DEBE]],0)</f>
        <v>0</v>
      </c>
      <c r="I916" s="16">
        <f>IF((OR(tbal[[#This Row],[X]]=1,tbal[[#This Row],[X]]=2)),tbal[[#This Row],[DEUDOR]],0)</f>
        <v>0</v>
      </c>
      <c r="J916" s="18">
        <f>IF((OR(tbal[[#This Row],[X]]=2,tbal[[#This Row],[X]]=3)),tbal[[#This Row],[ACREEDOR]],0)</f>
        <v>0</v>
      </c>
      <c r="K916" s="16">
        <f>IF((OR(tbal[[#This Row],[X]]=3,tbal[[#This Row],[X]]=5)),tbal[[#This Row],[DEUDOR]],0)</f>
        <v>0</v>
      </c>
      <c r="L916" s="18">
        <f>IF((OR(tbal[[#This Row],[X]]=3,tbal[[#This Row],[X]]=4)),tbal[[#This Row],[ACREEDOR]],0)</f>
        <v>0</v>
      </c>
      <c r="M916" s="16">
        <f>IF((OR(tbal[[#This Row],[X]]=0,tbal[[#This Row],[X]]=6)),tbal[[#This Row],[DEUDOR]],0)</f>
        <v>0</v>
      </c>
      <c r="N916" s="18">
        <f>IF((OR(tbal[[#This Row],[X]]=0,tbal[[#This Row],[X]]=5)),tbal[[#This Row],[ACREEDOR]],0)</f>
        <v>0</v>
      </c>
    </row>
    <row r="917" spans="1:14" hidden="1" x14ac:dyDescent="0.3">
      <c r="A917" s="14">
        <f>+'PLAN DE CUENTAS'!A917</f>
        <v>0</v>
      </c>
      <c r="B917" s="13">
        <f>+'PLAN DE CUENTAS'!B917</f>
        <v>0</v>
      </c>
      <c r="C917" s="13">
        <f>+'PLAN DE CUENTAS'!C917</f>
        <v>0</v>
      </c>
      <c r="D917" t="str">
        <f>IF(tbal[[#This Row],[DEBE]]+tbal[[#This Row],[HABER]]=0,"","X")</f>
        <v/>
      </c>
      <c r="E917" s="16">
        <f>SUMIF(tdiario[CUENTA],tbal[[#This Row],[CUENTA]],tdiario[DEBE])</f>
        <v>0</v>
      </c>
      <c r="F917" s="17">
        <f>SUMIF(tdiario[CUENTA],tbal[[#This Row],[CUENTA]],tdiario[HABER])</f>
        <v>0</v>
      </c>
      <c r="G917" s="16">
        <f>IF(tbal[[#This Row],[DEBE]]-tbal[[#This Row],[HABER]]&gt;0,tbal[[#This Row],[DEBE]]-tbal[[#This Row],[HABER]],0)</f>
        <v>0</v>
      </c>
      <c r="H917" s="18">
        <f>IF(tbal[[#This Row],[HABER]]-tbal[[#This Row],[DEBE]]&gt;0,tbal[[#This Row],[HABER]]-tbal[[#This Row],[DEBE]],0)</f>
        <v>0</v>
      </c>
      <c r="I917" s="16">
        <f>IF((OR(tbal[[#This Row],[X]]=1,tbal[[#This Row],[X]]=2)),tbal[[#This Row],[DEUDOR]],0)</f>
        <v>0</v>
      </c>
      <c r="J917" s="18">
        <f>IF((OR(tbal[[#This Row],[X]]=2,tbal[[#This Row],[X]]=3)),tbal[[#This Row],[ACREEDOR]],0)</f>
        <v>0</v>
      </c>
      <c r="K917" s="16">
        <f>IF((OR(tbal[[#This Row],[X]]=3,tbal[[#This Row],[X]]=5)),tbal[[#This Row],[DEUDOR]],0)</f>
        <v>0</v>
      </c>
      <c r="L917" s="18">
        <f>IF((OR(tbal[[#This Row],[X]]=3,tbal[[#This Row],[X]]=4)),tbal[[#This Row],[ACREEDOR]],0)</f>
        <v>0</v>
      </c>
      <c r="M917" s="16">
        <f>IF((OR(tbal[[#This Row],[X]]=0,tbal[[#This Row],[X]]=6)),tbal[[#This Row],[DEUDOR]],0)</f>
        <v>0</v>
      </c>
      <c r="N917" s="18">
        <f>IF((OR(tbal[[#This Row],[X]]=0,tbal[[#This Row],[X]]=5)),tbal[[#This Row],[ACREEDOR]],0)</f>
        <v>0</v>
      </c>
    </row>
    <row r="918" spans="1:14" hidden="1" x14ac:dyDescent="0.3">
      <c r="A918" s="14">
        <f>+'PLAN DE CUENTAS'!A918</f>
        <v>0</v>
      </c>
      <c r="B918" s="13">
        <f>+'PLAN DE CUENTAS'!B918</f>
        <v>0</v>
      </c>
      <c r="C918" s="13">
        <f>+'PLAN DE CUENTAS'!C918</f>
        <v>0</v>
      </c>
      <c r="D918" t="str">
        <f>IF(tbal[[#This Row],[DEBE]]+tbal[[#This Row],[HABER]]=0,"","X")</f>
        <v/>
      </c>
      <c r="E918" s="16">
        <f>SUMIF(tdiario[CUENTA],tbal[[#This Row],[CUENTA]],tdiario[DEBE])</f>
        <v>0</v>
      </c>
      <c r="F918" s="17">
        <f>SUMIF(tdiario[CUENTA],tbal[[#This Row],[CUENTA]],tdiario[HABER])</f>
        <v>0</v>
      </c>
      <c r="G918" s="16">
        <f>IF(tbal[[#This Row],[DEBE]]-tbal[[#This Row],[HABER]]&gt;0,tbal[[#This Row],[DEBE]]-tbal[[#This Row],[HABER]],0)</f>
        <v>0</v>
      </c>
      <c r="H918" s="18">
        <f>IF(tbal[[#This Row],[HABER]]-tbal[[#This Row],[DEBE]]&gt;0,tbal[[#This Row],[HABER]]-tbal[[#This Row],[DEBE]],0)</f>
        <v>0</v>
      </c>
      <c r="I918" s="16">
        <f>IF((OR(tbal[[#This Row],[X]]=1,tbal[[#This Row],[X]]=2)),tbal[[#This Row],[DEUDOR]],0)</f>
        <v>0</v>
      </c>
      <c r="J918" s="18">
        <f>IF((OR(tbal[[#This Row],[X]]=2,tbal[[#This Row],[X]]=3)),tbal[[#This Row],[ACREEDOR]],0)</f>
        <v>0</v>
      </c>
      <c r="K918" s="16">
        <f>IF((OR(tbal[[#This Row],[X]]=3,tbal[[#This Row],[X]]=5)),tbal[[#This Row],[DEUDOR]],0)</f>
        <v>0</v>
      </c>
      <c r="L918" s="18">
        <f>IF((OR(tbal[[#This Row],[X]]=3,tbal[[#This Row],[X]]=4)),tbal[[#This Row],[ACREEDOR]],0)</f>
        <v>0</v>
      </c>
      <c r="M918" s="16">
        <f>IF((OR(tbal[[#This Row],[X]]=0,tbal[[#This Row],[X]]=6)),tbal[[#This Row],[DEUDOR]],0)</f>
        <v>0</v>
      </c>
      <c r="N918" s="18">
        <f>IF((OR(tbal[[#This Row],[X]]=0,tbal[[#This Row],[X]]=5)),tbal[[#This Row],[ACREEDOR]],0)</f>
        <v>0</v>
      </c>
    </row>
    <row r="919" spans="1:14" hidden="1" x14ac:dyDescent="0.3">
      <c r="A919" s="14">
        <f>+'PLAN DE CUENTAS'!A919</f>
        <v>0</v>
      </c>
      <c r="B919" s="13">
        <f>+'PLAN DE CUENTAS'!B919</f>
        <v>0</v>
      </c>
      <c r="C919" s="13">
        <f>+'PLAN DE CUENTAS'!C919</f>
        <v>0</v>
      </c>
      <c r="D919" t="str">
        <f>IF(tbal[[#This Row],[DEBE]]+tbal[[#This Row],[HABER]]=0,"","X")</f>
        <v/>
      </c>
      <c r="E919" s="16">
        <f>SUMIF(tdiario[CUENTA],tbal[[#This Row],[CUENTA]],tdiario[DEBE])</f>
        <v>0</v>
      </c>
      <c r="F919" s="17">
        <f>SUMIF(tdiario[CUENTA],tbal[[#This Row],[CUENTA]],tdiario[HABER])</f>
        <v>0</v>
      </c>
      <c r="G919" s="16">
        <f>IF(tbal[[#This Row],[DEBE]]-tbal[[#This Row],[HABER]]&gt;0,tbal[[#This Row],[DEBE]]-tbal[[#This Row],[HABER]],0)</f>
        <v>0</v>
      </c>
      <c r="H919" s="18">
        <f>IF(tbal[[#This Row],[HABER]]-tbal[[#This Row],[DEBE]]&gt;0,tbal[[#This Row],[HABER]]-tbal[[#This Row],[DEBE]],0)</f>
        <v>0</v>
      </c>
      <c r="I919" s="16">
        <f>IF((OR(tbal[[#This Row],[X]]=1,tbal[[#This Row],[X]]=2)),tbal[[#This Row],[DEUDOR]],0)</f>
        <v>0</v>
      </c>
      <c r="J919" s="18">
        <f>IF((OR(tbal[[#This Row],[X]]=2,tbal[[#This Row],[X]]=3)),tbal[[#This Row],[ACREEDOR]],0)</f>
        <v>0</v>
      </c>
      <c r="K919" s="16">
        <f>IF((OR(tbal[[#This Row],[X]]=3,tbal[[#This Row],[X]]=5)),tbal[[#This Row],[DEUDOR]],0)</f>
        <v>0</v>
      </c>
      <c r="L919" s="18">
        <f>IF((OR(tbal[[#This Row],[X]]=3,tbal[[#This Row],[X]]=4)),tbal[[#This Row],[ACREEDOR]],0)</f>
        <v>0</v>
      </c>
      <c r="M919" s="16">
        <f>IF((OR(tbal[[#This Row],[X]]=0,tbal[[#This Row],[X]]=6)),tbal[[#This Row],[DEUDOR]],0)</f>
        <v>0</v>
      </c>
      <c r="N919" s="18">
        <f>IF((OR(tbal[[#This Row],[X]]=0,tbal[[#This Row],[X]]=5)),tbal[[#This Row],[ACREEDOR]],0)</f>
        <v>0</v>
      </c>
    </row>
    <row r="920" spans="1:14" hidden="1" x14ac:dyDescent="0.3">
      <c r="A920" s="14">
        <f>+'PLAN DE CUENTAS'!A920</f>
        <v>0</v>
      </c>
      <c r="B920" s="13">
        <f>+'PLAN DE CUENTAS'!B920</f>
        <v>0</v>
      </c>
      <c r="C920" s="13">
        <f>+'PLAN DE CUENTAS'!C920</f>
        <v>0</v>
      </c>
      <c r="D920" t="str">
        <f>IF(tbal[[#This Row],[DEBE]]+tbal[[#This Row],[HABER]]=0,"","X")</f>
        <v/>
      </c>
      <c r="E920" s="16">
        <f>SUMIF(tdiario[CUENTA],tbal[[#This Row],[CUENTA]],tdiario[DEBE])</f>
        <v>0</v>
      </c>
      <c r="F920" s="17">
        <f>SUMIF(tdiario[CUENTA],tbal[[#This Row],[CUENTA]],tdiario[HABER])</f>
        <v>0</v>
      </c>
      <c r="G920" s="16">
        <f>IF(tbal[[#This Row],[DEBE]]-tbal[[#This Row],[HABER]]&gt;0,tbal[[#This Row],[DEBE]]-tbal[[#This Row],[HABER]],0)</f>
        <v>0</v>
      </c>
      <c r="H920" s="18">
        <f>IF(tbal[[#This Row],[HABER]]-tbal[[#This Row],[DEBE]]&gt;0,tbal[[#This Row],[HABER]]-tbal[[#This Row],[DEBE]],0)</f>
        <v>0</v>
      </c>
      <c r="I920" s="16">
        <f>IF((OR(tbal[[#This Row],[X]]=1,tbal[[#This Row],[X]]=2)),tbal[[#This Row],[DEUDOR]],0)</f>
        <v>0</v>
      </c>
      <c r="J920" s="18">
        <f>IF((OR(tbal[[#This Row],[X]]=2,tbal[[#This Row],[X]]=3)),tbal[[#This Row],[ACREEDOR]],0)</f>
        <v>0</v>
      </c>
      <c r="K920" s="16">
        <f>IF((OR(tbal[[#This Row],[X]]=3,tbal[[#This Row],[X]]=5)),tbal[[#This Row],[DEUDOR]],0)</f>
        <v>0</v>
      </c>
      <c r="L920" s="18">
        <f>IF((OR(tbal[[#This Row],[X]]=3,tbal[[#This Row],[X]]=4)),tbal[[#This Row],[ACREEDOR]],0)</f>
        <v>0</v>
      </c>
      <c r="M920" s="16">
        <f>IF((OR(tbal[[#This Row],[X]]=0,tbal[[#This Row],[X]]=6)),tbal[[#This Row],[DEUDOR]],0)</f>
        <v>0</v>
      </c>
      <c r="N920" s="18">
        <f>IF((OR(tbal[[#This Row],[X]]=0,tbal[[#This Row],[X]]=5)),tbal[[#This Row],[ACREEDOR]],0)</f>
        <v>0</v>
      </c>
    </row>
    <row r="921" spans="1:14" hidden="1" x14ac:dyDescent="0.3">
      <c r="A921" s="14">
        <f>+'PLAN DE CUENTAS'!A921</f>
        <v>0</v>
      </c>
      <c r="B921" s="13">
        <f>+'PLAN DE CUENTAS'!B921</f>
        <v>0</v>
      </c>
      <c r="C921" s="13">
        <f>+'PLAN DE CUENTAS'!C921</f>
        <v>0</v>
      </c>
      <c r="D921" t="str">
        <f>IF(tbal[[#This Row],[DEBE]]+tbal[[#This Row],[HABER]]=0,"","X")</f>
        <v/>
      </c>
      <c r="E921" s="16">
        <f>SUMIF(tdiario[CUENTA],tbal[[#This Row],[CUENTA]],tdiario[DEBE])</f>
        <v>0</v>
      </c>
      <c r="F921" s="17">
        <f>SUMIF(tdiario[CUENTA],tbal[[#This Row],[CUENTA]],tdiario[HABER])</f>
        <v>0</v>
      </c>
      <c r="G921" s="16">
        <f>IF(tbal[[#This Row],[DEBE]]-tbal[[#This Row],[HABER]]&gt;0,tbal[[#This Row],[DEBE]]-tbal[[#This Row],[HABER]],0)</f>
        <v>0</v>
      </c>
      <c r="H921" s="18">
        <f>IF(tbal[[#This Row],[HABER]]-tbal[[#This Row],[DEBE]]&gt;0,tbal[[#This Row],[HABER]]-tbal[[#This Row],[DEBE]],0)</f>
        <v>0</v>
      </c>
      <c r="I921" s="16">
        <f>IF((OR(tbal[[#This Row],[X]]=1,tbal[[#This Row],[X]]=2)),tbal[[#This Row],[DEUDOR]],0)</f>
        <v>0</v>
      </c>
      <c r="J921" s="18">
        <f>IF((OR(tbal[[#This Row],[X]]=2,tbal[[#This Row],[X]]=3)),tbal[[#This Row],[ACREEDOR]],0)</f>
        <v>0</v>
      </c>
      <c r="K921" s="16">
        <f>IF((OR(tbal[[#This Row],[X]]=3,tbal[[#This Row],[X]]=5)),tbal[[#This Row],[DEUDOR]],0)</f>
        <v>0</v>
      </c>
      <c r="L921" s="18">
        <f>IF((OR(tbal[[#This Row],[X]]=3,tbal[[#This Row],[X]]=4)),tbal[[#This Row],[ACREEDOR]],0)</f>
        <v>0</v>
      </c>
      <c r="M921" s="16">
        <f>IF((OR(tbal[[#This Row],[X]]=0,tbal[[#This Row],[X]]=6)),tbal[[#This Row],[DEUDOR]],0)</f>
        <v>0</v>
      </c>
      <c r="N921" s="18">
        <f>IF((OR(tbal[[#This Row],[X]]=0,tbal[[#This Row],[X]]=5)),tbal[[#This Row],[ACREEDOR]],0)</f>
        <v>0</v>
      </c>
    </row>
    <row r="922" spans="1:14" hidden="1" x14ac:dyDescent="0.3">
      <c r="A922" s="14">
        <f>+'PLAN DE CUENTAS'!A922</f>
        <v>0</v>
      </c>
      <c r="B922" s="13">
        <f>+'PLAN DE CUENTAS'!B922</f>
        <v>0</v>
      </c>
      <c r="C922" s="13">
        <f>+'PLAN DE CUENTAS'!C922</f>
        <v>0</v>
      </c>
      <c r="D922" t="str">
        <f>IF(tbal[[#This Row],[DEBE]]+tbal[[#This Row],[HABER]]=0,"","X")</f>
        <v/>
      </c>
      <c r="E922" s="16">
        <f>SUMIF(tdiario[CUENTA],tbal[[#This Row],[CUENTA]],tdiario[DEBE])</f>
        <v>0</v>
      </c>
      <c r="F922" s="17">
        <f>SUMIF(tdiario[CUENTA],tbal[[#This Row],[CUENTA]],tdiario[HABER])</f>
        <v>0</v>
      </c>
      <c r="G922" s="16">
        <f>IF(tbal[[#This Row],[DEBE]]-tbal[[#This Row],[HABER]]&gt;0,tbal[[#This Row],[DEBE]]-tbal[[#This Row],[HABER]],0)</f>
        <v>0</v>
      </c>
      <c r="H922" s="18">
        <f>IF(tbal[[#This Row],[HABER]]-tbal[[#This Row],[DEBE]]&gt;0,tbal[[#This Row],[HABER]]-tbal[[#This Row],[DEBE]],0)</f>
        <v>0</v>
      </c>
      <c r="I922" s="16">
        <f>IF((OR(tbal[[#This Row],[X]]=1,tbal[[#This Row],[X]]=2)),tbal[[#This Row],[DEUDOR]],0)</f>
        <v>0</v>
      </c>
      <c r="J922" s="18">
        <f>IF((OR(tbal[[#This Row],[X]]=2,tbal[[#This Row],[X]]=3)),tbal[[#This Row],[ACREEDOR]],0)</f>
        <v>0</v>
      </c>
      <c r="K922" s="16">
        <f>IF((OR(tbal[[#This Row],[X]]=3,tbal[[#This Row],[X]]=5)),tbal[[#This Row],[DEUDOR]],0)</f>
        <v>0</v>
      </c>
      <c r="L922" s="18">
        <f>IF((OR(tbal[[#This Row],[X]]=3,tbal[[#This Row],[X]]=4)),tbal[[#This Row],[ACREEDOR]],0)</f>
        <v>0</v>
      </c>
      <c r="M922" s="16">
        <f>IF((OR(tbal[[#This Row],[X]]=0,tbal[[#This Row],[X]]=6)),tbal[[#This Row],[DEUDOR]],0)</f>
        <v>0</v>
      </c>
      <c r="N922" s="18">
        <f>IF((OR(tbal[[#This Row],[X]]=0,tbal[[#This Row],[X]]=5)),tbal[[#This Row],[ACREEDOR]],0)</f>
        <v>0</v>
      </c>
    </row>
    <row r="923" spans="1:14" hidden="1" x14ac:dyDescent="0.3">
      <c r="A923" s="14">
        <f>+'PLAN DE CUENTAS'!A923</f>
        <v>0</v>
      </c>
      <c r="B923" s="13">
        <f>+'PLAN DE CUENTAS'!B923</f>
        <v>0</v>
      </c>
      <c r="C923" s="13">
        <f>+'PLAN DE CUENTAS'!C923</f>
        <v>0</v>
      </c>
      <c r="D923" t="str">
        <f>IF(tbal[[#This Row],[DEBE]]+tbal[[#This Row],[HABER]]=0,"","X")</f>
        <v/>
      </c>
      <c r="E923" s="16">
        <f>SUMIF(tdiario[CUENTA],tbal[[#This Row],[CUENTA]],tdiario[DEBE])</f>
        <v>0</v>
      </c>
      <c r="F923" s="17">
        <f>SUMIF(tdiario[CUENTA],tbal[[#This Row],[CUENTA]],tdiario[HABER])</f>
        <v>0</v>
      </c>
      <c r="G923" s="16">
        <f>IF(tbal[[#This Row],[DEBE]]-tbal[[#This Row],[HABER]]&gt;0,tbal[[#This Row],[DEBE]]-tbal[[#This Row],[HABER]],0)</f>
        <v>0</v>
      </c>
      <c r="H923" s="18">
        <f>IF(tbal[[#This Row],[HABER]]-tbal[[#This Row],[DEBE]]&gt;0,tbal[[#This Row],[HABER]]-tbal[[#This Row],[DEBE]],0)</f>
        <v>0</v>
      </c>
      <c r="I923" s="16">
        <f>IF((OR(tbal[[#This Row],[X]]=1,tbal[[#This Row],[X]]=2)),tbal[[#This Row],[DEUDOR]],0)</f>
        <v>0</v>
      </c>
      <c r="J923" s="18">
        <f>IF((OR(tbal[[#This Row],[X]]=2,tbal[[#This Row],[X]]=3)),tbal[[#This Row],[ACREEDOR]],0)</f>
        <v>0</v>
      </c>
      <c r="K923" s="16">
        <f>IF((OR(tbal[[#This Row],[X]]=3,tbal[[#This Row],[X]]=5)),tbal[[#This Row],[DEUDOR]],0)</f>
        <v>0</v>
      </c>
      <c r="L923" s="18">
        <f>IF((OR(tbal[[#This Row],[X]]=3,tbal[[#This Row],[X]]=4)),tbal[[#This Row],[ACREEDOR]],0)</f>
        <v>0</v>
      </c>
      <c r="M923" s="16">
        <f>IF((OR(tbal[[#This Row],[X]]=0,tbal[[#This Row],[X]]=6)),tbal[[#This Row],[DEUDOR]],0)</f>
        <v>0</v>
      </c>
      <c r="N923" s="18">
        <f>IF((OR(tbal[[#This Row],[X]]=0,tbal[[#This Row],[X]]=5)),tbal[[#This Row],[ACREEDOR]],0)</f>
        <v>0</v>
      </c>
    </row>
    <row r="924" spans="1:14" hidden="1" x14ac:dyDescent="0.3">
      <c r="A924" s="14">
        <f>+'PLAN DE CUENTAS'!A924</f>
        <v>0</v>
      </c>
      <c r="B924" s="13">
        <f>+'PLAN DE CUENTAS'!B924</f>
        <v>0</v>
      </c>
      <c r="C924" s="13">
        <f>+'PLAN DE CUENTAS'!C924</f>
        <v>0</v>
      </c>
      <c r="D924" t="str">
        <f>IF(tbal[[#This Row],[DEBE]]+tbal[[#This Row],[HABER]]=0,"","X")</f>
        <v/>
      </c>
      <c r="E924" s="16">
        <f>SUMIF(tdiario[CUENTA],tbal[[#This Row],[CUENTA]],tdiario[DEBE])</f>
        <v>0</v>
      </c>
      <c r="F924" s="17">
        <f>SUMIF(tdiario[CUENTA],tbal[[#This Row],[CUENTA]],tdiario[HABER])</f>
        <v>0</v>
      </c>
      <c r="G924" s="16">
        <f>IF(tbal[[#This Row],[DEBE]]-tbal[[#This Row],[HABER]]&gt;0,tbal[[#This Row],[DEBE]]-tbal[[#This Row],[HABER]],0)</f>
        <v>0</v>
      </c>
      <c r="H924" s="18">
        <f>IF(tbal[[#This Row],[HABER]]-tbal[[#This Row],[DEBE]]&gt;0,tbal[[#This Row],[HABER]]-tbal[[#This Row],[DEBE]],0)</f>
        <v>0</v>
      </c>
      <c r="I924" s="16">
        <f>IF((OR(tbal[[#This Row],[X]]=1,tbal[[#This Row],[X]]=2)),tbal[[#This Row],[DEUDOR]],0)</f>
        <v>0</v>
      </c>
      <c r="J924" s="18">
        <f>IF((OR(tbal[[#This Row],[X]]=2,tbal[[#This Row],[X]]=3)),tbal[[#This Row],[ACREEDOR]],0)</f>
        <v>0</v>
      </c>
      <c r="K924" s="16">
        <f>IF((OR(tbal[[#This Row],[X]]=3,tbal[[#This Row],[X]]=5)),tbal[[#This Row],[DEUDOR]],0)</f>
        <v>0</v>
      </c>
      <c r="L924" s="18">
        <f>IF((OR(tbal[[#This Row],[X]]=3,tbal[[#This Row],[X]]=4)),tbal[[#This Row],[ACREEDOR]],0)</f>
        <v>0</v>
      </c>
      <c r="M924" s="16">
        <f>IF((OR(tbal[[#This Row],[X]]=0,tbal[[#This Row],[X]]=6)),tbal[[#This Row],[DEUDOR]],0)</f>
        <v>0</v>
      </c>
      <c r="N924" s="18">
        <f>IF((OR(tbal[[#This Row],[X]]=0,tbal[[#This Row],[X]]=5)),tbal[[#This Row],[ACREEDOR]],0)</f>
        <v>0</v>
      </c>
    </row>
    <row r="925" spans="1:14" hidden="1" x14ac:dyDescent="0.3">
      <c r="A925" s="14">
        <f>+'PLAN DE CUENTAS'!A925</f>
        <v>0</v>
      </c>
      <c r="B925" s="13">
        <f>+'PLAN DE CUENTAS'!B925</f>
        <v>0</v>
      </c>
      <c r="C925" s="13">
        <f>+'PLAN DE CUENTAS'!C925</f>
        <v>0</v>
      </c>
      <c r="D925" t="str">
        <f>IF(tbal[[#This Row],[DEBE]]+tbal[[#This Row],[HABER]]=0,"","X")</f>
        <v/>
      </c>
      <c r="E925" s="16">
        <f>SUMIF(tdiario[CUENTA],tbal[[#This Row],[CUENTA]],tdiario[DEBE])</f>
        <v>0</v>
      </c>
      <c r="F925" s="17">
        <f>SUMIF(tdiario[CUENTA],tbal[[#This Row],[CUENTA]],tdiario[HABER])</f>
        <v>0</v>
      </c>
      <c r="G925" s="16">
        <f>IF(tbal[[#This Row],[DEBE]]-tbal[[#This Row],[HABER]]&gt;0,tbal[[#This Row],[DEBE]]-tbal[[#This Row],[HABER]],0)</f>
        <v>0</v>
      </c>
      <c r="H925" s="18">
        <f>IF(tbal[[#This Row],[HABER]]-tbal[[#This Row],[DEBE]]&gt;0,tbal[[#This Row],[HABER]]-tbal[[#This Row],[DEBE]],0)</f>
        <v>0</v>
      </c>
      <c r="I925" s="16">
        <f>IF((OR(tbal[[#This Row],[X]]=1,tbal[[#This Row],[X]]=2)),tbal[[#This Row],[DEUDOR]],0)</f>
        <v>0</v>
      </c>
      <c r="J925" s="18">
        <f>IF((OR(tbal[[#This Row],[X]]=2,tbal[[#This Row],[X]]=3)),tbal[[#This Row],[ACREEDOR]],0)</f>
        <v>0</v>
      </c>
      <c r="K925" s="16">
        <f>IF((OR(tbal[[#This Row],[X]]=3,tbal[[#This Row],[X]]=5)),tbal[[#This Row],[DEUDOR]],0)</f>
        <v>0</v>
      </c>
      <c r="L925" s="18">
        <f>IF((OR(tbal[[#This Row],[X]]=3,tbal[[#This Row],[X]]=4)),tbal[[#This Row],[ACREEDOR]],0)</f>
        <v>0</v>
      </c>
      <c r="M925" s="16">
        <f>IF((OR(tbal[[#This Row],[X]]=0,tbal[[#This Row],[X]]=6)),tbal[[#This Row],[DEUDOR]],0)</f>
        <v>0</v>
      </c>
      <c r="N925" s="18">
        <f>IF((OR(tbal[[#This Row],[X]]=0,tbal[[#This Row],[X]]=5)),tbal[[#This Row],[ACREEDOR]],0)</f>
        <v>0</v>
      </c>
    </row>
    <row r="926" spans="1:14" hidden="1" x14ac:dyDescent="0.3">
      <c r="A926" s="14">
        <f>+'PLAN DE CUENTAS'!A926</f>
        <v>0</v>
      </c>
      <c r="B926" s="13">
        <f>+'PLAN DE CUENTAS'!B926</f>
        <v>0</v>
      </c>
      <c r="C926" s="13">
        <f>+'PLAN DE CUENTAS'!C926</f>
        <v>0</v>
      </c>
      <c r="D926" t="str">
        <f>IF(tbal[[#This Row],[DEBE]]+tbal[[#This Row],[HABER]]=0,"","X")</f>
        <v/>
      </c>
      <c r="E926" s="16">
        <f>SUMIF(tdiario[CUENTA],tbal[[#This Row],[CUENTA]],tdiario[DEBE])</f>
        <v>0</v>
      </c>
      <c r="F926" s="17">
        <f>SUMIF(tdiario[CUENTA],tbal[[#This Row],[CUENTA]],tdiario[HABER])</f>
        <v>0</v>
      </c>
      <c r="G926" s="16">
        <f>IF(tbal[[#This Row],[DEBE]]-tbal[[#This Row],[HABER]]&gt;0,tbal[[#This Row],[DEBE]]-tbal[[#This Row],[HABER]],0)</f>
        <v>0</v>
      </c>
      <c r="H926" s="18">
        <f>IF(tbal[[#This Row],[HABER]]-tbal[[#This Row],[DEBE]]&gt;0,tbal[[#This Row],[HABER]]-tbal[[#This Row],[DEBE]],0)</f>
        <v>0</v>
      </c>
      <c r="I926" s="16">
        <f>IF((OR(tbal[[#This Row],[X]]=1,tbal[[#This Row],[X]]=2)),tbal[[#This Row],[DEUDOR]],0)</f>
        <v>0</v>
      </c>
      <c r="J926" s="18">
        <f>IF((OR(tbal[[#This Row],[X]]=2,tbal[[#This Row],[X]]=3)),tbal[[#This Row],[ACREEDOR]],0)</f>
        <v>0</v>
      </c>
      <c r="K926" s="16">
        <f>IF((OR(tbal[[#This Row],[X]]=3,tbal[[#This Row],[X]]=5)),tbal[[#This Row],[DEUDOR]],0)</f>
        <v>0</v>
      </c>
      <c r="L926" s="18">
        <f>IF((OR(tbal[[#This Row],[X]]=3,tbal[[#This Row],[X]]=4)),tbal[[#This Row],[ACREEDOR]],0)</f>
        <v>0</v>
      </c>
      <c r="M926" s="16">
        <f>IF((OR(tbal[[#This Row],[X]]=0,tbal[[#This Row],[X]]=6)),tbal[[#This Row],[DEUDOR]],0)</f>
        <v>0</v>
      </c>
      <c r="N926" s="18">
        <f>IF((OR(tbal[[#This Row],[X]]=0,tbal[[#This Row],[X]]=5)),tbal[[#This Row],[ACREEDOR]],0)</f>
        <v>0</v>
      </c>
    </row>
    <row r="927" spans="1:14" hidden="1" x14ac:dyDescent="0.3">
      <c r="A927" s="14">
        <f>+'PLAN DE CUENTAS'!A927</f>
        <v>0</v>
      </c>
      <c r="B927" s="13">
        <f>+'PLAN DE CUENTAS'!B927</f>
        <v>0</v>
      </c>
      <c r="C927" s="13">
        <f>+'PLAN DE CUENTAS'!C927</f>
        <v>0</v>
      </c>
      <c r="D927" t="str">
        <f>IF(tbal[[#This Row],[DEBE]]+tbal[[#This Row],[HABER]]=0,"","X")</f>
        <v/>
      </c>
      <c r="E927" s="16">
        <f>SUMIF(tdiario[CUENTA],tbal[[#This Row],[CUENTA]],tdiario[DEBE])</f>
        <v>0</v>
      </c>
      <c r="F927" s="17">
        <f>SUMIF(tdiario[CUENTA],tbal[[#This Row],[CUENTA]],tdiario[HABER])</f>
        <v>0</v>
      </c>
      <c r="G927" s="16">
        <f>IF(tbal[[#This Row],[DEBE]]-tbal[[#This Row],[HABER]]&gt;0,tbal[[#This Row],[DEBE]]-tbal[[#This Row],[HABER]],0)</f>
        <v>0</v>
      </c>
      <c r="H927" s="18">
        <f>IF(tbal[[#This Row],[HABER]]-tbal[[#This Row],[DEBE]]&gt;0,tbal[[#This Row],[HABER]]-tbal[[#This Row],[DEBE]],0)</f>
        <v>0</v>
      </c>
      <c r="I927" s="16">
        <f>IF((OR(tbal[[#This Row],[X]]=1,tbal[[#This Row],[X]]=2)),tbal[[#This Row],[DEUDOR]],0)</f>
        <v>0</v>
      </c>
      <c r="J927" s="18">
        <f>IF((OR(tbal[[#This Row],[X]]=2,tbal[[#This Row],[X]]=3)),tbal[[#This Row],[ACREEDOR]],0)</f>
        <v>0</v>
      </c>
      <c r="K927" s="16">
        <f>IF((OR(tbal[[#This Row],[X]]=3,tbal[[#This Row],[X]]=5)),tbal[[#This Row],[DEUDOR]],0)</f>
        <v>0</v>
      </c>
      <c r="L927" s="18">
        <f>IF((OR(tbal[[#This Row],[X]]=3,tbal[[#This Row],[X]]=4)),tbal[[#This Row],[ACREEDOR]],0)</f>
        <v>0</v>
      </c>
      <c r="M927" s="16">
        <f>IF((OR(tbal[[#This Row],[X]]=0,tbal[[#This Row],[X]]=6)),tbal[[#This Row],[DEUDOR]],0)</f>
        <v>0</v>
      </c>
      <c r="N927" s="18">
        <f>IF((OR(tbal[[#This Row],[X]]=0,tbal[[#This Row],[X]]=5)),tbal[[#This Row],[ACREEDOR]],0)</f>
        <v>0</v>
      </c>
    </row>
    <row r="928" spans="1:14" hidden="1" x14ac:dyDescent="0.3">
      <c r="A928" s="14">
        <f>+'PLAN DE CUENTAS'!A928</f>
        <v>0</v>
      </c>
      <c r="B928" s="13">
        <f>+'PLAN DE CUENTAS'!B928</f>
        <v>0</v>
      </c>
      <c r="C928" s="13">
        <f>+'PLAN DE CUENTAS'!C928</f>
        <v>0</v>
      </c>
      <c r="D928" t="str">
        <f>IF(tbal[[#This Row],[DEBE]]+tbal[[#This Row],[HABER]]=0,"","X")</f>
        <v/>
      </c>
      <c r="E928" s="16">
        <f>SUMIF(tdiario[CUENTA],tbal[[#This Row],[CUENTA]],tdiario[DEBE])</f>
        <v>0</v>
      </c>
      <c r="F928" s="17">
        <f>SUMIF(tdiario[CUENTA],tbal[[#This Row],[CUENTA]],tdiario[HABER])</f>
        <v>0</v>
      </c>
      <c r="G928" s="16">
        <f>IF(tbal[[#This Row],[DEBE]]-tbal[[#This Row],[HABER]]&gt;0,tbal[[#This Row],[DEBE]]-tbal[[#This Row],[HABER]],0)</f>
        <v>0</v>
      </c>
      <c r="H928" s="18">
        <f>IF(tbal[[#This Row],[HABER]]-tbal[[#This Row],[DEBE]]&gt;0,tbal[[#This Row],[HABER]]-tbal[[#This Row],[DEBE]],0)</f>
        <v>0</v>
      </c>
      <c r="I928" s="16">
        <f>IF((OR(tbal[[#This Row],[X]]=1,tbal[[#This Row],[X]]=2)),tbal[[#This Row],[DEUDOR]],0)</f>
        <v>0</v>
      </c>
      <c r="J928" s="18">
        <f>IF((OR(tbal[[#This Row],[X]]=2,tbal[[#This Row],[X]]=3)),tbal[[#This Row],[ACREEDOR]],0)</f>
        <v>0</v>
      </c>
      <c r="K928" s="16">
        <f>IF((OR(tbal[[#This Row],[X]]=3,tbal[[#This Row],[X]]=5)),tbal[[#This Row],[DEUDOR]],0)</f>
        <v>0</v>
      </c>
      <c r="L928" s="18">
        <f>IF((OR(tbal[[#This Row],[X]]=3,tbal[[#This Row],[X]]=4)),tbal[[#This Row],[ACREEDOR]],0)</f>
        <v>0</v>
      </c>
      <c r="M928" s="16">
        <f>IF((OR(tbal[[#This Row],[X]]=0,tbal[[#This Row],[X]]=6)),tbal[[#This Row],[DEUDOR]],0)</f>
        <v>0</v>
      </c>
      <c r="N928" s="18">
        <f>IF((OR(tbal[[#This Row],[X]]=0,tbal[[#This Row],[X]]=5)),tbal[[#This Row],[ACREEDOR]],0)</f>
        <v>0</v>
      </c>
    </row>
    <row r="929" spans="1:14" hidden="1" x14ac:dyDescent="0.3">
      <c r="A929" s="14">
        <f>+'PLAN DE CUENTAS'!A929</f>
        <v>0</v>
      </c>
      <c r="B929" s="13">
        <f>+'PLAN DE CUENTAS'!B929</f>
        <v>0</v>
      </c>
      <c r="C929" s="13">
        <f>+'PLAN DE CUENTAS'!C929</f>
        <v>0</v>
      </c>
      <c r="D929" t="str">
        <f>IF(tbal[[#This Row],[DEBE]]+tbal[[#This Row],[HABER]]=0,"","X")</f>
        <v/>
      </c>
      <c r="E929" s="16">
        <f>SUMIF(tdiario[CUENTA],tbal[[#This Row],[CUENTA]],tdiario[DEBE])</f>
        <v>0</v>
      </c>
      <c r="F929" s="17">
        <f>SUMIF(tdiario[CUENTA],tbal[[#This Row],[CUENTA]],tdiario[HABER])</f>
        <v>0</v>
      </c>
      <c r="G929" s="16">
        <f>IF(tbal[[#This Row],[DEBE]]-tbal[[#This Row],[HABER]]&gt;0,tbal[[#This Row],[DEBE]]-tbal[[#This Row],[HABER]],0)</f>
        <v>0</v>
      </c>
      <c r="H929" s="18">
        <f>IF(tbal[[#This Row],[HABER]]-tbal[[#This Row],[DEBE]]&gt;0,tbal[[#This Row],[HABER]]-tbal[[#This Row],[DEBE]],0)</f>
        <v>0</v>
      </c>
      <c r="I929" s="16">
        <f>IF((OR(tbal[[#This Row],[X]]=1,tbal[[#This Row],[X]]=2)),tbal[[#This Row],[DEUDOR]],0)</f>
        <v>0</v>
      </c>
      <c r="J929" s="18">
        <f>IF((OR(tbal[[#This Row],[X]]=2,tbal[[#This Row],[X]]=3)),tbal[[#This Row],[ACREEDOR]],0)</f>
        <v>0</v>
      </c>
      <c r="K929" s="16">
        <f>IF((OR(tbal[[#This Row],[X]]=3,tbal[[#This Row],[X]]=5)),tbal[[#This Row],[DEUDOR]],0)</f>
        <v>0</v>
      </c>
      <c r="L929" s="18">
        <f>IF((OR(tbal[[#This Row],[X]]=3,tbal[[#This Row],[X]]=4)),tbal[[#This Row],[ACREEDOR]],0)</f>
        <v>0</v>
      </c>
      <c r="M929" s="16">
        <f>IF((OR(tbal[[#This Row],[X]]=0,tbal[[#This Row],[X]]=6)),tbal[[#This Row],[DEUDOR]],0)</f>
        <v>0</v>
      </c>
      <c r="N929" s="18">
        <f>IF((OR(tbal[[#This Row],[X]]=0,tbal[[#This Row],[X]]=5)),tbal[[#This Row],[ACREEDOR]],0)</f>
        <v>0</v>
      </c>
    </row>
    <row r="930" spans="1:14" hidden="1" x14ac:dyDescent="0.3">
      <c r="A930" s="14">
        <f>+'PLAN DE CUENTAS'!A930</f>
        <v>0</v>
      </c>
      <c r="B930" s="13">
        <f>+'PLAN DE CUENTAS'!B930</f>
        <v>0</v>
      </c>
      <c r="C930" s="13">
        <f>+'PLAN DE CUENTAS'!C930</f>
        <v>0</v>
      </c>
      <c r="D930" t="str">
        <f>IF(tbal[[#This Row],[DEBE]]+tbal[[#This Row],[HABER]]=0,"","X")</f>
        <v/>
      </c>
      <c r="E930" s="16">
        <f>SUMIF(tdiario[CUENTA],tbal[[#This Row],[CUENTA]],tdiario[DEBE])</f>
        <v>0</v>
      </c>
      <c r="F930" s="17">
        <f>SUMIF(tdiario[CUENTA],tbal[[#This Row],[CUENTA]],tdiario[HABER])</f>
        <v>0</v>
      </c>
      <c r="G930" s="16">
        <f>IF(tbal[[#This Row],[DEBE]]-tbal[[#This Row],[HABER]]&gt;0,tbal[[#This Row],[DEBE]]-tbal[[#This Row],[HABER]],0)</f>
        <v>0</v>
      </c>
      <c r="H930" s="18">
        <f>IF(tbal[[#This Row],[HABER]]-tbal[[#This Row],[DEBE]]&gt;0,tbal[[#This Row],[HABER]]-tbal[[#This Row],[DEBE]],0)</f>
        <v>0</v>
      </c>
      <c r="I930" s="16">
        <f>IF((OR(tbal[[#This Row],[X]]=1,tbal[[#This Row],[X]]=2)),tbal[[#This Row],[DEUDOR]],0)</f>
        <v>0</v>
      </c>
      <c r="J930" s="18">
        <f>IF((OR(tbal[[#This Row],[X]]=2,tbal[[#This Row],[X]]=3)),tbal[[#This Row],[ACREEDOR]],0)</f>
        <v>0</v>
      </c>
      <c r="K930" s="16">
        <f>IF((OR(tbal[[#This Row],[X]]=3,tbal[[#This Row],[X]]=5)),tbal[[#This Row],[DEUDOR]],0)</f>
        <v>0</v>
      </c>
      <c r="L930" s="18">
        <f>IF((OR(tbal[[#This Row],[X]]=3,tbal[[#This Row],[X]]=4)),tbal[[#This Row],[ACREEDOR]],0)</f>
        <v>0</v>
      </c>
      <c r="M930" s="16">
        <f>IF((OR(tbal[[#This Row],[X]]=0,tbal[[#This Row],[X]]=6)),tbal[[#This Row],[DEUDOR]],0)</f>
        <v>0</v>
      </c>
      <c r="N930" s="18">
        <f>IF((OR(tbal[[#This Row],[X]]=0,tbal[[#This Row],[X]]=5)),tbal[[#This Row],[ACREEDOR]],0)</f>
        <v>0</v>
      </c>
    </row>
    <row r="931" spans="1:14" hidden="1" x14ac:dyDescent="0.3">
      <c r="A931" s="14">
        <f>+'PLAN DE CUENTAS'!A931</f>
        <v>0</v>
      </c>
      <c r="B931" s="13">
        <f>+'PLAN DE CUENTAS'!B931</f>
        <v>0</v>
      </c>
      <c r="C931" s="13">
        <f>+'PLAN DE CUENTAS'!C931</f>
        <v>0</v>
      </c>
      <c r="D931" t="str">
        <f>IF(tbal[[#This Row],[DEBE]]+tbal[[#This Row],[HABER]]=0,"","X")</f>
        <v/>
      </c>
      <c r="E931" s="16">
        <f>SUMIF(tdiario[CUENTA],tbal[[#This Row],[CUENTA]],tdiario[DEBE])</f>
        <v>0</v>
      </c>
      <c r="F931" s="17">
        <f>SUMIF(tdiario[CUENTA],tbal[[#This Row],[CUENTA]],tdiario[HABER])</f>
        <v>0</v>
      </c>
      <c r="G931" s="16">
        <f>IF(tbal[[#This Row],[DEBE]]-tbal[[#This Row],[HABER]]&gt;0,tbal[[#This Row],[DEBE]]-tbal[[#This Row],[HABER]],0)</f>
        <v>0</v>
      </c>
      <c r="H931" s="18">
        <f>IF(tbal[[#This Row],[HABER]]-tbal[[#This Row],[DEBE]]&gt;0,tbal[[#This Row],[HABER]]-tbal[[#This Row],[DEBE]],0)</f>
        <v>0</v>
      </c>
      <c r="I931" s="16">
        <f>IF((OR(tbal[[#This Row],[X]]=1,tbal[[#This Row],[X]]=2)),tbal[[#This Row],[DEUDOR]],0)</f>
        <v>0</v>
      </c>
      <c r="J931" s="18">
        <f>IF((OR(tbal[[#This Row],[X]]=2,tbal[[#This Row],[X]]=3)),tbal[[#This Row],[ACREEDOR]],0)</f>
        <v>0</v>
      </c>
      <c r="K931" s="16">
        <f>IF((OR(tbal[[#This Row],[X]]=3,tbal[[#This Row],[X]]=5)),tbal[[#This Row],[DEUDOR]],0)</f>
        <v>0</v>
      </c>
      <c r="L931" s="18">
        <f>IF((OR(tbal[[#This Row],[X]]=3,tbal[[#This Row],[X]]=4)),tbal[[#This Row],[ACREEDOR]],0)</f>
        <v>0</v>
      </c>
      <c r="M931" s="16">
        <f>IF((OR(tbal[[#This Row],[X]]=0,tbal[[#This Row],[X]]=6)),tbal[[#This Row],[DEUDOR]],0)</f>
        <v>0</v>
      </c>
      <c r="N931" s="18">
        <f>IF((OR(tbal[[#This Row],[X]]=0,tbal[[#This Row],[X]]=5)),tbal[[#This Row],[ACREEDOR]],0)</f>
        <v>0</v>
      </c>
    </row>
    <row r="932" spans="1:14" hidden="1" x14ac:dyDescent="0.3">
      <c r="A932" s="14">
        <f>+'PLAN DE CUENTAS'!A932</f>
        <v>0</v>
      </c>
      <c r="B932" s="13">
        <f>+'PLAN DE CUENTAS'!B932</f>
        <v>0</v>
      </c>
      <c r="C932" s="13">
        <f>+'PLAN DE CUENTAS'!C932</f>
        <v>0</v>
      </c>
      <c r="D932" t="str">
        <f>IF(tbal[[#This Row],[DEBE]]+tbal[[#This Row],[HABER]]=0,"","X")</f>
        <v/>
      </c>
      <c r="E932" s="16">
        <f>SUMIF(tdiario[CUENTA],tbal[[#This Row],[CUENTA]],tdiario[DEBE])</f>
        <v>0</v>
      </c>
      <c r="F932" s="17">
        <f>SUMIF(tdiario[CUENTA],tbal[[#This Row],[CUENTA]],tdiario[HABER])</f>
        <v>0</v>
      </c>
      <c r="G932" s="16">
        <f>IF(tbal[[#This Row],[DEBE]]-tbal[[#This Row],[HABER]]&gt;0,tbal[[#This Row],[DEBE]]-tbal[[#This Row],[HABER]],0)</f>
        <v>0</v>
      </c>
      <c r="H932" s="18">
        <f>IF(tbal[[#This Row],[HABER]]-tbal[[#This Row],[DEBE]]&gt;0,tbal[[#This Row],[HABER]]-tbal[[#This Row],[DEBE]],0)</f>
        <v>0</v>
      </c>
      <c r="I932" s="16">
        <f>IF((OR(tbal[[#This Row],[X]]=1,tbal[[#This Row],[X]]=2)),tbal[[#This Row],[DEUDOR]],0)</f>
        <v>0</v>
      </c>
      <c r="J932" s="18">
        <f>IF((OR(tbal[[#This Row],[X]]=2,tbal[[#This Row],[X]]=3)),tbal[[#This Row],[ACREEDOR]],0)</f>
        <v>0</v>
      </c>
      <c r="K932" s="16">
        <f>IF((OR(tbal[[#This Row],[X]]=3,tbal[[#This Row],[X]]=5)),tbal[[#This Row],[DEUDOR]],0)</f>
        <v>0</v>
      </c>
      <c r="L932" s="18">
        <f>IF((OR(tbal[[#This Row],[X]]=3,tbal[[#This Row],[X]]=4)),tbal[[#This Row],[ACREEDOR]],0)</f>
        <v>0</v>
      </c>
      <c r="M932" s="16">
        <f>IF((OR(tbal[[#This Row],[X]]=0,tbal[[#This Row],[X]]=6)),tbal[[#This Row],[DEUDOR]],0)</f>
        <v>0</v>
      </c>
      <c r="N932" s="18">
        <f>IF((OR(tbal[[#This Row],[X]]=0,tbal[[#This Row],[X]]=5)),tbal[[#This Row],[ACREEDOR]],0)</f>
        <v>0</v>
      </c>
    </row>
    <row r="933" spans="1:14" hidden="1" x14ac:dyDescent="0.3">
      <c r="A933" s="14">
        <f>+'PLAN DE CUENTAS'!A933</f>
        <v>0</v>
      </c>
      <c r="B933" s="13">
        <f>+'PLAN DE CUENTAS'!B933</f>
        <v>0</v>
      </c>
      <c r="C933" s="13">
        <f>+'PLAN DE CUENTAS'!C933</f>
        <v>0</v>
      </c>
      <c r="D933" t="str">
        <f>IF(tbal[[#This Row],[DEBE]]+tbal[[#This Row],[HABER]]=0,"","X")</f>
        <v/>
      </c>
      <c r="E933" s="16">
        <f>SUMIF(tdiario[CUENTA],tbal[[#This Row],[CUENTA]],tdiario[DEBE])</f>
        <v>0</v>
      </c>
      <c r="F933" s="17">
        <f>SUMIF(tdiario[CUENTA],tbal[[#This Row],[CUENTA]],tdiario[HABER])</f>
        <v>0</v>
      </c>
      <c r="G933" s="16">
        <f>IF(tbal[[#This Row],[DEBE]]-tbal[[#This Row],[HABER]]&gt;0,tbal[[#This Row],[DEBE]]-tbal[[#This Row],[HABER]],0)</f>
        <v>0</v>
      </c>
      <c r="H933" s="18">
        <f>IF(tbal[[#This Row],[HABER]]-tbal[[#This Row],[DEBE]]&gt;0,tbal[[#This Row],[HABER]]-tbal[[#This Row],[DEBE]],0)</f>
        <v>0</v>
      </c>
      <c r="I933" s="16">
        <f>IF((OR(tbal[[#This Row],[X]]=1,tbal[[#This Row],[X]]=2)),tbal[[#This Row],[DEUDOR]],0)</f>
        <v>0</v>
      </c>
      <c r="J933" s="18">
        <f>IF((OR(tbal[[#This Row],[X]]=2,tbal[[#This Row],[X]]=3)),tbal[[#This Row],[ACREEDOR]],0)</f>
        <v>0</v>
      </c>
      <c r="K933" s="16">
        <f>IF((OR(tbal[[#This Row],[X]]=3,tbal[[#This Row],[X]]=5)),tbal[[#This Row],[DEUDOR]],0)</f>
        <v>0</v>
      </c>
      <c r="L933" s="18">
        <f>IF((OR(tbal[[#This Row],[X]]=3,tbal[[#This Row],[X]]=4)),tbal[[#This Row],[ACREEDOR]],0)</f>
        <v>0</v>
      </c>
      <c r="M933" s="16">
        <f>IF((OR(tbal[[#This Row],[X]]=0,tbal[[#This Row],[X]]=6)),tbal[[#This Row],[DEUDOR]],0)</f>
        <v>0</v>
      </c>
      <c r="N933" s="18">
        <f>IF((OR(tbal[[#This Row],[X]]=0,tbal[[#This Row],[X]]=5)),tbal[[#This Row],[ACREEDOR]],0)</f>
        <v>0</v>
      </c>
    </row>
    <row r="934" spans="1:14" hidden="1" x14ac:dyDescent="0.3">
      <c r="A934" s="14">
        <f>+'PLAN DE CUENTAS'!A934</f>
        <v>0</v>
      </c>
      <c r="B934" s="13">
        <f>+'PLAN DE CUENTAS'!B934</f>
        <v>0</v>
      </c>
      <c r="C934" s="13">
        <f>+'PLAN DE CUENTAS'!C934</f>
        <v>0</v>
      </c>
      <c r="D934" t="str">
        <f>IF(tbal[[#This Row],[DEBE]]+tbal[[#This Row],[HABER]]=0,"","X")</f>
        <v/>
      </c>
      <c r="E934" s="16">
        <f>SUMIF(tdiario[CUENTA],tbal[[#This Row],[CUENTA]],tdiario[DEBE])</f>
        <v>0</v>
      </c>
      <c r="F934" s="17">
        <f>SUMIF(tdiario[CUENTA],tbal[[#This Row],[CUENTA]],tdiario[HABER])</f>
        <v>0</v>
      </c>
      <c r="G934" s="16">
        <f>IF(tbal[[#This Row],[DEBE]]-tbal[[#This Row],[HABER]]&gt;0,tbal[[#This Row],[DEBE]]-tbal[[#This Row],[HABER]],0)</f>
        <v>0</v>
      </c>
      <c r="H934" s="18">
        <f>IF(tbal[[#This Row],[HABER]]-tbal[[#This Row],[DEBE]]&gt;0,tbal[[#This Row],[HABER]]-tbal[[#This Row],[DEBE]],0)</f>
        <v>0</v>
      </c>
      <c r="I934" s="16">
        <f>IF((OR(tbal[[#This Row],[X]]=1,tbal[[#This Row],[X]]=2)),tbal[[#This Row],[DEUDOR]],0)</f>
        <v>0</v>
      </c>
      <c r="J934" s="18">
        <f>IF((OR(tbal[[#This Row],[X]]=2,tbal[[#This Row],[X]]=3)),tbal[[#This Row],[ACREEDOR]],0)</f>
        <v>0</v>
      </c>
      <c r="K934" s="16">
        <f>IF((OR(tbal[[#This Row],[X]]=3,tbal[[#This Row],[X]]=5)),tbal[[#This Row],[DEUDOR]],0)</f>
        <v>0</v>
      </c>
      <c r="L934" s="18">
        <f>IF((OR(tbal[[#This Row],[X]]=3,tbal[[#This Row],[X]]=4)),tbal[[#This Row],[ACREEDOR]],0)</f>
        <v>0</v>
      </c>
      <c r="M934" s="16">
        <f>IF((OR(tbal[[#This Row],[X]]=0,tbal[[#This Row],[X]]=6)),tbal[[#This Row],[DEUDOR]],0)</f>
        <v>0</v>
      </c>
      <c r="N934" s="18">
        <f>IF((OR(tbal[[#This Row],[X]]=0,tbal[[#This Row],[X]]=5)),tbal[[#This Row],[ACREEDOR]],0)</f>
        <v>0</v>
      </c>
    </row>
    <row r="935" spans="1:14" hidden="1" x14ac:dyDescent="0.3">
      <c r="A935" s="14">
        <f>+'PLAN DE CUENTAS'!A935</f>
        <v>0</v>
      </c>
      <c r="B935" s="13">
        <f>+'PLAN DE CUENTAS'!B935</f>
        <v>0</v>
      </c>
      <c r="C935" s="13">
        <f>+'PLAN DE CUENTAS'!C935</f>
        <v>0</v>
      </c>
      <c r="D935" t="str">
        <f>IF(tbal[[#This Row],[DEBE]]+tbal[[#This Row],[HABER]]=0,"","X")</f>
        <v/>
      </c>
      <c r="E935" s="16">
        <f>SUMIF(tdiario[CUENTA],tbal[[#This Row],[CUENTA]],tdiario[DEBE])</f>
        <v>0</v>
      </c>
      <c r="F935" s="17">
        <f>SUMIF(tdiario[CUENTA],tbal[[#This Row],[CUENTA]],tdiario[HABER])</f>
        <v>0</v>
      </c>
      <c r="G935" s="16">
        <f>IF(tbal[[#This Row],[DEBE]]-tbal[[#This Row],[HABER]]&gt;0,tbal[[#This Row],[DEBE]]-tbal[[#This Row],[HABER]],0)</f>
        <v>0</v>
      </c>
      <c r="H935" s="18">
        <f>IF(tbal[[#This Row],[HABER]]-tbal[[#This Row],[DEBE]]&gt;0,tbal[[#This Row],[HABER]]-tbal[[#This Row],[DEBE]],0)</f>
        <v>0</v>
      </c>
      <c r="I935" s="16">
        <f>IF((OR(tbal[[#This Row],[X]]=1,tbal[[#This Row],[X]]=2)),tbal[[#This Row],[DEUDOR]],0)</f>
        <v>0</v>
      </c>
      <c r="J935" s="18">
        <f>IF((OR(tbal[[#This Row],[X]]=2,tbal[[#This Row],[X]]=3)),tbal[[#This Row],[ACREEDOR]],0)</f>
        <v>0</v>
      </c>
      <c r="K935" s="16">
        <f>IF((OR(tbal[[#This Row],[X]]=3,tbal[[#This Row],[X]]=5)),tbal[[#This Row],[DEUDOR]],0)</f>
        <v>0</v>
      </c>
      <c r="L935" s="18">
        <f>IF((OR(tbal[[#This Row],[X]]=3,tbal[[#This Row],[X]]=4)),tbal[[#This Row],[ACREEDOR]],0)</f>
        <v>0</v>
      </c>
      <c r="M935" s="16">
        <f>IF((OR(tbal[[#This Row],[X]]=0,tbal[[#This Row],[X]]=6)),tbal[[#This Row],[DEUDOR]],0)</f>
        <v>0</v>
      </c>
      <c r="N935" s="18">
        <f>IF((OR(tbal[[#This Row],[X]]=0,tbal[[#This Row],[X]]=5)),tbal[[#This Row],[ACREEDOR]],0)</f>
        <v>0</v>
      </c>
    </row>
    <row r="936" spans="1:14" hidden="1" x14ac:dyDescent="0.3">
      <c r="A936" s="14">
        <f>+'PLAN DE CUENTAS'!A936</f>
        <v>0</v>
      </c>
      <c r="B936" s="13">
        <f>+'PLAN DE CUENTAS'!B936</f>
        <v>0</v>
      </c>
      <c r="C936" s="13">
        <f>+'PLAN DE CUENTAS'!C936</f>
        <v>0</v>
      </c>
      <c r="D936" t="str">
        <f>IF(tbal[[#This Row],[DEBE]]+tbal[[#This Row],[HABER]]=0,"","X")</f>
        <v/>
      </c>
      <c r="E936" s="16">
        <f>SUMIF(tdiario[CUENTA],tbal[[#This Row],[CUENTA]],tdiario[DEBE])</f>
        <v>0</v>
      </c>
      <c r="F936" s="17">
        <f>SUMIF(tdiario[CUENTA],tbal[[#This Row],[CUENTA]],tdiario[HABER])</f>
        <v>0</v>
      </c>
      <c r="G936" s="16">
        <f>IF(tbal[[#This Row],[DEBE]]-tbal[[#This Row],[HABER]]&gt;0,tbal[[#This Row],[DEBE]]-tbal[[#This Row],[HABER]],0)</f>
        <v>0</v>
      </c>
      <c r="H936" s="18">
        <f>IF(tbal[[#This Row],[HABER]]-tbal[[#This Row],[DEBE]]&gt;0,tbal[[#This Row],[HABER]]-tbal[[#This Row],[DEBE]],0)</f>
        <v>0</v>
      </c>
      <c r="I936" s="16">
        <f>IF((OR(tbal[[#This Row],[X]]=1,tbal[[#This Row],[X]]=2)),tbal[[#This Row],[DEUDOR]],0)</f>
        <v>0</v>
      </c>
      <c r="J936" s="18">
        <f>IF((OR(tbal[[#This Row],[X]]=2,tbal[[#This Row],[X]]=3)),tbal[[#This Row],[ACREEDOR]],0)</f>
        <v>0</v>
      </c>
      <c r="K936" s="16">
        <f>IF((OR(tbal[[#This Row],[X]]=3,tbal[[#This Row],[X]]=5)),tbal[[#This Row],[DEUDOR]],0)</f>
        <v>0</v>
      </c>
      <c r="L936" s="18">
        <f>IF((OR(tbal[[#This Row],[X]]=3,tbal[[#This Row],[X]]=4)),tbal[[#This Row],[ACREEDOR]],0)</f>
        <v>0</v>
      </c>
      <c r="M936" s="16">
        <f>IF((OR(tbal[[#This Row],[X]]=0,tbal[[#This Row],[X]]=6)),tbal[[#This Row],[DEUDOR]],0)</f>
        <v>0</v>
      </c>
      <c r="N936" s="18">
        <f>IF((OR(tbal[[#This Row],[X]]=0,tbal[[#This Row],[X]]=5)),tbal[[#This Row],[ACREEDOR]],0)</f>
        <v>0</v>
      </c>
    </row>
    <row r="937" spans="1:14" hidden="1" x14ac:dyDescent="0.3">
      <c r="A937" s="14">
        <f>+'PLAN DE CUENTAS'!A937</f>
        <v>0</v>
      </c>
      <c r="B937" s="13">
        <f>+'PLAN DE CUENTAS'!B937</f>
        <v>0</v>
      </c>
      <c r="C937" s="13">
        <f>+'PLAN DE CUENTAS'!C937</f>
        <v>0</v>
      </c>
      <c r="D937" t="str">
        <f>IF(tbal[[#This Row],[DEBE]]+tbal[[#This Row],[HABER]]=0,"","X")</f>
        <v/>
      </c>
      <c r="E937" s="16">
        <f>SUMIF(tdiario[CUENTA],tbal[[#This Row],[CUENTA]],tdiario[DEBE])</f>
        <v>0</v>
      </c>
      <c r="F937" s="17">
        <f>SUMIF(tdiario[CUENTA],tbal[[#This Row],[CUENTA]],tdiario[HABER])</f>
        <v>0</v>
      </c>
      <c r="G937" s="16">
        <f>IF(tbal[[#This Row],[DEBE]]-tbal[[#This Row],[HABER]]&gt;0,tbal[[#This Row],[DEBE]]-tbal[[#This Row],[HABER]],0)</f>
        <v>0</v>
      </c>
      <c r="H937" s="18">
        <f>IF(tbal[[#This Row],[HABER]]-tbal[[#This Row],[DEBE]]&gt;0,tbal[[#This Row],[HABER]]-tbal[[#This Row],[DEBE]],0)</f>
        <v>0</v>
      </c>
      <c r="I937" s="16">
        <f>IF((OR(tbal[[#This Row],[X]]=1,tbal[[#This Row],[X]]=2)),tbal[[#This Row],[DEUDOR]],0)</f>
        <v>0</v>
      </c>
      <c r="J937" s="18">
        <f>IF((OR(tbal[[#This Row],[X]]=2,tbal[[#This Row],[X]]=3)),tbal[[#This Row],[ACREEDOR]],0)</f>
        <v>0</v>
      </c>
      <c r="K937" s="16">
        <f>IF((OR(tbal[[#This Row],[X]]=3,tbal[[#This Row],[X]]=5)),tbal[[#This Row],[DEUDOR]],0)</f>
        <v>0</v>
      </c>
      <c r="L937" s="18">
        <f>IF((OR(tbal[[#This Row],[X]]=3,tbal[[#This Row],[X]]=4)),tbal[[#This Row],[ACREEDOR]],0)</f>
        <v>0</v>
      </c>
      <c r="M937" s="16">
        <f>IF((OR(tbal[[#This Row],[X]]=0,tbal[[#This Row],[X]]=6)),tbal[[#This Row],[DEUDOR]],0)</f>
        <v>0</v>
      </c>
      <c r="N937" s="18">
        <f>IF((OR(tbal[[#This Row],[X]]=0,tbal[[#This Row],[X]]=5)),tbal[[#This Row],[ACREEDOR]],0)</f>
        <v>0</v>
      </c>
    </row>
    <row r="938" spans="1:14" hidden="1" x14ac:dyDescent="0.3">
      <c r="A938" s="14">
        <f>+'PLAN DE CUENTAS'!A938</f>
        <v>0</v>
      </c>
      <c r="B938" s="13">
        <f>+'PLAN DE CUENTAS'!B938</f>
        <v>0</v>
      </c>
      <c r="C938" s="13">
        <f>+'PLAN DE CUENTAS'!C938</f>
        <v>0</v>
      </c>
      <c r="D938" t="str">
        <f>IF(tbal[[#This Row],[DEBE]]+tbal[[#This Row],[HABER]]=0,"","X")</f>
        <v/>
      </c>
      <c r="E938" s="16">
        <f>SUMIF(tdiario[CUENTA],tbal[[#This Row],[CUENTA]],tdiario[DEBE])</f>
        <v>0</v>
      </c>
      <c r="F938" s="17">
        <f>SUMIF(tdiario[CUENTA],tbal[[#This Row],[CUENTA]],tdiario[HABER])</f>
        <v>0</v>
      </c>
      <c r="G938" s="16">
        <f>IF(tbal[[#This Row],[DEBE]]-tbal[[#This Row],[HABER]]&gt;0,tbal[[#This Row],[DEBE]]-tbal[[#This Row],[HABER]],0)</f>
        <v>0</v>
      </c>
      <c r="H938" s="18">
        <f>IF(tbal[[#This Row],[HABER]]-tbal[[#This Row],[DEBE]]&gt;0,tbal[[#This Row],[HABER]]-tbal[[#This Row],[DEBE]],0)</f>
        <v>0</v>
      </c>
      <c r="I938" s="16">
        <f>IF((OR(tbal[[#This Row],[X]]=1,tbal[[#This Row],[X]]=2)),tbal[[#This Row],[DEUDOR]],0)</f>
        <v>0</v>
      </c>
      <c r="J938" s="18">
        <f>IF((OR(tbal[[#This Row],[X]]=2,tbal[[#This Row],[X]]=3)),tbal[[#This Row],[ACREEDOR]],0)</f>
        <v>0</v>
      </c>
      <c r="K938" s="16">
        <f>IF((OR(tbal[[#This Row],[X]]=3,tbal[[#This Row],[X]]=5)),tbal[[#This Row],[DEUDOR]],0)</f>
        <v>0</v>
      </c>
      <c r="L938" s="18">
        <f>IF((OR(tbal[[#This Row],[X]]=3,tbal[[#This Row],[X]]=4)),tbal[[#This Row],[ACREEDOR]],0)</f>
        <v>0</v>
      </c>
      <c r="M938" s="16">
        <f>IF((OR(tbal[[#This Row],[X]]=0,tbal[[#This Row],[X]]=6)),tbal[[#This Row],[DEUDOR]],0)</f>
        <v>0</v>
      </c>
      <c r="N938" s="18">
        <f>IF((OR(tbal[[#This Row],[X]]=0,tbal[[#This Row],[X]]=5)),tbal[[#This Row],[ACREEDOR]],0)</f>
        <v>0</v>
      </c>
    </row>
    <row r="939" spans="1:14" hidden="1" x14ac:dyDescent="0.3">
      <c r="A939" s="14">
        <f>+'PLAN DE CUENTAS'!A939</f>
        <v>0</v>
      </c>
      <c r="B939" s="13">
        <f>+'PLAN DE CUENTAS'!B939</f>
        <v>0</v>
      </c>
      <c r="C939" s="13">
        <f>+'PLAN DE CUENTAS'!C939</f>
        <v>0</v>
      </c>
      <c r="D939" t="str">
        <f>IF(tbal[[#This Row],[DEBE]]+tbal[[#This Row],[HABER]]=0,"","X")</f>
        <v/>
      </c>
      <c r="E939" s="16">
        <f>SUMIF(tdiario[CUENTA],tbal[[#This Row],[CUENTA]],tdiario[DEBE])</f>
        <v>0</v>
      </c>
      <c r="F939" s="17">
        <f>SUMIF(tdiario[CUENTA],tbal[[#This Row],[CUENTA]],tdiario[HABER])</f>
        <v>0</v>
      </c>
      <c r="G939" s="16">
        <f>IF(tbal[[#This Row],[DEBE]]-tbal[[#This Row],[HABER]]&gt;0,tbal[[#This Row],[DEBE]]-tbal[[#This Row],[HABER]],0)</f>
        <v>0</v>
      </c>
      <c r="H939" s="18">
        <f>IF(tbal[[#This Row],[HABER]]-tbal[[#This Row],[DEBE]]&gt;0,tbal[[#This Row],[HABER]]-tbal[[#This Row],[DEBE]],0)</f>
        <v>0</v>
      </c>
      <c r="I939" s="16">
        <f>IF((OR(tbal[[#This Row],[X]]=1,tbal[[#This Row],[X]]=2)),tbal[[#This Row],[DEUDOR]],0)</f>
        <v>0</v>
      </c>
      <c r="J939" s="18">
        <f>IF((OR(tbal[[#This Row],[X]]=2,tbal[[#This Row],[X]]=3)),tbal[[#This Row],[ACREEDOR]],0)</f>
        <v>0</v>
      </c>
      <c r="K939" s="16">
        <f>IF((OR(tbal[[#This Row],[X]]=3,tbal[[#This Row],[X]]=5)),tbal[[#This Row],[DEUDOR]],0)</f>
        <v>0</v>
      </c>
      <c r="L939" s="18">
        <f>IF((OR(tbal[[#This Row],[X]]=3,tbal[[#This Row],[X]]=4)),tbal[[#This Row],[ACREEDOR]],0)</f>
        <v>0</v>
      </c>
      <c r="M939" s="16">
        <f>IF((OR(tbal[[#This Row],[X]]=0,tbal[[#This Row],[X]]=6)),tbal[[#This Row],[DEUDOR]],0)</f>
        <v>0</v>
      </c>
      <c r="N939" s="18">
        <f>IF((OR(tbal[[#This Row],[X]]=0,tbal[[#This Row],[X]]=5)),tbal[[#This Row],[ACREEDOR]],0)</f>
        <v>0</v>
      </c>
    </row>
    <row r="940" spans="1:14" hidden="1" x14ac:dyDescent="0.3">
      <c r="A940" s="14">
        <f>+'PLAN DE CUENTAS'!A940</f>
        <v>0</v>
      </c>
      <c r="B940" s="13">
        <f>+'PLAN DE CUENTAS'!B940</f>
        <v>0</v>
      </c>
      <c r="C940" s="13">
        <f>+'PLAN DE CUENTAS'!C940</f>
        <v>0</v>
      </c>
      <c r="D940" t="str">
        <f>IF(tbal[[#This Row],[DEBE]]+tbal[[#This Row],[HABER]]=0,"","X")</f>
        <v/>
      </c>
      <c r="E940" s="16">
        <f>SUMIF(tdiario[CUENTA],tbal[[#This Row],[CUENTA]],tdiario[DEBE])</f>
        <v>0</v>
      </c>
      <c r="F940" s="17">
        <f>SUMIF(tdiario[CUENTA],tbal[[#This Row],[CUENTA]],tdiario[HABER])</f>
        <v>0</v>
      </c>
      <c r="G940" s="16">
        <f>IF(tbal[[#This Row],[DEBE]]-tbal[[#This Row],[HABER]]&gt;0,tbal[[#This Row],[DEBE]]-tbal[[#This Row],[HABER]],0)</f>
        <v>0</v>
      </c>
      <c r="H940" s="18">
        <f>IF(tbal[[#This Row],[HABER]]-tbal[[#This Row],[DEBE]]&gt;0,tbal[[#This Row],[HABER]]-tbal[[#This Row],[DEBE]],0)</f>
        <v>0</v>
      </c>
      <c r="I940" s="16">
        <f>IF((OR(tbal[[#This Row],[X]]=1,tbal[[#This Row],[X]]=2)),tbal[[#This Row],[DEUDOR]],0)</f>
        <v>0</v>
      </c>
      <c r="J940" s="18">
        <f>IF((OR(tbal[[#This Row],[X]]=2,tbal[[#This Row],[X]]=3)),tbal[[#This Row],[ACREEDOR]],0)</f>
        <v>0</v>
      </c>
      <c r="K940" s="16">
        <f>IF((OR(tbal[[#This Row],[X]]=3,tbal[[#This Row],[X]]=5)),tbal[[#This Row],[DEUDOR]],0)</f>
        <v>0</v>
      </c>
      <c r="L940" s="18">
        <f>IF((OR(tbal[[#This Row],[X]]=3,tbal[[#This Row],[X]]=4)),tbal[[#This Row],[ACREEDOR]],0)</f>
        <v>0</v>
      </c>
      <c r="M940" s="16">
        <f>IF((OR(tbal[[#This Row],[X]]=0,tbal[[#This Row],[X]]=6)),tbal[[#This Row],[DEUDOR]],0)</f>
        <v>0</v>
      </c>
      <c r="N940" s="18">
        <f>IF((OR(tbal[[#This Row],[X]]=0,tbal[[#This Row],[X]]=5)),tbal[[#This Row],[ACREEDOR]],0)</f>
        <v>0</v>
      </c>
    </row>
    <row r="941" spans="1:14" hidden="1" x14ac:dyDescent="0.3">
      <c r="A941" s="14">
        <f>+'PLAN DE CUENTAS'!A941</f>
        <v>0</v>
      </c>
      <c r="B941" s="13">
        <f>+'PLAN DE CUENTAS'!B941</f>
        <v>0</v>
      </c>
      <c r="C941" s="13">
        <f>+'PLAN DE CUENTAS'!C941</f>
        <v>0</v>
      </c>
      <c r="D941" t="str">
        <f>IF(tbal[[#This Row],[DEBE]]+tbal[[#This Row],[HABER]]=0,"","X")</f>
        <v/>
      </c>
      <c r="E941" s="16">
        <f>SUMIF(tdiario[CUENTA],tbal[[#This Row],[CUENTA]],tdiario[DEBE])</f>
        <v>0</v>
      </c>
      <c r="F941" s="17">
        <f>SUMIF(tdiario[CUENTA],tbal[[#This Row],[CUENTA]],tdiario[HABER])</f>
        <v>0</v>
      </c>
      <c r="G941" s="16">
        <f>IF(tbal[[#This Row],[DEBE]]-tbal[[#This Row],[HABER]]&gt;0,tbal[[#This Row],[DEBE]]-tbal[[#This Row],[HABER]],0)</f>
        <v>0</v>
      </c>
      <c r="H941" s="18">
        <f>IF(tbal[[#This Row],[HABER]]-tbal[[#This Row],[DEBE]]&gt;0,tbal[[#This Row],[HABER]]-tbal[[#This Row],[DEBE]],0)</f>
        <v>0</v>
      </c>
      <c r="I941" s="16">
        <f>IF((OR(tbal[[#This Row],[X]]=1,tbal[[#This Row],[X]]=2)),tbal[[#This Row],[DEUDOR]],0)</f>
        <v>0</v>
      </c>
      <c r="J941" s="18">
        <f>IF((OR(tbal[[#This Row],[X]]=2,tbal[[#This Row],[X]]=3)),tbal[[#This Row],[ACREEDOR]],0)</f>
        <v>0</v>
      </c>
      <c r="K941" s="16">
        <f>IF((OR(tbal[[#This Row],[X]]=3,tbal[[#This Row],[X]]=5)),tbal[[#This Row],[DEUDOR]],0)</f>
        <v>0</v>
      </c>
      <c r="L941" s="18">
        <f>IF((OR(tbal[[#This Row],[X]]=3,tbal[[#This Row],[X]]=4)),tbal[[#This Row],[ACREEDOR]],0)</f>
        <v>0</v>
      </c>
      <c r="M941" s="16">
        <f>IF((OR(tbal[[#This Row],[X]]=0,tbal[[#This Row],[X]]=6)),tbal[[#This Row],[DEUDOR]],0)</f>
        <v>0</v>
      </c>
      <c r="N941" s="18">
        <f>IF((OR(tbal[[#This Row],[X]]=0,tbal[[#This Row],[X]]=5)),tbal[[#This Row],[ACREEDOR]],0)</f>
        <v>0</v>
      </c>
    </row>
    <row r="942" spans="1:14" hidden="1" x14ac:dyDescent="0.3">
      <c r="A942" s="14">
        <f>+'PLAN DE CUENTAS'!A942</f>
        <v>0</v>
      </c>
      <c r="B942" s="13">
        <f>+'PLAN DE CUENTAS'!B942</f>
        <v>0</v>
      </c>
      <c r="C942" s="13">
        <f>+'PLAN DE CUENTAS'!C942</f>
        <v>0</v>
      </c>
      <c r="D942" t="str">
        <f>IF(tbal[[#This Row],[DEBE]]+tbal[[#This Row],[HABER]]=0,"","X")</f>
        <v/>
      </c>
      <c r="E942" s="16">
        <f>SUMIF(tdiario[CUENTA],tbal[[#This Row],[CUENTA]],tdiario[DEBE])</f>
        <v>0</v>
      </c>
      <c r="F942" s="17">
        <f>SUMIF(tdiario[CUENTA],tbal[[#This Row],[CUENTA]],tdiario[HABER])</f>
        <v>0</v>
      </c>
      <c r="G942" s="16">
        <f>IF(tbal[[#This Row],[DEBE]]-tbal[[#This Row],[HABER]]&gt;0,tbal[[#This Row],[DEBE]]-tbal[[#This Row],[HABER]],0)</f>
        <v>0</v>
      </c>
      <c r="H942" s="18">
        <f>IF(tbal[[#This Row],[HABER]]-tbal[[#This Row],[DEBE]]&gt;0,tbal[[#This Row],[HABER]]-tbal[[#This Row],[DEBE]],0)</f>
        <v>0</v>
      </c>
      <c r="I942" s="16">
        <f>IF((OR(tbal[[#This Row],[X]]=1,tbal[[#This Row],[X]]=2)),tbal[[#This Row],[DEUDOR]],0)</f>
        <v>0</v>
      </c>
      <c r="J942" s="18">
        <f>IF((OR(tbal[[#This Row],[X]]=2,tbal[[#This Row],[X]]=3)),tbal[[#This Row],[ACREEDOR]],0)</f>
        <v>0</v>
      </c>
      <c r="K942" s="16">
        <f>IF((OR(tbal[[#This Row],[X]]=3,tbal[[#This Row],[X]]=5)),tbal[[#This Row],[DEUDOR]],0)</f>
        <v>0</v>
      </c>
      <c r="L942" s="18">
        <f>IF((OR(tbal[[#This Row],[X]]=3,tbal[[#This Row],[X]]=4)),tbal[[#This Row],[ACREEDOR]],0)</f>
        <v>0</v>
      </c>
      <c r="M942" s="16">
        <f>IF((OR(tbal[[#This Row],[X]]=0,tbal[[#This Row],[X]]=6)),tbal[[#This Row],[DEUDOR]],0)</f>
        <v>0</v>
      </c>
      <c r="N942" s="18">
        <f>IF((OR(tbal[[#This Row],[X]]=0,tbal[[#This Row],[X]]=5)),tbal[[#This Row],[ACREEDOR]],0)</f>
        <v>0</v>
      </c>
    </row>
    <row r="943" spans="1:14" hidden="1" x14ac:dyDescent="0.3">
      <c r="A943" s="14">
        <f>+'PLAN DE CUENTAS'!A943</f>
        <v>0</v>
      </c>
      <c r="B943" s="13">
        <f>+'PLAN DE CUENTAS'!B943</f>
        <v>0</v>
      </c>
      <c r="C943" s="13">
        <f>+'PLAN DE CUENTAS'!C943</f>
        <v>0</v>
      </c>
      <c r="D943" t="str">
        <f>IF(tbal[[#This Row],[DEBE]]+tbal[[#This Row],[HABER]]=0,"","X")</f>
        <v/>
      </c>
      <c r="E943" s="16">
        <f>SUMIF(tdiario[CUENTA],tbal[[#This Row],[CUENTA]],tdiario[DEBE])</f>
        <v>0</v>
      </c>
      <c r="F943" s="17">
        <f>SUMIF(tdiario[CUENTA],tbal[[#This Row],[CUENTA]],tdiario[HABER])</f>
        <v>0</v>
      </c>
      <c r="G943" s="16">
        <f>IF(tbal[[#This Row],[DEBE]]-tbal[[#This Row],[HABER]]&gt;0,tbal[[#This Row],[DEBE]]-tbal[[#This Row],[HABER]],0)</f>
        <v>0</v>
      </c>
      <c r="H943" s="18">
        <f>IF(tbal[[#This Row],[HABER]]-tbal[[#This Row],[DEBE]]&gt;0,tbal[[#This Row],[HABER]]-tbal[[#This Row],[DEBE]],0)</f>
        <v>0</v>
      </c>
      <c r="I943" s="16">
        <f>IF((OR(tbal[[#This Row],[X]]=1,tbal[[#This Row],[X]]=2)),tbal[[#This Row],[DEUDOR]],0)</f>
        <v>0</v>
      </c>
      <c r="J943" s="18">
        <f>IF((OR(tbal[[#This Row],[X]]=2,tbal[[#This Row],[X]]=3)),tbal[[#This Row],[ACREEDOR]],0)</f>
        <v>0</v>
      </c>
      <c r="K943" s="16">
        <f>IF((OR(tbal[[#This Row],[X]]=3,tbal[[#This Row],[X]]=5)),tbal[[#This Row],[DEUDOR]],0)</f>
        <v>0</v>
      </c>
      <c r="L943" s="18">
        <f>IF((OR(tbal[[#This Row],[X]]=3,tbal[[#This Row],[X]]=4)),tbal[[#This Row],[ACREEDOR]],0)</f>
        <v>0</v>
      </c>
      <c r="M943" s="16">
        <f>IF((OR(tbal[[#This Row],[X]]=0,tbal[[#This Row],[X]]=6)),tbal[[#This Row],[DEUDOR]],0)</f>
        <v>0</v>
      </c>
      <c r="N943" s="18">
        <f>IF((OR(tbal[[#This Row],[X]]=0,tbal[[#This Row],[X]]=5)),tbal[[#This Row],[ACREEDOR]],0)</f>
        <v>0</v>
      </c>
    </row>
    <row r="944" spans="1:14" hidden="1" x14ac:dyDescent="0.3">
      <c r="A944" s="14">
        <f>+'PLAN DE CUENTAS'!A944</f>
        <v>0</v>
      </c>
      <c r="B944" s="13">
        <f>+'PLAN DE CUENTAS'!B944</f>
        <v>0</v>
      </c>
      <c r="C944" s="13">
        <f>+'PLAN DE CUENTAS'!C944</f>
        <v>0</v>
      </c>
      <c r="D944" t="str">
        <f>IF(tbal[[#This Row],[DEBE]]+tbal[[#This Row],[HABER]]=0,"","X")</f>
        <v/>
      </c>
      <c r="E944" s="16">
        <f>SUMIF(tdiario[CUENTA],tbal[[#This Row],[CUENTA]],tdiario[DEBE])</f>
        <v>0</v>
      </c>
      <c r="F944" s="17">
        <f>SUMIF(tdiario[CUENTA],tbal[[#This Row],[CUENTA]],tdiario[HABER])</f>
        <v>0</v>
      </c>
      <c r="G944" s="16">
        <f>IF(tbal[[#This Row],[DEBE]]-tbal[[#This Row],[HABER]]&gt;0,tbal[[#This Row],[DEBE]]-tbal[[#This Row],[HABER]],0)</f>
        <v>0</v>
      </c>
      <c r="H944" s="18">
        <f>IF(tbal[[#This Row],[HABER]]-tbal[[#This Row],[DEBE]]&gt;0,tbal[[#This Row],[HABER]]-tbal[[#This Row],[DEBE]],0)</f>
        <v>0</v>
      </c>
      <c r="I944" s="16">
        <f>IF((OR(tbal[[#This Row],[X]]=1,tbal[[#This Row],[X]]=2)),tbal[[#This Row],[DEUDOR]],0)</f>
        <v>0</v>
      </c>
      <c r="J944" s="18">
        <f>IF((OR(tbal[[#This Row],[X]]=2,tbal[[#This Row],[X]]=3)),tbal[[#This Row],[ACREEDOR]],0)</f>
        <v>0</v>
      </c>
      <c r="K944" s="16">
        <f>IF((OR(tbal[[#This Row],[X]]=3,tbal[[#This Row],[X]]=5)),tbal[[#This Row],[DEUDOR]],0)</f>
        <v>0</v>
      </c>
      <c r="L944" s="18">
        <f>IF((OR(tbal[[#This Row],[X]]=3,tbal[[#This Row],[X]]=4)),tbal[[#This Row],[ACREEDOR]],0)</f>
        <v>0</v>
      </c>
      <c r="M944" s="16">
        <f>IF((OR(tbal[[#This Row],[X]]=0,tbal[[#This Row],[X]]=6)),tbal[[#This Row],[DEUDOR]],0)</f>
        <v>0</v>
      </c>
      <c r="N944" s="18">
        <f>IF((OR(tbal[[#This Row],[X]]=0,tbal[[#This Row],[X]]=5)),tbal[[#This Row],[ACREEDOR]],0)</f>
        <v>0</v>
      </c>
    </row>
    <row r="945" spans="1:14" hidden="1" x14ac:dyDescent="0.3">
      <c r="A945" s="14">
        <f>+'PLAN DE CUENTAS'!A945</f>
        <v>0</v>
      </c>
      <c r="B945" s="13">
        <f>+'PLAN DE CUENTAS'!B945</f>
        <v>0</v>
      </c>
      <c r="C945" s="13">
        <f>+'PLAN DE CUENTAS'!C945</f>
        <v>0</v>
      </c>
      <c r="D945" t="str">
        <f>IF(tbal[[#This Row],[DEBE]]+tbal[[#This Row],[HABER]]=0,"","X")</f>
        <v/>
      </c>
      <c r="E945" s="16">
        <f>SUMIF(tdiario[CUENTA],tbal[[#This Row],[CUENTA]],tdiario[DEBE])</f>
        <v>0</v>
      </c>
      <c r="F945" s="17">
        <f>SUMIF(tdiario[CUENTA],tbal[[#This Row],[CUENTA]],tdiario[HABER])</f>
        <v>0</v>
      </c>
      <c r="G945" s="16">
        <f>IF(tbal[[#This Row],[DEBE]]-tbal[[#This Row],[HABER]]&gt;0,tbal[[#This Row],[DEBE]]-tbal[[#This Row],[HABER]],0)</f>
        <v>0</v>
      </c>
      <c r="H945" s="18">
        <f>IF(tbal[[#This Row],[HABER]]-tbal[[#This Row],[DEBE]]&gt;0,tbal[[#This Row],[HABER]]-tbal[[#This Row],[DEBE]],0)</f>
        <v>0</v>
      </c>
      <c r="I945" s="16">
        <f>IF((OR(tbal[[#This Row],[X]]=1,tbal[[#This Row],[X]]=2)),tbal[[#This Row],[DEUDOR]],0)</f>
        <v>0</v>
      </c>
      <c r="J945" s="18">
        <f>IF((OR(tbal[[#This Row],[X]]=2,tbal[[#This Row],[X]]=3)),tbal[[#This Row],[ACREEDOR]],0)</f>
        <v>0</v>
      </c>
      <c r="K945" s="16">
        <f>IF((OR(tbal[[#This Row],[X]]=3,tbal[[#This Row],[X]]=5)),tbal[[#This Row],[DEUDOR]],0)</f>
        <v>0</v>
      </c>
      <c r="L945" s="18">
        <f>IF((OR(tbal[[#This Row],[X]]=3,tbal[[#This Row],[X]]=4)),tbal[[#This Row],[ACREEDOR]],0)</f>
        <v>0</v>
      </c>
      <c r="M945" s="16">
        <f>IF((OR(tbal[[#This Row],[X]]=0,tbal[[#This Row],[X]]=6)),tbal[[#This Row],[DEUDOR]],0)</f>
        <v>0</v>
      </c>
      <c r="N945" s="18">
        <f>IF((OR(tbal[[#This Row],[X]]=0,tbal[[#This Row],[X]]=5)),tbal[[#This Row],[ACREEDOR]],0)</f>
        <v>0</v>
      </c>
    </row>
    <row r="946" spans="1:14" hidden="1" x14ac:dyDescent="0.3">
      <c r="A946" s="14">
        <f>+'PLAN DE CUENTAS'!A946</f>
        <v>0</v>
      </c>
      <c r="B946" s="13">
        <f>+'PLAN DE CUENTAS'!B946</f>
        <v>0</v>
      </c>
      <c r="C946" s="13">
        <f>+'PLAN DE CUENTAS'!C946</f>
        <v>0</v>
      </c>
      <c r="D946" t="str">
        <f>IF(tbal[[#This Row],[DEBE]]+tbal[[#This Row],[HABER]]=0,"","X")</f>
        <v/>
      </c>
      <c r="E946" s="16">
        <f>SUMIF(tdiario[CUENTA],tbal[[#This Row],[CUENTA]],tdiario[DEBE])</f>
        <v>0</v>
      </c>
      <c r="F946" s="17">
        <f>SUMIF(tdiario[CUENTA],tbal[[#This Row],[CUENTA]],tdiario[HABER])</f>
        <v>0</v>
      </c>
      <c r="G946" s="16">
        <f>IF(tbal[[#This Row],[DEBE]]-tbal[[#This Row],[HABER]]&gt;0,tbal[[#This Row],[DEBE]]-tbal[[#This Row],[HABER]],0)</f>
        <v>0</v>
      </c>
      <c r="H946" s="18">
        <f>IF(tbal[[#This Row],[HABER]]-tbal[[#This Row],[DEBE]]&gt;0,tbal[[#This Row],[HABER]]-tbal[[#This Row],[DEBE]],0)</f>
        <v>0</v>
      </c>
      <c r="I946" s="16">
        <f>IF((OR(tbal[[#This Row],[X]]=1,tbal[[#This Row],[X]]=2)),tbal[[#This Row],[DEUDOR]],0)</f>
        <v>0</v>
      </c>
      <c r="J946" s="18">
        <f>IF((OR(tbal[[#This Row],[X]]=2,tbal[[#This Row],[X]]=3)),tbal[[#This Row],[ACREEDOR]],0)</f>
        <v>0</v>
      </c>
      <c r="K946" s="16">
        <f>IF((OR(tbal[[#This Row],[X]]=3,tbal[[#This Row],[X]]=5)),tbal[[#This Row],[DEUDOR]],0)</f>
        <v>0</v>
      </c>
      <c r="L946" s="18">
        <f>IF((OR(tbal[[#This Row],[X]]=3,tbal[[#This Row],[X]]=4)),tbal[[#This Row],[ACREEDOR]],0)</f>
        <v>0</v>
      </c>
      <c r="M946" s="16">
        <f>IF((OR(tbal[[#This Row],[X]]=0,tbal[[#This Row],[X]]=6)),tbal[[#This Row],[DEUDOR]],0)</f>
        <v>0</v>
      </c>
      <c r="N946" s="18">
        <f>IF((OR(tbal[[#This Row],[X]]=0,tbal[[#This Row],[X]]=5)),tbal[[#This Row],[ACREEDOR]],0)</f>
        <v>0</v>
      </c>
    </row>
    <row r="947" spans="1:14" hidden="1" x14ac:dyDescent="0.3">
      <c r="A947" s="14">
        <f>+'PLAN DE CUENTAS'!A947</f>
        <v>0</v>
      </c>
      <c r="B947" s="13">
        <f>+'PLAN DE CUENTAS'!B947</f>
        <v>0</v>
      </c>
      <c r="C947" s="13">
        <f>+'PLAN DE CUENTAS'!C947</f>
        <v>0</v>
      </c>
      <c r="D947" t="str">
        <f>IF(tbal[[#This Row],[DEBE]]+tbal[[#This Row],[HABER]]=0,"","X")</f>
        <v/>
      </c>
      <c r="E947" s="16">
        <f>SUMIF(tdiario[CUENTA],tbal[[#This Row],[CUENTA]],tdiario[DEBE])</f>
        <v>0</v>
      </c>
      <c r="F947" s="17">
        <f>SUMIF(tdiario[CUENTA],tbal[[#This Row],[CUENTA]],tdiario[HABER])</f>
        <v>0</v>
      </c>
      <c r="G947" s="16">
        <f>IF(tbal[[#This Row],[DEBE]]-tbal[[#This Row],[HABER]]&gt;0,tbal[[#This Row],[DEBE]]-tbal[[#This Row],[HABER]],0)</f>
        <v>0</v>
      </c>
      <c r="H947" s="18">
        <f>IF(tbal[[#This Row],[HABER]]-tbal[[#This Row],[DEBE]]&gt;0,tbal[[#This Row],[HABER]]-tbal[[#This Row],[DEBE]],0)</f>
        <v>0</v>
      </c>
      <c r="I947" s="16">
        <f>IF((OR(tbal[[#This Row],[X]]=1,tbal[[#This Row],[X]]=2)),tbal[[#This Row],[DEUDOR]],0)</f>
        <v>0</v>
      </c>
      <c r="J947" s="18">
        <f>IF((OR(tbal[[#This Row],[X]]=2,tbal[[#This Row],[X]]=3)),tbal[[#This Row],[ACREEDOR]],0)</f>
        <v>0</v>
      </c>
      <c r="K947" s="16">
        <f>IF((OR(tbal[[#This Row],[X]]=3,tbal[[#This Row],[X]]=5)),tbal[[#This Row],[DEUDOR]],0)</f>
        <v>0</v>
      </c>
      <c r="L947" s="18">
        <f>IF((OR(tbal[[#This Row],[X]]=3,tbal[[#This Row],[X]]=4)),tbal[[#This Row],[ACREEDOR]],0)</f>
        <v>0</v>
      </c>
      <c r="M947" s="16">
        <f>IF((OR(tbal[[#This Row],[X]]=0,tbal[[#This Row],[X]]=6)),tbal[[#This Row],[DEUDOR]],0)</f>
        <v>0</v>
      </c>
      <c r="N947" s="18">
        <f>IF((OR(tbal[[#This Row],[X]]=0,tbal[[#This Row],[X]]=5)),tbal[[#This Row],[ACREEDOR]],0)</f>
        <v>0</v>
      </c>
    </row>
    <row r="948" spans="1:14" hidden="1" x14ac:dyDescent="0.3">
      <c r="A948" s="14">
        <f>+'PLAN DE CUENTAS'!A948</f>
        <v>0</v>
      </c>
      <c r="B948" s="13">
        <f>+'PLAN DE CUENTAS'!B948</f>
        <v>0</v>
      </c>
      <c r="C948" s="13">
        <f>+'PLAN DE CUENTAS'!C948</f>
        <v>0</v>
      </c>
      <c r="D948" t="str">
        <f>IF(tbal[[#This Row],[DEBE]]+tbal[[#This Row],[HABER]]=0,"","X")</f>
        <v/>
      </c>
      <c r="E948" s="16">
        <f>SUMIF(tdiario[CUENTA],tbal[[#This Row],[CUENTA]],tdiario[DEBE])</f>
        <v>0</v>
      </c>
      <c r="F948" s="17">
        <f>SUMIF(tdiario[CUENTA],tbal[[#This Row],[CUENTA]],tdiario[HABER])</f>
        <v>0</v>
      </c>
      <c r="G948" s="16">
        <f>IF(tbal[[#This Row],[DEBE]]-tbal[[#This Row],[HABER]]&gt;0,tbal[[#This Row],[DEBE]]-tbal[[#This Row],[HABER]],0)</f>
        <v>0</v>
      </c>
      <c r="H948" s="18">
        <f>IF(tbal[[#This Row],[HABER]]-tbal[[#This Row],[DEBE]]&gt;0,tbal[[#This Row],[HABER]]-tbal[[#This Row],[DEBE]],0)</f>
        <v>0</v>
      </c>
      <c r="I948" s="16">
        <f>IF((OR(tbal[[#This Row],[X]]=1,tbal[[#This Row],[X]]=2)),tbal[[#This Row],[DEUDOR]],0)</f>
        <v>0</v>
      </c>
      <c r="J948" s="18">
        <f>IF((OR(tbal[[#This Row],[X]]=2,tbal[[#This Row],[X]]=3)),tbal[[#This Row],[ACREEDOR]],0)</f>
        <v>0</v>
      </c>
      <c r="K948" s="16">
        <f>IF((OR(tbal[[#This Row],[X]]=3,tbal[[#This Row],[X]]=5)),tbal[[#This Row],[DEUDOR]],0)</f>
        <v>0</v>
      </c>
      <c r="L948" s="18">
        <f>IF((OR(tbal[[#This Row],[X]]=3,tbal[[#This Row],[X]]=4)),tbal[[#This Row],[ACREEDOR]],0)</f>
        <v>0</v>
      </c>
      <c r="M948" s="16">
        <f>IF((OR(tbal[[#This Row],[X]]=0,tbal[[#This Row],[X]]=6)),tbal[[#This Row],[DEUDOR]],0)</f>
        <v>0</v>
      </c>
      <c r="N948" s="18">
        <f>IF((OR(tbal[[#This Row],[X]]=0,tbal[[#This Row],[X]]=5)),tbal[[#This Row],[ACREEDOR]],0)</f>
        <v>0</v>
      </c>
    </row>
    <row r="949" spans="1:14" hidden="1" x14ac:dyDescent="0.3">
      <c r="A949" s="14">
        <f>+'PLAN DE CUENTAS'!A949</f>
        <v>0</v>
      </c>
      <c r="B949" s="13">
        <f>+'PLAN DE CUENTAS'!B949</f>
        <v>0</v>
      </c>
      <c r="C949" s="13">
        <f>+'PLAN DE CUENTAS'!C949</f>
        <v>0</v>
      </c>
      <c r="D949" t="str">
        <f>IF(tbal[[#This Row],[DEBE]]+tbal[[#This Row],[HABER]]=0,"","X")</f>
        <v/>
      </c>
      <c r="E949" s="16">
        <f>SUMIF(tdiario[CUENTA],tbal[[#This Row],[CUENTA]],tdiario[DEBE])</f>
        <v>0</v>
      </c>
      <c r="F949" s="17">
        <f>SUMIF(tdiario[CUENTA],tbal[[#This Row],[CUENTA]],tdiario[HABER])</f>
        <v>0</v>
      </c>
      <c r="G949" s="16">
        <f>IF(tbal[[#This Row],[DEBE]]-tbal[[#This Row],[HABER]]&gt;0,tbal[[#This Row],[DEBE]]-tbal[[#This Row],[HABER]],0)</f>
        <v>0</v>
      </c>
      <c r="H949" s="18">
        <f>IF(tbal[[#This Row],[HABER]]-tbal[[#This Row],[DEBE]]&gt;0,tbal[[#This Row],[HABER]]-tbal[[#This Row],[DEBE]],0)</f>
        <v>0</v>
      </c>
      <c r="I949" s="16">
        <f>IF((OR(tbal[[#This Row],[X]]=1,tbal[[#This Row],[X]]=2)),tbal[[#This Row],[DEUDOR]],0)</f>
        <v>0</v>
      </c>
      <c r="J949" s="18">
        <f>IF((OR(tbal[[#This Row],[X]]=2,tbal[[#This Row],[X]]=3)),tbal[[#This Row],[ACREEDOR]],0)</f>
        <v>0</v>
      </c>
      <c r="K949" s="16">
        <f>IF((OR(tbal[[#This Row],[X]]=3,tbal[[#This Row],[X]]=5)),tbal[[#This Row],[DEUDOR]],0)</f>
        <v>0</v>
      </c>
      <c r="L949" s="18">
        <f>IF((OR(tbal[[#This Row],[X]]=3,tbal[[#This Row],[X]]=4)),tbal[[#This Row],[ACREEDOR]],0)</f>
        <v>0</v>
      </c>
      <c r="M949" s="16">
        <f>IF((OR(tbal[[#This Row],[X]]=0,tbal[[#This Row],[X]]=6)),tbal[[#This Row],[DEUDOR]],0)</f>
        <v>0</v>
      </c>
      <c r="N949" s="18">
        <f>IF((OR(tbal[[#This Row],[X]]=0,tbal[[#This Row],[X]]=5)),tbal[[#This Row],[ACREEDOR]],0)</f>
        <v>0</v>
      </c>
    </row>
    <row r="950" spans="1:14" hidden="1" x14ac:dyDescent="0.3">
      <c r="A950" s="14">
        <f>+'PLAN DE CUENTAS'!A950</f>
        <v>0</v>
      </c>
      <c r="B950" s="13">
        <f>+'PLAN DE CUENTAS'!B950</f>
        <v>0</v>
      </c>
      <c r="C950" s="13">
        <f>+'PLAN DE CUENTAS'!C950</f>
        <v>0</v>
      </c>
      <c r="D950" t="str">
        <f>IF(tbal[[#This Row],[DEBE]]+tbal[[#This Row],[HABER]]=0,"","X")</f>
        <v/>
      </c>
      <c r="E950" s="16">
        <f>SUMIF(tdiario[CUENTA],tbal[[#This Row],[CUENTA]],tdiario[DEBE])</f>
        <v>0</v>
      </c>
      <c r="F950" s="17">
        <f>SUMIF(tdiario[CUENTA],tbal[[#This Row],[CUENTA]],tdiario[HABER])</f>
        <v>0</v>
      </c>
      <c r="G950" s="16">
        <f>IF(tbal[[#This Row],[DEBE]]-tbal[[#This Row],[HABER]]&gt;0,tbal[[#This Row],[DEBE]]-tbal[[#This Row],[HABER]],0)</f>
        <v>0</v>
      </c>
      <c r="H950" s="18">
        <f>IF(tbal[[#This Row],[HABER]]-tbal[[#This Row],[DEBE]]&gt;0,tbal[[#This Row],[HABER]]-tbal[[#This Row],[DEBE]],0)</f>
        <v>0</v>
      </c>
      <c r="I950" s="16">
        <f>IF((OR(tbal[[#This Row],[X]]=1,tbal[[#This Row],[X]]=2)),tbal[[#This Row],[DEUDOR]],0)</f>
        <v>0</v>
      </c>
      <c r="J950" s="18">
        <f>IF((OR(tbal[[#This Row],[X]]=2,tbal[[#This Row],[X]]=3)),tbal[[#This Row],[ACREEDOR]],0)</f>
        <v>0</v>
      </c>
      <c r="K950" s="16">
        <f>IF((OR(tbal[[#This Row],[X]]=3,tbal[[#This Row],[X]]=5)),tbal[[#This Row],[DEUDOR]],0)</f>
        <v>0</v>
      </c>
      <c r="L950" s="18">
        <f>IF((OR(tbal[[#This Row],[X]]=3,tbal[[#This Row],[X]]=4)),tbal[[#This Row],[ACREEDOR]],0)</f>
        <v>0</v>
      </c>
      <c r="M950" s="16">
        <f>IF((OR(tbal[[#This Row],[X]]=0,tbal[[#This Row],[X]]=6)),tbal[[#This Row],[DEUDOR]],0)</f>
        <v>0</v>
      </c>
      <c r="N950" s="18">
        <f>IF((OR(tbal[[#This Row],[X]]=0,tbal[[#This Row],[X]]=5)),tbal[[#This Row],[ACREEDOR]],0)</f>
        <v>0</v>
      </c>
    </row>
    <row r="951" spans="1:14" hidden="1" x14ac:dyDescent="0.3">
      <c r="A951" s="14">
        <f>+'PLAN DE CUENTAS'!A951</f>
        <v>0</v>
      </c>
      <c r="B951" s="13">
        <f>+'PLAN DE CUENTAS'!B951</f>
        <v>0</v>
      </c>
      <c r="C951" s="13">
        <f>+'PLAN DE CUENTAS'!C951</f>
        <v>0</v>
      </c>
      <c r="D951" t="str">
        <f>IF(tbal[[#This Row],[DEBE]]+tbal[[#This Row],[HABER]]=0,"","X")</f>
        <v/>
      </c>
      <c r="E951" s="16">
        <f>SUMIF(tdiario[CUENTA],tbal[[#This Row],[CUENTA]],tdiario[DEBE])</f>
        <v>0</v>
      </c>
      <c r="F951" s="17">
        <f>SUMIF(tdiario[CUENTA],tbal[[#This Row],[CUENTA]],tdiario[HABER])</f>
        <v>0</v>
      </c>
      <c r="G951" s="16">
        <f>IF(tbal[[#This Row],[DEBE]]-tbal[[#This Row],[HABER]]&gt;0,tbal[[#This Row],[DEBE]]-tbal[[#This Row],[HABER]],0)</f>
        <v>0</v>
      </c>
      <c r="H951" s="18">
        <f>IF(tbal[[#This Row],[HABER]]-tbal[[#This Row],[DEBE]]&gt;0,tbal[[#This Row],[HABER]]-tbal[[#This Row],[DEBE]],0)</f>
        <v>0</v>
      </c>
      <c r="I951" s="16">
        <f>IF((OR(tbal[[#This Row],[X]]=1,tbal[[#This Row],[X]]=2)),tbal[[#This Row],[DEUDOR]],0)</f>
        <v>0</v>
      </c>
      <c r="J951" s="18">
        <f>IF((OR(tbal[[#This Row],[X]]=2,tbal[[#This Row],[X]]=3)),tbal[[#This Row],[ACREEDOR]],0)</f>
        <v>0</v>
      </c>
      <c r="K951" s="16">
        <f>IF((OR(tbal[[#This Row],[X]]=3,tbal[[#This Row],[X]]=5)),tbal[[#This Row],[DEUDOR]],0)</f>
        <v>0</v>
      </c>
      <c r="L951" s="18">
        <f>IF((OR(tbal[[#This Row],[X]]=3,tbal[[#This Row],[X]]=4)),tbal[[#This Row],[ACREEDOR]],0)</f>
        <v>0</v>
      </c>
      <c r="M951" s="16">
        <f>IF((OR(tbal[[#This Row],[X]]=0,tbal[[#This Row],[X]]=6)),tbal[[#This Row],[DEUDOR]],0)</f>
        <v>0</v>
      </c>
      <c r="N951" s="18">
        <f>IF((OR(tbal[[#This Row],[X]]=0,tbal[[#This Row],[X]]=5)),tbal[[#This Row],[ACREEDOR]],0)</f>
        <v>0</v>
      </c>
    </row>
    <row r="952" spans="1:14" hidden="1" x14ac:dyDescent="0.3">
      <c r="A952" s="14">
        <f>+'PLAN DE CUENTAS'!A952</f>
        <v>0</v>
      </c>
      <c r="B952" s="13">
        <f>+'PLAN DE CUENTAS'!B952</f>
        <v>0</v>
      </c>
      <c r="C952" s="13">
        <f>+'PLAN DE CUENTAS'!C952</f>
        <v>0</v>
      </c>
      <c r="D952" t="str">
        <f>IF(tbal[[#This Row],[DEBE]]+tbal[[#This Row],[HABER]]=0,"","X")</f>
        <v/>
      </c>
      <c r="E952" s="16">
        <f>SUMIF(tdiario[CUENTA],tbal[[#This Row],[CUENTA]],tdiario[DEBE])</f>
        <v>0</v>
      </c>
      <c r="F952" s="17">
        <f>SUMIF(tdiario[CUENTA],tbal[[#This Row],[CUENTA]],tdiario[HABER])</f>
        <v>0</v>
      </c>
      <c r="G952" s="16">
        <f>IF(tbal[[#This Row],[DEBE]]-tbal[[#This Row],[HABER]]&gt;0,tbal[[#This Row],[DEBE]]-tbal[[#This Row],[HABER]],0)</f>
        <v>0</v>
      </c>
      <c r="H952" s="18">
        <f>IF(tbal[[#This Row],[HABER]]-tbal[[#This Row],[DEBE]]&gt;0,tbal[[#This Row],[HABER]]-tbal[[#This Row],[DEBE]],0)</f>
        <v>0</v>
      </c>
      <c r="I952" s="16">
        <f>IF((OR(tbal[[#This Row],[X]]=1,tbal[[#This Row],[X]]=2)),tbal[[#This Row],[DEUDOR]],0)</f>
        <v>0</v>
      </c>
      <c r="J952" s="18">
        <f>IF((OR(tbal[[#This Row],[X]]=2,tbal[[#This Row],[X]]=3)),tbal[[#This Row],[ACREEDOR]],0)</f>
        <v>0</v>
      </c>
      <c r="K952" s="16">
        <f>IF((OR(tbal[[#This Row],[X]]=3,tbal[[#This Row],[X]]=5)),tbal[[#This Row],[DEUDOR]],0)</f>
        <v>0</v>
      </c>
      <c r="L952" s="18">
        <f>IF((OR(tbal[[#This Row],[X]]=3,tbal[[#This Row],[X]]=4)),tbal[[#This Row],[ACREEDOR]],0)</f>
        <v>0</v>
      </c>
      <c r="M952" s="16">
        <f>IF((OR(tbal[[#This Row],[X]]=0,tbal[[#This Row],[X]]=6)),tbal[[#This Row],[DEUDOR]],0)</f>
        <v>0</v>
      </c>
      <c r="N952" s="18">
        <f>IF((OR(tbal[[#This Row],[X]]=0,tbal[[#This Row],[X]]=5)),tbal[[#This Row],[ACREEDOR]],0)</f>
        <v>0</v>
      </c>
    </row>
    <row r="953" spans="1:14" hidden="1" x14ac:dyDescent="0.3">
      <c r="A953" s="14">
        <f>+'PLAN DE CUENTAS'!A953</f>
        <v>0</v>
      </c>
      <c r="B953" s="13">
        <f>+'PLAN DE CUENTAS'!B953</f>
        <v>0</v>
      </c>
      <c r="C953" s="13">
        <f>+'PLAN DE CUENTAS'!C953</f>
        <v>0</v>
      </c>
      <c r="D953" t="str">
        <f>IF(tbal[[#This Row],[DEBE]]+tbal[[#This Row],[HABER]]=0,"","X")</f>
        <v/>
      </c>
      <c r="E953" s="16">
        <f>SUMIF(tdiario[CUENTA],tbal[[#This Row],[CUENTA]],tdiario[DEBE])</f>
        <v>0</v>
      </c>
      <c r="F953" s="17">
        <f>SUMIF(tdiario[CUENTA],tbal[[#This Row],[CUENTA]],tdiario[HABER])</f>
        <v>0</v>
      </c>
      <c r="G953" s="16">
        <f>IF(tbal[[#This Row],[DEBE]]-tbal[[#This Row],[HABER]]&gt;0,tbal[[#This Row],[DEBE]]-tbal[[#This Row],[HABER]],0)</f>
        <v>0</v>
      </c>
      <c r="H953" s="18">
        <f>IF(tbal[[#This Row],[HABER]]-tbal[[#This Row],[DEBE]]&gt;0,tbal[[#This Row],[HABER]]-tbal[[#This Row],[DEBE]],0)</f>
        <v>0</v>
      </c>
      <c r="I953" s="16">
        <f>IF((OR(tbal[[#This Row],[X]]=1,tbal[[#This Row],[X]]=2)),tbal[[#This Row],[DEUDOR]],0)</f>
        <v>0</v>
      </c>
      <c r="J953" s="18">
        <f>IF((OR(tbal[[#This Row],[X]]=2,tbal[[#This Row],[X]]=3)),tbal[[#This Row],[ACREEDOR]],0)</f>
        <v>0</v>
      </c>
      <c r="K953" s="16">
        <f>IF((OR(tbal[[#This Row],[X]]=3,tbal[[#This Row],[X]]=5)),tbal[[#This Row],[DEUDOR]],0)</f>
        <v>0</v>
      </c>
      <c r="L953" s="18">
        <f>IF((OR(tbal[[#This Row],[X]]=3,tbal[[#This Row],[X]]=4)),tbal[[#This Row],[ACREEDOR]],0)</f>
        <v>0</v>
      </c>
      <c r="M953" s="16">
        <f>IF((OR(tbal[[#This Row],[X]]=0,tbal[[#This Row],[X]]=6)),tbal[[#This Row],[DEUDOR]],0)</f>
        <v>0</v>
      </c>
      <c r="N953" s="18">
        <f>IF((OR(tbal[[#This Row],[X]]=0,tbal[[#This Row],[X]]=5)),tbal[[#This Row],[ACREEDOR]],0)</f>
        <v>0</v>
      </c>
    </row>
    <row r="954" spans="1:14" hidden="1" x14ac:dyDescent="0.3">
      <c r="A954" s="14">
        <f>+'PLAN DE CUENTAS'!A954</f>
        <v>0</v>
      </c>
      <c r="B954" s="13">
        <f>+'PLAN DE CUENTAS'!B954</f>
        <v>0</v>
      </c>
      <c r="C954" s="13">
        <f>+'PLAN DE CUENTAS'!C954</f>
        <v>0</v>
      </c>
      <c r="D954" t="str">
        <f>IF(tbal[[#This Row],[DEBE]]+tbal[[#This Row],[HABER]]=0,"","X")</f>
        <v/>
      </c>
      <c r="E954" s="16">
        <f>SUMIF(tdiario[CUENTA],tbal[[#This Row],[CUENTA]],tdiario[DEBE])</f>
        <v>0</v>
      </c>
      <c r="F954" s="17">
        <f>SUMIF(tdiario[CUENTA],tbal[[#This Row],[CUENTA]],tdiario[HABER])</f>
        <v>0</v>
      </c>
      <c r="G954" s="16">
        <f>IF(tbal[[#This Row],[DEBE]]-tbal[[#This Row],[HABER]]&gt;0,tbal[[#This Row],[DEBE]]-tbal[[#This Row],[HABER]],0)</f>
        <v>0</v>
      </c>
      <c r="H954" s="18">
        <f>IF(tbal[[#This Row],[HABER]]-tbal[[#This Row],[DEBE]]&gt;0,tbal[[#This Row],[HABER]]-tbal[[#This Row],[DEBE]],0)</f>
        <v>0</v>
      </c>
      <c r="I954" s="16">
        <f>IF((OR(tbal[[#This Row],[X]]=1,tbal[[#This Row],[X]]=2)),tbal[[#This Row],[DEUDOR]],0)</f>
        <v>0</v>
      </c>
      <c r="J954" s="18">
        <f>IF((OR(tbal[[#This Row],[X]]=2,tbal[[#This Row],[X]]=3)),tbal[[#This Row],[ACREEDOR]],0)</f>
        <v>0</v>
      </c>
      <c r="K954" s="16">
        <f>IF((OR(tbal[[#This Row],[X]]=3,tbal[[#This Row],[X]]=5)),tbal[[#This Row],[DEUDOR]],0)</f>
        <v>0</v>
      </c>
      <c r="L954" s="18">
        <f>IF((OR(tbal[[#This Row],[X]]=3,tbal[[#This Row],[X]]=4)),tbal[[#This Row],[ACREEDOR]],0)</f>
        <v>0</v>
      </c>
      <c r="M954" s="16">
        <f>IF((OR(tbal[[#This Row],[X]]=0,tbal[[#This Row],[X]]=6)),tbal[[#This Row],[DEUDOR]],0)</f>
        <v>0</v>
      </c>
      <c r="N954" s="18">
        <f>IF((OR(tbal[[#This Row],[X]]=0,tbal[[#This Row],[X]]=5)),tbal[[#This Row],[ACREEDOR]],0)</f>
        <v>0</v>
      </c>
    </row>
    <row r="955" spans="1:14" hidden="1" x14ac:dyDescent="0.3">
      <c r="A955" s="14">
        <f>+'PLAN DE CUENTAS'!A955</f>
        <v>0</v>
      </c>
      <c r="B955" s="13">
        <f>+'PLAN DE CUENTAS'!B955</f>
        <v>0</v>
      </c>
      <c r="C955" s="13">
        <f>+'PLAN DE CUENTAS'!C955</f>
        <v>0</v>
      </c>
      <c r="D955" t="str">
        <f>IF(tbal[[#This Row],[DEBE]]+tbal[[#This Row],[HABER]]=0,"","X")</f>
        <v/>
      </c>
      <c r="E955" s="16">
        <f>SUMIF(tdiario[CUENTA],tbal[[#This Row],[CUENTA]],tdiario[DEBE])</f>
        <v>0</v>
      </c>
      <c r="F955" s="17">
        <f>SUMIF(tdiario[CUENTA],tbal[[#This Row],[CUENTA]],tdiario[HABER])</f>
        <v>0</v>
      </c>
      <c r="G955" s="16">
        <f>IF(tbal[[#This Row],[DEBE]]-tbal[[#This Row],[HABER]]&gt;0,tbal[[#This Row],[DEBE]]-tbal[[#This Row],[HABER]],0)</f>
        <v>0</v>
      </c>
      <c r="H955" s="18">
        <f>IF(tbal[[#This Row],[HABER]]-tbal[[#This Row],[DEBE]]&gt;0,tbal[[#This Row],[HABER]]-tbal[[#This Row],[DEBE]],0)</f>
        <v>0</v>
      </c>
      <c r="I955" s="16">
        <f>IF((OR(tbal[[#This Row],[X]]=1,tbal[[#This Row],[X]]=2)),tbal[[#This Row],[DEUDOR]],0)</f>
        <v>0</v>
      </c>
      <c r="J955" s="18">
        <f>IF((OR(tbal[[#This Row],[X]]=2,tbal[[#This Row],[X]]=3)),tbal[[#This Row],[ACREEDOR]],0)</f>
        <v>0</v>
      </c>
      <c r="K955" s="16">
        <f>IF((OR(tbal[[#This Row],[X]]=3,tbal[[#This Row],[X]]=5)),tbal[[#This Row],[DEUDOR]],0)</f>
        <v>0</v>
      </c>
      <c r="L955" s="18">
        <f>IF((OR(tbal[[#This Row],[X]]=3,tbal[[#This Row],[X]]=4)),tbal[[#This Row],[ACREEDOR]],0)</f>
        <v>0</v>
      </c>
      <c r="M955" s="16">
        <f>IF((OR(tbal[[#This Row],[X]]=0,tbal[[#This Row],[X]]=6)),tbal[[#This Row],[DEUDOR]],0)</f>
        <v>0</v>
      </c>
      <c r="N955" s="18">
        <f>IF((OR(tbal[[#This Row],[X]]=0,tbal[[#This Row],[X]]=5)),tbal[[#This Row],[ACREEDOR]],0)</f>
        <v>0</v>
      </c>
    </row>
    <row r="956" spans="1:14" hidden="1" x14ac:dyDescent="0.3">
      <c r="A956" s="14">
        <f>+'PLAN DE CUENTAS'!A956</f>
        <v>0</v>
      </c>
      <c r="B956" s="13">
        <f>+'PLAN DE CUENTAS'!B956</f>
        <v>0</v>
      </c>
      <c r="C956" s="13">
        <f>+'PLAN DE CUENTAS'!C956</f>
        <v>0</v>
      </c>
      <c r="D956" t="str">
        <f>IF(tbal[[#This Row],[DEBE]]+tbal[[#This Row],[HABER]]=0,"","X")</f>
        <v/>
      </c>
      <c r="E956" s="16">
        <f>SUMIF(tdiario[CUENTA],tbal[[#This Row],[CUENTA]],tdiario[DEBE])</f>
        <v>0</v>
      </c>
      <c r="F956" s="17">
        <f>SUMIF(tdiario[CUENTA],tbal[[#This Row],[CUENTA]],tdiario[HABER])</f>
        <v>0</v>
      </c>
      <c r="G956" s="16">
        <f>IF(tbal[[#This Row],[DEBE]]-tbal[[#This Row],[HABER]]&gt;0,tbal[[#This Row],[DEBE]]-tbal[[#This Row],[HABER]],0)</f>
        <v>0</v>
      </c>
      <c r="H956" s="18">
        <f>IF(tbal[[#This Row],[HABER]]-tbal[[#This Row],[DEBE]]&gt;0,tbal[[#This Row],[HABER]]-tbal[[#This Row],[DEBE]],0)</f>
        <v>0</v>
      </c>
      <c r="I956" s="16">
        <f>IF((OR(tbal[[#This Row],[X]]=1,tbal[[#This Row],[X]]=2)),tbal[[#This Row],[DEUDOR]],0)</f>
        <v>0</v>
      </c>
      <c r="J956" s="18">
        <f>IF((OR(tbal[[#This Row],[X]]=2,tbal[[#This Row],[X]]=3)),tbal[[#This Row],[ACREEDOR]],0)</f>
        <v>0</v>
      </c>
      <c r="K956" s="16">
        <f>IF((OR(tbal[[#This Row],[X]]=3,tbal[[#This Row],[X]]=5)),tbal[[#This Row],[DEUDOR]],0)</f>
        <v>0</v>
      </c>
      <c r="L956" s="18">
        <f>IF((OR(tbal[[#This Row],[X]]=3,tbal[[#This Row],[X]]=4)),tbal[[#This Row],[ACREEDOR]],0)</f>
        <v>0</v>
      </c>
      <c r="M956" s="16">
        <f>IF((OR(tbal[[#This Row],[X]]=0,tbal[[#This Row],[X]]=6)),tbal[[#This Row],[DEUDOR]],0)</f>
        <v>0</v>
      </c>
      <c r="N956" s="18">
        <f>IF((OR(tbal[[#This Row],[X]]=0,tbal[[#This Row],[X]]=5)),tbal[[#This Row],[ACREEDOR]],0)</f>
        <v>0</v>
      </c>
    </row>
    <row r="957" spans="1:14" hidden="1" x14ac:dyDescent="0.3">
      <c r="A957" s="14">
        <f>+'PLAN DE CUENTAS'!A957</f>
        <v>0</v>
      </c>
      <c r="B957" s="13">
        <f>+'PLAN DE CUENTAS'!B957</f>
        <v>0</v>
      </c>
      <c r="C957" s="13">
        <f>+'PLAN DE CUENTAS'!C957</f>
        <v>0</v>
      </c>
      <c r="D957" t="str">
        <f>IF(tbal[[#This Row],[DEBE]]+tbal[[#This Row],[HABER]]=0,"","X")</f>
        <v/>
      </c>
      <c r="E957" s="16">
        <f>SUMIF(tdiario[CUENTA],tbal[[#This Row],[CUENTA]],tdiario[DEBE])</f>
        <v>0</v>
      </c>
      <c r="F957" s="17">
        <f>SUMIF(tdiario[CUENTA],tbal[[#This Row],[CUENTA]],tdiario[HABER])</f>
        <v>0</v>
      </c>
      <c r="G957" s="16">
        <f>IF(tbal[[#This Row],[DEBE]]-tbal[[#This Row],[HABER]]&gt;0,tbal[[#This Row],[DEBE]]-tbal[[#This Row],[HABER]],0)</f>
        <v>0</v>
      </c>
      <c r="H957" s="18">
        <f>IF(tbal[[#This Row],[HABER]]-tbal[[#This Row],[DEBE]]&gt;0,tbal[[#This Row],[HABER]]-tbal[[#This Row],[DEBE]],0)</f>
        <v>0</v>
      </c>
      <c r="I957" s="16">
        <f>IF((OR(tbal[[#This Row],[X]]=1,tbal[[#This Row],[X]]=2)),tbal[[#This Row],[DEUDOR]],0)</f>
        <v>0</v>
      </c>
      <c r="J957" s="18">
        <f>IF((OR(tbal[[#This Row],[X]]=2,tbal[[#This Row],[X]]=3)),tbal[[#This Row],[ACREEDOR]],0)</f>
        <v>0</v>
      </c>
      <c r="K957" s="16">
        <f>IF((OR(tbal[[#This Row],[X]]=3,tbal[[#This Row],[X]]=5)),tbal[[#This Row],[DEUDOR]],0)</f>
        <v>0</v>
      </c>
      <c r="L957" s="18">
        <f>IF((OR(tbal[[#This Row],[X]]=3,tbal[[#This Row],[X]]=4)),tbal[[#This Row],[ACREEDOR]],0)</f>
        <v>0</v>
      </c>
      <c r="M957" s="16">
        <f>IF((OR(tbal[[#This Row],[X]]=0,tbal[[#This Row],[X]]=6)),tbal[[#This Row],[DEUDOR]],0)</f>
        <v>0</v>
      </c>
      <c r="N957" s="18">
        <f>IF((OR(tbal[[#This Row],[X]]=0,tbal[[#This Row],[X]]=5)),tbal[[#This Row],[ACREEDOR]],0)</f>
        <v>0</v>
      </c>
    </row>
    <row r="958" spans="1:14" hidden="1" x14ac:dyDescent="0.3">
      <c r="A958" s="14">
        <f>+'PLAN DE CUENTAS'!A958</f>
        <v>0</v>
      </c>
      <c r="B958" s="13">
        <f>+'PLAN DE CUENTAS'!B958</f>
        <v>0</v>
      </c>
      <c r="C958" s="13">
        <f>+'PLAN DE CUENTAS'!C958</f>
        <v>0</v>
      </c>
      <c r="D958" t="str">
        <f>IF(tbal[[#This Row],[DEBE]]+tbal[[#This Row],[HABER]]=0,"","X")</f>
        <v/>
      </c>
      <c r="E958" s="16">
        <f>SUMIF(tdiario[CUENTA],tbal[[#This Row],[CUENTA]],tdiario[DEBE])</f>
        <v>0</v>
      </c>
      <c r="F958" s="17">
        <f>SUMIF(tdiario[CUENTA],tbal[[#This Row],[CUENTA]],tdiario[HABER])</f>
        <v>0</v>
      </c>
      <c r="G958" s="16">
        <f>IF(tbal[[#This Row],[DEBE]]-tbal[[#This Row],[HABER]]&gt;0,tbal[[#This Row],[DEBE]]-tbal[[#This Row],[HABER]],0)</f>
        <v>0</v>
      </c>
      <c r="H958" s="18">
        <f>IF(tbal[[#This Row],[HABER]]-tbal[[#This Row],[DEBE]]&gt;0,tbal[[#This Row],[HABER]]-tbal[[#This Row],[DEBE]],0)</f>
        <v>0</v>
      </c>
      <c r="I958" s="16">
        <f>IF((OR(tbal[[#This Row],[X]]=1,tbal[[#This Row],[X]]=2)),tbal[[#This Row],[DEUDOR]],0)</f>
        <v>0</v>
      </c>
      <c r="J958" s="18">
        <f>IF((OR(tbal[[#This Row],[X]]=2,tbal[[#This Row],[X]]=3)),tbal[[#This Row],[ACREEDOR]],0)</f>
        <v>0</v>
      </c>
      <c r="K958" s="16">
        <f>IF((OR(tbal[[#This Row],[X]]=3,tbal[[#This Row],[X]]=5)),tbal[[#This Row],[DEUDOR]],0)</f>
        <v>0</v>
      </c>
      <c r="L958" s="18">
        <f>IF((OR(tbal[[#This Row],[X]]=3,tbal[[#This Row],[X]]=4)),tbal[[#This Row],[ACREEDOR]],0)</f>
        <v>0</v>
      </c>
      <c r="M958" s="16">
        <f>IF((OR(tbal[[#This Row],[X]]=0,tbal[[#This Row],[X]]=6)),tbal[[#This Row],[DEUDOR]],0)</f>
        <v>0</v>
      </c>
      <c r="N958" s="18">
        <f>IF((OR(tbal[[#This Row],[X]]=0,tbal[[#This Row],[X]]=5)),tbal[[#This Row],[ACREEDOR]],0)</f>
        <v>0</v>
      </c>
    </row>
    <row r="959" spans="1:14" hidden="1" x14ac:dyDescent="0.3">
      <c r="A959" s="14">
        <f>+'PLAN DE CUENTAS'!A959</f>
        <v>0</v>
      </c>
      <c r="B959" s="13">
        <f>+'PLAN DE CUENTAS'!B959</f>
        <v>0</v>
      </c>
      <c r="C959" s="13">
        <f>+'PLAN DE CUENTAS'!C959</f>
        <v>0</v>
      </c>
      <c r="D959" t="str">
        <f>IF(tbal[[#This Row],[DEBE]]+tbal[[#This Row],[HABER]]=0,"","X")</f>
        <v/>
      </c>
      <c r="E959" s="16">
        <f>SUMIF(tdiario[CUENTA],tbal[[#This Row],[CUENTA]],tdiario[DEBE])</f>
        <v>0</v>
      </c>
      <c r="F959" s="17">
        <f>SUMIF(tdiario[CUENTA],tbal[[#This Row],[CUENTA]],tdiario[HABER])</f>
        <v>0</v>
      </c>
      <c r="G959" s="16">
        <f>IF(tbal[[#This Row],[DEBE]]-tbal[[#This Row],[HABER]]&gt;0,tbal[[#This Row],[DEBE]]-tbal[[#This Row],[HABER]],0)</f>
        <v>0</v>
      </c>
      <c r="H959" s="18">
        <f>IF(tbal[[#This Row],[HABER]]-tbal[[#This Row],[DEBE]]&gt;0,tbal[[#This Row],[HABER]]-tbal[[#This Row],[DEBE]],0)</f>
        <v>0</v>
      </c>
      <c r="I959" s="16">
        <f>IF((OR(tbal[[#This Row],[X]]=1,tbal[[#This Row],[X]]=2)),tbal[[#This Row],[DEUDOR]],0)</f>
        <v>0</v>
      </c>
      <c r="J959" s="18">
        <f>IF((OR(tbal[[#This Row],[X]]=2,tbal[[#This Row],[X]]=3)),tbal[[#This Row],[ACREEDOR]],0)</f>
        <v>0</v>
      </c>
      <c r="K959" s="16">
        <f>IF((OR(tbal[[#This Row],[X]]=3,tbal[[#This Row],[X]]=5)),tbal[[#This Row],[DEUDOR]],0)</f>
        <v>0</v>
      </c>
      <c r="L959" s="18">
        <f>IF((OR(tbal[[#This Row],[X]]=3,tbal[[#This Row],[X]]=4)),tbal[[#This Row],[ACREEDOR]],0)</f>
        <v>0</v>
      </c>
      <c r="M959" s="16">
        <f>IF((OR(tbal[[#This Row],[X]]=0,tbal[[#This Row],[X]]=6)),tbal[[#This Row],[DEUDOR]],0)</f>
        <v>0</v>
      </c>
      <c r="N959" s="18">
        <f>IF((OR(tbal[[#This Row],[X]]=0,tbal[[#This Row],[X]]=5)),tbal[[#This Row],[ACREEDOR]],0)</f>
        <v>0</v>
      </c>
    </row>
    <row r="960" spans="1:14" hidden="1" x14ac:dyDescent="0.3">
      <c r="A960" s="14">
        <f>+'PLAN DE CUENTAS'!A960</f>
        <v>0</v>
      </c>
      <c r="B960" s="13">
        <f>+'PLAN DE CUENTAS'!B960</f>
        <v>0</v>
      </c>
      <c r="C960" s="13">
        <f>+'PLAN DE CUENTAS'!C960</f>
        <v>0</v>
      </c>
      <c r="D960" t="str">
        <f>IF(tbal[[#This Row],[DEBE]]+tbal[[#This Row],[HABER]]=0,"","X")</f>
        <v/>
      </c>
      <c r="E960" s="16">
        <f>SUMIF(tdiario[CUENTA],tbal[[#This Row],[CUENTA]],tdiario[DEBE])</f>
        <v>0</v>
      </c>
      <c r="F960" s="17">
        <f>SUMIF(tdiario[CUENTA],tbal[[#This Row],[CUENTA]],tdiario[HABER])</f>
        <v>0</v>
      </c>
      <c r="G960" s="16">
        <f>IF(tbal[[#This Row],[DEBE]]-tbal[[#This Row],[HABER]]&gt;0,tbal[[#This Row],[DEBE]]-tbal[[#This Row],[HABER]],0)</f>
        <v>0</v>
      </c>
      <c r="H960" s="18">
        <f>IF(tbal[[#This Row],[HABER]]-tbal[[#This Row],[DEBE]]&gt;0,tbal[[#This Row],[HABER]]-tbal[[#This Row],[DEBE]],0)</f>
        <v>0</v>
      </c>
      <c r="I960" s="16">
        <f>IF((OR(tbal[[#This Row],[X]]=1,tbal[[#This Row],[X]]=2)),tbal[[#This Row],[DEUDOR]],0)</f>
        <v>0</v>
      </c>
      <c r="J960" s="18">
        <f>IF((OR(tbal[[#This Row],[X]]=2,tbal[[#This Row],[X]]=3)),tbal[[#This Row],[ACREEDOR]],0)</f>
        <v>0</v>
      </c>
      <c r="K960" s="16">
        <f>IF((OR(tbal[[#This Row],[X]]=3,tbal[[#This Row],[X]]=5)),tbal[[#This Row],[DEUDOR]],0)</f>
        <v>0</v>
      </c>
      <c r="L960" s="18">
        <f>IF((OR(tbal[[#This Row],[X]]=3,tbal[[#This Row],[X]]=4)),tbal[[#This Row],[ACREEDOR]],0)</f>
        <v>0</v>
      </c>
      <c r="M960" s="16">
        <f>IF((OR(tbal[[#This Row],[X]]=0,tbal[[#This Row],[X]]=6)),tbal[[#This Row],[DEUDOR]],0)</f>
        <v>0</v>
      </c>
      <c r="N960" s="18">
        <f>IF((OR(tbal[[#This Row],[X]]=0,tbal[[#This Row],[X]]=5)),tbal[[#This Row],[ACREEDOR]],0)</f>
        <v>0</v>
      </c>
    </row>
    <row r="961" spans="1:14" hidden="1" x14ac:dyDescent="0.3">
      <c r="A961" s="14">
        <f>+'PLAN DE CUENTAS'!A961</f>
        <v>0</v>
      </c>
      <c r="B961" s="13">
        <f>+'PLAN DE CUENTAS'!B961</f>
        <v>0</v>
      </c>
      <c r="C961" s="13">
        <f>+'PLAN DE CUENTAS'!C961</f>
        <v>0</v>
      </c>
      <c r="D961" t="str">
        <f>IF(tbal[[#This Row],[DEBE]]+tbal[[#This Row],[HABER]]=0,"","X")</f>
        <v/>
      </c>
      <c r="E961" s="16">
        <f>SUMIF(tdiario[CUENTA],tbal[[#This Row],[CUENTA]],tdiario[DEBE])</f>
        <v>0</v>
      </c>
      <c r="F961" s="17">
        <f>SUMIF(tdiario[CUENTA],tbal[[#This Row],[CUENTA]],tdiario[HABER])</f>
        <v>0</v>
      </c>
      <c r="G961" s="16">
        <f>IF(tbal[[#This Row],[DEBE]]-tbal[[#This Row],[HABER]]&gt;0,tbal[[#This Row],[DEBE]]-tbal[[#This Row],[HABER]],0)</f>
        <v>0</v>
      </c>
      <c r="H961" s="18">
        <f>IF(tbal[[#This Row],[HABER]]-tbal[[#This Row],[DEBE]]&gt;0,tbal[[#This Row],[HABER]]-tbal[[#This Row],[DEBE]],0)</f>
        <v>0</v>
      </c>
      <c r="I961" s="16">
        <f>IF((OR(tbal[[#This Row],[X]]=1,tbal[[#This Row],[X]]=2)),tbal[[#This Row],[DEUDOR]],0)</f>
        <v>0</v>
      </c>
      <c r="J961" s="18">
        <f>IF((OR(tbal[[#This Row],[X]]=2,tbal[[#This Row],[X]]=3)),tbal[[#This Row],[ACREEDOR]],0)</f>
        <v>0</v>
      </c>
      <c r="K961" s="16">
        <f>IF((OR(tbal[[#This Row],[X]]=3,tbal[[#This Row],[X]]=5)),tbal[[#This Row],[DEUDOR]],0)</f>
        <v>0</v>
      </c>
      <c r="L961" s="18">
        <f>IF((OR(tbal[[#This Row],[X]]=3,tbal[[#This Row],[X]]=4)),tbal[[#This Row],[ACREEDOR]],0)</f>
        <v>0</v>
      </c>
      <c r="M961" s="16">
        <f>IF((OR(tbal[[#This Row],[X]]=0,tbal[[#This Row],[X]]=6)),tbal[[#This Row],[DEUDOR]],0)</f>
        <v>0</v>
      </c>
      <c r="N961" s="18">
        <f>IF((OR(tbal[[#This Row],[X]]=0,tbal[[#This Row],[X]]=5)),tbal[[#This Row],[ACREEDOR]],0)</f>
        <v>0</v>
      </c>
    </row>
    <row r="962" spans="1:14" hidden="1" x14ac:dyDescent="0.3">
      <c r="A962" s="14">
        <f>+'PLAN DE CUENTAS'!A962</f>
        <v>0</v>
      </c>
      <c r="B962" s="13">
        <f>+'PLAN DE CUENTAS'!B962</f>
        <v>0</v>
      </c>
      <c r="C962" s="13">
        <f>+'PLAN DE CUENTAS'!C962</f>
        <v>0</v>
      </c>
      <c r="D962" t="str">
        <f>IF(tbal[[#This Row],[DEBE]]+tbal[[#This Row],[HABER]]=0,"","X")</f>
        <v/>
      </c>
      <c r="E962" s="16">
        <f>SUMIF(tdiario[CUENTA],tbal[[#This Row],[CUENTA]],tdiario[DEBE])</f>
        <v>0</v>
      </c>
      <c r="F962" s="17">
        <f>SUMIF(tdiario[CUENTA],tbal[[#This Row],[CUENTA]],tdiario[HABER])</f>
        <v>0</v>
      </c>
      <c r="G962" s="16">
        <f>IF(tbal[[#This Row],[DEBE]]-tbal[[#This Row],[HABER]]&gt;0,tbal[[#This Row],[DEBE]]-tbal[[#This Row],[HABER]],0)</f>
        <v>0</v>
      </c>
      <c r="H962" s="18">
        <f>IF(tbal[[#This Row],[HABER]]-tbal[[#This Row],[DEBE]]&gt;0,tbal[[#This Row],[HABER]]-tbal[[#This Row],[DEBE]],0)</f>
        <v>0</v>
      </c>
      <c r="I962" s="16">
        <f>IF((OR(tbal[[#This Row],[X]]=1,tbal[[#This Row],[X]]=2)),tbal[[#This Row],[DEUDOR]],0)</f>
        <v>0</v>
      </c>
      <c r="J962" s="18">
        <f>IF((OR(tbal[[#This Row],[X]]=2,tbal[[#This Row],[X]]=3)),tbal[[#This Row],[ACREEDOR]],0)</f>
        <v>0</v>
      </c>
      <c r="K962" s="16">
        <f>IF((OR(tbal[[#This Row],[X]]=3,tbal[[#This Row],[X]]=5)),tbal[[#This Row],[DEUDOR]],0)</f>
        <v>0</v>
      </c>
      <c r="L962" s="18">
        <f>IF((OR(tbal[[#This Row],[X]]=3,tbal[[#This Row],[X]]=4)),tbal[[#This Row],[ACREEDOR]],0)</f>
        <v>0</v>
      </c>
      <c r="M962" s="16">
        <f>IF((OR(tbal[[#This Row],[X]]=0,tbal[[#This Row],[X]]=6)),tbal[[#This Row],[DEUDOR]],0)</f>
        <v>0</v>
      </c>
      <c r="N962" s="18">
        <f>IF((OR(tbal[[#This Row],[X]]=0,tbal[[#This Row],[X]]=5)),tbal[[#This Row],[ACREEDOR]],0)</f>
        <v>0</v>
      </c>
    </row>
    <row r="963" spans="1:14" hidden="1" x14ac:dyDescent="0.3">
      <c r="A963" s="14">
        <f>+'PLAN DE CUENTAS'!A963</f>
        <v>0</v>
      </c>
      <c r="B963" s="13">
        <f>+'PLAN DE CUENTAS'!B963</f>
        <v>0</v>
      </c>
      <c r="C963" s="13">
        <f>+'PLAN DE CUENTAS'!C963</f>
        <v>0</v>
      </c>
      <c r="D963" t="str">
        <f>IF(tbal[[#This Row],[DEBE]]+tbal[[#This Row],[HABER]]=0,"","X")</f>
        <v/>
      </c>
      <c r="E963" s="16">
        <f>SUMIF(tdiario[CUENTA],tbal[[#This Row],[CUENTA]],tdiario[DEBE])</f>
        <v>0</v>
      </c>
      <c r="F963" s="17">
        <f>SUMIF(tdiario[CUENTA],tbal[[#This Row],[CUENTA]],tdiario[HABER])</f>
        <v>0</v>
      </c>
      <c r="G963" s="16">
        <f>IF(tbal[[#This Row],[DEBE]]-tbal[[#This Row],[HABER]]&gt;0,tbal[[#This Row],[DEBE]]-tbal[[#This Row],[HABER]],0)</f>
        <v>0</v>
      </c>
      <c r="H963" s="18">
        <f>IF(tbal[[#This Row],[HABER]]-tbal[[#This Row],[DEBE]]&gt;0,tbal[[#This Row],[HABER]]-tbal[[#This Row],[DEBE]],0)</f>
        <v>0</v>
      </c>
      <c r="I963" s="16">
        <f>IF((OR(tbal[[#This Row],[X]]=1,tbal[[#This Row],[X]]=2)),tbal[[#This Row],[DEUDOR]],0)</f>
        <v>0</v>
      </c>
      <c r="J963" s="18">
        <f>IF((OR(tbal[[#This Row],[X]]=2,tbal[[#This Row],[X]]=3)),tbal[[#This Row],[ACREEDOR]],0)</f>
        <v>0</v>
      </c>
      <c r="K963" s="16">
        <f>IF((OR(tbal[[#This Row],[X]]=3,tbal[[#This Row],[X]]=5)),tbal[[#This Row],[DEUDOR]],0)</f>
        <v>0</v>
      </c>
      <c r="L963" s="18">
        <f>IF((OR(tbal[[#This Row],[X]]=3,tbal[[#This Row],[X]]=4)),tbal[[#This Row],[ACREEDOR]],0)</f>
        <v>0</v>
      </c>
      <c r="M963" s="16">
        <f>IF((OR(tbal[[#This Row],[X]]=0,tbal[[#This Row],[X]]=6)),tbal[[#This Row],[DEUDOR]],0)</f>
        <v>0</v>
      </c>
      <c r="N963" s="18">
        <f>IF((OR(tbal[[#This Row],[X]]=0,tbal[[#This Row],[X]]=5)),tbal[[#This Row],[ACREEDOR]],0)</f>
        <v>0</v>
      </c>
    </row>
    <row r="964" spans="1:14" hidden="1" x14ac:dyDescent="0.3">
      <c r="A964" s="14">
        <f>+'PLAN DE CUENTAS'!A964</f>
        <v>0</v>
      </c>
      <c r="B964" s="13">
        <f>+'PLAN DE CUENTAS'!B964</f>
        <v>0</v>
      </c>
      <c r="C964" s="13">
        <f>+'PLAN DE CUENTAS'!C964</f>
        <v>0</v>
      </c>
      <c r="D964" t="str">
        <f>IF(tbal[[#This Row],[DEBE]]+tbal[[#This Row],[HABER]]=0,"","X")</f>
        <v/>
      </c>
      <c r="E964" s="16">
        <f>SUMIF(tdiario[CUENTA],tbal[[#This Row],[CUENTA]],tdiario[DEBE])</f>
        <v>0</v>
      </c>
      <c r="F964" s="17">
        <f>SUMIF(tdiario[CUENTA],tbal[[#This Row],[CUENTA]],tdiario[HABER])</f>
        <v>0</v>
      </c>
      <c r="G964" s="16">
        <f>IF(tbal[[#This Row],[DEBE]]-tbal[[#This Row],[HABER]]&gt;0,tbal[[#This Row],[DEBE]]-tbal[[#This Row],[HABER]],0)</f>
        <v>0</v>
      </c>
      <c r="H964" s="18">
        <f>IF(tbal[[#This Row],[HABER]]-tbal[[#This Row],[DEBE]]&gt;0,tbal[[#This Row],[HABER]]-tbal[[#This Row],[DEBE]],0)</f>
        <v>0</v>
      </c>
      <c r="I964" s="16">
        <f>IF((OR(tbal[[#This Row],[X]]=1,tbal[[#This Row],[X]]=2)),tbal[[#This Row],[DEUDOR]],0)</f>
        <v>0</v>
      </c>
      <c r="J964" s="18">
        <f>IF((OR(tbal[[#This Row],[X]]=2,tbal[[#This Row],[X]]=3)),tbal[[#This Row],[ACREEDOR]],0)</f>
        <v>0</v>
      </c>
      <c r="K964" s="16">
        <f>IF((OR(tbal[[#This Row],[X]]=3,tbal[[#This Row],[X]]=5)),tbal[[#This Row],[DEUDOR]],0)</f>
        <v>0</v>
      </c>
      <c r="L964" s="18">
        <f>IF((OR(tbal[[#This Row],[X]]=3,tbal[[#This Row],[X]]=4)),tbal[[#This Row],[ACREEDOR]],0)</f>
        <v>0</v>
      </c>
      <c r="M964" s="16">
        <f>IF((OR(tbal[[#This Row],[X]]=0,tbal[[#This Row],[X]]=6)),tbal[[#This Row],[DEUDOR]],0)</f>
        <v>0</v>
      </c>
      <c r="N964" s="18">
        <f>IF((OR(tbal[[#This Row],[X]]=0,tbal[[#This Row],[X]]=5)),tbal[[#This Row],[ACREEDOR]],0)</f>
        <v>0</v>
      </c>
    </row>
    <row r="965" spans="1:14" hidden="1" x14ac:dyDescent="0.3">
      <c r="A965" s="14">
        <f>+'PLAN DE CUENTAS'!A965</f>
        <v>0</v>
      </c>
      <c r="B965" s="13">
        <f>+'PLAN DE CUENTAS'!B965</f>
        <v>0</v>
      </c>
      <c r="C965" s="13">
        <f>+'PLAN DE CUENTAS'!C965</f>
        <v>0</v>
      </c>
      <c r="D965" t="str">
        <f>IF(tbal[[#This Row],[DEBE]]+tbal[[#This Row],[HABER]]=0,"","X")</f>
        <v/>
      </c>
      <c r="E965" s="16">
        <f>SUMIF(tdiario[CUENTA],tbal[[#This Row],[CUENTA]],tdiario[DEBE])</f>
        <v>0</v>
      </c>
      <c r="F965" s="17">
        <f>SUMIF(tdiario[CUENTA],tbal[[#This Row],[CUENTA]],tdiario[HABER])</f>
        <v>0</v>
      </c>
      <c r="G965" s="16">
        <f>IF(tbal[[#This Row],[DEBE]]-tbal[[#This Row],[HABER]]&gt;0,tbal[[#This Row],[DEBE]]-tbal[[#This Row],[HABER]],0)</f>
        <v>0</v>
      </c>
      <c r="H965" s="18">
        <f>IF(tbal[[#This Row],[HABER]]-tbal[[#This Row],[DEBE]]&gt;0,tbal[[#This Row],[HABER]]-tbal[[#This Row],[DEBE]],0)</f>
        <v>0</v>
      </c>
      <c r="I965" s="16">
        <f>IF((OR(tbal[[#This Row],[X]]=1,tbal[[#This Row],[X]]=2)),tbal[[#This Row],[DEUDOR]],0)</f>
        <v>0</v>
      </c>
      <c r="J965" s="18">
        <f>IF((OR(tbal[[#This Row],[X]]=2,tbal[[#This Row],[X]]=3)),tbal[[#This Row],[ACREEDOR]],0)</f>
        <v>0</v>
      </c>
      <c r="K965" s="16">
        <f>IF((OR(tbal[[#This Row],[X]]=3,tbal[[#This Row],[X]]=5)),tbal[[#This Row],[DEUDOR]],0)</f>
        <v>0</v>
      </c>
      <c r="L965" s="18">
        <f>IF((OR(tbal[[#This Row],[X]]=3,tbal[[#This Row],[X]]=4)),tbal[[#This Row],[ACREEDOR]],0)</f>
        <v>0</v>
      </c>
      <c r="M965" s="16">
        <f>IF((OR(tbal[[#This Row],[X]]=0,tbal[[#This Row],[X]]=6)),tbal[[#This Row],[DEUDOR]],0)</f>
        <v>0</v>
      </c>
      <c r="N965" s="18">
        <f>IF((OR(tbal[[#This Row],[X]]=0,tbal[[#This Row],[X]]=5)),tbal[[#This Row],[ACREEDOR]],0)</f>
        <v>0</v>
      </c>
    </row>
    <row r="966" spans="1:14" hidden="1" x14ac:dyDescent="0.3">
      <c r="A966" s="14">
        <f>+'PLAN DE CUENTAS'!A966</f>
        <v>0</v>
      </c>
      <c r="B966" s="13">
        <f>+'PLAN DE CUENTAS'!B966</f>
        <v>0</v>
      </c>
      <c r="C966" s="13">
        <f>+'PLAN DE CUENTAS'!C966</f>
        <v>0</v>
      </c>
      <c r="D966" t="str">
        <f>IF(tbal[[#This Row],[DEBE]]+tbal[[#This Row],[HABER]]=0,"","X")</f>
        <v/>
      </c>
      <c r="E966" s="16">
        <f>SUMIF(tdiario[CUENTA],tbal[[#This Row],[CUENTA]],tdiario[DEBE])</f>
        <v>0</v>
      </c>
      <c r="F966" s="17">
        <f>SUMIF(tdiario[CUENTA],tbal[[#This Row],[CUENTA]],tdiario[HABER])</f>
        <v>0</v>
      </c>
      <c r="G966" s="16">
        <f>IF(tbal[[#This Row],[DEBE]]-tbal[[#This Row],[HABER]]&gt;0,tbal[[#This Row],[DEBE]]-tbal[[#This Row],[HABER]],0)</f>
        <v>0</v>
      </c>
      <c r="H966" s="18">
        <f>IF(tbal[[#This Row],[HABER]]-tbal[[#This Row],[DEBE]]&gt;0,tbal[[#This Row],[HABER]]-tbal[[#This Row],[DEBE]],0)</f>
        <v>0</v>
      </c>
      <c r="I966" s="16">
        <f>IF((OR(tbal[[#This Row],[X]]=1,tbal[[#This Row],[X]]=2)),tbal[[#This Row],[DEUDOR]],0)</f>
        <v>0</v>
      </c>
      <c r="J966" s="18">
        <f>IF((OR(tbal[[#This Row],[X]]=2,tbal[[#This Row],[X]]=3)),tbal[[#This Row],[ACREEDOR]],0)</f>
        <v>0</v>
      </c>
      <c r="K966" s="16">
        <f>IF((OR(tbal[[#This Row],[X]]=3,tbal[[#This Row],[X]]=5)),tbal[[#This Row],[DEUDOR]],0)</f>
        <v>0</v>
      </c>
      <c r="L966" s="18">
        <f>IF((OR(tbal[[#This Row],[X]]=3,tbal[[#This Row],[X]]=4)),tbal[[#This Row],[ACREEDOR]],0)</f>
        <v>0</v>
      </c>
      <c r="M966" s="16">
        <f>IF((OR(tbal[[#This Row],[X]]=0,tbal[[#This Row],[X]]=6)),tbal[[#This Row],[DEUDOR]],0)</f>
        <v>0</v>
      </c>
      <c r="N966" s="18">
        <f>IF((OR(tbal[[#This Row],[X]]=0,tbal[[#This Row],[X]]=5)),tbal[[#This Row],[ACREEDOR]],0)</f>
        <v>0</v>
      </c>
    </row>
    <row r="967" spans="1:14" hidden="1" x14ac:dyDescent="0.3">
      <c r="A967" s="14">
        <f>+'PLAN DE CUENTAS'!A967</f>
        <v>0</v>
      </c>
      <c r="B967" s="13">
        <f>+'PLAN DE CUENTAS'!B967</f>
        <v>0</v>
      </c>
      <c r="C967" s="13">
        <f>+'PLAN DE CUENTAS'!C967</f>
        <v>0</v>
      </c>
      <c r="D967" t="str">
        <f>IF(tbal[[#This Row],[DEBE]]+tbal[[#This Row],[HABER]]=0,"","X")</f>
        <v/>
      </c>
      <c r="E967" s="16">
        <f>SUMIF(tdiario[CUENTA],tbal[[#This Row],[CUENTA]],tdiario[DEBE])</f>
        <v>0</v>
      </c>
      <c r="F967" s="17">
        <f>SUMIF(tdiario[CUENTA],tbal[[#This Row],[CUENTA]],tdiario[HABER])</f>
        <v>0</v>
      </c>
      <c r="G967" s="16">
        <f>IF(tbal[[#This Row],[DEBE]]-tbal[[#This Row],[HABER]]&gt;0,tbal[[#This Row],[DEBE]]-tbal[[#This Row],[HABER]],0)</f>
        <v>0</v>
      </c>
      <c r="H967" s="18">
        <f>IF(tbal[[#This Row],[HABER]]-tbal[[#This Row],[DEBE]]&gt;0,tbal[[#This Row],[HABER]]-tbal[[#This Row],[DEBE]],0)</f>
        <v>0</v>
      </c>
      <c r="I967" s="16">
        <f>IF((OR(tbal[[#This Row],[X]]=1,tbal[[#This Row],[X]]=2)),tbal[[#This Row],[DEUDOR]],0)</f>
        <v>0</v>
      </c>
      <c r="J967" s="18">
        <f>IF((OR(tbal[[#This Row],[X]]=2,tbal[[#This Row],[X]]=3)),tbal[[#This Row],[ACREEDOR]],0)</f>
        <v>0</v>
      </c>
      <c r="K967" s="16">
        <f>IF((OR(tbal[[#This Row],[X]]=3,tbal[[#This Row],[X]]=5)),tbal[[#This Row],[DEUDOR]],0)</f>
        <v>0</v>
      </c>
      <c r="L967" s="18">
        <f>IF((OR(tbal[[#This Row],[X]]=3,tbal[[#This Row],[X]]=4)),tbal[[#This Row],[ACREEDOR]],0)</f>
        <v>0</v>
      </c>
      <c r="M967" s="16">
        <f>IF((OR(tbal[[#This Row],[X]]=0,tbal[[#This Row],[X]]=6)),tbal[[#This Row],[DEUDOR]],0)</f>
        <v>0</v>
      </c>
      <c r="N967" s="18">
        <f>IF((OR(tbal[[#This Row],[X]]=0,tbal[[#This Row],[X]]=5)),tbal[[#This Row],[ACREEDOR]],0)</f>
        <v>0</v>
      </c>
    </row>
    <row r="968" spans="1:14" hidden="1" x14ac:dyDescent="0.3">
      <c r="A968" s="14">
        <f>+'PLAN DE CUENTAS'!A968</f>
        <v>0</v>
      </c>
      <c r="B968" s="13">
        <f>+'PLAN DE CUENTAS'!B968</f>
        <v>0</v>
      </c>
      <c r="C968" s="13">
        <f>+'PLAN DE CUENTAS'!C968</f>
        <v>0</v>
      </c>
      <c r="D968" t="str">
        <f>IF(tbal[[#This Row],[DEBE]]+tbal[[#This Row],[HABER]]=0,"","X")</f>
        <v/>
      </c>
      <c r="E968" s="16">
        <f>SUMIF(tdiario[CUENTA],tbal[[#This Row],[CUENTA]],tdiario[DEBE])</f>
        <v>0</v>
      </c>
      <c r="F968" s="17">
        <f>SUMIF(tdiario[CUENTA],tbal[[#This Row],[CUENTA]],tdiario[HABER])</f>
        <v>0</v>
      </c>
      <c r="G968" s="16">
        <f>IF(tbal[[#This Row],[DEBE]]-tbal[[#This Row],[HABER]]&gt;0,tbal[[#This Row],[DEBE]]-tbal[[#This Row],[HABER]],0)</f>
        <v>0</v>
      </c>
      <c r="H968" s="18">
        <f>IF(tbal[[#This Row],[HABER]]-tbal[[#This Row],[DEBE]]&gt;0,tbal[[#This Row],[HABER]]-tbal[[#This Row],[DEBE]],0)</f>
        <v>0</v>
      </c>
      <c r="I968" s="16">
        <f>IF((OR(tbal[[#This Row],[X]]=1,tbal[[#This Row],[X]]=2)),tbal[[#This Row],[DEUDOR]],0)</f>
        <v>0</v>
      </c>
      <c r="J968" s="18">
        <f>IF((OR(tbal[[#This Row],[X]]=2,tbal[[#This Row],[X]]=3)),tbal[[#This Row],[ACREEDOR]],0)</f>
        <v>0</v>
      </c>
      <c r="K968" s="16">
        <f>IF((OR(tbal[[#This Row],[X]]=3,tbal[[#This Row],[X]]=5)),tbal[[#This Row],[DEUDOR]],0)</f>
        <v>0</v>
      </c>
      <c r="L968" s="18">
        <f>IF((OR(tbal[[#This Row],[X]]=3,tbal[[#This Row],[X]]=4)),tbal[[#This Row],[ACREEDOR]],0)</f>
        <v>0</v>
      </c>
      <c r="M968" s="16">
        <f>IF((OR(tbal[[#This Row],[X]]=0,tbal[[#This Row],[X]]=6)),tbal[[#This Row],[DEUDOR]],0)</f>
        <v>0</v>
      </c>
      <c r="N968" s="18">
        <f>IF((OR(tbal[[#This Row],[X]]=0,tbal[[#This Row],[X]]=5)),tbal[[#This Row],[ACREEDOR]],0)</f>
        <v>0</v>
      </c>
    </row>
    <row r="969" spans="1:14" hidden="1" x14ac:dyDescent="0.3">
      <c r="A969" s="14">
        <f>+'PLAN DE CUENTAS'!A969</f>
        <v>0</v>
      </c>
      <c r="B969" s="13">
        <f>+'PLAN DE CUENTAS'!B969</f>
        <v>0</v>
      </c>
      <c r="C969" s="13">
        <f>+'PLAN DE CUENTAS'!C969</f>
        <v>0</v>
      </c>
      <c r="D969" t="str">
        <f>IF(tbal[[#This Row],[DEBE]]+tbal[[#This Row],[HABER]]=0,"","X")</f>
        <v/>
      </c>
      <c r="E969" s="16">
        <f>SUMIF(tdiario[CUENTA],tbal[[#This Row],[CUENTA]],tdiario[DEBE])</f>
        <v>0</v>
      </c>
      <c r="F969" s="17">
        <f>SUMIF(tdiario[CUENTA],tbal[[#This Row],[CUENTA]],tdiario[HABER])</f>
        <v>0</v>
      </c>
      <c r="G969" s="16">
        <f>IF(tbal[[#This Row],[DEBE]]-tbal[[#This Row],[HABER]]&gt;0,tbal[[#This Row],[DEBE]]-tbal[[#This Row],[HABER]],0)</f>
        <v>0</v>
      </c>
      <c r="H969" s="18">
        <f>IF(tbal[[#This Row],[HABER]]-tbal[[#This Row],[DEBE]]&gt;0,tbal[[#This Row],[HABER]]-tbal[[#This Row],[DEBE]],0)</f>
        <v>0</v>
      </c>
      <c r="I969" s="16">
        <f>IF((OR(tbal[[#This Row],[X]]=1,tbal[[#This Row],[X]]=2)),tbal[[#This Row],[DEUDOR]],0)</f>
        <v>0</v>
      </c>
      <c r="J969" s="18">
        <f>IF((OR(tbal[[#This Row],[X]]=2,tbal[[#This Row],[X]]=3)),tbal[[#This Row],[ACREEDOR]],0)</f>
        <v>0</v>
      </c>
      <c r="K969" s="16">
        <f>IF((OR(tbal[[#This Row],[X]]=3,tbal[[#This Row],[X]]=5)),tbal[[#This Row],[DEUDOR]],0)</f>
        <v>0</v>
      </c>
      <c r="L969" s="18">
        <f>IF((OR(tbal[[#This Row],[X]]=3,tbal[[#This Row],[X]]=4)),tbal[[#This Row],[ACREEDOR]],0)</f>
        <v>0</v>
      </c>
      <c r="M969" s="16">
        <f>IF((OR(tbal[[#This Row],[X]]=0,tbal[[#This Row],[X]]=6)),tbal[[#This Row],[DEUDOR]],0)</f>
        <v>0</v>
      </c>
      <c r="N969" s="18">
        <f>IF((OR(tbal[[#This Row],[X]]=0,tbal[[#This Row],[X]]=5)),tbal[[#This Row],[ACREEDOR]],0)</f>
        <v>0</v>
      </c>
    </row>
    <row r="970" spans="1:14" hidden="1" x14ac:dyDescent="0.3">
      <c r="A970" s="14">
        <f>+'PLAN DE CUENTAS'!A970</f>
        <v>0</v>
      </c>
      <c r="B970" s="13">
        <f>+'PLAN DE CUENTAS'!B970</f>
        <v>0</v>
      </c>
      <c r="C970" s="13">
        <f>+'PLAN DE CUENTAS'!C970</f>
        <v>0</v>
      </c>
      <c r="D970" t="str">
        <f>IF(tbal[[#This Row],[DEBE]]+tbal[[#This Row],[HABER]]=0,"","X")</f>
        <v/>
      </c>
      <c r="E970" s="16">
        <f>SUMIF(tdiario[CUENTA],tbal[[#This Row],[CUENTA]],tdiario[DEBE])</f>
        <v>0</v>
      </c>
      <c r="F970" s="17">
        <f>SUMIF(tdiario[CUENTA],tbal[[#This Row],[CUENTA]],tdiario[HABER])</f>
        <v>0</v>
      </c>
      <c r="G970" s="16">
        <f>IF(tbal[[#This Row],[DEBE]]-tbal[[#This Row],[HABER]]&gt;0,tbal[[#This Row],[DEBE]]-tbal[[#This Row],[HABER]],0)</f>
        <v>0</v>
      </c>
      <c r="H970" s="18">
        <f>IF(tbal[[#This Row],[HABER]]-tbal[[#This Row],[DEBE]]&gt;0,tbal[[#This Row],[HABER]]-tbal[[#This Row],[DEBE]],0)</f>
        <v>0</v>
      </c>
      <c r="I970" s="16">
        <f>IF((OR(tbal[[#This Row],[X]]=1,tbal[[#This Row],[X]]=2)),tbal[[#This Row],[DEUDOR]],0)</f>
        <v>0</v>
      </c>
      <c r="J970" s="18">
        <f>IF((OR(tbal[[#This Row],[X]]=2,tbal[[#This Row],[X]]=3)),tbal[[#This Row],[ACREEDOR]],0)</f>
        <v>0</v>
      </c>
      <c r="K970" s="16">
        <f>IF((OR(tbal[[#This Row],[X]]=3,tbal[[#This Row],[X]]=5)),tbal[[#This Row],[DEUDOR]],0)</f>
        <v>0</v>
      </c>
      <c r="L970" s="18">
        <f>IF((OR(tbal[[#This Row],[X]]=3,tbal[[#This Row],[X]]=4)),tbal[[#This Row],[ACREEDOR]],0)</f>
        <v>0</v>
      </c>
      <c r="M970" s="16">
        <f>IF((OR(tbal[[#This Row],[X]]=0,tbal[[#This Row],[X]]=6)),tbal[[#This Row],[DEUDOR]],0)</f>
        <v>0</v>
      </c>
      <c r="N970" s="18">
        <f>IF((OR(tbal[[#This Row],[X]]=0,tbal[[#This Row],[X]]=5)),tbal[[#This Row],[ACREEDOR]],0)</f>
        <v>0</v>
      </c>
    </row>
    <row r="971" spans="1:14" hidden="1" x14ac:dyDescent="0.3">
      <c r="A971" s="14">
        <f>+'PLAN DE CUENTAS'!A971</f>
        <v>0</v>
      </c>
      <c r="B971" s="13">
        <f>+'PLAN DE CUENTAS'!B971</f>
        <v>0</v>
      </c>
      <c r="C971" s="13">
        <f>+'PLAN DE CUENTAS'!C971</f>
        <v>0</v>
      </c>
      <c r="D971" t="str">
        <f>IF(tbal[[#This Row],[DEBE]]+tbal[[#This Row],[HABER]]=0,"","X")</f>
        <v/>
      </c>
      <c r="E971" s="16">
        <f>SUMIF(tdiario[CUENTA],tbal[[#This Row],[CUENTA]],tdiario[DEBE])</f>
        <v>0</v>
      </c>
      <c r="F971" s="17">
        <f>SUMIF(tdiario[CUENTA],tbal[[#This Row],[CUENTA]],tdiario[HABER])</f>
        <v>0</v>
      </c>
      <c r="G971" s="16">
        <f>IF(tbal[[#This Row],[DEBE]]-tbal[[#This Row],[HABER]]&gt;0,tbal[[#This Row],[DEBE]]-tbal[[#This Row],[HABER]],0)</f>
        <v>0</v>
      </c>
      <c r="H971" s="18">
        <f>IF(tbal[[#This Row],[HABER]]-tbal[[#This Row],[DEBE]]&gt;0,tbal[[#This Row],[HABER]]-tbal[[#This Row],[DEBE]],0)</f>
        <v>0</v>
      </c>
      <c r="I971" s="16">
        <f>IF((OR(tbal[[#This Row],[X]]=1,tbal[[#This Row],[X]]=2)),tbal[[#This Row],[DEUDOR]],0)</f>
        <v>0</v>
      </c>
      <c r="J971" s="18">
        <f>IF((OR(tbal[[#This Row],[X]]=2,tbal[[#This Row],[X]]=3)),tbal[[#This Row],[ACREEDOR]],0)</f>
        <v>0</v>
      </c>
      <c r="K971" s="16">
        <f>IF((OR(tbal[[#This Row],[X]]=3,tbal[[#This Row],[X]]=5)),tbal[[#This Row],[DEUDOR]],0)</f>
        <v>0</v>
      </c>
      <c r="L971" s="18">
        <f>IF((OR(tbal[[#This Row],[X]]=3,tbal[[#This Row],[X]]=4)),tbal[[#This Row],[ACREEDOR]],0)</f>
        <v>0</v>
      </c>
      <c r="M971" s="16">
        <f>IF((OR(tbal[[#This Row],[X]]=0,tbal[[#This Row],[X]]=6)),tbal[[#This Row],[DEUDOR]],0)</f>
        <v>0</v>
      </c>
      <c r="N971" s="18">
        <f>IF((OR(tbal[[#This Row],[X]]=0,tbal[[#This Row],[X]]=5)),tbal[[#This Row],[ACREEDOR]],0)</f>
        <v>0</v>
      </c>
    </row>
    <row r="972" spans="1:14" hidden="1" x14ac:dyDescent="0.3">
      <c r="A972" s="14">
        <f>+'PLAN DE CUENTAS'!A972</f>
        <v>0</v>
      </c>
      <c r="B972" s="13">
        <f>+'PLAN DE CUENTAS'!B972</f>
        <v>0</v>
      </c>
      <c r="C972" s="13">
        <f>+'PLAN DE CUENTAS'!C972</f>
        <v>0</v>
      </c>
      <c r="D972" t="str">
        <f>IF(tbal[[#This Row],[DEBE]]+tbal[[#This Row],[HABER]]=0,"","X")</f>
        <v/>
      </c>
      <c r="E972" s="16">
        <f>SUMIF(tdiario[CUENTA],tbal[[#This Row],[CUENTA]],tdiario[DEBE])</f>
        <v>0</v>
      </c>
      <c r="F972" s="17">
        <f>SUMIF(tdiario[CUENTA],tbal[[#This Row],[CUENTA]],tdiario[HABER])</f>
        <v>0</v>
      </c>
      <c r="G972" s="16">
        <f>IF(tbal[[#This Row],[DEBE]]-tbal[[#This Row],[HABER]]&gt;0,tbal[[#This Row],[DEBE]]-tbal[[#This Row],[HABER]],0)</f>
        <v>0</v>
      </c>
      <c r="H972" s="18">
        <f>IF(tbal[[#This Row],[HABER]]-tbal[[#This Row],[DEBE]]&gt;0,tbal[[#This Row],[HABER]]-tbal[[#This Row],[DEBE]],0)</f>
        <v>0</v>
      </c>
      <c r="I972" s="16">
        <f>IF((OR(tbal[[#This Row],[X]]=1,tbal[[#This Row],[X]]=2)),tbal[[#This Row],[DEUDOR]],0)</f>
        <v>0</v>
      </c>
      <c r="J972" s="18">
        <f>IF((OR(tbal[[#This Row],[X]]=2,tbal[[#This Row],[X]]=3)),tbal[[#This Row],[ACREEDOR]],0)</f>
        <v>0</v>
      </c>
      <c r="K972" s="16">
        <f>IF((OR(tbal[[#This Row],[X]]=3,tbal[[#This Row],[X]]=5)),tbal[[#This Row],[DEUDOR]],0)</f>
        <v>0</v>
      </c>
      <c r="L972" s="18">
        <f>IF((OR(tbal[[#This Row],[X]]=3,tbal[[#This Row],[X]]=4)),tbal[[#This Row],[ACREEDOR]],0)</f>
        <v>0</v>
      </c>
      <c r="M972" s="16">
        <f>IF((OR(tbal[[#This Row],[X]]=0,tbal[[#This Row],[X]]=6)),tbal[[#This Row],[DEUDOR]],0)</f>
        <v>0</v>
      </c>
      <c r="N972" s="18">
        <f>IF((OR(tbal[[#This Row],[X]]=0,tbal[[#This Row],[X]]=5)),tbal[[#This Row],[ACREEDOR]],0)</f>
        <v>0</v>
      </c>
    </row>
    <row r="973" spans="1:14" hidden="1" x14ac:dyDescent="0.3">
      <c r="A973" s="14">
        <f>+'PLAN DE CUENTAS'!A973</f>
        <v>0</v>
      </c>
      <c r="B973" s="13">
        <f>+'PLAN DE CUENTAS'!B973</f>
        <v>0</v>
      </c>
      <c r="C973" s="13">
        <f>+'PLAN DE CUENTAS'!C973</f>
        <v>0</v>
      </c>
      <c r="D973" t="str">
        <f>IF(tbal[[#This Row],[DEBE]]+tbal[[#This Row],[HABER]]=0,"","X")</f>
        <v/>
      </c>
      <c r="E973" s="16">
        <f>SUMIF(tdiario[CUENTA],tbal[[#This Row],[CUENTA]],tdiario[DEBE])</f>
        <v>0</v>
      </c>
      <c r="F973" s="17">
        <f>SUMIF(tdiario[CUENTA],tbal[[#This Row],[CUENTA]],tdiario[HABER])</f>
        <v>0</v>
      </c>
      <c r="G973" s="16">
        <f>IF(tbal[[#This Row],[DEBE]]-tbal[[#This Row],[HABER]]&gt;0,tbal[[#This Row],[DEBE]]-tbal[[#This Row],[HABER]],0)</f>
        <v>0</v>
      </c>
      <c r="H973" s="18">
        <f>IF(tbal[[#This Row],[HABER]]-tbal[[#This Row],[DEBE]]&gt;0,tbal[[#This Row],[HABER]]-tbal[[#This Row],[DEBE]],0)</f>
        <v>0</v>
      </c>
      <c r="I973" s="16">
        <f>IF((OR(tbal[[#This Row],[X]]=1,tbal[[#This Row],[X]]=2)),tbal[[#This Row],[DEUDOR]],0)</f>
        <v>0</v>
      </c>
      <c r="J973" s="18">
        <f>IF((OR(tbal[[#This Row],[X]]=2,tbal[[#This Row],[X]]=3)),tbal[[#This Row],[ACREEDOR]],0)</f>
        <v>0</v>
      </c>
      <c r="K973" s="16">
        <f>IF((OR(tbal[[#This Row],[X]]=3,tbal[[#This Row],[X]]=5)),tbal[[#This Row],[DEUDOR]],0)</f>
        <v>0</v>
      </c>
      <c r="L973" s="18">
        <f>IF((OR(tbal[[#This Row],[X]]=3,tbal[[#This Row],[X]]=4)),tbal[[#This Row],[ACREEDOR]],0)</f>
        <v>0</v>
      </c>
      <c r="M973" s="16">
        <f>IF((OR(tbal[[#This Row],[X]]=0,tbal[[#This Row],[X]]=6)),tbal[[#This Row],[DEUDOR]],0)</f>
        <v>0</v>
      </c>
      <c r="N973" s="18">
        <f>IF((OR(tbal[[#This Row],[X]]=0,tbal[[#This Row],[X]]=5)),tbal[[#This Row],[ACREEDOR]],0)</f>
        <v>0</v>
      </c>
    </row>
    <row r="974" spans="1:14" hidden="1" x14ac:dyDescent="0.3">
      <c r="A974" s="14">
        <f>+'PLAN DE CUENTAS'!A974</f>
        <v>0</v>
      </c>
      <c r="B974" s="13">
        <f>+'PLAN DE CUENTAS'!B974</f>
        <v>0</v>
      </c>
      <c r="C974" s="13">
        <f>+'PLAN DE CUENTAS'!C974</f>
        <v>0</v>
      </c>
      <c r="D974" t="str">
        <f>IF(tbal[[#This Row],[DEBE]]+tbal[[#This Row],[HABER]]=0,"","X")</f>
        <v/>
      </c>
      <c r="E974" s="16">
        <f>SUMIF(tdiario[CUENTA],tbal[[#This Row],[CUENTA]],tdiario[DEBE])</f>
        <v>0</v>
      </c>
      <c r="F974" s="17">
        <f>SUMIF(tdiario[CUENTA],tbal[[#This Row],[CUENTA]],tdiario[HABER])</f>
        <v>0</v>
      </c>
      <c r="G974" s="16">
        <f>IF(tbal[[#This Row],[DEBE]]-tbal[[#This Row],[HABER]]&gt;0,tbal[[#This Row],[DEBE]]-tbal[[#This Row],[HABER]],0)</f>
        <v>0</v>
      </c>
      <c r="H974" s="18">
        <f>IF(tbal[[#This Row],[HABER]]-tbal[[#This Row],[DEBE]]&gt;0,tbal[[#This Row],[HABER]]-tbal[[#This Row],[DEBE]],0)</f>
        <v>0</v>
      </c>
      <c r="I974" s="16">
        <f>IF((OR(tbal[[#This Row],[X]]=1,tbal[[#This Row],[X]]=2)),tbal[[#This Row],[DEUDOR]],0)</f>
        <v>0</v>
      </c>
      <c r="J974" s="18">
        <f>IF((OR(tbal[[#This Row],[X]]=2,tbal[[#This Row],[X]]=3)),tbal[[#This Row],[ACREEDOR]],0)</f>
        <v>0</v>
      </c>
      <c r="K974" s="16">
        <f>IF((OR(tbal[[#This Row],[X]]=3,tbal[[#This Row],[X]]=5)),tbal[[#This Row],[DEUDOR]],0)</f>
        <v>0</v>
      </c>
      <c r="L974" s="18">
        <f>IF((OR(tbal[[#This Row],[X]]=3,tbal[[#This Row],[X]]=4)),tbal[[#This Row],[ACREEDOR]],0)</f>
        <v>0</v>
      </c>
      <c r="M974" s="16">
        <f>IF((OR(tbal[[#This Row],[X]]=0,tbal[[#This Row],[X]]=6)),tbal[[#This Row],[DEUDOR]],0)</f>
        <v>0</v>
      </c>
      <c r="N974" s="18">
        <f>IF((OR(tbal[[#This Row],[X]]=0,tbal[[#This Row],[X]]=5)),tbal[[#This Row],[ACREEDOR]],0)</f>
        <v>0</v>
      </c>
    </row>
    <row r="975" spans="1:14" hidden="1" x14ac:dyDescent="0.3">
      <c r="A975" s="14">
        <f>+'PLAN DE CUENTAS'!A975</f>
        <v>0</v>
      </c>
      <c r="B975" s="13">
        <f>+'PLAN DE CUENTAS'!B975</f>
        <v>0</v>
      </c>
      <c r="C975" s="13">
        <f>+'PLAN DE CUENTAS'!C975</f>
        <v>0</v>
      </c>
      <c r="D975" t="str">
        <f>IF(tbal[[#This Row],[DEBE]]+tbal[[#This Row],[HABER]]=0,"","X")</f>
        <v/>
      </c>
      <c r="E975" s="16">
        <f>SUMIF(tdiario[CUENTA],tbal[[#This Row],[CUENTA]],tdiario[DEBE])</f>
        <v>0</v>
      </c>
      <c r="F975" s="17">
        <f>SUMIF(tdiario[CUENTA],tbal[[#This Row],[CUENTA]],tdiario[HABER])</f>
        <v>0</v>
      </c>
      <c r="G975" s="16">
        <f>IF(tbal[[#This Row],[DEBE]]-tbal[[#This Row],[HABER]]&gt;0,tbal[[#This Row],[DEBE]]-tbal[[#This Row],[HABER]],0)</f>
        <v>0</v>
      </c>
      <c r="H975" s="18">
        <f>IF(tbal[[#This Row],[HABER]]-tbal[[#This Row],[DEBE]]&gt;0,tbal[[#This Row],[HABER]]-tbal[[#This Row],[DEBE]],0)</f>
        <v>0</v>
      </c>
      <c r="I975" s="16">
        <f>IF((OR(tbal[[#This Row],[X]]=1,tbal[[#This Row],[X]]=2)),tbal[[#This Row],[DEUDOR]],0)</f>
        <v>0</v>
      </c>
      <c r="J975" s="18">
        <f>IF((OR(tbal[[#This Row],[X]]=2,tbal[[#This Row],[X]]=3)),tbal[[#This Row],[ACREEDOR]],0)</f>
        <v>0</v>
      </c>
      <c r="K975" s="16">
        <f>IF((OR(tbal[[#This Row],[X]]=3,tbal[[#This Row],[X]]=5)),tbal[[#This Row],[DEUDOR]],0)</f>
        <v>0</v>
      </c>
      <c r="L975" s="18">
        <f>IF((OR(tbal[[#This Row],[X]]=3,tbal[[#This Row],[X]]=4)),tbal[[#This Row],[ACREEDOR]],0)</f>
        <v>0</v>
      </c>
      <c r="M975" s="16">
        <f>IF((OR(tbal[[#This Row],[X]]=0,tbal[[#This Row],[X]]=6)),tbal[[#This Row],[DEUDOR]],0)</f>
        <v>0</v>
      </c>
      <c r="N975" s="18">
        <f>IF((OR(tbal[[#This Row],[X]]=0,tbal[[#This Row],[X]]=5)),tbal[[#This Row],[ACREEDOR]],0)</f>
        <v>0</v>
      </c>
    </row>
    <row r="976" spans="1:14" hidden="1" x14ac:dyDescent="0.3">
      <c r="A976" s="14">
        <f>+'PLAN DE CUENTAS'!A976</f>
        <v>0</v>
      </c>
      <c r="B976" s="13">
        <f>+'PLAN DE CUENTAS'!B976</f>
        <v>0</v>
      </c>
      <c r="C976" s="13">
        <f>+'PLAN DE CUENTAS'!C976</f>
        <v>0</v>
      </c>
      <c r="D976" t="str">
        <f>IF(tbal[[#This Row],[DEBE]]+tbal[[#This Row],[HABER]]=0,"","X")</f>
        <v/>
      </c>
      <c r="E976" s="16">
        <f>SUMIF(tdiario[CUENTA],tbal[[#This Row],[CUENTA]],tdiario[DEBE])</f>
        <v>0</v>
      </c>
      <c r="F976" s="17">
        <f>SUMIF(tdiario[CUENTA],tbal[[#This Row],[CUENTA]],tdiario[HABER])</f>
        <v>0</v>
      </c>
      <c r="G976" s="16">
        <f>IF(tbal[[#This Row],[DEBE]]-tbal[[#This Row],[HABER]]&gt;0,tbal[[#This Row],[DEBE]]-tbal[[#This Row],[HABER]],0)</f>
        <v>0</v>
      </c>
      <c r="H976" s="18">
        <f>IF(tbal[[#This Row],[HABER]]-tbal[[#This Row],[DEBE]]&gt;0,tbal[[#This Row],[HABER]]-tbal[[#This Row],[DEBE]],0)</f>
        <v>0</v>
      </c>
      <c r="I976" s="16">
        <f>IF((OR(tbal[[#This Row],[X]]=1,tbal[[#This Row],[X]]=2)),tbal[[#This Row],[DEUDOR]],0)</f>
        <v>0</v>
      </c>
      <c r="J976" s="18">
        <f>IF((OR(tbal[[#This Row],[X]]=2,tbal[[#This Row],[X]]=3)),tbal[[#This Row],[ACREEDOR]],0)</f>
        <v>0</v>
      </c>
      <c r="K976" s="16">
        <f>IF((OR(tbal[[#This Row],[X]]=3,tbal[[#This Row],[X]]=5)),tbal[[#This Row],[DEUDOR]],0)</f>
        <v>0</v>
      </c>
      <c r="L976" s="18">
        <f>IF((OR(tbal[[#This Row],[X]]=3,tbal[[#This Row],[X]]=4)),tbal[[#This Row],[ACREEDOR]],0)</f>
        <v>0</v>
      </c>
      <c r="M976" s="16">
        <f>IF((OR(tbal[[#This Row],[X]]=0,tbal[[#This Row],[X]]=6)),tbal[[#This Row],[DEUDOR]],0)</f>
        <v>0</v>
      </c>
      <c r="N976" s="18">
        <f>IF((OR(tbal[[#This Row],[X]]=0,tbal[[#This Row],[X]]=5)),tbal[[#This Row],[ACREEDOR]],0)</f>
        <v>0</v>
      </c>
    </row>
    <row r="977" spans="1:14" hidden="1" x14ac:dyDescent="0.3">
      <c r="A977" s="14">
        <f>+'PLAN DE CUENTAS'!A977</f>
        <v>0</v>
      </c>
      <c r="B977" s="13">
        <f>+'PLAN DE CUENTAS'!B977</f>
        <v>0</v>
      </c>
      <c r="C977" s="13">
        <f>+'PLAN DE CUENTAS'!C977</f>
        <v>0</v>
      </c>
      <c r="D977" t="str">
        <f>IF(tbal[[#This Row],[DEBE]]+tbal[[#This Row],[HABER]]=0,"","X")</f>
        <v/>
      </c>
      <c r="E977" s="16">
        <f>SUMIF(tdiario[CUENTA],tbal[[#This Row],[CUENTA]],tdiario[DEBE])</f>
        <v>0</v>
      </c>
      <c r="F977" s="17">
        <f>SUMIF(tdiario[CUENTA],tbal[[#This Row],[CUENTA]],tdiario[HABER])</f>
        <v>0</v>
      </c>
      <c r="G977" s="16">
        <f>IF(tbal[[#This Row],[DEBE]]-tbal[[#This Row],[HABER]]&gt;0,tbal[[#This Row],[DEBE]]-tbal[[#This Row],[HABER]],0)</f>
        <v>0</v>
      </c>
      <c r="H977" s="18">
        <f>IF(tbal[[#This Row],[HABER]]-tbal[[#This Row],[DEBE]]&gt;0,tbal[[#This Row],[HABER]]-tbal[[#This Row],[DEBE]],0)</f>
        <v>0</v>
      </c>
      <c r="I977" s="16">
        <f>IF((OR(tbal[[#This Row],[X]]=1,tbal[[#This Row],[X]]=2)),tbal[[#This Row],[DEUDOR]],0)</f>
        <v>0</v>
      </c>
      <c r="J977" s="18">
        <f>IF((OR(tbal[[#This Row],[X]]=2,tbal[[#This Row],[X]]=3)),tbal[[#This Row],[ACREEDOR]],0)</f>
        <v>0</v>
      </c>
      <c r="K977" s="16">
        <f>IF((OR(tbal[[#This Row],[X]]=3,tbal[[#This Row],[X]]=5)),tbal[[#This Row],[DEUDOR]],0)</f>
        <v>0</v>
      </c>
      <c r="L977" s="18">
        <f>IF((OR(tbal[[#This Row],[X]]=3,tbal[[#This Row],[X]]=4)),tbal[[#This Row],[ACREEDOR]],0)</f>
        <v>0</v>
      </c>
      <c r="M977" s="16">
        <f>IF((OR(tbal[[#This Row],[X]]=0,tbal[[#This Row],[X]]=6)),tbal[[#This Row],[DEUDOR]],0)</f>
        <v>0</v>
      </c>
      <c r="N977" s="18">
        <f>IF((OR(tbal[[#This Row],[X]]=0,tbal[[#This Row],[X]]=5)),tbal[[#This Row],[ACREEDOR]],0)</f>
        <v>0</v>
      </c>
    </row>
    <row r="978" spans="1:14" hidden="1" x14ac:dyDescent="0.3">
      <c r="A978" s="14">
        <f>+'PLAN DE CUENTAS'!A978</f>
        <v>0</v>
      </c>
      <c r="B978" s="13">
        <f>+'PLAN DE CUENTAS'!B978</f>
        <v>0</v>
      </c>
      <c r="C978" s="13">
        <f>+'PLAN DE CUENTAS'!C978</f>
        <v>0</v>
      </c>
      <c r="D978" t="str">
        <f>IF(tbal[[#This Row],[DEBE]]+tbal[[#This Row],[HABER]]=0,"","X")</f>
        <v/>
      </c>
      <c r="E978" s="16">
        <f>SUMIF(tdiario[CUENTA],tbal[[#This Row],[CUENTA]],tdiario[DEBE])</f>
        <v>0</v>
      </c>
      <c r="F978" s="17">
        <f>SUMIF(tdiario[CUENTA],tbal[[#This Row],[CUENTA]],tdiario[HABER])</f>
        <v>0</v>
      </c>
      <c r="G978" s="16">
        <f>IF(tbal[[#This Row],[DEBE]]-tbal[[#This Row],[HABER]]&gt;0,tbal[[#This Row],[DEBE]]-tbal[[#This Row],[HABER]],0)</f>
        <v>0</v>
      </c>
      <c r="H978" s="18">
        <f>IF(tbal[[#This Row],[HABER]]-tbal[[#This Row],[DEBE]]&gt;0,tbal[[#This Row],[HABER]]-tbal[[#This Row],[DEBE]],0)</f>
        <v>0</v>
      </c>
      <c r="I978" s="16">
        <f>IF((OR(tbal[[#This Row],[X]]=1,tbal[[#This Row],[X]]=2)),tbal[[#This Row],[DEUDOR]],0)</f>
        <v>0</v>
      </c>
      <c r="J978" s="18">
        <f>IF((OR(tbal[[#This Row],[X]]=2,tbal[[#This Row],[X]]=3)),tbal[[#This Row],[ACREEDOR]],0)</f>
        <v>0</v>
      </c>
      <c r="K978" s="16">
        <f>IF((OR(tbal[[#This Row],[X]]=3,tbal[[#This Row],[X]]=5)),tbal[[#This Row],[DEUDOR]],0)</f>
        <v>0</v>
      </c>
      <c r="L978" s="18">
        <f>IF((OR(tbal[[#This Row],[X]]=3,tbal[[#This Row],[X]]=4)),tbal[[#This Row],[ACREEDOR]],0)</f>
        <v>0</v>
      </c>
      <c r="M978" s="16">
        <f>IF((OR(tbal[[#This Row],[X]]=0,tbal[[#This Row],[X]]=6)),tbal[[#This Row],[DEUDOR]],0)</f>
        <v>0</v>
      </c>
      <c r="N978" s="18">
        <f>IF((OR(tbal[[#This Row],[X]]=0,tbal[[#This Row],[X]]=5)),tbal[[#This Row],[ACREEDOR]],0)</f>
        <v>0</v>
      </c>
    </row>
    <row r="979" spans="1:14" hidden="1" x14ac:dyDescent="0.3">
      <c r="A979" s="14">
        <f>+'PLAN DE CUENTAS'!A979</f>
        <v>0</v>
      </c>
      <c r="B979" s="13">
        <f>+'PLAN DE CUENTAS'!B979</f>
        <v>0</v>
      </c>
      <c r="C979" s="13">
        <f>+'PLAN DE CUENTAS'!C979</f>
        <v>0</v>
      </c>
      <c r="D979" t="str">
        <f>IF(tbal[[#This Row],[DEBE]]+tbal[[#This Row],[HABER]]=0,"","X")</f>
        <v/>
      </c>
      <c r="E979" s="16">
        <f>SUMIF(tdiario[CUENTA],tbal[[#This Row],[CUENTA]],tdiario[DEBE])</f>
        <v>0</v>
      </c>
      <c r="F979" s="17">
        <f>SUMIF(tdiario[CUENTA],tbal[[#This Row],[CUENTA]],tdiario[HABER])</f>
        <v>0</v>
      </c>
      <c r="G979" s="16">
        <f>IF(tbal[[#This Row],[DEBE]]-tbal[[#This Row],[HABER]]&gt;0,tbal[[#This Row],[DEBE]]-tbal[[#This Row],[HABER]],0)</f>
        <v>0</v>
      </c>
      <c r="H979" s="18">
        <f>IF(tbal[[#This Row],[HABER]]-tbal[[#This Row],[DEBE]]&gt;0,tbal[[#This Row],[HABER]]-tbal[[#This Row],[DEBE]],0)</f>
        <v>0</v>
      </c>
      <c r="I979" s="16">
        <f>IF((OR(tbal[[#This Row],[X]]=1,tbal[[#This Row],[X]]=2)),tbal[[#This Row],[DEUDOR]],0)</f>
        <v>0</v>
      </c>
      <c r="J979" s="18">
        <f>IF((OR(tbal[[#This Row],[X]]=2,tbal[[#This Row],[X]]=3)),tbal[[#This Row],[ACREEDOR]],0)</f>
        <v>0</v>
      </c>
      <c r="K979" s="16">
        <f>IF((OR(tbal[[#This Row],[X]]=3,tbal[[#This Row],[X]]=5)),tbal[[#This Row],[DEUDOR]],0)</f>
        <v>0</v>
      </c>
      <c r="L979" s="18">
        <f>IF((OR(tbal[[#This Row],[X]]=3,tbal[[#This Row],[X]]=4)),tbal[[#This Row],[ACREEDOR]],0)</f>
        <v>0</v>
      </c>
      <c r="M979" s="16">
        <f>IF((OR(tbal[[#This Row],[X]]=0,tbal[[#This Row],[X]]=6)),tbal[[#This Row],[DEUDOR]],0)</f>
        <v>0</v>
      </c>
      <c r="N979" s="18">
        <f>IF((OR(tbal[[#This Row],[X]]=0,tbal[[#This Row],[X]]=5)),tbal[[#This Row],[ACREEDOR]],0)</f>
        <v>0</v>
      </c>
    </row>
    <row r="980" spans="1:14" hidden="1" x14ac:dyDescent="0.3">
      <c r="A980" s="14">
        <f>+'PLAN DE CUENTAS'!A980</f>
        <v>0</v>
      </c>
      <c r="B980" s="13">
        <f>+'PLAN DE CUENTAS'!B980</f>
        <v>0</v>
      </c>
      <c r="C980" s="13">
        <f>+'PLAN DE CUENTAS'!C980</f>
        <v>0</v>
      </c>
      <c r="D980" t="str">
        <f>IF(tbal[[#This Row],[DEBE]]+tbal[[#This Row],[HABER]]=0,"","X")</f>
        <v/>
      </c>
      <c r="E980" s="16">
        <f>SUMIF(tdiario[CUENTA],tbal[[#This Row],[CUENTA]],tdiario[DEBE])</f>
        <v>0</v>
      </c>
      <c r="F980" s="17">
        <f>SUMIF(tdiario[CUENTA],tbal[[#This Row],[CUENTA]],tdiario[HABER])</f>
        <v>0</v>
      </c>
      <c r="G980" s="16">
        <f>IF(tbal[[#This Row],[DEBE]]-tbal[[#This Row],[HABER]]&gt;0,tbal[[#This Row],[DEBE]]-tbal[[#This Row],[HABER]],0)</f>
        <v>0</v>
      </c>
      <c r="H980" s="18">
        <f>IF(tbal[[#This Row],[HABER]]-tbal[[#This Row],[DEBE]]&gt;0,tbal[[#This Row],[HABER]]-tbal[[#This Row],[DEBE]],0)</f>
        <v>0</v>
      </c>
      <c r="I980" s="16">
        <f>IF((OR(tbal[[#This Row],[X]]=1,tbal[[#This Row],[X]]=2)),tbal[[#This Row],[DEUDOR]],0)</f>
        <v>0</v>
      </c>
      <c r="J980" s="18">
        <f>IF((OR(tbal[[#This Row],[X]]=2,tbal[[#This Row],[X]]=3)),tbal[[#This Row],[ACREEDOR]],0)</f>
        <v>0</v>
      </c>
      <c r="K980" s="16">
        <f>IF((OR(tbal[[#This Row],[X]]=3,tbal[[#This Row],[X]]=5)),tbal[[#This Row],[DEUDOR]],0)</f>
        <v>0</v>
      </c>
      <c r="L980" s="18">
        <f>IF((OR(tbal[[#This Row],[X]]=3,tbal[[#This Row],[X]]=4)),tbal[[#This Row],[ACREEDOR]],0)</f>
        <v>0</v>
      </c>
      <c r="M980" s="16">
        <f>IF((OR(tbal[[#This Row],[X]]=0,tbal[[#This Row],[X]]=6)),tbal[[#This Row],[DEUDOR]],0)</f>
        <v>0</v>
      </c>
      <c r="N980" s="18">
        <f>IF((OR(tbal[[#This Row],[X]]=0,tbal[[#This Row],[X]]=5)),tbal[[#This Row],[ACREEDOR]],0)</f>
        <v>0</v>
      </c>
    </row>
    <row r="981" spans="1:14" hidden="1" x14ac:dyDescent="0.3">
      <c r="A981" s="14">
        <f>+'PLAN DE CUENTAS'!A981</f>
        <v>0</v>
      </c>
      <c r="B981" s="13">
        <f>+'PLAN DE CUENTAS'!B981</f>
        <v>0</v>
      </c>
      <c r="C981" s="13">
        <f>+'PLAN DE CUENTAS'!C981</f>
        <v>0</v>
      </c>
      <c r="D981" t="str">
        <f>IF(tbal[[#This Row],[DEBE]]+tbal[[#This Row],[HABER]]=0,"","X")</f>
        <v/>
      </c>
      <c r="E981" s="16">
        <f>SUMIF(tdiario[CUENTA],tbal[[#This Row],[CUENTA]],tdiario[DEBE])</f>
        <v>0</v>
      </c>
      <c r="F981" s="17">
        <f>SUMIF(tdiario[CUENTA],tbal[[#This Row],[CUENTA]],tdiario[HABER])</f>
        <v>0</v>
      </c>
      <c r="G981" s="16">
        <f>IF(tbal[[#This Row],[DEBE]]-tbal[[#This Row],[HABER]]&gt;0,tbal[[#This Row],[DEBE]]-tbal[[#This Row],[HABER]],0)</f>
        <v>0</v>
      </c>
      <c r="H981" s="18">
        <f>IF(tbal[[#This Row],[HABER]]-tbal[[#This Row],[DEBE]]&gt;0,tbal[[#This Row],[HABER]]-tbal[[#This Row],[DEBE]],0)</f>
        <v>0</v>
      </c>
      <c r="I981" s="16">
        <f>IF((OR(tbal[[#This Row],[X]]=1,tbal[[#This Row],[X]]=2)),tbal[[#This Row],[DEUDOR]],0)</f>
        <v>0</v>
      </c>
      <c r="J981" s="18">
        <f>IF((OR(tbal[[#This Row],[X]]=2,tbal[[#This Row],[X]]=3)),tbal[[#This Row],[ACREEDOR]],0)</f>
        <v>0</v>
      </c>
      <c r="K981" s="16">
        <f>IF((OR(tbal[[#This Row],[X]]=3,tbal[[#This Row],[X]]=5)),tbal[[#This Row],[DEUDOR]],0)</f>
        <v>0</v>
      </c>
      <c r="L981" s="18">
        <f>IF((OR(tbal[[#This Row],[X]]=3,tbal[[#This Row],[X]]=4)),tbal[[#This Row],[ACREEDOR]],0)</f>
        <v>0</v>
      </c>
      <c r="M981" s="16">
        <f>IF((OR(tbal[[#This Row],[X]]=0,tbal[[#This Row],[X]]=6)),tbal[[#This Row],[DEUDOR]],0)</f>
        <v>0</v>
      </c>
      <c r="N981" s="18">
        <f>IF((OR(tbal[[#This Row],[X]]=0,tbal[[#This Row],[X]]=5)),tbal[[#This Row],[ACREEDOR]],0)</f>
        <v>0</v>
      </c>
    </row>
    <row r="982" spans="1:14" hidden="1" x14ac:dyDescent="0.3">
      <c r="A982" s="14">
        <f>+'PLAN DE CUENTAS'!A982</f>
        <v>0</v>
      </c>
      <c r="B982" s="13">
        <f>+'PLAN DE CUENTAS'!B982</f>
        <v>0</v>
      </c>
      <c r="C982" s="13">
        <f>+'PLAN DE CUENTAS'!C982</f>
        <v>0</v>
      </c>
      <c r="D982" t="str">
        <f>IF(tbal[[#This Row],[DEBE]]+tbal[[#This Row],[HABER]]=0,"","X")</f>
        <v/>
      </c>
      <c r="E982" s="16">
        <f>SUMIF(tdiario[CUENTA],tbal[[#This Row],[CUENTA]],tdiario[DEBE])</f>
        <v>0</v>
      </c>
      <c r="F982" s="17">
        <f>SUMIF(tdiario[CUENTA],tbal[[#This Row],[CUENTA]],tdiario[HABER])</f>
        <v>0</v>
      </c>
      <c r="G982" s="16">
        <f>IF(tbal[[#This Row],[DEBE]]-tbal[[#This Row],[HABER]]&gt;0,tbal[[#This Row],[DEBE]]-tbal[[#This Row],[HABER]],0)</f>
        <v>0</v>
      </c>
      <c r="H982" s="18">
        <f>IF(tbal[[#This Row],[HABER]]-tbal[[#This Row],[DEBE]]&gt;0,tbal[[#This Row],[HABER]]-tbal[[#This Row],[DEBE]],0)</f>
        <v>0</v>
      </c>
      <c r="I982" s="16">
        <f>IF((OR(tbal[[#This Row],[X]]=1,tbal[[#This Row],[X]]=2)),tbal[[#This Row],[DEUDOR]],0)</f>
        <v>0</v>
      </c>
      <c r="J982" s="18">
        <f>IF((OR(tbal[[#This Row],[X]]=2,tbal[[#This Row],[X]]=3)),tbal[[#This Row],[ACREEDOR]],0)</f>
        <v>0</v>
      </c>
      <c r="K982" s="16">
        <f>IF((OR(tbal[[#This Row],[X]]=3,tbal[[#This Row],[X]]=5)),tbal[[#This Row],[DEUDOR]],0)</f>
        <v>0</v>
      </c>
      <c r="L982" s="18">
        <f>IF((OR(tbal[[#This Row],[X]]=3,tbal[[#This Row],[X]]=4)),tbal[[#This Row],[ACREEDOR]],0)</f>
        <v>0</v>
      </c>
      <c r="M982" s="16">
        <f>IF((OR(tbal[[#This Row],[X]]=0,tbal[[#This Row],[X]]=6)),tbal[[#This Row],[DEUDOR]],0)</f>
        <v>0</v>
      </c>
      <c r="N982" s="18">
        <f>IF((OR(tbal[[#This Row],[X]]=0,tbal[[#This Row],[X]]=5)),tbal[[#This Row],[ACREEDOR]],0)</f>
        <v>0</v>
      </c>
    </row>
    <row r="983" spans="1:14" hidden="1" x14ac:dyDescent="0.3">
      <c r="A983" s="14">
        <f>+'PLAN DE CUENTAS'!A983</f>
        <v>0</v>
      </c>
      <c r="B983" s="13">
        <f>+'PLAN DE CUENTAS'!B983</f>
        <v>0</v>
      </c>
      <c r="C983" s="13">
        <f>+'PLAN DE CUENTAS'!C983</f>
        <v>0</v>
      </c>
      <c r="D983" t="str">
        <f>IF(tbal[[#This Row],[DEBE]]+tbal[[#This Row],[HABER]]=0,"","X")</f>
        <v/>
      </c>
      <c r="E983" s="16">
        <f>SUMIF(tdiario[CUENTA],tbal[[#This Row],[CUENTA]],tdiario[DEBE])</f>
        <v>0</v>
      </c>
      <c r="F983" s="17">
        <f>SUMIF(tdiario[CUENTA],tbal[[#This Row],[CUENTA]],tdiario[HABER])</f>
        <v>0</v>
      </c>
      <c r="G983" s="16">
        <f>IF(tbal[[#This Row],[DEBE]]-tbal[[#This Row],[HABER]]&gt;0,tbal[[#This Row],[DEBE]]-tbal[[#This Row],[HABER]],0)</f>
        <v>0</v>
      </c>
      <c r="H983" s="18">
        <f>IF(tbal[[#This Row],[HABER]]-tbal[[#This Row],[DEBE]]&gt;0,tbal[[#This Row],[HABER]]-tbal[[#This Row],[DEBE]],0)</f>
        <v>0</v>
      </c>
      <c r="I983" s="16">
        <f>IF((OR(tbal[[#This Row],[X]]=1,tbal[[#This Row],[X]]=2)),tbal[[#This Row],[DEUDOR]],0)</f>
        <v>0</v>
      </c>
      <c r="J983" s="18">
        <f>IF((OR(tbal[[#This Row],[X]]=2,tbal[[#This Row],[X]]=3)),tbal[[#This Row],[ACREEDOR]],0)</f>
        <v>0</v>
      </c>
      <c r="K983" s="16">
        <f>IF((OR(tbal[[#This Row],[X]]=3,tbal[[#This Row],[X]]=5)),tbal[[#This Row],[DEUDOR]],0)</f>
        <v>0</v>
      </c>
      <c r="L983" s="18">
        <f>IF((OR(tbal[[#This Row],[X]]=3,tbal[[#This Row],[X]]=4)),tbal[[#This Row],[ACREEDOR]],0)</f>
        <v>0</v>
      </c>
      <c r="M983" s="16">
        <f>IF((OR(tbal[[#This Row],[X]]=0,tbal[[#This Row],[X]]=6)),tbal[[#This Row],[DEUDOR]],0)</f>
        <v>0</v>
      </c>
      <c r="N983" s="18">
        <f>IF((OR(tbal[[#This Row],[X]]=0,tbal[[#This Row],[X]]=5)),tbal[[#This Row],[ACREEDOR]],0)</f>
        <v>0</v>
      </c>
    </row>
    <row r="984" spans="1:14" hidden="1" x14ac:dyDescent="0.3">
      <c r="A984" s="14">
        <f>+'PLAN DE CUENTAS'!A984</f>
        <v>0</v>
      </c>
      <c r="B984" s="13">
        <f>+'PLAN DE CUENTAS'!B984</f>
        <v>0</v>
      </c>
      <c r="C984" s="13">
        <f>+'PLAN DE CUENTAS'!C984</f>
        <v>0</v>
      </c>
      <c r="D984" t="str">
        <f>IF(tbal[[#This Row],[DEBE]]+tbal[[#This Row],[HABER]]=0,"","X")</f>
        <v/>
      </c>
      <c r="E984" s="16">
        <f>SUMIF(tdiario[CUENTA],tbal[[#This Row],[CUENTA]],tdiario[DEBE])</f>
        <v>0</v>
      </c>
      <c r="F984" s="17">
        <f>SUMIF(tdiario[CUENTA],tbal[[#This Row],[CUENTA]],tdiario[HABER])</f>
        <v>0</v>
      </c>
      <c r="G984" s="16">
        <f>IF(tbal[[#This Row],[DEBE]]-tbal[[#This Row],[HABER]]&gt;0,tbal[[#This Row],[DEBE]]-tbal[[#This Row],[HABER]],0)</f>
        <v>0</v>
      </c>
      <c r="H984" s="18">
        <f>IF(tbal[[#This Row],[HABER]]-tbal[[#This Row],[DEBE]]&gt;0,tbal[[#This Row],[HABER]]-tbal[[#This Row],[DEBE]],0)</f>
        <v>0</v>
      </c>
      <c r="I984" s="16">
        <f>IF((OR(tbal[[#This Row],[X]]=1,tbal[[#This Row],[X]]=2)),tbal[[#This Row],[DEUDOR]],0)</f>
        <v>0</v>
      </c>
      <c r="J984" s="18">
        <f>IF((OR(tbal[[#This Row],[X]]=2,tbal[[#This Row],[X]]=3)),tbal[[#This Row],[ACREEDOR]],0)</f>
        <v>0</v>
      </c>
      <c r="K984" s="16">
        <f>IF((OR(tbal[[#This Row],[X]]=3,tbal[[#This Row],[X]]=5)),tbal[[#This Row],[DEUDOR]],0)</f>
        <v>0</v>
      </c>
      <c r="L984" s="18">
        <f>IF((OR(tbal[[#This Row],[X]]=3,tbal[[#This Row],[X]]=4)),tbal[[#This Row],[ACREEDOR]],0)</f>
        <v>0</v>
      </c>
      <c r="M984" s="16">
        <f>IF((OR(tbal[[#This Row],[X]]=0,tbal[[#This Row],[X]]=6)),tbal[[#This Row],[DEUDOR]],0)</f>
        <v>0</v>
      </c>
      <c r="N984" s="18">
        <f>IF((OR(tbal[[#This Row],[X]]=0,tbal[[#This Row],[X]]=5)),tbal[[#This Row],[ACREEDOR]],0)</f>
        <v>0</v>
      </c>
    </row>
    <row r="985" spans="1:14" hidden="1" x14ac:dyDescent="0.3">
      <c r="A985" s="14">
        <f>+'PLAN DE CUENTAS'!A985</f>
        <v>0</v>
      </c>
      <c r="B985" s="13">
        <f>+'PLAN DE CUENTAS'!B985</f>
        <v>0</v>
      </c>
      <c r="C985" s="13">
        <f>+'PLAN DE CUENTAS'!C985</f>
        <v>0</v>
      </c>
      <c r="D985" t="str">
        <f>IF(tbal[[#This Row],[DEBE]]+tbal[[#This Row],[HABER]]=0,"","X")</f>
        <v/>
      </c>
      <c r="E985" s="16">
        <f>SUMIF(tdiario[CUENTA],tbal[[#This Row],[CUENTA]],tdiario[DEBE])</f>
        <v>0</v>
      </c>
      <c r="F985" s="17">
        <f>SUMIF(tdiario[CUENTA],tbal[[#This Row],[CUENTA]],tdiario[HABER])</f>
        <v>0</v>
      </c>
      <c r="G985" s="16">
        <f>IF(tbal[[#This Row],[DEBE]]-tbal[[#This Row],[HABER]]&gt;0,tbal[[#This Row],[DEBE]]-tbal[[#This Row],[HABER]],0)</f>
        <v>0</v>
      </c>
      <c r="H985" s="18">
        <f>IF(tbal[[#This Row],[HABER]]-tbal[[#This Row],[DEBE]]&gt;0,tbal[[#This Row],[HABER]]-tbal[[#This Row],[DEBE]],0)</f>
        <v>0</v>
      </c>
      <c r="I985" s="16">
        <f>IF((OR(tbal[[#This Row],[X]]=1,tbal[[#This Row],[X]]=2)),tbal[[#This Row],[DEUDOR]],0)</f>
        <v>0</v>
      </c>
      <c r="J985" s="18">
        <f>IF((OR(tbal[[#This Row],[X]]=2,tbal[[#This Row],[X]]=3)),tbal[[#This Row],[ACREEDOR]],0)</f>
        <v>0</v>
      </c>
      <c r="K985" s="16">
        <f>IF((OR(tbal[[#This Row],[X]]=3,tbal[[#This Row],[X]]=5)),tbal[[#This Row],[DEUDOR]],0)</f>
        <v>0</v>
      </c>
      <c r="L985" s="18">
        <f>IF((OR(tbal[[#This Row],[X]]=3,tbal[[#This Row],[X]]=4)),tbal[[#This Row],[ACREEDOR]],0)</f>
        <v>0</v>
      </c>
      <c r="M985" s="16">
        <f>IF((OR(tbal[[#This Row],[X]]=0,tbal[[#This Row],[X]]=6)),tbal[[#This Row],[DEUDOR]],0)</f>
        <v>0</v>
      </c>
      <c r="N985" s="18">
        <f>IF((OR(tbal[[#This Row],[X]]=0,tbal[[#This Row],[X]]=5)),tbal[[#This Row],[ACREEDOR]],0)</f>
        <v>0</v>
      </c>
    </row>
    <row r="986" spans="1:14" hidden="1" x14ac:dyDescent="0.3">
      <c r="A986" s="14">
        <f>+'PLAN DE CUENTAS'!A986</f>
        <v>0</v>
      </c>
      <c r="B986" s="13">
        <f>+'PLAN DE CUENTAS'!B986</f>
        <v>0</v>
      </c>
      <c r="C986" s="13">
        <f>+'PLAN DE CUENTAS'!C986</f>
        <v>0</v>
      </c>
      <c r="D986" t="str">
        <f>IF(tbal[[#This Row],[DEBE]]+tbal[[#This Row],[HABER]]=0,"","X")</f>
        <v/>
      </c>
      <c r="E986" s="16">
        <f>SUMIF(tdiario[CUENTA],tbal[[#This Row],[CUENTA]],tdiario[DEBE])</f>
        <v>0</v>
      </c>
      <c r="F986" s="17">
        <f>SUMIF(tdiario[CUENTA],tbal[[#This Row],[CUENTA]],tdiario[HABER])</f>
        <v>0</v>
      </c>
      <c r="G986" s="16">
        <f>IF(tbal[[#This Row],[DEBE]]-tbal[[#This Row],[HABER]]&gt;0,tbal[[#This Row],[DEBE]]-tbal[[#This Row],[HABER]],0)</f>
        <v>0</v>
      </c>
      <c r="H986" s="18">
        <f>IF(tbal[[#This Row],[HABER]]-tbal[[#This Row],[DEBE]]&gt;0,tbal[[#This Row],[HABER]]-tbal[[#This Row],[DEBE]],0)</f>
        <v>0</v>
      </c>
      <c r="I986" s="16">
        <f>IF((OR(tbal[[#This Row],[X]]=1,tbal[[#This Row],[X]]=2)),tbal[[#This Row],[DEUDOR]],0)</f>
        <v>0</v>
      </c>
      <c r="J986" s="18">
        <f>IF((OR(tbal[[#This Row],[X]]=2,tbal[[#This Row],[X]]=3)),tbal[[#This Row],[ACREEDOR]],0)</f>
        <v>0</v>
      </c>
      <c r="K986" s="16">
        <f>IF((OR(tbal[[#This Row],[X]]=3,tbal[[#This Row],[X]]=5)),tbal[[#This Row],[DEUDOR]],0)</f>
        <v>0</v>
      </c>
      <c r="L986" s="18">
        <f>IF((OR(tbal[[#This Row],[X]]=3,tbal[[#This Row],[X]]=4)),tbal[[#This Row],[ACREEDOR]],0)</f>
        <v>0</v>
      </c>
      <c r="M986" s="16">
        <f>IF((OR(tbal[[#This Row],[X]]=0,tbal[[#This Row],[X]]=6)),tbal[[#This Row],[DEUDOR]],0)</f>
        <v>0</v>
      </c>
      <c r="N986" s="18">
        <f>IF((OR(tbal[[#This Row],[X]]=0,tbal[[#This Row],[X]]=5)),tbal[[#This Row],[ACREEDOR]],0)</f>
        <v>0</v>
      </c>
    </row>
    <row r="987" spans="1:14" hidden="1" x14ac:dyDescent="0.3">
      <c r="A987" s="14">
        <f>+'PLAN DE CUENTAS'!A987</f>
        <v>0</v>
      </c>
      <c r="B987" s="13">
        <f>+'PLAN DE CUENTAS'!B987</f>
        <v>0</v>
      </c>
      <c r="C987" s="13">
        <f>+'PLAN DE CUENTAS'!C987</f>
        <v>0</v>
      </c>
      <c r="D987" t="str">
        <f>IF(tbal[[#This Row],[DEBE]]+tbal[[#This Row],[HABER]]=0,"","X")</f>
        <v/>
      </c>
      <c r="E987" s="16">
        <f>SUMIF(tdiario[CUENTA],tbal[[#This Row],[CUENTA]],tdiario[DEBE])</f>
        <v>0</v>
      </c>
      <c r="F987" s="17">
        <f>SUMIF(tdiario[CUENTA],tbal[[#This Row],[CUENTA]],tdiario[HABER])</f>
        <v>0</v>
      </c>
      <c r="G987" s="16">
        <f>IF(tbal[[#This Row],[DEBE]]-tbal[[#This Row],[HABER]]&gt;0,tbal[[#This Row],[DEBE]]-tbal[[#This Row],[HABER]],0)</f>
        <v>0</v>
      </c>
      <c r="H987" s="18">
        <f>IF(tbal[[#This Row],[HABER]]-tbal[[#This Row],[DEBE]]&gt;0,tbal[[#This Row],[HABER]]-tbal[[#This Row],[DEBE]],0)</f>
        <v>0</v>
      </c>
      <c r="I987" s="16">
        <f>IF((OR(tbal[[#This Row],[X]]=1,tbal[[#This Row],[X]]=2)),tbal[[#This Row],[DEUDOR]],0)</f>
        <v>0</v>
      </c>
      <c r="J987" s="18">
        <f>IF((OR(tbal[[#This Row],[X]]=2,tbal[[#This Row],[X]]=3)),tbal[[#This Row],[ACREEDOR]],0)</f>
        <v>0</v>
      </c>
      <c r="K987" s="16">
        <f>IF((OR(tbal[[#This Row],[X]]=3,tbal[[#This Row],[X]]=5)),tbal[[#This Row],[DEUDOR]],0)</f>
        <v>0</v>
      </c>
      <c r="L987" s="18">
        <f>IF((OR(tbal[[#This Row],[X]]=3,tbal[[#This Row],[X]]=4)),tbal[[#This Row],[ACREEDOR]],0)</f>
        <v>0</v>
      </c>
      <c r="M987" s="16">
        <f>IF((OR(tbal[[#This Row],[X]]=0,tbal[[#This Row],[X]]=6)),tbal[[#This Row],[DEUDOR]],0)</f>
        <v>0</v>
      </c>
      <c r="N987" s="18">
        <f>IF((OR(tbal[[#This Row],[X]]=0,tbal[[#This Row],[X]]=5)),tbal[[#This Row],[ACREEDOR]],0)</f>
        <v>0</v>
      </c>
    </row>
    <row r="988" spans="1:14" hidden="1" x14ac:dyDescent="0.3">
      <c r="A988" s="14">
        <f>+'PLAN DE CUENTAS'!A988</f>
        <v>0</v>
      </c>
      <c r="B988" s="13">
        <f>+'PLAN DE CUENTAS'!B988</f>
        <v>0</v>
      </c>
      <c r="C988" s="13">
        <f>+'PLAN DE CUENTAS'!C988</f>
        <v>0</v>
      </c>
      <c r="D988" t="str">
        <f>IF(tbal[[#This Row],[DEBE]]+tbal[[#This Row],[HABER]]=0,"","X")</f>
        <v/>
      </c>
      <c r="E988" s="16">
        <f>SUMIF(tdiario[CUENTA],tbal[[#This Row],[CUENTA]],tdiario[DEBE])</f>
        <v>0</v>
      </c>
      <c r="F988" s="17">
        <f>SUMIF(tdiario[CUENTA],tbal[[#This Row],[CUENTA]],tdiario[HABER])</f>
        <v>0</v>
      </c>
      <c r="G988" s="16">
        <f>IF(tbal[[#This Row],[DEBE]]-tbal[[#This Row],[HABER]]&gt;0,tbal[[#This Row],[DEBE]]-tbal[[#This Row],[HABER]],0)</f>
        <v>0</v>
      </c>
      <c r="H988" s="18">
        <f>IF(tbal[[#This Row],[HABER]]-tbal[[#This Row],[DEBE]]&gt;0,tbal[[#This Row],[HABER]]-tbal[[#This Row],[DEBE]],0)</f>
        <v>0</v>
      </c>
      <c r="I988" s="16">
        <f>IF((OR(tbal[[#This Row],[X]]=1,tbal[[#This Row],[X]]=2)),tbal[[#This Row],[DEUDOR]],0)</f>
        <v>0</v>
      </c>
      <c r="J988" s="18">
        <f>IF((OR(tbal[[#This Row],[X]]=2,tbal[[#This Row],[X]]=3)),tbal[[#This Row],[ACREEDOR]],0)</f>
        <v>0</v>
      </c>
      <c r="K988" s="16">
        <f>IF((OR(tbal[[#This Row],[X]]=3,tbal[[#This Row],[X]]=5)),tbal[[#This Row],[DEUDOR]],0)</f>
        <v>0</v>
      </c>
      <c r="L988" s="18">
        <f>IF((OR(tbal[[#This Row],[X]]=3,tbal[[#This Row],[X]]=4)),tbal[[#This Row],[ACREEDOR]],0)</f>
        <v>0</v>
      </c>
      <c r="M988" s="16">
        <f>IF((OR(tbal[[#This Row],[X]]=0,tbal[[#This Row],[X]]=6)),tbal[[#This Row],[DEUDOR]],0)</f>
        <v>0</v>
      </c>
      <c r="N988" s="18">
        <f>IF((OR(tbal[[#This Row],[X]]=0,tbal[[#This Row],[X]]=5)),tbal[[#This Row],[ACREEDOR]],0)</f>
        <v>0</v>
      </c>
    </row>
    <row r="989" spans="1:14" hidden="1" x14ac:dyDescent="0.3">
      <c r="A989" s="14">
        <f>+'PLAN DE CUENTAS'!A989</f>
        <v>0</v>
      </c>
      <c r="B989" s="13">
        <f>+'PLAN DE CUENTAS'!B989</f>
        <v>0</v>
      </c>
      <c r="C989" s="13">
        <f>+'PLAN DE CUENTAS'!C989</f>
        <v>0</v>
      </c>
      <c r="D989" t="str">
        <f>IF(tbal[[#This Row],[DEBE]]+tbal[[#This Row],[HABER]]=0,"","X")</f>
        <v/>
      </c>
      <c r="E989" s="16">
        <f>SUMIF(tdiario[CUENTA],tbal[[#This Row],[CUENTA]],tdiario[DEBE])</f>
        <v>0</v>
      </c>
      <c r="F989" s="17">
        <f>SUMIF(tdiario[CUENTA],tbal[[#This Row],[CUENTA]],tdiario[HABER])</f>
        <v>0</v>
      </c>
      <c r="G989" s="16">
        <f>IF(tbal[[#This Row],[DEBE]]-tbal[[#This Row],[HABER]]&gt;0,tbal[[#This Row],[DEBE]]-tbal[[#This Row],[HABER]],0)</f>
        <v>0</v>
      </c>
      <c r="H989" s="18">
        <f>IF(tbal[[#This Row],[HABER]]-tbal[[#This Row],[DEBE]]&gt;0,tbal[[#This Row],[HABER]]-tbal[[#This Row],[DEBE]],0)</f>
        <v>0</v>
      </c>
      <c r="I989" s="16">
        <f>IF((OR(tbal[[#This Row],[X]]=1,tbal[[#This Row],[X]]=2)),tbal[[#This Row],[DEUDOR]],0)</f>
        <v>0</v>
      </c>
      <c r="J989" s="18">
        <f>IF((OR(tbal[[#This Row],[X]]=2,tbal[[#This Row],[X]]=3)),tbal[[#This Row],[ACREEDOR]],0)</f>
        <v>0</v>
      </c>
      <c r="K989" s="16">
        <f>IF((OR(tbal[[#This Row],[X]]=3,tbal[[#This Row],[X]]=5)),tbal[[#This Row],[DEUDOR]],0)</f>
        <v>0</v>
      </c>
      <c r="L989" s="18">
        <f>IF((OR(tbal[[#This Row],[X]]=3,tbal[[#This Row],[X]]=4)),tbal[[#This Row],[ACREEDOR]],0)</f>
        <v>0</v>
      </c>
      <c r="M989" s="16">
        <f>IF((OR(tbal[[#This Row],[X]]=0,tbal[[#This Row],[X]]=6)),tbal[[#This Row],[DEUDOR]],0)</f>
        <v>0</v>
      </c>
      <c r="N989" s="18">
        <f>IF((OR(tbal[[#This Row],[X]]=0,tbal[[#This Row],[X]]=5)),tbal[[#This Row],[ACREEDOR]],0)</f>
        <v>0</v>
      </c>
    </row>
    <row r="990" spans="1:14" hidden="1" x14ac:dyDescent="0.3">
      <c r="A990" s="14">
        <f>+'PLAN DE CUENTAS'!A990</f>
        <v>0</v>
      </c>
      <c r="B990" s="13">
        <f>+'PLAN DE CUENTAS'!B990</f>
        <v>0</v>
      </c>
      <c r="C990" s="13">
        <f>+'PLAN DE CUENTAS'!C990</f>
        <v>0</v>
      </c>
      <c r="D990" t="str">
        <f>IF(tbal[[#This Row],[DEBE]]+tbal[[#This Row],[HABER]]=0,"","X")</f>
        <v/>
      </c>
      <c r="E990" s="16">
        <f>SUMIF(tdiario[CUENTA],tbal[[#This Row],[CUENTA]],tdiario[DEBE])</f>
        <v>0</v>
      </c>
      <c r="F990" s="17">
        <f>SUMIF(tdiario[CUENTA],tbal[[#This Row],[CUENTA]],tdiario[HABER])</f>
        <v>0</v>
      </c>
      <c r="G990" s="16">
        <f>IF(tbal[[#This Row],[DEBE]]-tbal[[#This Row],[HABER]]&gt;0,tbal[[#This Row],[DEBE]]-tbal[[#This Row],[HABER]],0)</f>
        <v>0</v>
      </c>
      <c r="H990" s="18">
        <f>IF(tbal[[#This Row],[HABER]]-tbal[[#This Row],[DEBE]]&gt;0,tbal[[#This Row],[HABER]]-tbal[[#This Row],[DEBE]],0)</f>
        <v>0</v>
      </c>
      <c r="I990" s="16">
        <f>IF((OR(tbal[[#This Row],[X]]=1,tbal[[#This Row],[X]]=2)),tbal[[#This Row],[DEUDOR]],0)</f>
        <v>0</v>
      </c>
      <c r="J990" s="18">
        <f>IF((OR(tbal[[#This Row],[X]]=2,tbal[[#This Row],[X]]=3)),tbal[[#This Row],[ACREEDOR]],0)</f>
        <v>0</v>
      </c>
      <c r="K990" s="16">
        <f>IF((OR(tbal[[#This Row],[X]]=3,tbal[[#This Row],[X]]=5)),tbal[[#This Row],[DEUDOR]],0)</f>
        <v>0</v>
      </c>
      <c r="L990" s="18">
        <f>IF((OR(tbal[[#This Row],[X]]=3,tbal[[#This Row],[X]]=4)),tbal[[#This Row],[ACREEDOR]],0)</f>
        <v>0</v>
      </c>
      <c r="M990" s="16">
        <f>IF((OR(tbal[[#This Row],[X]]=0,tbal[[#This Row],[X]]=6)),tbal[[#This Row],[DEUDOR]],0)</f>
        <v>0</v>
      </c>
      <c r="N990" s="18">
        <f>IF((OR(tbal[[#This Row],[X]]=0,tbal[[#This Row],[X]]=5)),tbal[[#This Row],[ACREEDOR]],0)</f>
        <v>0</v>
      </c>
    </row>
    <row r="991" spans="1:14" hidden="1" x14ac:dyDescent="0.3">
      <c r="A991" s="14">
        <f>+'PLAN DE CUENTAS'!A991</f>
        <v>0</v>
      </c>
      <c r="B991" s="13">
        <f>+'PLAN DE CUENTAS'!B991</f>
        <v>0</v>
      </c>
      <c r="C991" s="13">
        <f>+'PLAN DE CUENTAS'!C991</f>
        <v>0</v>
      </c>
      <c r="D991" t="str">
        <f>IF(tbal[[#This Row],[DEBE]]+tbal[[#This Row],[HABER]]=0,"","X")</f>
        <v/>
      </c>
      <c r="E991" s="16">
        <f>SUMIF(tdiario[CUENTA],tbal[[#This Row],[CUENTA]],tdiario[DEBE])</f>
        <v>0</v>
      </c>
      <c r="F991" s="17">
        <f>SUMIF(tdiario[CUENTA],tbal[[#This Row],[CUENTA]],tdiario[HABER])</f>
        <v>0</v>
      </c>
      <c r="G991" s="16">
        <f>IF(tbal[[#This Row],[DEBE]]-tbal[[#This Row],[HABER]]&gt;0,tbal[[#This Row],[DEBE]]-tbal[[#This Row],[HABER]],0)</f>
        <v>0</v>
      </c>
      <c r="H991" s="18">
        <f>IF(tbal[[#This Row],[HABER]]-tbal[[#This Row],[DEBE]]&gt;0,tbal[[#This Row],[HABER]]-tbal[[#This Row],[DEBE]],0)</f>
        <v>0</v>
      </c>
      <c r="I991" s="16">
        <f>IF((OR(tbal[[#This Row],[X]]=1,tbal[[#This Row],[X]]=2)),tbal[[#This Row],[DEUDOR]],0)</f>
        <v>0</v>
      </c>
      <c r="J991" s="18">
        <f>IF((OR(tbal[[#This Row],[X]]=2,tbal[[#This Row],[X]]=3)),tbal[[#This Row],[ACREEDOR]],0)</f>
        <v>0</v>
      </c>
      <c r="K991" s="16">
        <f>IF((OR(tbal[[#This Row],[X]]=3,tbal[[#This Row],[X]]=5)),tbal[[#This Row],[DEUDOR]],0)</f>
        <v>0</v>
      </c>
      <c r="L991" s="18">
        <f>IF((OR(tbal[[#This Row],[X]]=3,tbal[[#This Row],[X]]=4)),tbal[[#This Row],[ACREEDOR]],0)</f>
        <v>0</v>
      </c>
      <c r="M991" s="16">
        <f>IF((OR(tbal[[#This Row],[X]]=0,tbal[[#This Row],[X]]=6)),tbal[[#This Row],[DEUDOR]],0)</f>
        <v>0</v>
      </c>
      <c r="N991" s="18">
        <f>IF((OR(tbal[[#This Row],[X]]=0,tbal[[#This Row],[X]]=5)),tbal[[#This Row],[ACREEDOR]],0)</f>
        <v>0</v>
      </c>
    </row>
    <row r="992" spans="1:14" hidden="1" x14ac:dyDescent="0.3">
      <c r="A992" s="14">
        <f>+'PLAN DE CUENTAS'!A992</f>
        <v>0</v>
      </c>
      <c r="B992" s="13">
        <f>+'PLAN DE CUENTAS'!B992</f>
        <v>0</v>
      </c>
      <c r="C992" s="13">
        <f>+'PLAN DE CUENTAS'!C992</f>
        <v>0</v>
      </c>
      <c r="D992" t="str">
        <f>IF(tbal[[#This Row],[DEBE]]+tbal[[#This Row],[HABER]]=0,"","X")</f>
        <v/>
      </c>
      <c r="E992" s="16">
        <f>SUMIF(tdiario[CUENTA],tbal[[#This Row],[CUENTA]],tdiario[DEBE])</f>
        <v>0</v>
      </c>
      <c r="F992" s="17">
        <f>SUMIF(tdiario[CUENTA],tbal[[#This Row],[CUENTA]],tdiario[HABER])</f>
        <v>0</v>
      </c>
      <c r="G992" s="16">
        <f>IF(tbal[[#This Row],[DEBE]]-tbal[[#This Row],[HABER]]&gt;0,tbal[[#This Row],[DEBE]]-tbal[[#This Row],[HABER]],0)</f>
        <v>0</v>
      </c>
      <c r="H992" s="18">
        <f>IF(tbal[[#This Row],[HABER]]-tbal[[#This Row],[DEBE]]&gt;0,tbal[[#This Row],[HABER]]-tbal[[#This Row],[DEBE]],0)</f>
        <v>0</v>
      </c>
      <c r="I992" s="16">
        <f>IF((OR(tbal[[#This Row],[X]]=1,tbal[[#This Row],[X]]=2)),tbal[[#This Row],[DEUDOR]],0)</f>
        <v>0</v>
      </c>
      <c r="J992" s="18">
        <f>IF((OR(tbal[[#This Row],[X]]=2,tbal[[#This Row],[X]]=3)),tbal[[#This Row],[ACREEDOR]],0)</f>
        <v>0</v>
      </c>
      <c r="K992" s="16">
        <f>IF((OR(tbal[[#This Row],[X]]=3,tbal[[#This Row],[X]]=5)),tbal[[#This Row],[DEUDOR]],0)</f>
        <v>0</v>
      </c>
      <c r="L992" s="18">
        <f>IF((OR(tbal[[#This Row],[X]]=3,tbal[[#This Row],[X]]=4)),tbal[[#This Row],[ACREEDOR]],0)</f>
        <v>0</v>
      </c>
      <c r="M992" s="16">
        <f>IF((OR(tbal[[#This Row],[X]]=0,tbal[[#This Row],[X]]=6)),tbal[[#This Row],[DEUDOR]],0)</f>
        <v>0</v>
      </c>
      <c r="N992" s="18">
        <f>IF((OR(tbal[[#This Row],[X]]=0,tbal[[#This Row],[X]]=5)),tbal[[#This Row],[ACREEDOR]],0)</f>
        <v>0</v>
      </c>
    </row>
    <row r="993" spans="1:14" hidden="1" x14ac:dyDescent="0.3">
      <c r="A993" s="14">
        <f>+'PLAN DE CUENTAS'!A993</f>
        <v>0</v>
      </c>
      <c r="B993" s="13">
        <f>+'PLAN DE CUENTAS'!B993</f>
        <v>0</v>
      </c>
      <c r="C993" s="13">
        <f>+'PLAN DE CUENTAS'!C993</f>
        <v>0</v>
      </c>
      <c r="D993" t="str">
        <f>IF(tbal[[#This Row],[DEBE]]+tbal[[#This Row],[HABER]]=0,"","X")</f>
        <v/>
      </c>
      <c r="E993" s="16">
        <f>SUMIF(tdiario[CUENTA],tbal[[#This Row],[CUENTA]],tdiario[DEBE])</f>
        <v>0</v>
      </c>
      <c r="F993" s="17">
        <f>SUMIF(tdiario[CUENTA],tbal[[#This Row],[CUENTA]],tdiario[HABER])</f>
        <v>0</v>
      </c>
      <c r="G993" s="16">
        <f>IF(tbal[[#This Row],[DEBE]]-tbal[[#This Row],[HABER]]&gt;0,tbal[[#This Row],[DEBE]]-tbal[[#This Row],[HABER]],0)</f>
        <v>0</v>
      </c>
      <c r="H993" s="18">
        <f>IF(tbal[[#This Row],[HABER]]-tbal[[#This Row],[DEBE]]&gt;0,tbal[[#This Row],[HABER]]-tbal[[#This Row],[DEBE]],0)</f>
        <v>0</v>
      </c>
      <c r="I993" s="16">
        <f>IF((OR(tbal[[#This Row],[X]]=1,tbal[[#This Row],[X]]=2)),tbal[[#This Row],[DEUDOR]],0)</f>
        <v>0</v>
      </c>
      <c r="J993" s="18">
        <f>IF((OR(tbal[[#This Row],[X]]=2,tbal[[#This Row],[X]]=3)),tbal[[#This Row],[ACREEDOR]],0)</f>
        <v>0</v>
      </c>
      <c r="K993" s="16">
        <f>IF((OR(tbal[[#This Row],[X]]=3,tbal[[#This Row],[X]]=5)),tbal[[#This Row],[DEUDOR]],0)</f>
        <v>0</v>
      </c>
      <c r="L993" s="18">
        <f>IF((OR(tbal[[#This Row],[X]]=3,tbal[[#This Row],[X]]=4)),tbal[[#This Row],[ACREEDOR]],0)</f>
        <v>0</v>
      </c>
      <c r="M993" s="16">
        <f>IF((OR(tbal[[#This Row],[X]]=0,tbal[[#This Row],[X]]=6)),tbal[[#This Row],[DEUDOR]],0)</f>
        <v>0</v>
      </c>
      <c r="N993" s="18">
        <f>IF((OR(tbal[[#This Row],[X]]=0,tbal[[#This Row],[X]]=5)),tbal[[#This Row],[ACREEDOR]],0)</f>
        <v>0</v>
      </c>
    </row>
    <row r="994" spans="1:14" hidden="1" x14ac:dyDescent="0.3">
      <c r="A994" s="14">
        <f>+'PLAN DE CUENTAS'!A994</f>
        <v>0</v>
      </c>
      <c r="B994" s="13">
        <f>+'PLAN DE CUENTAS'!B994</f>
        <v>0</v>
      </c>
      <c r="C994" s="13">
        <f>+'PLAN DE CUENTAS'!C994</f>
        <v>0</v>
      </c>
      <c r="D994" t="str">
        <f>IF(tbal[[#This Row],[DEBE]]+tbal[[#This Row],[HABER]]=0,"","X")</f>
        <v/>
      </c>
      <c r="E994" s="16">
        <f>SUMIF(tdiario[CUENTA],tbal[[#This Row],[CUENTA]],tdiario[DEBE])</f>
        <v>0</v>
      </c>
      <c r="F994" s="17">
        <f>SUMIF(tdiario[CUENTA],tbal[[#This Row],[CUENTA]],tdiario[HABER])</f>
        <v>0</v>
      </c>
      <c r="G994" s="16">
        <f>IF(tbal[[#This Row],[DEBE]]-tbal[[#This Row],[HABER]]&gt;0,tbal[[#This Row],[DEBE]]-tbal[[#This Row],[HABER]],0)</f>
        <v>0</v>
      </c>
      <c r="H994" s="18">
        <f>IF(tbal[[#This Row],[HABER]]-tbal[[#This Row],[DEBE]]&gt;0,tbal[[#This Row],[HABER]]-tbal[[#This Row],[DEBE]],0)</f>
        <v>0</v>
      </c>
      <c r="I994" s="16">
        <f>IF((OR(tbal[[#This Row],[X]]=1,tbal[[#This Row],[X]]=2)),tbal[[#This Row],[DEUDOR]],0)</f>
        <v>0</v>
      </c>
      <c r="J994" s="18">
        <f>IF((OR(tbal[[#This Row],[X]]=2,tbal[[#This Row],[X]]=3)),tbal[[#This Row],[ACREEDOR]],0)</f>
        <v>0</v>
      </c>
      <c r="K994" s="16">
        <f>IF((OR(tbal[[#This Row],[X]]=3,tbal[[#This Row],[X]]=5)),tbal[[#This Row],[DEUDOR]],0)</f>
        <v>0</v>
      </c>
      <c r="L994" s="18">
        <f>IF((OR(tbal[[#This Row],[X]]=3,tbal[[#This Row],[X]]=4)),tbal[[#This Row],[ACREEDOR]],0)</f>
        <v>0</v>
      </c>
      <c r="M994" s="16">
        <f>IF((OR(tbal[[#This Row],[X]]=0,tbal[[#This Row],[X]]=6)),tbal[[#This Row],[DEUDOR]],0)</f>
        <v>0</v>
      </c>
      <c r="N994" s="18">
        <f>IF((OR(tbal[[#This Row],[X]]=0,tbal[[#This Row],[X]]=5)),tbal[[#This Row],[ACREEDOR]],0)</f>
        <v>0</v>
      </c>
    </row>
    <row r="995" spans="1:14" hidden="1" x14ac:dyDescent="0.3">
      <c r="A995" s="14">
        <f>+'PLAN DE CUENTAS'!A995</f>
        <v>0</v>
      </c>
      <c r="B995" s="13">
        <f>+'PLAN DE CUENTAS'!B995</f>
        <v>0</v>
      </c>
      <c r="C995" s="13">
        <f>+'PLAN DE CUENTAS'!C995</f>
        <v>0</v>
      </c>
      <c r="D995" t="str">
        <f>IF(tbal[[#This Row],[DEBE]]+tbal[[#This Row],[HABER]]=0,"","X")</f>
        <v/>
      </c>
      <c r="E995" s="16">
        <f>SUMIF(tdiario[CUENTA],tbal[[#This Row],[CUENTA]],tdiario[DEBE])</f>
        <v>0</v>
      </c>
      <c r="F995" s="17">
        <f>SUMIF(tdiario[CUENTA],tbal[[#This Row],[CUENTA]],tdiario[HABER])</f>
        <v>0</v>
      </c>
      <c r="G995" s="16">
        <f>IF(tbal[[#This Row],[DEBE]]-tbal[[#This Row],[HABER]]&gt;0,tbal[[#This Row],[DEBE]]-tbal[[#This Row],[HABER]],0)</f>
        <v>0</v>
      </c>
      <c r="H995" s="18">
        <f>IF(tbal[[#This Row],[HABER]]-tbal[[#This Row],[DEBE]]&gt;0,tbal[[#This Row],[HABER]]-tbal[[#This Row],[DEBE]],0)</f>
        <v>0</v>
      </c>
      <c r="I995" s="16">
        <f>IF((OR(tbal[[#This Row],[X]]=1,tbal[[#This Row],[X]]=2)),tbal[[#This Row],[DEUDOR]],0)</f>
        <v>0</v>
      </c>
      <c r="J995" s="18">
        <f>IF((OR(tbal[[#This Row],[X]]=2,tbal[[#This Row],[X]]=3)),tbal[[#This Row],[ACREEDOR]],0)</f>
        <v>0</v>
      </c>
      <c r="K995" s="16">
        <f>IF((OR(tbal[[#This Row],[X]]=3,tbal[[#This Row],[X]]=5)),tbal[[#This Row],[DEUDOR]],0)</f>
        <v>0</v>
      </c>
      <c r="L995" s="18">
        <f>IF((OR(tbal[[#This Row],[X]]=3,tbal[[#This Row],[X]]=4)),tbal[[#This Row],[ACREEDOR]],0)</f>
        <v>0</v>
      </c>
      <c r="M995" s="16">
        <f>IF((OR(tbal[[#This Row],[X]]=0,tbal[[#This Row],[X]]=6)),tbal[[#This Row],[DEUDOR]],0)</f>
        <v>0</v>
      </c>
      <c r="N995" s="18">
        <f>IF((OR(tbal[[#This Row],[X]]=0,tbal[[#This Row],[X]]=5)),tbal[[#This Row],[ACREEDOR]],0)</f>
        <v>0</v>
      </c>
    </row>
    <row r="996" spans="1:14" hidden="1" x14ac:dyDescent="0.3">
      <c r="A996" s="14">
        <f>+'PLAN DE CUENTAS'!A996</f>
        <v>0</v>
      </c>
      <c r="B996" s="13">
        <f>+'PLAN DE CUENTAS'!B996</f>
        <v>0</v>
      </c>
      <c r="C996" s="13">
        <f>+'PLAN DE CUENTAS'!C996</f>
        <v>0</v>
      </c>
      <c r="D996" t="str">
        <f>IF(tbal[[#This Row],[DEBE]]+tbal[[#This Row],[HABER]]=0,"","X")</f>
        <v/>
      </c>
      <c r="E996" s="16">
        <f>SUMIF(tdiario[CUENTA],tbal[[#This Row],[CUENTA]],tdiario[DEBE])</f>
        <v>0</v>
      </c>
      <c r="F996" s="17">
        <f>SUMIF(tdiario[CUENTA],tbal[[#This Row],[CUENTA]],tdiario[HABER])</f>
        <v>0</v>
      </c>
      <c r="G996" s="16">
        <f>IF(tbal[[#This Row],[DEBE]]-tbal[[#This Row],[HABER]]&gt;0,tbal[[#This Row],[DEBE]]-tbal[[#This Row],[HABER]],0)</f>
        <v>0</v>
      </c>
      <c r="H996" s="18">
        <f>IF(tbal[[#This Row],[HABER]]-tbal[[#This Row],[DEBE]]&gt;0,tbal[[#This Row],[HABER]]-tbal[[#This Row],[DEBE]],0)</f>
        <v>0</v>
      </c>
      <c r="I996" s="16">
        <f>IF((OR(tbal[[#This Row],[X]]=1,tbal[[#This Row],[X]]=2)),tbal[[#This Row],[DEUDOR]],0)</f>
        <v>0</v>
      </c>
      <c r="J996" s="18">
        <f>IF((OR(tbal[[#This Row],[X]]=2,tbal[[#This Row],[X]]=3)),tbal[[#This Row],[ACREEDOR]],0)</f>
        <v>0</v>
      </c>
      <c r="K996" s="16">
        <f>IF((OR(tbal[[#This Row],[X]]=3,tbal[[#This Row],[X]]=5)),tbal[[#This Row],[DEUDOR]],0)</f>
        <v>0</v>
      </c>
      <c r="L996" s="18">
        <f>IF((OR(tbal[[#This Row],[X]]=3,tbal[[#This Row],[X]]=4)),tbal[[#This Row],[ACREEDOR]],0)</f>
        <v>0</v>
      </c>
      <c r="M996" s="16">
        <f>IF((OR(tbal[[#This Row],[X]]=0,tbal[[#This Row],[X]]=6)),tbal[[#This Row],[DEUDOR]],0)</f>
        <v>0</v>
      </c>
      <c r="N996" s="18">
        <f>IF((OR(tbal[[#This Row],[X]]=0,tbal[[#This Row],[X]]=5)),tbal[[#This Row],[ACREEDOR]],0)</f>
        <v>0</v>
      </c>
    </row>
    <row r="997" spans="1:14" hidden="1" x14ac:dyDescent="0.3">
      <c r="A997" s="14">
        <f>+'PLAN DE CUENTAS'!A997</f>
        <v>0</v>
      </c>
      <c r="B997" s="13">
        <f>+'PLAN DE CUENTAS'!B997</f>
        <v>0</v>
      </c>
      <c r="C997" s="13">
        <f>+'PLAN DE CUENTAS'!C997</f>
        <v>0</v>
      </c>
      <c r="D997" t="str">
        <f>IF(tbal[[#This Row],[DEBE]]+tbal[[#This Row],[HABER]]=0,"","X")</f>
        <v/>
      </c>
      <c r="E997" s="16">
        <f>SUMIF(tdiario[CUENTA],tbal[[#This Row],[CUENTA]],tdiario[DEBE])</f>
        <v>0</v>
      </c>
      <c r="F997" s="17">
        <f>SUMIF(tdiario[CUENTA],tbal[[#This Row],[CUENTA]],tdiario[HABER])</f>
        <v>0</v>
      </c>
      <c r="G997" s="16">
        <f>IF(tbal[[#This Row],[DEBE]]-tbal[[#This Row],[HABER]]&gt;0,tbal[[#This Row],[DEBE]]-tbal[[#This Row],[HABER]],0)</f>
        <v>0</v>
      </c>
      <c r="H997" s="18">
        <f>IF(tbal[[#This Row],[HABER]]-tbal[[#This Row],[DEBE]]&gt;0,tbal[[#This Row],[HABER]]-tbal[[#This Row],[DEBE]],0)</f>
        <v>0</v>
      </c>
      <c r="I997" s="16">
        <f>IF((OR(tbal[[#This Row],[X]]=1,tbal[[#This Row],[X]]=2)),tbal[[#This Row],[DEUDOR]],0)</f>
        <v>0</v>
      </c>
      <c r="J997" s="18">
        <f>IF((OR(tbal[[#This Row],[X]]=2,tbal[[#This Row],[X]]=3)),tbal[[#This Row],[ACREEDOR]],0)</f>
        <v>0</v>
      </c>
      <c r="K997" s="16">
        <f>IF((OR(tbal[[#This Row],[X]]=3,tbal[[#This Row],[X]]=5)),tbal[[#This Row],[DEUDOR]],0)</f>
        <v>0</v>
      </c>
      <c r="L997" s="18">
        <f>IF((OR(tbal[[#This Row],[X]]=3,tbal[[#This Row],[X]]=4)),tbal[[#This Row],[ACREEDOR]],0)</f>
        <v>0</v>
      </c>
      <c r="M997" s="16">
        <f>IF((OR(tbal[[#This Row],[X]]=0,tbal[[#This Row],[X]]=6)),tbal[[#This Row],[DEUDOR]],0)</f>
        <v>0</v>
      </c>
      <c r="N997" s="18">
        <f>IF((OR(tbal[[#This Row],[X]]=0,tbal[[#This Row],[X]]=5)),tbal[[#This Row],[ACREEDOR]],0)</f>
        <v>0</v>
      </c>
    </row>
    <row r="998" spans="1:14" hidden="1" x14ac:dyDescent="0.3">
      <c r="A998" s="14">
        <f>+'PLAN DE CUENTAS'!A998</f>
        <v>0</v>
      </c>
      <c r="B998" s="13">
        <f>+'PLAN DE CUENTAS'!B998</f>
        <v>0</v>
      </c>
      <c r="C998" s="13">
        <f>+'PLAN DE CUENTAS'!C998</f>
        <v>0</v>
      </c>
      <c r="D998" t="str">
        <f>IF(tbal[[#This Row],[DEBE]]+tbal[[#This Row],[HABER]]=0,"","X")</f>
        <v/>
      </c>
      <c r="E998" s="16">
        <f>SUMIF(tdiario[CUENTA],tbal[[#This Row],[CUENTA]],tdiario[DEBE])</f>
        <v>0</v>
      </c>
      <c r="F998" s="17">
        <f>SUMIF(tdiario[CUENTA],tbal[[#This Row],[CUENTA]],tdiario[HABER])</f>
        <v>0</v>
      </c>
      <c r="G998" s="16">
        <f>IF(tbal[[#This Row],[DEBE]]-tbal[[#This Row],[HABER]]&gt;0,tbal[[#This Row],[DEBE]]-tbal[[#This Row],[HABER]],0)</f>
        <v>0</v>
      </c>
      <c r="H998" s="18">
        <f>IF(tbal[[#This Row],[HABER]]-tbal[[#This Row],[DEBE]]&gt;0,tbal[[#This Row],[HABER]]-tbal[[#This Row],[DEBE]],0)</f>
        <v>0</v>
      </c>
      <c r="I998" s="16">
        <f>IF((OR(tbal[[#This Row],[X]]=1,tbal[[#This Row],[X]]=2)),tbal[[#This Row],[DEUDOR]],0)</f>
        <v>0</v>
      </c>
      <c r="J998" s="18">
        <f>IF((OR(tbal[[#This Row],[X]]=2,tbal[[#This Row],[X]]=3)),tbal[[#This Row],[ACREEDOR]],0)</f>
        <v>0</v>
      </c>
      <c r="K998" s="16">
        <f>IF((OR(tbal[[#This Row],[X]]=3,tbal[[#This Row],[X]]=5)),tbal[[#This Row],[DEUDOR]],0)</f>
        <v>0</v>
      </c>
      <c r="L998" s="18">
        <f>IF((OR(tbal[[#This Row],[X]]=3,tbal[[#This Row],[X]]=4)),tbal[[#This Row],[ACREEDOR]],0)</f>
        <v>0</v>
      </c>
      <c r="M998" s="16">
        <f>IF((OR(tbal[[#This Row],[X]]=0,tbal[[#This Row],[X]]=6)),tbal[[#This Row],[DEUDOR]],0)</f>
        <v>0</v>
      </c>
      <c r="N998" s="18">
        <f>IF((OR(tbal[[#This Row],[X]]=0,tbal[[#This Row],[X]]=5)),tbal[[#This Row],[ACREEDOR]],0)</f>
        <v>0</v>
      </c>
    </row>
    <row r="999" spans="1:14" hidden="1" x14ac:dyDescent="0.3">
      <c r="A999" s="14">
        <f>+'PLAN DE CUENTAS'!A999</f>
        <v>0</v>
      </c>
      <c r="B999" s="13">
        <f>+'PLAN DE CUENTAS'!B999</f>
        <v>0</v>
      </c>
      <c r="C999" s="13">
        <f>+'PLAN DE CUENTAS'!C999</f>
        <v>0</v>
      </c>
      <c r="D999" t="str">
        <f>IF(tbal[[#This Row],[DEBE]]+tbal[[#This Row],[HABER]]=0,"","X")</f>
        <v/>
      </c>
      <c r="E999" s="16">
        <f>SUMIF(tdiario[CUENTA],tbal[[#This Row],[CUENTA]],tdiario[DEBE])</f>
        <v>0</v>
      </c>
      <c r="F999" s="17">
        <f>SUMIF(tdiario[CUENTA],tbal[[#This Row],[CUENTA]],tdiario[HABER])</f>
        <v>0</v>
      </c>
      <c r="G999" s="16">
        <f>IF(tbal[[#This Row],[DEBE]]-tbal[[#This Row],[HABER]]&gt;0,tbal[[#This Row],[DEBE]]-tbal[[#This Row],[HABER]],0)</f>
        <v>0</v>
      </c>
      <c r="H999" s="18">
        <f>IF(tbal[[#This Row],[HABER]]-tbal[[#This Row],[DEBE]]&gt;0,tbal[[#This Row],[HABER]]-tbal[[#This Row],[DEBE]],0)</f>
        <v>0</v>
      </c>
      <c r="I999" s="16">
        <f>IF((OR(tbal[[#This Row],[X]]=1,tbal[[#This Row],[X]]=2)),tbal[[#This Row],[DEUDOR]],0)</f>
        <v>0</v>
      </c>
      <c r="J999" s="18">
        <f>IF((OR(tbal[[#This Row],[X]]=2,tbal[[#This Row],[X]]=3)),tbal[[#This Row],[ACREEDOR]],0)</f>
        <v>0</v>
      </c>
      <c r="K999" s="16">
        <f>IF((OR(tbal[[#This Row],[X]]=3,tbal[[#This Row],[X]]=5)),tbal[[#This Row],[DEUDOR]],0)</f>
        <v>0</v>
      </c>
      <c r="L999" s="18">
        <f>IF((OR(tbal[[#This Row],[X]]=3,tbal[[#This Row],[X]]=4)),tbal[[#This Row],[ACREEDOR]],0)</f>
        <v>0</v>
      </c>
      <c r="M999" s="16">
        <f>IF((OR(tbal[[#This Row],[X]]=0,tbal[[#This Row],[X]]=6)),tbal[[#This Row],[DEUDOR]],0)</f>
        <v>0</v>
      </c>
      <c r="N999" s="18">
        <f>IF((OR(tbal[[#This Row],[X]]=0,tbal[[#This Row],[X]]=5)),tbal[[#This Row],[ACREEDOR]],0)</f>
        <v>0</v>
      </c>
    </row>
    <row r="1000" spans="1:14" hidden="1" x14ac:dyDescent="0.3">
      <c r="A1000" s="14">
        <f>+'PLAN DE CUENTAS'!A1000</f>
        <v>0</v>
      </c>
      <c r="B1000" s="13">
        <f>+'PLAN DE CUENTAS'!B1000</f>
        <v>0</v>
      </c>
      <c r="C1000" s="13">
        <f>+'PLAN DE CUENTAS'!C1000</f>
        <v>0</v>
      </c>
      <c r="D1000" t="str">
        <f>IF(tbal[[#This Row],[DEBE]]+tbal[[#This Row],[HABER]]=0,"","X")</f>
        <v/>
      </c>
      <c r="E1000" s="16">
        <f>SUMIF(tdiario[CUENTA],tbal[[#This Row],[CUENTA]],tdiario[DEBE])</f>
        <v>0</v>
      </c>
      <c r="F1000" s="17">
        <f>SUMIF(tdiario[CUENTA],tbal[[#This Row],[CUENTA]],tdiario[HABER])</f>
        <v>0</v>
      </c>
      <c r="G1000" s="16">
        <f>IF(tbal[[#This Row],[DEBE]]-tbal[[#This Row],[HABER]]&gt;0,tbal[[#This Row],[DEBE]]-tbal[[#This Row],[HABER]],0)</f>
        <v>0</v>
      </c>
      <c r="H1000" s="18">
        <f>IF(tbal[[#This Row],[HABER]]-tbal[[#This Row],[DEBE]]&gt;0,tbal[[#This Row],[HABER]]-tbal[[#This Row],[DEBE]],0)</f>
        <v>0</v>
      </c>
      <c r="I1000" s="16">
        <f>IF((OR(tbal[[#This Row],[X]]=1,tbal[[#This Row],[X]]=2)),tbal[[#This Row],[DEUDOR]],0)</f>
        <v>0</v>
      </c>
      <c r="J1000" s="18">
        <f>IF((OR(tbal[[#This Row],[X]]=2,tbal[[#This Row],[X]]=3)),tbal[[#This Row],[ACREEDOR]],0)</f>
        <v>0</v>
      </c>
      <c r="K1000" s="16">
        <f>IF((OR(tbal[[#This Row],[X]]=3,tbal[[#This Row],[X]]=5)),tbal[[#This Row],[DEUDOR]],0)</f>
        <v>0</v>
      </c>
      <c r="L1000" s="18">
        <f>IF((OR(tbal[[#This Row],[X]]=3,tbal[[#This Row],[X]]=4)),tbal[[#This Row],[ACREEDOR]],0)</f>
        <v>0</v>
      </c>
      <c r="M1000" s="16">
        <f>IF((OR(tbal[[#This Row],[X]]=0,tbal[[#This Row],[X]]=6)),tbal[[#This Row],[DEUDOR]],0)</f>
        <v>0</v>
      </c>
      <c r="N1000" s="18">
        <f>IF((OR(tbal[[#This Row],[X]]=0,tbal[[#This Row],[X]]=5)),tbal[[#This Row],[ACREEDOR]],0)</f>
        <v>0</v>
      </c>
    </row>
    <row r="1001" spans="1:14" hidden="1" x14ac:dyDescent="0.3">
      <c r="A1001" s="14">
        <f>+'PLAN DE CUENTAS'!A1001</f>
        <v>0</v>
      </c>
      <c r="B1001" s="13">
        <f>+'PLAN DE CUENTAS'!B1001</f>
        <v>0</v>
      </c>
      <c r="C1001" s="13">
        <f>+'PLAN DE CUENTAS'!C1001</f>
        <v>0</v>
      </c>
      <c r="D1001" t="str">
        <f>IF(tbal[[#This Row],[DEBE]]+tbal[[#This Row],[HABER]]=0,"","X")</f>
        <v/>
      </c>
      <c r="E1001" s="16">
        <f>SUMIF(tdiario[CUENTA],tbal[[#This Row],[CUENTA]],tdiario[DEBE])</f>
        <v>0</v>
      </c>
      <c r="F1001" s="17">
        <f>SUMIF(tdiario[CUENTA],tbal[[#This Row],[CUENTA]],tdiario[HABER])</f>
        <v>0</v>
      </c>
      <c r="G1001" s="16">
        <f>IF(tbal[[#This Row],[DEBE]]-tbal[[#This Row],[HABER]]&gt;0,tbal[[#This Row],[DEBE]]-tbal[[#This Row],[HABER]],0)</f>
        <v>0</v>
      </c>
      <c r="H1001" s="18">
        <f>IF(tbal[[#This Row],[HABER]]-tbal[[#This Row],[DEBE]]&gt;0,tbal[[#This Row],[HABER]]-tbal[[#This Row],[DEBE]],0)</f>
        <v>0</v>
      </c>
      <c r="I1001" s="16">
        <f>IF((OR(tbal[[#This Row],[X]]=1,tbal[[#This Row],[X]]=2)),tbal[[#This Row],[DEUDOR]],0)</f>
        <v>0</v>
      </c>
      <c r="J1001" s="18">
        <f>IF((OR(tbal[[#This Row],[X]]=2,tbal[[#This Row],[X]]=3)),tbal[[#This Row],[ACREEDOR]],0)</f>
        <v>0</v>
      </c>
      <c r="K1001" s="16">
        <f>IF((OR(tbal[[#This Row],[X]]=3,tbal[[#This Row],[X]]=5)),tbal[[#This Row],[DEUDOR]],0)</f>
        <v>0</v>
      </c>
      <c r="L1001" s="18">
        <f>IF((OR(tbal[[#This Row],[X]]=3,tbal[[#This Row],[X]]=4)),tbal[[#This Row],[ACREEDOR]],0)</f>
        <v>0</v>
      </c>
      <c r="M1001" s="16">
        <f>IF((OR(tbal[[#This Row],[X]]=0,tbal[[#This Row],[X]]=6)),tbal[[#This Row],[DEUDOR]],0)</f>
        <v>0</v>
      </c>
      <c r="N1001" s="18">
        <f>IF((OR(tbal[[#This Row],[X]]=0,tbal[[#This Row],[X]]=5)),tbal[[#This Row],[ACREEDOR]],0)</f>
        <v>0</v>
      </c>
    </row>
    <row r="1002" spans="1:14" hidden="1" x14ac:dyDescent="0.3">
      <c r="A1002" s="14">
        <f>+'PLAN DE CUENTAS'!A1002</f>
        <v>0</v>
      </c>
      <c r="B1002" s="13">
        <f>+'PLAN DE CUENTAS'!B1002</f>
        <v>0</v>
      </c>
      <c r="C1002" s="13">
        <f>+'PLAN DE CUENTAS'!C1002</f>
        <v>0</v>
      </c>
      <c r="D1002" t="str">
        <f>IF(tbal[[#This Row],[DEBE]]+tbal[[#This Row],[HABER]]=0,"","X")</f>
        <v/>
      </c>
      <c r="E1002" s="16">
        <f>SUMIF(tdiario[CUENTA],tbal[[#This Row],[CUENTA]],tdiario[DEBE])</f>
        <v>0</v>
      </c>
      <c r="F1002" s="17">
        <f>SUMIF(tdiario[CUENTA],tbal[[#This Row],[CUENTA]],tdiario[HABER])</f>
        <v>0</v>
      </c>
      <c r="G1002" s="16">
        <f>IF(tbal[[#This Row],[DEBE]]-tbal[[#This Row],[HABER]]&gt;0,tbal[[#This Row],[DEBE]]-tbal[[#This Row],[HABER]],0)</f>
        <v>0</v>
      </c>
      <c r="H1002" s="18">
        <f>IF(tbal[[#This Row],[HABER]]-tbal[[#This Row],[DEBE]]&gt;0,tbal[[#This Row],[HABER]]-tbal[[#This Row],[DEBE]],0)</f>
        <v>0</v>
      </c>
      <c r="I1002" s="16">
        <f>IF((OR(tbal[[#This Row],[X]]=1,tbal[[#This Row],[X]]=2)),tbal[[#This Row],[DEUDOR]],0)</f>
        <v>0</v>
      </c>
      <c r="J1002" s="18">
        <f>IF((OR(tbal[[#This Row],[X]]=2,tbal[[#This Row],[X]]=3)),tbal[[#This Row],[ACREEDOR]],0)</f>
        <v>0</v>
      </c>
      <c r="K1002" s="16">
        <f>IF((OR(tbal[[#This Row],[X]]=3,tbal[[#This Row],[X]]=5)),tbal[[#This Row],[DEUDOR]],0)</f>
        <v>0</v>
      </c>
      <c r="L1002" s="18">
        <f>IF((OR(tbal[[#This Row],[X]]=3,tbal[[#This Row],[X]]=4)),tbal[[#This Row],[ACREEDOR]],0)</f>
        <v>0</v>
      </c>
      <c r="M1002" s="16">
        <f>IF((OR(tbal[[#This Row],[X]]=0,tbal[[#This Row],[X]]=6)),tbal[[#This Row],[DEUDOR]],0)</f>
        <v>0</v>
      </c>
      <c r="N1002" s="18">
        <f>IF((OR(tbal[[#This Row],[X]]=0,tbal[[#This Row],[X]]=5)),tbal[[#This Row],[ACREEDOR]],0)</f>
        <v>0</v>
      </c>
    </row>
    <row r="1003" spans="1:14" hidden="1" x14ac:dyDescent="0.3">
      <c r="A1003" s="14">
        <f>+'PLAN DE CUENTAS'!A1003</f>
        <v>0</v>
      </c>
      <c r="B1003" s="13">
        <f>+'PLAN DE CUENTAS'!B1003</f>
        <v>0</v>
      </c>
      <c r="C1003" s="13">
        <f>+'PLAN DE CUENTAS'!C1003</f>
        <v>0</v>
      </c>
      <c r="D1003" t="str">
        <f>IF(tbal[[#This Row],[DEBE]]+tbal[[#This Row],[HABER]]=0,"","X")</f>
        <v/>
      </c>
      <c r="E1003" s="16">
        <f>SUMIF(tdiario[CUENTA],tbal[[#This Row],[CUENTA]],tdiario[DEBE])</f>
        <v>0</v>
      </c>
      <c r="F1003" s="17">
        <f>SUMIF(tdiario[CUENTA],tbal[[#This Row],[CUENTA]],tdiario[HABER])</f>
        <v>0</v>
      </c>
      <c r="G1003" s="16">
        <f>IF(tbal[[#This Row],[DEBE]]-tbal[[#This Row],[HABER]]&gt;0,tbal[[#This Row],[DEBE]]-tbal[[#This Row],[HABER]],0)</f>
        <v>0</v>
      </c>
      <c r="H1003" s="18">
        <f>IF(tbal[[#This Row],[HABER]]-tbal[[#This Row],[DEBE]]&gt;0,tbal[[#This Row],[HABER]]-tbal[[#This Row],[DEBE]],0)</f>
        <v>0</v>
      </c>
      <c r="I1003" s="16">
        <f>IF((OR(tbal[[#This Row],[X]]=1,tbal[[#This Row],[X]]=2)),tbal[[#This Row],[DEUDOR]],0)</f>
        <v>0</v>
      </c>
      <c r="J1003" s="18">
        <f>IF((OR(tbal[[#This Row],[X]]=2,tbal[[#This Row],[X]]=3)),tbal[[#This Row],[ACREEDOR]],0)</f>
        <v>0</v>
      </c>
      <c r="K1003" s="16">
        <f>IF((OR(tbal[[#This Row],[X]]=3,tbal[[#This Row],[X]]=5)),tbal[[#This Row],[DEUDOR]],0)</f>
        <v>0</v>
      </c>
      <c r="L1003" s="18">
        <f>IF((OR(tbal[[#This Row],[X]]=3,tbal[[#This Row],[X]]=4)),tbal[[#This Row],[ACREEDOR]],0)</f>
        <v>0</v>
      </c>
      <c r="M1003" s="16">
        <f>IF((OR(tbal[[#This Row],[X]]=0,tbal[[#This Row],[X]]=6)),tbal[[#This Row],[DEUDOR]],0)</f>
        <v>0</v>
      </c>
      <c r="N1003" s="18">
        <f>IF((OR(tbal[[#This Row],[X]]=0,tbal[[#This Row],[X]]=5)),tbal[[#This Row],[ACREEDOR]],0)</f>
        <v>0</v>
      </c>
    </row>
    <row r="1004" spans="1:14" hidden="1" x14ac:dyDescent="0.3">
      <c r="A1004" s="14">
        <f>+'PLAN DE CUENTAS'!A1004</f>
        <v>0</v>
      </c>
      <c r="B1004" s="13">
        <f>+'PLAN DE CUENTAS'!B1004</f>
        <v>0</v>
      </c>
      <c r="C1004" s="13">
        <f>+'PLAN DE CUENTAS'!C1004</f>
        <v>0</v>
      </c>
      <c r="D1004" t="str">
        <f>IF(tbal[[#This Row],[DEBE]]+tbal[[#This Row],[HABER]]=0,"","X")</f>
        <v/>
      </c>
      <c r="E1004" s="16">
        <f>SUMIF(tdiario[CUENTA],tbal[[#This Row],[CUENTA]],tdiario[DEBE])</f>
        <v>0</v>
      </c>
      <c r="F1004" s="17">
        <f>SUMIF(tdiario[CUENTA],tbal[[#This Row],[CUENTA]],tdiario[HABER])</f>
        <v>0</v>
      </c>
      <c r="G1004" s="16">
        <f>IF(tbal[[#This Row],[DEBE]]-tbal[[#This Row],[HABER]]&gt;0,tbal[[#This Row],[DEBE]]-tbal[[#This Row],[HABER]],0)</f>
        <v>0</v>
      </c>
      <c r="H1004" s="18">
        <f>IF(tbal[[#This Row],[HABER]]-tbal[[#This Row],[DEBE]]&gt;0,tbal[[#This Row],[HABER]]-tbal[[#This Row],[DEBE]],0)</f>
        <v>0</v>
      </c>
      <c r="I1004" s="16">
        <f>IF((OR(tbal[[#This Row],[X]]=1,tbal[[#This Row],[X]]=2)),tbal[[#This Row],[DEUDOR]],0)</f>
        <v>0</v>
      </c>
      <c r="J1004" s="18">
        <f>IF((OR(tbal[[#This Row],[X]]=2,tbal[[#This Row],[X]]=3)),tbal[[#This Row],[ACREEDOR]],0)</f>
        <v>0</v>
      </c>
      <c r="K1004" s="16">
        <f>IF((OR(tbal[[#This Row],[X]]=3,tbal[[#This Row],[X]]=5)),tbal[[#This Row],[DEUDOR]],0)</f>
        <v>0</v>
      </c>
      <c r="L1004" s="18">
        <f>IF((OR(tbal[[#This Row],[X]]=3,tbal[[#This Row],[X]]=4)),tbal[[#This Row],[ACREEDOR]],0)</f>
        <v>0</v>
      </c>
      <c r="M1004" s="16">
        <f>IF((OR(tbal[[#This Row],[X]]=0,tbal[[#This Row],[X]]=6)),tbal[[#This Row],[DEUDOR]],0)</f>
        <v>0</v>
      </c>
      <c r="N1004" s="18">
        <f>IF((OR(tbal[[#This Row],[X]]=0,tbal[[#This Row],[X]]=5)),tbal[[#This Row],[ACREEDOR]],0)</f>
        <v>0</v>
      </c>
    </row>
    <row r="1005" spans="1:14" hidden="1" x14ac:dyDescent="0.3">
      <c r="A1005" s="14">
        <f>+'PLAN DE CUENTAS'!A1005</f>
        <v>0</v>
      </c>
      <c r="B1005" s="13">
        <f>+'PLAN DE CUENTAS'!B1005</f>
        <v>0</v>
      </c>
      <c r="C1005" s="13">
        <f>+'PLAN DE CUENTAS'!C1005</f>
        <v>0</v>
      </c>
      <c r="D1005" t="str">
        <f>IF(tbal[[#This Row],[DEBE]]+tbal[[#This Row],[HABER]]=0,"","X")</f>
        <v/>
      </c>
      <c r="E1005" s="16">
        <f>SUMIF(tdiario[CUENTA],tbal[[#This Row],[CUENTA]],tdiario[DEBE])</f>
        <v>0</v>
      </c>
      <c r="F1005" s="17">
        <f>SUMIF(tdiario[CUENTA],tbal[[#This Row],[CUENTA]],tdiario[HABER])</f>
        <v>0</v>
      </c>
      <c r="G1005" s="16">
        <f>IF(tbal[[#This Row],[DEBE]]-tbal[[#This Row],[HABER]]&gt;0,tbal[[#This Row],[DEBE]]-tbal[[#This Row],[HABER]],0)</f>
        <v>0</v>
      </c>
      <c r="H1005" s="18">
        <f>IF(tbal[[#This Row],[HABER]]-tbal[[#This Row],[DEBE]]&gt;0,tbal[[#This Row],[HABER]]-tbal[[#This Row],[DEBE]],0)</f>
        <v>0</v>
      </c>
      <c r="I1005" s="16">
        <f>IF((OR(tbal[[#This Row],[X]]=1,tbal[[#This Row],[X]]=2)),tbal[[#This Row],[DEUDOR]],0)</f>
        <v>0</v>
      </c>
      <c r="J1005" s="18">
        <f>IF((OR(tbal[[#This Row],[X]]=2,tbal[[#This Row],[X]]=3)),tbal[[#This Row],[ACREEDOR]],0)</f>
        <v>0</v>
      </c>
      <c r="K1005" s="16">
        <f>IF((OR(tbal[[#This Row],[X]]=3,tbal[[#This Row],[X]]=5)),tbal[[#This Row],[DEUDOR]],0)</f>
        <v>0</v>
      </c>
      <c r="L1005" s="18">
        <f>IF((OR(tbal[[#This Row],[X]]=3,tbal[[#This Row],[X]]=4)),tbal[[#This Row],[ACREEDOR]],0)</f>
        <v>0</v>
      </c>
      <c r="M1005" s="16">
        <f>IF((OR(tbal[[#This Row],[X]]=0,tbal[[#This Row],[X]]=6)),tbal[[#This Row],[DEUDOR]],0)</f>
        <v>0</v>
      </c>
      <c r="N1005" s="18">
        <f>IF((OR(tbal[[#This Row],[X]]=0,tbal[[#This Row],[X]]=5)),tbal[[#This Row],[ACREEDOR]],0)</f>
        <v>0</v>
      </c>
    </row>
    <row r="1006" spans="1:14" hidden="1" x14ac:dyDescent="0.3">
      <c r="A1006" s="14">
        <f>+'PLAN DE CUENTAS'!A1006</f>
        <v>0</v>
      </c>
      <c r="B1006" s="13">
        <f>+'PLAN DE CUENTAS'!B1006</f>
        <v>0</v>
      </c>
      <c r="C1006" s="13">
        <f>+'PLAN DE CUENTAS'!C1006</f>
        <v>0</v>
      </c>
      <c r="D1006" t="str">
        <f>IF(tbal[[#This Row],[DEBE]]+tbal[[#This Row],[HABER]]=0,"","X")</f>
        <v/>
      </c>
      <c r="E1006" s="16">
        <f>SUMIF(tdiario[CUENTA],tbal[[#This Row],[CUENTA]],tdiario[DEBE])</f>
        <v>0</v>
      </c>
      <c r="F1006" s="17">
        <f>SUMIF(tdiario[CUENTA],tbal[[#This Row],[CUENTA]],tdiario[HABER])</f>
        <v>0</v>
      </c>
      <c r="G1006" s="16">
        <f>IF(tbal[[#This Row],[DEBE]]-tbal[[#This Row],[HABER]]&gt;0,tbal[[#This Row],[DEBE]]-tbal[[#This Row],[HABER]],0)</f>
        <v>0</v>
      </c>
      <c r="H1006" s="18">
        <f>IF(tbal[[#This Row],[HABER]]-tbal[[#This Row],[DEBE]]&gt;0,tbal[[#This Row],[HABER]]-tbal[[#This Row],[DEBE]],0)</f>
        <v>0</v>
      </c>
      <c r="I1006" s="16">
        <f>IF((OR(tbal[[#This Row],[X]]=1,tbal[[#This Row],[X]]=2)),tbal[[#This Row],[DEUDOR]],0)</f>
        <v>0</v>
      </c>
      <c r="J1006" s="18">
        <f>IF((OR(tbal[[#This Row],[X]]=2,tbal[[#This Row],[X]]=3)),tbal[[#This Row],[ACREEDOR]],0)</f>
        <v>0</v>
      </c>
      <c r="K1006" s="16">
        <f>IF((OR(tbal[[#This Row],[X]]=3,tbal[[#This Row],[X]]=5)),tbal[[#This Row],[DEUDOR]],0)</f>
        <v>0</v>
      </c>
      <c r="L1006" s="18">
        <f>IF((OR(tbal[[#This Row],[X]]=3,tbal[[#This Row],[X]]=4)),tbal[[#This Row],[ACREEDOR]],0)</f>
        <v>0</v>
      </c>
      <c r="M1006" s="16">
        <f>IF((OR(tbal[[#This Row],[X]]=0,tbal[[#This Row],[X]]=6)),tbal[[#This Row],[DEUDOR]],0)</f>
        <v>0</v>
      </c>
      <c r="N1006" s="18">
        <f>IF((OR(tbal[[#This Row],[X]]=0,tbal[[#This Row],[X]]=5)),tbal[[#This Row],[ACREEDOR]],0)</f>
        <v>0</v>
      </c>
    </row>
    <row r="1007" spans="1:14" hidden="1" x14ac:dyDescent="0.3">
      <c r="A1007" s="14">
        <f>+'PLAN DE CUENTAS'!A1007</f>
        <v>0</v>
      </c>
      <c r="B1007" s="13">
        <f>+'PLAN DE CUENTAS'!B1007</f>
        <v>0</v>
      </c>
      <c r="C1007" s="13">
        <f>+'PLAN DE CUENTAS'!C1007</f>
        <v>0</v>
      </c>
      <c r="D1007" t="str">
        <f>IF(tbal[[#This Row],[DEBE]]+tbal[[#This Row],[HABER]]=0,"","X")</f>
        <v/>
      </c>
      <c r="E1007" s="16">
        <f>SUMIF(tdiario[CUENTA],tbal[[#This Row],[CUENTA]],tdiario[DEBE])</f>
        <v>0</v>
      </c>
      <c r="F1007" s="17">
        <f>SUMIF(tdiario[CUENTA],tbal[[#This Row],[CUENTA]],tdiario[HABER])</f>
        <v>0</v>
      </c>
      <c r="G1007" s="16">
        <f>IF(tbal[[#This Row],[DEBE]]-tbal[[#This Row],[HABER]]&gt;0,tbal[[#This Row],[DEBE]]-tbal[[#This Row],[HABER]],0)</f>
        <v>0</v>
      </c>
      <c r="H1007" s="18">
        <f>IF(tbal[[#This Row],[HABER]]-tbal[[#This Row],[DEBE]]&gt;0,tbal[[#This Row],[HABER]]-tbal[[#This Row],[DEBE]],0)</f>
        <v>0</v>
      </c>
      <c r="I1007" s="16">
        <f>IF((OR(tbal[[#This Row],[X]]=1,tbal[[#This Row],[X]]=2)),tbal[[#This Row],[DEUDOR]],0)</f>
        <v>0</v>
      </c>
      <c r="J1007" s="18">
        <f>IF((OR(tbal[[#This Row],[X]]=2,tbal[[#This Row],[X]]=3)),tbal[[#This Row],[ACREEDOR]],0)</f>
        <v>0</v>
      </c>
      <c r="K1007" s="16">
        <f>IF((OR(tbal[[#This Row],[X]]=3,tbal[[#This Row],[X]]=5)),tbal[[#This Row],[DEUDOR]],0)</f>
        <v>0</v>
      </c>
      <c r="L1007" s="18">
        <f>IF((OR(tbal[[#This Row],[X]]=3,tbal[[#This Row],[X]]=4)),tbal[[#This Row],[ACREEDOR]],0)</f>
        <v>0</v>
      </c>
      <c r="M1007" s="16">
        <f>IF((OR(tbal[[#This Row],[X]]=0,tbal[[#This Row],[X]]=6)),tbal[[#This Row],[DEUDOR]],0)</f>
        <v>0</v>
      </c>
      <c r="N1007" s="18">
        <f>IF((OR(tbal[[#This Row],[X]]=0,tbal[[#This Row],[X]]=5)),tbal[[#This Row],[ACREEDOR]],0)</f>
        <v>0</v>
      </c>
    </row>
    <row r="1008" spans="1:14" hidden="1" x14ac:dyDescent="0.3">
      <c r="A1008" s="14">
        <f>+'PLAN DE CUENTAS'!A1008</f>
        <v>0</v>
      </c>
      <c r="B1008" s="13">
        <f>+'PLAN DE CUENTAS'!B1008</f>
        <v>0</v>
      </c>
      <c r="C1008" s="13">
        <f>+'PLAN DE CUENTAS'!C1008</f>
        <v>0</v>
      </c>
      <c r="D1008" t="str">
        <f>IF(tbal[[#This Row],[DEBE]]+tbal[[#This Row],[HABER]]=0,"","X")</f>
        <v/>
      </c>
      <c r="E1008" s="16">
        <f>SUMIF(tdiario[CUENTA],tbal[[#This Row],[CUENTA]],tdiario[DEBE])</f>
        <v>0</v>
      </c>
      <c r="F1008" s="17">
        <f>SUMIF(tdiario[CUENTA],tbal[[#This Row],[CUENTA]],tdiario[HABER])</f>
        <v>0</v>
      </c>
      <c r="G1008" s="16">
        <f>IF(tbal[[#This Row],[DEBE]]-tbal[[#This Row],[HABER]]&gt;0,tbal[[#This Row],[DEBE]]-tbal[[#This Row],[HABER]],0)</f>
        <v>0</v>
      </c>
      <c r="H1008" s="18">
        <f>IF(tbal[[#This Row],[HABER]]-tbal[[#This Row],[DEBE]]&gt;0,tbal[[#This Row],[HABER]]-tbal[[#This Row],[DEBE]],0)</f>
        <v>0</v>
      </c>
      <c r="I1008" s="16">
        <f>IF((OR(tbal[[#This Row],[X]]=1,tbal[[#This Row],[X]]=2)),tbal[[#This Row],[DEUDOR]],0)</f>
        <v>0</v>
      </c>
      <c r="J1008" s="18">
        <f>IF((OR(tbal[[#This Row],[X]]=2,tbal[[#This Row],[X]]=3)),tbal[[#This Row],[ACREEDOR]],0)</f>
        <v>0</v>
      </c>
      <c r="K1008" s="16">
        <f>IF((OR(tbal[[#This Row],[X]]=3,tbal[[#This Row],[X]]=5)),tbal[[#This Row],[DEUDOR]],0)</f>
        <v>0</v>
      </c>
      <c r="L1008" s="18">
        <f>IF((OR(tbal[[#This Row],[X]]=3,tbal[[#This Row],[X]]=4)),tbal[[#This Row],[ACREEDOR]],0)</f>
        <v>0</v>
      </c>
      <c r="M1008" s="16">
        <f>IF((OR(tbal[[#This Row],[X]]=0,tbal[[#This Row],[X]]=6)),tbal[[#This Row],[DEUDOR]],0)</f>
        <v>0</v>
      </c>
      <c r="N1008" s="18">
        <f>IF((OR(tbal[[#This Row],[X]]=0,tbal[[#This Row],[X]]=5)),tbal[[#This Row],[ACREEDOR]],0)</f>
        <v>0</v>
      </c>
    </row>
    <row r="1009" spans="1:14" hidden="1" x14ac:dyDescent="0.3">
      <c r="A1009" s="14">
        <f>+'PLAN DE CUENTAS'!A1009</f>
        <v>0</v>
      </c>
      <c r="B1009" s="13">
        <f>+'PLAN DE CUENTAS'!B1009</f>
        <v>0</v>
      </c>
      <c r="C1009" s="13">
        <f>+'PLAN DE CUENTAS'!C1009</f>
        <v>0</v>
      </c>
      <c r="D1009" t="str">
        <f>IF(tbal[[#This Row],[DEBE]]+tbal[[#This Row],[HABER]]=0,"","X")</f>
        <v/>
      </c>
      <c r="E1009" s="16">
        <f>SUMIF(tdiario[CUENTA],tbal[[#This Row],[CUENTA]],tdiario[DEBE])</f>
        <v>0</v>
      </c>
      <c r="F1009" s="17">
        <f>SUMIF(tdiario[CUENTA],tbal[[#This Row],[CUENTA]],tdiario[HABER])</f>
        <v>0</v>
      </c>
      <c r="G1009" s="16">
        <f>IF(tbal[[#This Row],[DEBE]]-tbal[[#This Row],[HABER]]&gt;0,tbal[[#This Row],[DEBE]]-tbal[[#This Row],[HABER]],0)</f>
        <v>0</v>
      </c>
      <c r="H1009" s="18">
        <f>IF(tbal[[#This Row],[HABER]]-tbal[[#This Row],[DEBE]]&gt;0,tbal[[#This Row],[HABER]]-tbal[[#This Row],[DEBE]],0)</f>
        <v>0</v>
      </c>
      <c r="I1009" s="16">
        <f>IF((OR(tbal[[#This Row],[X]]=1,tbal[[#This Row],[X]]=2)),tbal[[#This Row],[DEUDOR]],0)</f>
        <v>0</v>
      </c>
      <c r="J1009" s="18">
        <f>IF((OR(tbal[[#This Row],[X]]=2,tbal[[#This Row],[X]]=3)),tbal[[#This Row],[ACREEDOR]],0)</f>
        <v>0</v>
      </c>
      <c r="K1009" s="16">
        <f>IF((OR(tbal[[#This Row],[X]]=3,tbal[[#This Row],[X]]=5)),tbal[[#This Row],[DEUDOR]],0)</f>
        <v>0</v>
      </c>
      <c r="L1009" s="18">
        <f>IF((OR(tbal[[#This Row],[X]]=3,tbal[[#This Row],[X]]=4)),tbal[[#This Row],[ACREEDOR]],0)</f>
        <v>0</v>
      </c>
      <c r="M1009" s="16">
        <f>IF((OR(tbal[[#This Row],[X]]=0,tbal[[#This Row],[X]]=6)),tbal[[#This Row],[DEUDOR]],0)</f>
        <v>0</v>
      </c>
      <c r="N1009" s="18">
        <f>IF((OR(tbal[[#This Row],[X]]=0,tbal[[#This Row],[X]]=5)),tbal[[#This Row],[ACREEDOR]],0)</f>
        <v>0</v>
      </c>
    </row>
    <row r="1010" spans="1:14" hidden="1" x14ac:dyDescent="0.3">
      <c r="A1010" s="14">
        <f>+'PLAN DE CUENTAS'!A1010</f>
        <v>0</v>
      </c>
      <c r="B1010" s="13">
        <f>+'PLAN DE CUENTAS'!B1010</f>
        <v>0</v>
      </c>
      <c r="C1010" s="13">
        <f>+'PLAN DE CUENTAS'!C1010</f>
        <v>0</v>
      </c>
      <c r="D1010" t="str">
        <f>IF(tbal[[#This Row],[DEBE]]+tbal[[#This Row],[HABER]]=0,"","X")</f>
        <v/>
      </c>
      <c r="E1010" s="16">
        <f>SUMIF(tdiario[CUENTA],tbal[[#This Row],[CUENTA]],tdiario[DEBE])</f>
        <v>0</v>
      </c>
      <c r="F1010" s="17">
        <f>SUMIF(tdiario[CUENTA],tbal[[#This Row],[CUENTA]],tdiario[HABER])</f>
        <v>0</v>
      </c>
      <c r="G1010" s="16">
        <f>IF(tbal[[#This Row],[DEBE]]-tbal[[#This Row],[HABER]]&gt;0,tbal[[#This Row],[DEBE]]-tbal[[#This Row],[HABER]],0)</f>
        <v>0</v>
      </c>
      <c r="H1010" s="18">
        <f>IF(tbal[[#This Row],[HABER]]-tbal[[#This Row],[DEBE]]&gt;0,tbal[[#This Row],[HABER]]-tbal[[#This Row],[DEBE]],0)</f>
        <v>0</v>
      </c>
      <c r="I1010" s="16">
        <f>IF((OR(tbal[[#This Row],[X]]=1,tbal[[#This Row],[X]]=2)),tbal[[#This Row],[DEUDOR]],0)</f>
        <v>0</v>
      </c>
      <c r="J1010" s="18">
        <f>IF((OR(tbal[[#This Row],[X]]=2,tbal[[#This Row],[X]]=3)),tbal[[#This Row],[ACREEDOR]],0)</f>
        <v>0</v>
      </c>
      <c r="K1010" s="16">
        <f>IF((OR(tbal[[#This Row],[X]]=3,tbal[[#This Row],[X]]=5)),tbal[[#This Row],[DEUDOR]],0)</f>
        <v>0</v>
      </c>
      <c r="L1010" s="18">
        <f>IF((OR(tbal[[#This Row],[X]]=3,tbal[[#This Row],[X]]=4)),tbal[[#This Row],[ACREEDOR]],0)</f>
        <v>0</v>
      </c>
      <c r="M1010" s="16">
        <f>IF((OR(tbal[[#This Row],[X]]=0,tbal[[#This Row],[X]]=6)),tbal[[#This Row],[DEUDOR]],0)</f>
        <v>0</v>
      </c>
      <c r="N1010" s="18">
        <f>IF((OR(tbal[[#This Row],[X]]=0,tbal[[#This Row],[X]]=5)),tbal[[#This Row],[ACREEDOR]],0)</f>
        <v>0</v>
      </c>
    </row>
    <row r="1011" spans="1:14" hidden="1" x14ac:dyDescent="0.3">
      <c r="A1011" s="14">
        <f>+'PLAN DE CUENTAS'!A1011</f>
        <v>0</v>
      </c>
      <c r="B1011" s="13">
        <f>+'PLAN DE CUENTAS'!B1011</f>
        <v>0</v>
      </c>
      <c r="C1011" s="13">
        <f>+'PLAN DE CUENTAS'!C1011</f>
        <v>0</v>
      </c>
      <c r="D1011" t="str">
        <f>IF(tbal[[#This Row],[DEBE]]+tbal[[#This Row],[HABER]]=0,"","X")</f>
        <v/>
      </c>
      <c r="E1011" s="16">
        <f>SUMIF(tdiario[CUENTA],tbal[[#This Row],[CUENTA]],tdiario[DEBE])</f>
        <v>0</v>
      </c>
      <c r="F1011" s="17">
        <f>SUMIF(tdiario[CUENTA],tbal[[#This Row],[CUENTA]],tdiario[HABER])</f>
        <v>0</v>
      </c>
      <c r="G1011" s="16">
        <f>IF(tbal[[#This Row],[DEBE]]-tbal[[#This Row],[HABER]]&gt;0,tbal[[#This Row],[DEBE]]-tbal[[#This Row],[HABER]],0)</f>
        <v>0</v>
      </c>
      <c r="H1011" s="18">
        <f>IF(tbal[[#This Row],[HABER]]-tbal[[#This Row],[DEBE]]&gt;0,tbal[[#This Row],[HABER]]-tbal[[#This Row],[DEBE]],0)</f>
        <v>0</v>
      </c>
      <c r="I1011" s="16">
        <f>IF((OR(tbal[[#This Row],[X]]=1,tbal[[#This Row],[X]]=2)),tbal[[#This Row],[DEUDOR]],0)</f>
        <v>0</v>
      </c>
      <c r="J1011" s="18">
        <f>IF((OR(tbal[[#This Row],[X]]=2,tbal[[#This Row],[X]]=3)),tbal[[#This Row],[ACREEDOR]],0)</f>
        <v>0</v>
      </c>
      <c r="K1011" s="16">
        <f>IF((OR(tbal[[#This Row],[X]]=3,tbal[[#This Row],[X]]=5)),tbal[[#This Row],[DEUDOR]],0)</f>
        <v>0</v>
      </c>
      <c r="L1011" s="18">
        <f>IF((OR(tbal[[#This Row],[X]]=3,tbal[[#This Row],[X]]=4)),tbal[[#This Row],[ACREEDOR]],0)</f>
        <v>0</v>
      </c>
      <c r="M1011" s="16">
        <f>IF((OR(tbal[[#This Row],[X]]=0,tbal[[#This Row],[X]]=6)),tbal[[#This Row],[DEUDOR]],0)</f>
        <v>0</v>
      </c>
      <c r="N1011" s="18">
        <f>IF((OR(tbal[[#This Row],[X]]=0,tbal[[#This Row],[X]]=5)),tbal[[#This Row],[ACREEDOR]],0)</f>
        <v>0</v>
      </c>
    </row>
    <row r="1012" spans="1:14" hidden="1" x14ac:dyDescent="0.3">
      <c r="A1012" s="14">
        <f>+'PLAN DE CUENTAS'!A1012</f>
        <v>0</v>
      </c>
      <c r="B1012" s="13">
        <f>+'PLAN DE CUENTAS'!B1012</f>
        <v>0</v>
      </c>
      <c r="C1012" s="13">
        <f>+'PLAN DE CUENTAS'!C1012</f>
        <v>0</v>
      </c>
      <c r="D1012" t="str">
        <f>IF(tbal[[#This Row],[DEBE]]+tbal[[#This Row],[HABER]]=0,"","X")</f>
        <v/>
      </c>
      <c r="E1012" s="16">
        <f>SUMIF(tdiario[CUENTA],tbal[[#This Row],[CUENTA]],tdiario[DEBE])</f>
        <v>0</v>
      </c>
      <c r="F1012" s="17">
        <f>SUMIF(tdiario[CUENTA],tbal[[#This Row],[CUENTA]],tdiario[HABER])</f>
        <v>0</v>
      </c>
      <c r="G1012" s="16">
        <f>IF(tbal[[#This Row],[DEBE]]-tbal[[#This Row],[HABER]]&gt;0,tbal[[#This Row],[DEBE]]-tbal[[#This Row],[HABER]],0)</f>
        <v>0</v>
      </c>
      <c r="H1012" s="18">
        <f>IF(tbal[[#This Row],[HABER]]-tbal[[#This Row],[DEBE]]&gt;0,tbal[[#This Row],[HABER]]-tbal[[#This Row],[DEBE]],0)</f>
        <v>0</v>
      </c>
      <c r="I1012" s="16">
        <f>IF((OR(tbal[[#This Row],[X]]=1,tbal[[#This Row],[X]]=2)),tbal[[#This Row],[DEUDOR]],0)</f>
        <v>0</v>
      </c>
      <c r="J1012" s="18">
        <f>IF((OR(tbal[[#This Row],[X]]=2,tbal[[#This Row],[X]]=3)),tbal[[#This Row],[ACREEDOR]],0)</f>
        <v>0</v>
      </c>
      <c r="K1012" s="16">
        <f>IF((OR(tbal[[#This Row],[X]]=3,tbal[[#This Row],[X]]=5)),tbal[[#This Row],[DEUDOR]],0)</f>
        <v>0</v>
      </c>
      <c r="L1012" s="18">
        <f>IF((OR(tbal[[#This Row],[X]]=3,tbal[[#This Row],[X]]=4)),tbal[[#This Row],[ACREEDOR]],0)</f>
        <v>0</v>
      </c>
      <c r="M1012" s="16">
        <f>IF((OR(tbal[[#This Row],[X]]=0,tbal[[#This Row],[X]]=6)),tbal[[#This Row],[DEUDOR]],0)</f>
        <v>0</v>
      </c>
      <c r="N1012" s="18">
        <f>IF((OR(tbal[[#This Row],[X]]=0,tbal[[#This Row],[X]]=5)),tbal[[#This Row],[ACREEDOR]],0)</f>
        <v>0</v>
      </c>
    </row>
    <row r="1013" spans="1:14" hidden="1" x14ac:dyDescent="0.3">
      <c r="A1013" s="14">
        <f>+'PLAN DE CUENTAS'!A1013</f>
        <v>0</v>
      </c>
      <c r="B1013" s="13">
        <f>+'PLAN DE CUENTAS'!B1013</f>
        <v>0</v>
      </c>
      <c r="C1013" s="13">
        <f>+'PLAN DE CUENTAS'!C1013</f>
        <v>0</v>
      </c>
      <c r="D1013" t="str">
        <f>IF(tbal[[#This Row],[DEBE]]+tbal[[#This Row],[HABER]]=0,"","X")</f>
        <v/>
      </c>
      <c r="E1013" s="16">
        <f>SUMIF(tdiario[CUENTA],tbal[[#This Row],[CUENTA]],tdiario[DEBE])</f>
        <v>0</v>
      </c>
      <c r="F1013" s="17">
        <f>SUMIF(tdiario[CUENTA],tbal[[#This Row],[CUENTA]],tdiario[HABER])</f>
        <v>0</v>
      </c>
      <c r="G1013" s="16">
        <f>IF(tbal[[#This Row],[DEBE]]-tbal[[#This Row],[HABER]]&gt;0,tbal[[#This Row],[DEBE]]-tbal[[#This Row],[HABER]],0)</f>
        <v>0</v>
      </c>
      <c r="H1013" s="18">
        <f>IF(tbal[[#This Row],[HABER]]-tbal[[#This Row],[DEBE]]&gt;0,tbal[[#This Row],[HABER]]-tbal[[#This Row],[DEBE]],0)</f>
        <v>0</v>
      </c>
      <c r="I1013" s="16">
        <f>IF((OR(tbal[[#This Row],[X]]=1,tbal[[#This Row],[X]]=2)),tbal[[#This Row],[DEUDOR]],0)</f>
        <v>0</v>
      </c>
      <c r="J1013" s="18">
        <f>IF((OR(tbal[[#This Row],[X]]=2,tbal[[#This Row],[X]]=3)),tbal[[#This Row],[ACREEDOR]],0)</f>
        <v>0</v>
      </c>
      <c r="K1013" s="16">
        <f>IF((OR(tbal[[#This Row],[X]]=3,tbal[[#This Row],[X]]=5)),tbal[[#This Row],[DEUDOR]],0)</f>
        <v>0</v>
      </c>
      <c r="L1013" s="18">
        <f>IF((OR(tbal[[#This Row],[X]]=3,tbal[[#This Row],[X]]=4)),tbal[[#This Row],[ACREEDOR]],0)</f>
        <v>0</v>
      </c>
      <c r="M1013" s="16">
        <f>IF((OR(tbal[[#This Row],[X]]=0,tbal[[#This Row],[X]]=6)),tbal[[#This Row],[DEUDOR]],0)</f>
        <v>0</v>
      </c>
      <c r="N1013" s="18">
        <f>IF((OR(tbal[[#This Row],[X]]=0,tbal[[#This Row],[X]]=5)),tbal[[#This Row],[ACREEDOR]],0)</f>
        <v>0</v>
      </c>
    </row>
    <row r="1014" spans="1:14" hidden="1" x14ac:dyDescent="0.3">
      <c r="A1014" s="14">
        <f>+'PLAN DE CUENTAS'!A1014</f>
        <v>0</v>
      </c>
      <c r="B1014" s="13">
        <f>+'PLAN DE CUENTAS'!B1014</f>
        <v>0</v>
      </c>
      <c r="C1014" s="13">
        <f>+'PLAN DE CUENTAS'!C1014</f>
        <v>0</v>
      </c>
      <c r="D1014" t="str">
        <f>IF(tbal[[#This Row],[DEBE]]+tbal[[#This Row],[HABER]]=0,"","X")</f>
        <v/>
      </c>
      <c r="E1014" s="16">
        <f>SUMIF(tdiario[CUENTA],tbal[[#This Row],[CUENTA]],tdiario[DEBE])</f>
        <v>0</v>
      </c>
      <c r="F1014" s="17">
        <f>SUMIF(tdiario[CUENTA],tbal[[#This Row],[CUENTA]],tdiario[HABER])</f>
        <v>0</v>
      </c>
      <c r="G1014" s="16">
        <f>IF(tbal[[#This Row],[DEBE]]-tbal[[#This Row],[HABER]]&gt;0,tbal[[#This Row],[DEBE]]-tbal[[#This Row],[HABER]],0)</f>
        <v>0</v>
      </c>
      <c r="H1014" s="18">
        <f>IF(tbal[[#This Row],[HABER]]-tbal[[#This Row],[DEBE]]&gt;0,tbal[[#This Row],[HABER]]-tbal[[#This Row],[DEBE]],0)</f>
        <v>0</v>
      </c>
      <c r="I1014" s="16">
        <f>IF((OR(tbal[[#This Row],[X]]=1,tbal[[#This Row],[X]]=2)),tbal[[#This Row],[DEUDOR]],0)</f>
        <v>0</v>
      </c>
      <c r="J1014" s="18">
        <f>IF((OR(tbal[[#This Row],[X]]=2,tbal[[#This Row],[X]]=3)),tbal[[#This Row],[ACREEDOR]],0)</f>
        <v>0</v>
      </c>
      <c r="K1014" s="16">
        <f>IF((OR(tbal[[#This Row],[X]]=3,tbal[[#This Row],[X]]=5)),tbal[[#This Row],[DEUDOR]],0)</f>
        <v>0</v>
      </c>
      <c r="L1014" s="18">
        <f>IF((OR(tbal[[#This Row],[X]]=3,tbal[[#This Row],[X]]=4)),tbal[[#This Row],[ACREEDOR]],0)</f>
        <v>0</v>
      </c>
      <c r="M1014" s="16">
        <f>IF((OR(tbal[[#This Row],[X]]=0,tbal[[#This Row],[X]]=6)),tbal[[#This Row],[DEUDOR]],0)</f>
        <v>0</v>
      </c>
      <c r="N1014" s="18">
        <f>IF((OR(tbal[[#This Row],[X]]=0,tbal[[#This Row],[X]]=5)),tbal[[#This Row],[ACREEDOR]],0)</f>
        <v>0</v>
      </c>
    </row>
    <row r="1015" spans="1:14" hidden="1" x14ac:dyDescent="0.3">
      <c r="A1015" s="14">
        <f>+'PLAN DE CUENTAS'!A1015</f>
        <v>0</v>
      </c>
      <c r="B1015" s="13">
        <f>+'PLAN DE CUENTAS'!B1015</f>
        <v>0</v>
      </c>
      <c r="C1015" s="13">
        <f>+'PLAN DE CUENTAS'!C1015</f>
        <v>0</v>
      </c>
      <c r="D1015" t="str">
        <f>IF(tbal[[#This Row],[DEBE]]+tbal[[#This Row],[HABER]]=0,"","X")</f>
        <v/>
      </c>
      <c r="E1015" s="16">
        <f>SUMIF(tdiario[CUENTA],tbal[[#This Row],[CUENTA]],tdiario[DEBE])</f>
        <v>0</v>
      </c>
      <c r="F1015" s="17">
        <f>SUMIF(tdiario[CUENTA],tbal[[#This Row],[CUENTA]],tdiario[HABER])</f>
        <v>0</v>
      </c>
      <c r="G1015" s="16">
        <f>IF(tbal[[#This Row],[DEBE]]-tbal[[#This Row],[HABER]]&gt;0,tbal[[#This Row],[DEBE]]-tbal[[#This Row],[HABER]],0)</f>
        <v>0</v>
      </c>
      <c r="H1015" s="18">
        <f>IF(tbal[[#This Row],[HABER]]-tbal[[#This Row],[DEBE]]&gt;0,tbal[[#This Row],[HABER]]-tbal[[#This Row],[DEBE]],0)</f>
        <v>0</v>
      </c>
      <c r="I1015" s="16">
        <f>IF((OR(tbal[[#This Row],[X]]=1,tbal[[#This Row],[X]]=2)),tbal[[#This Row],[DEUDOR]],0)</f>
        <v>0</v>
      </c>
      <c r="J1015" s="18">
        <f>IF((OR(tbal[[#This Row],[X]]=2,tbal[[#This Row],[X]]=3)),tbal[[#This Row],[ACREEDOR]],0)</f>
        <v>0</v>
      </c>
      <c r="K1015" s="16">
        <f>IF((OR(tbal[[#This Row],[X]]=3,tbal[[#This Row],[X]]=5)),tbal[[#This Row],[DEUDOR]],0)</f>
        <v>0</v>
      </c>
      <c r="L1015" s="18">
        <f>IF((OR(tbal[[#This Row],[X]]=3,tbal[[#This Row],[X]]=4)),tbal[[#This Row],[ACREEDOR]],0)</f>
        <v>0</v>
      </c>
      <c r="M1015" s="16">
        <f>IF((OR(tbal[[#This Row],[X]]=0,tbal[[#This Row],[X]]=6)),tbal[[#This Row],[DEUDOR]],0)</f>
        <v>0</v>
      </c>
      <c r="N1015" s="18">
        <f>IF((OR(tbal[[#This Row],[X]]=0,tbal[[#This Row],[X]]=5)),tbal[[#This Row],[ACREEDOR]],0)</f>
        <v>0</v>
      </c>
    </row>
    <row r="1016" spans="1:14" hidden="1" x14ac:dyDescent="0.3">
      <c r="A1016" s="14">
        <f>+'PLAN DE CUENTAS'!A1016</f>
        <v>0</v>
      </c>
      <c r="B1016" s="13">
        <f>+'PLAN DE CUENTAS'!B1016</f>
        <v>0</v>
      </c>
      <c r="C1016" s="13">
        <f>+'PLAN DE CUENTAS'!C1016</f>
        <v>0</v>
      </c>
      <c r="D1016" t="str">
        <f>IF(tbal[[#This Row],[DEBE]]+tbal[[#This Row],[HABER]]=0,"","X")</f>
        <v/>
      </c>
      <c r="E1016" s="16">
        <f>SUMIF(tdiario[CUENTA],tbal[[#This Row],[CUENTA]],tdiario[DEBE])</f>
        <v>0</v>
      </c>
      <c r="F1016" s="17">
        <f>SUMIF(tdiario[CUENTA],tbal[[#This Row],[CUENTA]],tdiario[HABER])</f>
        <v>0</v>
      </c>
      <c r="G1016" s="16">
        <f>IF(tbal[[#This Row],[DEBE]]-tbal[[#This Row],[HABER]]&gt;0,tbal[[#This Row],[DEBE]]-tbal[[#This Row],[HABER]],0)</f>
        <v>0</v>
      </c>
      <c r="H1016" s="18">
        <f>IF(tbal[[#This Row],[HABER]]-tbal[[#This Row],[DEBE]]&gt;0,tbal[[#This Row],[HABER]]-tbal[[#This Row],[DEBE]],0)</f>
        <v>0</v>
      </c>
      <c r="I1016" s="16">
        <f>IF((OR(tbal[[#This Row],[X]]=1,tbal[[#This Row],[X]]=2)),tbal[[#This Row],[DEUDOR]],0)</f>
        <v>0</v>
      </c>
      <c r="J1016" s="18">
        <f>IF((OR(tbal[[#This Row],[X]]=2,tbal[[#This Row],[X]]=3)),tbal[[#This Row],[ACREEDOR]],0)</f>
        <v>0</v>
      </c>
      <c r="K1016" s="16">
        <f>IF((OR(tbal[[#This Row],[X]]=3,tbal[[#This Row],[X]]=5)),tbal[[#This Row],[DEUDOR]],0)</f>
        <v>0</v>
      </c>
      <c r="L1016" s="18">
        <f>IF((OR(tbal[[#This Row],[X]]=3,tbal[[#This Row],[X]]=4)),tbal[[#This Row],[ACREEDOR]],0)</f>
        <v>0</v>
      </c>
      <c r="M1016" s="16">
        <f>IF((OR(tbal[[#This Row],[X]]=0,tbal[[#This Row],[X]]=6)),tbal[[#This Row],[DEUDOR]],0)</f>
        <v>0</v>
      </c>
      <c r="N1016" s="18">
        <f>IF((OR(tbal[[#This Row],[X]]=0,tbal[[#This Row],[X]]=5)),tbal[[#This Row],[ACREEDOR]],0)</f>
        <v>0</v>
      </c>
    </row>
    <row r="1017" spans="1:14" hidden="1" x14ac:dyDescent="0.3">
      <c r="A1017" s="14">
        <f>+'PLAN DE CUENTAS'!A1017</f>
        <v>0</v>
      </c>
      <c r="B1017" s="13">
        <f>+'PLAN DE CUENTAS'!B1017</f>
        <v>0</v>
      </c>
      <c r="C1017" s="13">
        <f>+'PLAN DE CUENTAS'!C1017</f>
        <v>0</v>
      </c>
      <c r="D1017" t="str">
        <f>IF(tbal[[#This Row],[DEBE]]+tbal[[#This Row],[HABER]]=0,"","X")</f>
        <v/>
      </c>
      <c r="E1017" s="16">
        <f>SUMIF(tdiario[CUENTA],tbal[[#This Row],[CUENTA]],tdiario[DEBE])</f>
        <v>0</v>
      </c>
      <c r="F1017" s="17">
        <f>SUMIF(tdiario[CUENTA],tbal[[#This Row],[CUENTA]],tdiario[HABER])</f>
        <v>0</v>
      </c>
      <c r="G1017" s="16">
        <f>IF(tbal[[#This Row],[DEBE]]-tbal[[#This Row],[HABER]]&gt;0,tbal[[#This Row],[DEBE]]-tbal[[#This Row],[HABER]],0)</f>
        <v>0</v>
      </c>
      <c r="H1017" s="18">
        <f>IF(tbal[[#This Row],[HABER]]-tbal[[#This Row],[DEBE]]&gt;0,tbal[[#This Row],[HABER]]-tbal[[#This Row],[DEBE]],0)</f>
        <v>0</v>
      </c>
      <c r="I1017" s="16">
        <f>IF((OR(tbal[[#This Row],[X]]=1,tbal[[#This Row],[X]]=2)),tbal[[#This Row],[DEUDOR]],0)</f>
        <v>0</v>
      </c>
      <c r="J1017" s="18">
        <f>IF((OR(tbal[[#This Row],[X]]=2,tbal[[#This Row],[X]]=3)),tbal[[#This Row],[ACREEDOR]],0)</f>
        <v>0</v>
      </c>
      <c r="K1017" s="16">
        <f>IF((OR(tbal[[#This Row],[X]]=3,tbal[[#This Row],[X]]=5)),tbal[[#This Row],[DEUDOR]],0)</f>
        <v>0</v>
      </c>
      <c r="L1017" s="18">
        <f>IF((OR(tbal[[#This Row],[X]]=3,tbal[[#This Row],[X]]=4)),tbal[[#This Row],[ACREEDOR]],0)</f>
        <v>0</v>
      </c>
      <c r="M1017" s="16">
        <f>IF((OR(tbal[[#This Row],[X]]=0,tbal[[#This Row],[X]]=6)),tbal[[#This Row],[DEUDOR]],0)</f>
        <v>0</v>
      </c>
      <c r="N1017" s="18">
        <f>IF((OR(tbal[[#This Row],[X]]=0,tbal[[#This Row],[X]]=5)),tbal[[#This Row],[ACREEDOR]],0)</f>
        <v>0</v>
      </c>
    </row>
    <row r="1018" spans="1:14" hidden="1" x14ac:dyDescent="0.3">
      <c r="A1018" s="14">
        <f>+'PLAN DE CUENTAS'!A1018</f>
        <v>0</v>
      </c>
      <c r="B1018" s="13">
        <f>+'PLAN DE CUENTAS'!B1018</f>
        <v>0</v>
      </c>
      <c r="C1018" s="13">
        <f>+'PLAN DE CUENTAS'!C1018</f>
        <v>0</v>
      </c>
      <c r="D1018" t="str">
        <f>IF(tbal[[#This Row],[DEBE]]+tbal[[#This Row],[HABER]]=0,"","X")</f>
        <v/>
      </c>
      <c r="E1018" s="16">
        <f>SUMIF(tdiario[CUENTA],tbal[[#This Row],[CUENTA]],tdiario[DEBE])</f>
        <v>0</v>
      </c>
      <c r="F1018" s="17">
        <f>SUMIF(tdiario[CUENTA],tbal[[#This Row],[CUENTA]],tdiario[HABER])</f>
        <v>0</v>
      </c>
      <c r="G1018" s="16">
        <f>IF(tbal[[#This Row],[DEBE]]-tbal[[#This Row],[HABER]]&gt;0,tbal[[#This Row],[DEBE]]-tbal[[#This Row],[HABER]],0)</f>
        <v>0</v>
      </c>
      <c r="H1018" s="18">
        <f>IF(tbal[[#This Row],[HABER]]-tbal[[#This Row],[DEBE]]&gt;0,tbal[[#This Row],[HABER]]-tbal[[#This Row],[DEBE]],0)</f>
        <v>0</v>
      </c>
      <c r="I1018" s="16">
        <f>IF((OR(tbal[[#This Row],[X]]=1,tbal[[#This Row],[X]]=2)),tbal[[#This Row],[DEUDOR]],0)</f>
        <v>0</v>
      </c>
      <c r="J1018" s="18">
        <f>IF((OR(tbal[[#This Row],[X]]=2,tbal[[#This Row],[X]]=3)),tbal[[#This Row],[ACREEDOR]],0)</f>
        <v>0</v>
      </c>
      <c r="K1018" s="16">
        <f>IF((OR(tbal[[#This Row],[X]]=3,tbal[[#This Row],[X]]=5)),tbal[[#This Row],[DEUDOR]],0)</f>
        <v>0</v>
      </c>
      <c r="L1018" s="18">
        <f>IF((OR(tbal[[#This Row],[X]]=3,tbal[[#This Row],[X]]=4)),tbal[[#This Row],[ACREEDOR]],0)</f>
        <v>0</v>
      </c>
      <c r="M1018" s="16">
        <f>IF((OR(tbal[[#This Row],[X]]=0,tbal[[#This Row],[X]]=6)),tbal[[#This Row],[DEUDOR]],0)</f>
        <v>0</v>
      </c>
      <c r="N1018" s="18">
        <f>IF((OR(tbal[[#This Row],[X]]=0,tbal[[#This Row],[X]]=5)),tbal[[#This Row],[ACREEDOR]],0)</f>
        <v>0</v>
      </c>
    </row>
    <row r="1019" spans="1:14" hidden="1" x14ac:dyDescent="0.3">
      <c r="A1019" s="14">
        <f>+'PLAN DE CUENTAS'!A1019</f>
        <v>0</v>
      </c>
      <c r="B1019" s="13">
        <f>+'PLAN DE CUENTAS'!B1019</f>
        <v>0</v>
      </c>
      <c r="C1019" s="13">
        <f>+'PLAN DE CUENTAS'!C1019</f>
        <v>0</v>
      </c>
      <c r="D1019" t="str">
        <f>IF(tbal[[#This Row],[DEBE]]+tbal[[#This Row],[HABER]]=0,"","X")</f>
        <v/>
      </c>
      <c r="E1019" s="16">
        <f>SUMIF(tdiario[CUENTA],tbal[[#This Row],[CUENTA]],tdiario[DEBE])</f>
        <v>0</v>
      </c>
      <c r="F1019" s="17">
        <f>SUMIF(tdiario[CUENTA],tbal[[#This Row],[CUENTA]],tdiario[HABER])</f>
        <v>0</v>
      </c>
      <c r="G1019" s="16">
        <f>IF(tbal[[#This Row],[DEBE]]-tbal[[#This Row],[HABER]]&gt;0,tbal[[#This Row],[DEBE]]-tbal[[#This Row],[HABER]],0)</f>
        <v>0</v>
      </c>
      <c r="H1019" s="18">
        <f>IF(tbal[[#This Row],[HABER]]-tbal[[#This Row],[DEBE]]&gt;0,tbal[[#This Row],[HABER]]-tbal[[#This Row],[DEBE]],0)</f>
        <v>0</v>
      </c>
      <c r="I1019" s="16">
        <f>IF((OR(tbal[[#This Row],[X]]=1,tbal[[#This Row],[X]]=2)),tbal[[#This Row],[DEUDOR]],0)</f>
        <v>0</v>
      </c>
      <c r="J1019" s="18">
        <f>IF((OR(tbal[[#This Row],[X]]=2,tbal[[#This Row],[X]]=3)),tbal[[#This Row],[ACREEDOR]],0)</f>
        <v>0</v>
      </c>
      <c r="K1019" s="16">
        <f>IF((OR(tbal[[#This Row],[X]]=3,tbal[[#This Row],[X]]=5)),tbal[[#This Row],[DEUDOR]],0)</f>
        <v>0</v>
      </c>
      <c r="L1019" s="18">
        <f>IF((OR(tbal[[#This Row],[X]]=3,tbal[[#This Row],[X]]=4)),tbal[[#This Row],[ACREEDOR]],0)</f>
        <v>0</v>
      </c>
      <c r="M1019" s="16">
        <f>IF((OR(tbal[[#This Row],[X]]=0,tbal[[#This Row],[X]]=6)),tbal[[#This Row],[DEUDOR]],0)</f>
        <v>0</v>
      </c>
      <c r="N1019" s="18">
        <f>IF((OR(tbal[[#This Row],[X]]=0,tbal[[#This Row],[X]]=5)),tbal[[#This Row],[ACREEDOR]],0)</f>
        <v>0</v>
      </c>
    </row>
    <row r="1020" spans="1:14" hidden="1" x14ac:dyDescent="0.3">
      <c r="A1020" s="14">
        <f>+'PLAN DE CUENTAS'!A1020</f>
        <v>0</v>
      </c>
      <c r="B1020" s="13">
        <f>+'PLAN DE CUENTAS'!B1020</f>
        <v>0</v>
      </c>
      <c r="C1020" s="13">
        <f>+'PLAN DE CUENTAS'!C1020</f>
        <v>0</v>
      </c>
      <c r="D1020" t="str">
        <f>IF(tbal[[#This Row],[DEBE]]+tbal[[#This Row],[HABER]]=0,"","X")</f>
        <v/>
      </c>
      <c r="E1020" s="16">
        <f>SUMIF(tdiario[CUENTA],tbal[[#This Row],[CUENTA]],tdiario[DEBE])</f>
        <v>0</v>
      </c>
      <c r="F1020" s="17">
        <f>SUMIF(tdiario[CUENTA],tbal[[#This Row],[CUENTA]],tdiario[HABER])</f>
        <v>0</v>
      </c>
      <c r="G1020" s="16">
        <f>IF(tbal[[#This Row],[DEBE]]-tbal[[#This Row],[HABER]]&gt;0,tbal[[#This Row],[DEBE]]-tbal[[#This Row],[HABER]],0)</f>
        <v>0</v>
      </c>
      <c r="H1020" s="18">
        <f>IF(tbal[[#This Row],[HABER]]-tbal[[#This Row],[DEBE]]&gt;0,tbal[[#This Row],[HABER]]-tbal[[#This Row],[DEBE]],0)</f>
        <v>0</v>
      </c>
      <c r="I1020" s="16">
        <f>IF((OR(tbal[[#This Row],[X]]=1,tbal[[#This Row],[X]]=2)),tbal[[#This Row],[DEUDOR]],0)</f>
        <v>0</v>
      </c>
      <c r="J1020" s="18">
        <f>IF((OR(tbal[[#This Row],[X]]=2,tbal[[#This Row],[X]]=3)),tbal[[#This Row],[ACREEDOR]],0)</f>
        <v>0</v>
      </c>
      <c r="K1020" s="16">
        <f>IF((OR(tbal[[#This Row],[X]]=3,tbal[[#This Row],[X]]=5)),tbal[[#This Row],[DEUDOR]],0)</f>
        <v>0</v>
      </c>
      <c r="L1020" s="18">
        <f>IF((OR(tbal[[#This Row],[X]]=3,tbal[[#This Row],[X]]=4)),tbal[[#This Row],[ACREEDOR]],0)</f>
        <v>0</v>
      </c>
      <c r="M1020" s="16">
        <f>IF((OR(tbal[[#This Row],[X]]=0,tbal[[#This Row],[X]]=6)),tbal[[#This Row],[DEUDOR]],0)</f>
        <v>0</v>
      </c>
      <c r="N1020" s="18">
        <f>IF((OR(tbal[[#This Row],[X]]=0,tbal[[#This Row],[X]]=5)),tbal[[#This Row],[ACREEDOR]],0)</f>
        <v>0</v>
      </c>
    </row>
    <row r="1021" spans="1:14" hidden="1" x14ac:dyDescent="0.3">
      <c r="A1021" s="14">
        <f>+'PLAN DE CUENTAS'!A1021</f>
        <v>0</v>
      </c>
      <c r="B1021" s="13">
        <f>+'PLAN DE CUENTAS'!B1021</f>
        <v>0</v>
      </c>
      <c r="C1021" s="13">
        <f>+'PLAN DE CUENTAS'!C1021</f>
        <v>0</v>
      </c>
      <c r="D1021" t="str">
        <f>IF(tbal[[#This Row],[DEBE]]+tbal[[#This Row],[HABER]]=0,"","X")</f>
        <v/>
      </c>
      <c r="E1021" s="16">
        <f>SUMIF(tdiario[CUENTA],tbal[[#This Row],[CUENTA]],tdiario[DEBE])</f>
        <v>0</v>
      </c>
      <c r="F1021" s="17">
        <f>SUMIF(tdiario[CUENTA],tbal[[#This Row],[CUENTA]],tdiario[HABER])</f>
        <v>0</v>
      </c>
      <c r="G1021" s="16">
        <f>IF(tbal[[#This Row],[DEBE]]-tbal[[#This Row],[HABER]]&gt;0,tbal[[#This Row],[DEBE]]-tbal[[#This Row],[HABER]],0)</f>
        <v>0</v>
      </c>
      <c r="H1021" s="18">
        <f>IF(tbal[[#This Row],[HABER]]-tbal[[#This Row],[DEBE]]&gt;0,tbal[[#This Row],[HABER]]-tbal[[#This Row],[DEBE]],0)</f>
        <v>0</v>
      </c>
      <c r="I1021" s="16">
        <f>IF((OR(tbal[[#This Row],[X]]=1,tbal[[#This Row],[X]]=2)),tbal[[#This Row],[DEUDOR]],0)</f>
        <v>0</v>
      </c>
      <c r="J1021" s="18">
        <f>IF((OR(tbal[[#This Row],[X]]=2,tbal[[#This Row],[X]]=3)),tbal[[#This Row],[ACREEDOR]],0)</f>
        <v>0</v>
      </c>
      <c r="K1021" s="16">
        <f>IF((OR(tbal[[#This Row],[X]]=3,tbal[[#This Row],[X]]=5)),tbal[[#This Row],[DEUDOR]],0)</f>
        <v>0</v>
      </c>
      <c r="L1021" s="18">
        <f>IF((OR(tbal[[#This Row],[X]]=3,tbal[[#This Row],[X]]=4)),tbal[[#This Row],[ACREEDOR]],0)</f>
        <v>0</v>
      </c>
      <c r="M1021" s="16">
        <f>IF((OR(tbal[[#This Row],[X]]=0,tbal[[#This Row],[X]]=6)),tbal[[#This Row],[DEUDOR]],0)</f>
        <v>0</v>
      </c>
      <c r="N1021" s="18">
        <f>IF((OR(tbal[[#This Row],[X]]=0,tbal[[#This Row],[X]]=5)),tbal[[#This Row],[ACREEDOR]],0)</f>
        <v>0</v>
      </c>
    </row>
    <row r="1022" spans="1:14" hidden="1" x14ac:dyDescent="0.3">
      <c r="A1022" s="14">
        <f>+'PLAN DE CUENTAS'!A1022</f>
        <v>0</v>
      </c>
      <c r="B1022" s="13">
        <f>+'PLAN DE CUENTAS'!B1022</f>
        <v>0</v>
      </c>
      <c r="C1022" s="13">
        <f>+'PLAN DE CUENTAS'!C1022</f>
        <v>0</v>
      </c>
      <c r="D1022" t="str">
        <f>IF(tbal[[#This Row],[DEBE]]+tbal[[#This Row],[HABER]]=0,"","X")</f>
        <v/>
      </c>
      <c r="E1022" s="16">
        <f>SUMIF(tdiario[CUENTA],tbal[[#This Row],[CUENTA]],tdiario[DEBE])</f>
        <v>0</v>
      </c>
      <c r="F1022" s="17">
        <f>SUMIF(tdiario[CUENTA],tbal[[#This Row],[CUENTA]],tdiario[HABER])</f>
        <v>0</v>
      </c>
      <c r="G1022" s="16">
        <f>IF(tbal[[#This Row],[DEBE]]-tbal[[#This Row],[HABER]]&gt;0,tbal[[#This Row],[DEBE]]-tbal[[#This Row],[HABER]],0)</f>
        <v>0</v>
      </c>
      <c r="H1022" s="18">
        <f>IF(tbal[[#This Row],[HABER]]-tbal[[#This Row],[DEBE]]&gt;0,tbal[[#This Row],[HABER]]-tbal[[#This Row],[DEBE]],0)</f>
        <v>0</v>
      </c>
      <c r="I1022" s="16">
        <f>IF((OR(tbal[[#This Row],[X]]=1,tbal[[#This Row],[X]]=2)),tbal[[#This Row],[DEUDOR]],0)</f>
        <v>0</v>
      </c>
      <c r="J1022" s="18">
        <f>IF((OR(tbal[[#This Row],[X]]=2,tbal[[#This Row],[X]]=3)),tbal[[#This Row],[ACREEDOR]],0)</f>
        <v>0</v>
      </c>
      <c r="K1022" s="16">
        <f>IF((OR(tbal[[#This Row],[X]]=3,tbal[[#This Row],[X]]=5)),tbal[[#This Row],[DEUDOR]],0)</f>
        <v>0</v>
      </c>
      <c r="L1022" s="18">
        <f>IF((OR(tbal[[#This Row],[X]]=3,tbal[[#This Row],[X]]=4)),tbal[[#This Row],[ACREEDOR]],0)</f>
        <v>0</v>
      </c>
      <c r="M1022" s="16">
        <f>IF((OR(tbal[[#This Row],[X]]=0,tbal[[#This Row],[X]]=6)),tbal[[#This Row],[DEUDOR]],0)</f>
        <v>0</v>
      </c>
      <c r="N1022" s="18">
        <f>IF((OR(tbal[[#This Row],[X]]=0,tbal[[#This Row],[X]]=5)),tbal[[#This Row],[ACREEDOR]],0)</f>
        <v>0</v>
      </c>
    </row>
    <row r="1023" spans="1:14" hidden="1" x14ac:dyDescent="0.3">
      <c r="A1023" s="14">
        <f>+'PLAN DE CUENTAS'!A1023</f>
        <v>0</v>
      </c>
      <c r="B1023" s="13">
        <f>+'PLAN DE CUENTAS'!B1023</f>
        <v>0</v>
      </c>
      <c r="C1023" s="13">
        <f>+'PLAN DE CUENTAS'!C1023</f>
        <v>0</v>
      </c>
      <c r="D1023" t="str">
        <f>IF(tbal[[#This Row],[DEBE]]+tbal[[#This Row],[HABER]]=0,"","X")</f>
        <v/>
      </c>
      <c r="E1023" s="16">
        <f>SUMIF(tdiario[CUENTA],tbal[[#This Row],[CUENTA]],tdiario[DEBE])</f>
        <v>0</v>
      </c>
      <c r="F1023" s="17">
        <f>SUMIF(tdiario[CUENTA],tbal[[#This Row],[CUENTA]],tdiario[HABER])</f>
        <v>0</v>
      </c>
      <c r="G1023" s="16">
        <f>IF(tbal[[#This Row],[DEBE]]-tbal[[#This Row],[HABER]]&gt;0,tbal[[#This Row],[DEBE]]-tbal[[#This Row],[HABER]],0)</f>
        <v>0</v>
      </c>
      <c r="H1023" s="18">
        <f>IF(tbal[[#This Row],[HABER]]-tbal[[#This Row],[DEBE]]&gt;0,tbal[[#This Row],[HABER]]-tbal[[#This Row],[DEBE]],0)</f>
        <v>0</v>
      </c>
      <c r="I1023" s="16">
        <f>IF((OR(tbal[[#This Row],[X]]=1,tbal[[#This Row],[X]]=2)),tbal[[#This Row],[DEUDOR]],0)</f>
        <v>0</v>
      </c>
      <c r="J1023" s="18">
        <f>IF((OR(tbal[[#This Row],[X]]=2,tbal[[#This Row],[X]]=3)),tbal[[#This Row],[ACREEDOR]],0)</f>
        <v>0</v>
      </c>
      <c r="K1023" s="16">
        <f>IF((OR(tbal[[#This Row],[X]]=3,tbal[[#This Row],[X]]=5)),tbal[[#This Row],[DEUDOR]],0)</f>
        <v>0</v>
      </c>
      <c r="L1023" s="18">
        <f>IF((OR(tbal[[#This Row],[X]]=3,tbal[[#This Row],[X]]=4)),tbal[[#This Row],[ACREEDOR]],0)</f>
        <v>0</v>
      </c>
      <c r="M1023" s="16">
        <f>IF((OR(tbal[[#This Row],[X]]=0,tbal[[#This Row],[X]]=6)),tbal[[#This Row],[DEUDOR]],0)</f>
        <v>0</v>
      </c>
      <c r="N1023" s="18">
        <f>IF((OR(tbal[[#This Row],[X]]=0,tbal[[#This Row],[X]]=5)),tbal[[#This Row],[ACREEDOR]],0)</f>
        <v>0</v>
      </c>
    </row>
    <row r="1024" spans="1:14" hidden="1" x14ac:dyDescent="0.3">
      <c r="A1024" s="14">
        <f>+'PLAN DE CUENTAS'!A1024</f>
        <v>0</v>
      </c>
      <c r="B1024" s="13">
        <f>+'PLAN DE CUENTAS'!B1024</f>
        <v>0</v>
      </c>
      <c r="C1024" s="13">
        <f>+'PLAN DE CUENTAS'!C1024</f>
        <v>0</v>
      </c>
      <c r="D1024" t="str">
        <f>IF(tbal[[#This Row],[DEBE]]+tbal[[#This Row],[HABER]]=0,"","X")</f>
        <v/>
      </c>
      <c r="E1024" s="16">
        <f>SUMIF(tdiario[CUENTA],tbal[[#This Row],[CUENTA]],tdiario[DEBE])</f>
        <v>0</v>
      </c>
      <c r="F1024" s="17">
        <f>SUMIF(tdiario[CUENTA],tbal[[#This Row],[CUENTA]],tdiario[HABER])</f>
        <v>0</v>
      </c>
      <c r="G1024" s="16">
        <f>IF(tbal[[#This Row],[DEBE]]-tbal[[#This Row],[HABER]]&gt;0,tbal[[#This Row],[DEBE]]-tbal[[#This Row],[HABER]],0)</f>
        <v>0</v>
      </c>
      <c r="H1024" s="18">
        <f>IF(tbal[[#This Row],[HABER]]-tbal[[#This Row],[DEBE]]&gt;0,tbal[[#This Row],[HABER]]-tbal[[#This Row],[DEBE]],0)</f>
        <v>0</v>
      </c>
      <c r="I1024" s="16">
        <f>IF((OR(tbal[[#This Row],[X]]=1,tbal[[#This Row],[X]]=2)),tbal[[#This Row],[DEUDOR]],0)</f>
        <v>0</v>
      </c>
      <c r="J1024" s="18">
        <f>IF((OR(tbal[[#This Row],[X]]=2,tbal[[#This Row],[X]]=3)),tbal[[#This Row],[ACREEDOR]],0)</f>
        <v>0</v>
      </c>
      <c r="K1024" s="16">
        <f>IF((OR(tbal[[#This Row],[X]]=3,tbal[[#This Row],[X]]=5)),tbal[[#This Row],[DEUDOR]],0)</f>
        <v>0</v>
      </c>
      <c r="L1024" s="18">
        <f>IF((OR(tbal[[#This Row],[X]]=3,tbal[[#This Row],[X]]=4)),tbal[[#This Row],[ACREEDOR]],0)</f>
        <v>0</v>
      </c>
      <c r="M1024" s="16">
        <f>IF((OR(tbal[[#This Row],[X]]=0,tbal[[#This Row],[X]]=6)),tbal[[#This Row],[DEUDOR]],0)</f>
        <v>0</v>
      </c>
      <c r="N1024" s="18">
        <f>IF((OR(tbal[[#This Row],[X]]=0,tbal[[#This Row],[X]]=5)),tbal[[#This Row],[ACREEDOR]],0)</f>
        <v>0</v>
      </c>
    </row>
    <row r="1025" spans="1:14" hidden="1" x14ac:dyDescent="0.3">
      <c r="A1025" s="14">
        <f>+'PLAN DE CUENTAS'!A1025</f>
        <v>0</v>
      </c>
      <c r="B1025" s="13">
        <f>+'PLAN DE CUENTAS'!B1025</f>
        <v>0</v>
      </c>
      <c r="C1025" s="13">
        <f>+'PLAN DE CUENTAS'!C1025</f>
        <v>0</v>
      </c>
      <c r="D1025" t="str">
        <f>IF(tbal[[#This Row],[DEBE]]+tbal[[#This Row],[HABER]]=0,"","X")</f>
        <v/>
      </c>
      <c r="E1025" s="16">
        <f>SUMIF(tdiario[CUENTA],tbal[[#This Row],[CUENTA]],tdiario[DEBE])</f>
        <v>0</v>
      </c>
      <c r="F1025" s="17">
        <f>SUMIF(tdiario[CUENTA],tbal[[#This Row],[CUENTA]],tdiario[HABER])</f>
        <v>0</v>
      </c>
      <c r="G1025" s="16">
        <f>IF(tbal[[#This Row],[DEBE]]-tbal[[#This Row],[HABER]]&gt;0,tbal[[#This Row],[DEBE]]-tbal[[#This Row],[HABER]],0)</f>
        <v>0</v>
      </c>
      <c r="H1025" s="18">
        <f>IF(tbal[[#This Row],[HABER]]-tbal[[#This Row],[DEBE]]&gt;0,tbal[[#This Row],[HABER]]-tbal[[#This Row],[DEBE]],0)</f>
        <v>0</v>
      </c>
      <c r="I1025" s="16">
        <f>IF((OR(tbal[[#This Row],[X]]=1,tbal[[#This Row],[X]]=2)),tbal[[#This Row],[DEUDOR]],0)</f>
        <v>0</v>
      </c>
      <c r="J1025" s="18">
        <f>IF((OR(tbal[[#This Row],[X]]=2,tbal[[#This Row],[X]]=3)),tbal[[#This Row],[ACREEDOR]],0)</f>
        <v>0</v>
      </c>
      <c r="K1025" s="16">
        <f>IF((OR(tbal[[#This Row],[X]]=3,tbal[[#This Row],[X]]=5)),tbal[[#This Row],[DEUDOR]],0)</f>
        <v>0</v>
      </c>
      <c r="L1025" s="18">
        <f>IF((OR(tbal[[#This Row],[X]]=3,tbal[[#This Row],[X]]=4)),tbal[[#This Row],[ACREEDOR]],0)</f>
        <v>0</v>
      </c>
      <c r="M1025" s="16">
        <f>IF((OR(tbal[[#This Row],[X]]=0,tbal[[#This Row],[X]]=6)),tbal[[#This Row],[DEUDOR]],0)</f>
        <v>0</v>
      </c>
      <c r="N1025" s="18">
        <f>IF((OR(tbal[[#This Row],[X]]=0,tbal[[#This Row],[X]]=5)),tbal[[#This Row],[ACREEDOR]],0)</f>
        <v>0</v>
      </c>
    </row>
    <row r="1026" spans="1:14" hidden="1" x14ac:dyDescent="0.3">
      <c r="A1026" s="14">
        <f>+'PLAN DE CUENTAS'!A1026</f>
        <v>0</v>
      </c>
      <c r="B1026" s="13">
        <f>+'PLAN DE CUENTAS'!B1026</f>
        <v>0</v>
      </c>
      <c r="C1026" s="13">
        <f>+'PLAN DE CUENTAS'!C1026</f>
        <v>0</v>
      </c>
      <c r="D1026" t="str">
        <f>IF(tbal[[#This Row],[DEBE]]+tbal[[#This Row],[HABER]]=0,"","X")</f>
        <v/>
      </c>
      <c r="E1026" s="16">
        <f>SUMIF(tdiario[CUENTA],tbal[[#This Row],[CUENTA]],tdiario[DEBE])</f>
        <v>0</v>
      </c>
      <c r="F1026" s="17">
        <f>SUMIF(tdiario[CUENTA],tbal[[#This Row],[CUENTA]],tdiario[HABER])</f>
        <v>0</v>
      </c>
      <c r="G1026" s="16">
        <f>IF(tbal[[#This Row],[DEBE]]-tbal[[#This Row],[HABER]]&gt;0,tbal[[#This Row],[DEBE]]-tbal[[#This Row],[HABER]],0)</f>
        <v>0</v>
      </c>
      <c r="H1026" s="18">
        <f>IF(tbal[[#This Row],[HABER]]-tbal[[#This Row],[DEBE]]&gt;0,tbal[[#This Row],[HABER]]-tbal[[#This Row],[DEBE]],0)</f>
        <v>0</v>
      </c>
      <c r="I1026" s="16">
        <f>IF((OR(tbal[[#This Row],[X]]=1,tbal[[#This Row],[X]]=2)),tbal[[#This Row],[DEUDOR]],0)</f>
        <v>0</v>
      </c>
      <c r="J1026" s="18">
        <f>IF((OR(tbal[[#This Row],[X]]=2,tbal[[#This Row],[X]]=3)),tbal[[#This Row],[ACREEDOR]],0)</f>
        <v>0</v>
      </c>
      <c r="K1026" s="16">
        <f>IF((OR(tbal[[#This Row],[X]]=3,tbal[[#This Row],[X]]=5)),tbal[[#This Row],[DEUDOR]],0)</f>
        <v>0</v>
      </c>
      <c r="L1026" s="18">
        <f>IF((OR(tbal[[#This Row],[X]]=3,tbal[[#This Row],[X]]=4)),tbal[[#This Row],[ACREEDOR]],0)</f>
        <v>0</v>
      </c>
      <c r="M1026" s="16">
        <f>IF((OR(tbal[[#This Row],[X]]=0,tbal[[#This Row],[X]]=6)),tbal[[#This Row],[DEUDOR]],0)</f>
        <v>0</v>
      </c>
      <c r="N1026" s="18">
        <f>IF((OR(tbal[[#This Row],[X]]=0,tbal[[#This Row],[X]]=5)),tbal[[#This Row],[ACREEDOR]],0)</f>
        <v>0</v>
      </c>
    </row>
    <row r="1027" spans="1:14" hidden="1" x14ac:dyDescent="0.3">
      <c r="A1027" s="14">
        <f>+'PLAN DE CUENTAS'!A1027</f>
        <v>0</v>
      </c>
      <c r="B1027" s="13">
        <f>+'PLAN DE CUENTAS'!B1027</f>
        <v>0</v>
      </c>
      <c r="C1027" s="13">
        <f>+'PLAN DE CUENTAS'!C1027</f>
        <v>0</v>
      </c>
      <c r="D1027" t="str">
        <f>IF(tbal[[#This Row],[DEBE]]+tbal[[#This Row],[HABER]]=0,"","X")</f>
        <v/>
      </c>
      <c r="E1027" s="16">
        <f>SUMIF(tdiario[CUENTA],tbal[[#This Row],[CUENTA]],tdiario[DEBE])</f>
        <v>0</v>
      </c>
      <c r="F1027" s="17">
        <f>SUMIF(tdiario[CUENTA],tbal[[#This Row],[CUENTA]],tdiario[HABER])</f>
        <v>0</v>
      </c>
      <c r="G1027" s="16">
        <f>IF(tbal[[#This Row],[DEBE]]-tbal[[#This Row],[HABER]]&gt;0,tbal[[#This Row],[DEBE]]-tbal[[#This Row],[HABER]],0)</f>
        <v>0</v>
      </c>
      <c r="H1027" s="18">
        <f>IF(tbal[[#This Row],[HABER]]-tbal[[#This Row],[DEBE]]&gt;0,tbal[[#This Row],[HABER]]-tbal[[#This Row],[DEBE]],0)</f>
        <v>0</v>
      </c>
      <c r="I1027" s="16">
        <f>IF((OR(tbal[[#This Row],[X]]=1,tbal[[#This Row],[X]]=2)),tbal[[#This Row],[DEUDOR]],0)</f>
        <v>0</v>
      </c>
      <c r="J1027" s="18">
        <f>IF((OR(tbal[[#This Row],[X]]=2,tbal[[#This Row],[X]]=3)),tbal[[#This Row],[ACREEDOR]],0)</f>
        <v>0</v>
      </c>
      <c r="K1027" s="16">
        <f>IF((OR(tbal[[#This Row],[X]]=3,tbal[[#This Row],[X]]=5)),tbal[[#This Row],[DEUDOR]],0)</f>
        <v>0</v>
      </c>
      <c r="L1027" s="18">
        <f>IF((OR(tbal[[#This Row],[X]]=3,tbal[[#This Row],[X]]=4)),tbal[[#This Row],[ACREEDOR]],0)</f>
        <v>0</v>
      </c>
      <c r="M1027" s="16">
        <f>IF((OR(tbal[[#This Row],[X]]=0,tbal[[#This Row],[X]]=6)),tbal[[#This Row],[DEUDOR]],0)</f>
        <v>0</v>
      </c>
      <c r="N1027" s="18">
        <f>IF((OR(tbal[[#This Row],[X]]=0,tbal[[#This Row],[X]]=5)),tbal[[#This Row],[ACREEDOR]],0)</f>
        <v>0</v>
      </c>
    </row>
    <row r="1028" spans="1:14" hidden="1" x14ac:dyDescent="0.3">
      <c r="A1028" s="14">
        <f>+'PLAN DE CUENTAS'!A1028</f>
        <v>0</v>
      </c>
      <c r="B1028" s="13">
        <f>+'PLAN DE CUENTAS'!B1028</f>
        <v>0</v>
      </c>
      <c r="C1028" s="13">
        <f>+'PLAN DE CUENTAS'!C1028</f>
        <v>0</v>
      </c>
      <c r="D1028" t="str">
        <f>IF(tbal[[#This Row],[DEBE]]+tbal[[#This Row],[HABER]]=0,"","X")</f>
        <v/>
      </c>
      <c r="E1028" s="16">
        <f>SUMIF(tdiario[CUENTA],tbal[[#This Row],[CUENTA]],tdiario[DEBE])</f>
        <v>0</v>
      </c>
      <c r="F1028" s="17">
        <f>SUMIF(tdiario[CUENTA],tbal[[#This Row],[CUENTA]],tdiario[HABER])</f>
        <v>0</v>
      </c>
      <c r="G1028" s="16">
        <f>IF(tbal[[#This Row],[DEBE]]-tbal[[#This Row],[HABER]]&gt;0,tbal[[#This Row],[DEBE]]-tbal[[#This Row],[HABER]],0)</f>
        <v>0</v>
      </c>
      <c r="H1028" s="18">
        <f>IF(tbal[[#This Row],[HABER]]-tbal[[#This Row],[DEBE]]&gt;0,tbal[[#This Row],[HABER]]-tbal[[#This Row],[DEBE]],0)</f>
        <v>0</v>
      </c>
      <c r="I1028" s="16">
        <f>IF((OR(tbal[[#This Row],[X]]=1,tbal[[#This Row],[X]]=2)),tbal[[#This Row],[DEUDOR]],0)</f>
        <v>0</v>
      </c>
      <c r="J1028" s="18">
        <f>IF((OR(tbal[[#This Row],[X]]=2,tbal[[#This Row],[X]]=3)),tbal[[#This Row],[ACREEDOR]],0)</f>
        <v>0</v>
      </c>
      <c r="K1028" s="16">
        <f>IF((OR(tbal[[#This Row],[X]]=3,tbal[[#This Row],[X]]=5)),tbal[[#This Row],[DEUDOR]],0)</f>
        <v>0</v>
      </c>
      <c r="L1028" s="18">
        <f>IF((OR(tbal[[#This Row],[X]]=3,tbal[[#This Row],[X]]=4)),tbal[[#This Row],[ACREEDOR]],0)</f>
        <v>0</v>
      </c>
      <c r="M1028" s="16">
        <f>IF((OR(tbal[[#This Row],[X]]=0,tbal[[#This Row],[X]]=6)),tbal[[#This Row],[DEUDOR]],0)</f>
        <v>0</v>
      </c>
      <c r="N1028" s="18">
        <f>IF((OR(tbal[[#This Row],[X]]=0,tbal[[#This Row],[X]]=5)),tbal[[#This Row],[ACREEDOR]],0)</f>
        <v>0</v>
      </c>
    </row>
    <row r="1029" spans="1:14" hidden="1" x14ac:dyDescent="0.3">
      <c r="A1029" s="14">
        <f>+'PLAN DE CUENTAS'!A1029</f>
        <v>0</v>
      </c>
      <c r="B1029" s="13">
        <f>+'PLAN DE CUENTAS'!B1029</f>
        <v>0</v>
      </c>
      <c r="C1029" s="13">
        <f>+'PLAN DE CUENTAS'!C1029</f>
        <v>0</v>
      </c>
      <c r="D1029" t="str">
        <f>IF(tbal[[#This Row],[DEBE]]+tbal[[#This Row],[HABER]]=0,"","X")</f>
        <v/>
      </c>
      <c r="E1029" s="16">
        <f>SUMIF(tdiario[CUENTA],tbal[[#This Row],[CUENTA]],tdiario[DEBE])</f>
        <v>0</v>
      </c>
      <c r="F1029" s="17">
        <f>SUMIF(tdiario[CUENTA],tbal[[#This Row],[CUENTA]],tdiario[HABER])</f>
        <v>0</v>
      </c>
      <c r="G1029" s="16">
        <f>IF(tbal[[#This Row],[DEBE]]-tbal[[#This Row],[HABER]]&gt;0,tbal[[#This Row],[DEBE]]-tbal[[#This Row],[HABER]],0)</f>
        <v>0</v>
      </c>
      <c r="H1029" s="18">
        <f>IF(tbal[[#This Row],[HABER]]-tbal[[#This Row],[DEBE]]&gt;0,tbal[[#This Row],[HABER]]-tbal[[#This Row],[DEBE]],0)</f>
        <v>0</v>
      </c>
      <c r="I1029" s="16">
        <f>IF((OR(tbal[[#This Row],[X]]=1,tbal[[#This Row],[X]]=2)),tbal[[#This Row],[DEUDOR]],0)</f>
        <v>0</v>
      </c>
      <c r="J1029" s="18">
        <f>IF((OR(tbal[[#This Row],[X]]=2,tbal[[#This Row],[X]]=3)),tbal[[#This Row],[ACREEDOR]],0)</f>
        <v>0</v>
      </c>
      <c r="K1029" s="16">
        <f>IF((OR(tbal[[#This Row],[X]]=3,tbal[[#This Row],[X]]=5)),tbal[[#This Row],[DEUDOR]],0)</f>
        <v>0</v>
      </c>
      <c r="L1029" s="18">
        <f>IF((OR(tbal[[#This Row],[X]]=3,tbal[[#This Row],[X]]=4)),tbal[[#This Row],[ACREEDOR]],0)</f>
        <v>0</v>
      </c>
      <c r="M1029" s="16">
        <f>IF((OR(tbal[[#This Row],[X]]=0,tbal[[#This Row],[X]]=6)),tbal[[#This Row],[DEUDOR]],0)</f>
        <v>0</v>
      </c>
      <c r="N1029" s="18">
        <f>IF((OR(tbal[[#This Row],[X]]=0,tbal[[#This Row],[X]]=5)),tbal[[#This Row],[ACREEDOR]],0)</f>
        <v>0</v>
      </c>
    </row>
    <row r="1030" spans="1:14" hidden="1" x14ac:dyDescent="0.3">
      <c r="A1030" s="14">
        <f>+'PLAN DE CUENTAS'!A1030</f>
        <v>0</v>
      </c>
      <c r="B1030" s="13">
        <f>+'PLAN DE CUENTAS'!B1030</f>
        <v>0</v>
      </c>
      <c r="C1030" s="13">
        <f>+'PLAN DE CUENTAS'!C1030</f>
        <v>0</v>
      </c>
      <c r="D1030" t="str">
        <f>IF(tbal[[#This Row],[DEBE]]+tbal[[#This Row],[HABER]]=0,"","X")</f>
        <v/>
      </c>
      <c r="E1030" s="16">
        <f>SUMIF(tdiario[CUENTA],tbal[[#This Row],[CUENTA]],tdiario[DEBE])</f>
        <v>0</v>
      </c>
      <c r="F1030" s="17">
        <f>SUMIF(tdiario[CUENTA],tbal[[#This Row],[CUENTA]],tdiario[HABER])</f>
        <v>0</v>
      </c>
      <c r="G1030" s="16">
        <f>IF(tbal[[#This Row],[DEBE]]-tbal[[#This Row],[HABER]]&gt;0,tbal[[#This Row],[DEBE]]-tbal[[#This Row],[HABER]],0)</f>
        <v>0</v>
      </c>
      <c r="H1030" s="18">
        <f>IF(tbal[[#This Row],[HABER]]-tbal[[#This Row],[DEBE]]&gt;0,tbal[[#This Row],[HABER]]-tbal[[#This Row],[DEBE]],0)</f>
        <v>0</v>
      </c>
      <c r="I1030" s="16">
        <f>IF((OR(tbal[[#This Row],[X]]=1,tbal[[#This Row],[X]]=2)),tbal[[#This Row],[DEUDOR]],0)</f>
        <v>0</v>
      </c>
      <c r="J1030" s="18">
        <f>IF((OR(tbal[[#This Row],[X]]=2,tbal[[#This Row],[X]]=3)),tbal[[#This Row],[ACREEDOR]],0)</f>
        <v>0</v>
      </c>
      <c r="K1030" s="16">
        <f>IF((OR(tbal[[#This Row],[X]]=3,tbal[[#This Row],[X]]=5)),tbal[[#This Row],[DEUDOR]],0)</f>
        <v>0</v>
      </c>
      <c r="L1030" s="18">
        <f>IF((OR(tbal[[#This Row],[X]]=3,tbal[[#This Row],[X]]=4)),tbal[[#This Row],[ACREEDOR]],0)</f>
        <v>0</v>
      </c>
      <c r="M1030" s="16">
        <f>IF((OR(tbal[[#This Row],[X]]=0,tbal[[#This Row],[X]]=6)),tbal[[#This Row],[DEUDOR]],0)</f>
        <v>0</v>
      </c>
      <c r="N1030" s="18">
        <f>IF((OR(tbal[[#This Row],[X]]=0,tbal[[#This Row],[X]]=5)),tbal[[#This Row],[ACREEDOR]],0)</f>
        <v>0</v>
      </c>
    </row>
    <row r="1031" spans="1:14" hidden="1" x14ac:dyDescent="0.3">
      <c r="A1031" s="14">
        <f>+'PLAN DE CUENTAS'!A1031</f>
        <v>0</v>
      </c>
      <c r="B1031" s="13">
        <f>+'PLAN DE CUENTAS'!B1031</f>
        <v>0</v>
      </c>
      <c r="C1031" s="13">
        <f>+'PLAN DE CUENTAS'!C1031</f>
        <v>0</v>
      </c>
      <c r="D1031" t="str">
        <f>IF(tbal[[#This Row],[DEBE]]+tbal[[#This Row],[HABER]]=0,"","X")</f>
        <v/>
      </c>
      <c r="E1031" s="16">
        <f>SUMIF(tdiario[CUENTA],tbal[[#This Row],[CUENTA]],tdiario[DEBE])</f>
        <v>0</v>
      </c>
      <c r="F1031" s="17">
        <f>SUMIF(tdiario[CUENTA],tbal[[#This Row],[CUENTA]],tdiario[HABER])</f>
        <v>0</v>
      </c>
      <c r="G1031" s="16">
        <f>IF(tbal[[#This Row],[DEBE]]-tbal[[#This Row],[HABER]]&gt;0,tbal[[#This Row],[DEBE]]-tbal[[#This Row],[HABER]],0)</f>
        <v>0</v>
      </c>
      <c r="H1031" s="18">
        <f>IF(tbal[[#This Row],[HABER]]-tbal[[#This Row],[DEBE]]&gt;0,tbal[[#This Row],[HABER]]-tbal[[#This Row],[DEBE]],0)</f>
        <v>0</v>
      </c>
      <c r="I1031" s="16">
        <f>IF((OR(tbal[[#This Row],[X]]=1,tbal[[#This Row],[X]]=2)),tbal[[#This Row],[DEUDOR]],0)</f>
        <v>0</v>
      </c>
      <c r="J1031" s="18">
        <f>IF((OR(tbal[[#This Row],[X]]=2,tbal[[#This Row],[X]]=3)),tbal[[#This Row],[ACREEDOR]],0)</f>
        <v>0</v>
      </c>
      <c r="K1031" s="16">
        <f>IF((OR(tbal[[#This Row],[X]]=3,tbal[[#This Row],[X]]=5)),tbal[[#This Row],[DEUDOR]],0)</f>
        <v>0</v>
      </c>
      <c r="L1031" s="18">
        <f>IF((OR(tbal[[#This Row],[X]]=3,tbal[[#This Row],[X]]=4)),tbal[[#This Row],[ACREEDOR]],0)</f>
        <v>0</v>
      </c>
      <c r="M1031" s="16">
        <f>IF((OR(tbal[[#This Row],[X]]=0,tbal[[#This Row],[X]]=6)),tbal[[#This Row],[DEUDOR]],0)</f>
        <v>0</v>
      </c>
      <c r="N1031" s="18">
        <f>IF((OR(tbal[[#This Row],[X]]=0,tbal[[#This Row],[X]]=5)),tbal[[#This Row],[ACREEDOR]],0)</f>
        <v>0</v>
      </c>
    </row>
    <row r="1032" spans="1:14" hidden="1" x14ac:dyDescent="0.3">
      <c r="A1032" s="14">
        <f>+'PLAN DE CUENTAS'!A1032</f>
        <v>0</v>
      </c>
      <c r="B1032" s="13">
        <f>+'PLAN DE CUENTAS'!B1032</f>
        <v>0</v>
      </c>
      <c r="C1032" s="13">
        <f>+'PLAN DE CUENTAS'!C1032</f>
        <v>0</v>
      </c>
      <c r="D1032" t="str">
        <f>IF(tbal[[#This Row],[DEBE]]+tbal[[#This Row],[HABER]]=0,"","X")</f>
        <v/>
      </c>
      <c r="E1032" s="16">
        <f>SUMIF(tdiario[CUENTA],tbal[[#This Row],[CUENTA]],tdiario[DEBE])</f>
        <v>0</v>
      </c>
      <c r="F1032" s="17">
        <f>SUMIF(tdiario[CUENTA],tbal[[#This Row],[CUENTA]],tdiario[HABER])</f>
        <v>0</v>
      </c>
      <c r="G1032" s="16">
        <f>IF(tbal[[#This Row],[DEBE]]-tbal[[#This Row],[HABER]]&gt;0,tbal[[#This Row],[DEBE]]-tbal[[#This Row],[HABER]],0)</f>
        <v>0</v>
      </c>
      <c r="H1032" s="18">
        <f>IF(tbal[[#This Row],[HABER]]-tbal[[#This Row],[DEBE]]&gt;0,tbal[[#This Row],[HABER]]-tbal[[#This Row],[DEBE]],0)</f>
        <v>0</v>
      </c>
      <c r="I1032" s="16">
        <f>IF((OR(tbal[[#This Row],[X]]=1,tbal[[#This Row],[X]]=2)),tbal[[#This Row],[DEUDOR]],0)</f>
        <v>0</v>
      </c>
      <c r="J1032" s="18">
        <f>IF((OR(tbal[[#This Row],[X]]=2,tbal[[#This Row],[X]]=3)),tbal[[#This Row],[ACREEDOR]],0)</f>
        <v>0</v>
      </c>
      <c r="K1032" s="16">
        <f>IF((OR(tbal[[#This Row],[X]]=3,tbal[[#This Row],[X]]=5)),tbal[[#This Row],[DEUDOR]],0)</f>
        <v>0</v>
      </c>
      <c r="L1032" s="18">
        <f>IF((OR(tbal[[#This Row],[X]]=3,tbal[[#This Row],[X]]=4)),tbal[[#This Row],[ACREEDOR]],0)</f>
        <v>0</v>
      </c>
      <c r="M1032" s="16">
        <f>IF((OR(tbal[[#This Row],[X]]=0,tbal[[#This Row],[X]]=6)),tbal[[#This Row],[DEUDOR]],0)</f>
        <v>0</v>
      </c>
      <c r="N1032" s="18">
        <f>IF((OR(tbal[[#This Row],[X]]=0,tbal[[#This Row],[X]]=5)),tbal[[#This Row],[ACREEDOR]],0)</f>
        <v>0</v>
      </c>
    </row>
    <row r="1033" spans="1:14" hidden="1" x14ac:dyDescent="0.3">
      <c r="A1033" s="14">
        <f>+'PLAN DE CUENTAS'!A1033</f>
        <v>0</v>
      </c>
      <c r="B1033" s="13">
        <f>+'PLAN DE CUENTAS'!B1033</f>
        <v>0</v>
      </c>
      <c r="C1033" s="13">
        <f>+'PLAN DE CUENTAS'!C1033</f>
        <v>0</v>
      </c>
      <c r="D1033" t="str">
        <f>IF(tbal[[#This Row],[DEBE]]+tbal[[#This Row],[HABER]]=0,"","X")</f>
        <v/>
      </c>
      <c r="E1033" s="16">
        <f>SUMIF(tdiario[CUENTA],tbal[[#This Row],[CUENTA]],tdiario[DEBE])</f>
        <v>0</v>
      </c>
      <c r="F1033" s="17">
        <f>SUMIF(tdiario[CUENTA],tbal[[#This Row],[CUENTA]],tdiario[HABER])</f>
        <v>0</v>
      </c>
      <c r="G1033" s="16">
        <f>IF(tbal[[#This Row],[DEBE]]-tbal[[#This Row],[HABER]]&gt;0,tbal[[#This Row],[DEBE]]-tbal[[#This Row],[HABER]],0)</f>
        <v>0</v>
      </c>
      <c r="H1033" s="18">
        <f>IF(tbal[[#This Row],[HABER]]-tbal[[#This Row],[DEBE]]&gt;0,tbal[[#This Row],[HABER]]-tbal[[#This Row],[DEBE]],0)</f>
        <v>0</v>
      </c>
      <c r="I1033" s="16">
        <f>IF((OR(tbal[[#This Row],[X]]=1,tbal[[#This Row],[X]]=2)),tbal[[#This Row],[DEUDOR]],0)</f>
        <v>0</v>
      </c>
      <c r="J1033" s="18">
        <f>IF((OR(tbal[[#This Row],[X]]=2,tbal[[#This Row],[X]]=3)),tbal[[#This Row],[ACREEDOR]],0)</f>
        <v>0</v>
      </c>
      <c r="K1033" s="16">
        <f>IF((OR(tbal[[#This Row],[X]]=3,tbal[[#This Row],[X]]=5)),tbal[[#This Row],[DEUDOR]],0)</f>
        <v>0</v>
      </c>
      <c r="L1033" s="18">
        <f>IF((OR(tbal[[#This Row],[X]]=3,tbal[[#This Row],[X]]=4)),tbal[[#This Row],[ACREEDOR]],0)</f>
        <v>0</v>
      </c>
      <c r="M1033" s="16">
        <f>IF((OR(tbal[[#This Row],[X]]=0,tbal[[#This Row],[X]]=6)),tbal[[#This Row],[DEUDOR]],0)</f>
        <v>0</v>
      </c>
      <c r="N1033" s="18">
        <f>IF((OR(tbal[[#This Row],[X]]=0,tbal[[#This Row],[X]]=5)),tbal[[#This Row],[ACREEDOR]],0)</f>
        <v>0</v>
      </c>
    </row>
    <row r="1034" spans="1:14" hidden="1" x14ac:dyDescent="0.3">
      <c r="A1034" s="14">
        <f>+'PLAN DE CUENTAS'!A1034</f>
        <v>0</v>
      </c>
      <c r="B1034" s="13">
        <f>+'PLAN DE CUENTAS'!B1034</f>
        <v>0</v>
      </c>
      <c r="C1034" s="13">
        <f>+'PLAN DE CUENTAS'!C1034</f>
        <v>0</v>
      </c>
      <c r="D1034" t="str">
        <f>IF(tbal[[#This Row],[DEBE]]+tbal[[#This Row],[HABER]]=0,"","X")</f>
        <v/>
      </c>
      <c r="E1034" s="16">
        <f>SUMIF(tdiario[CUENTA],tbal[[#This Row],[CUENTA]],tdiario[DEBE])</f>
        <v>0</v>
      </c>
      <c r="F1034" s="17">
        <f>SUMIF(tdiario[CUENTA],tbal[[#This Row],[CUENTA]],tdiario[HABER])</f>
        <v>0</v>
      </c>
      <c r="G1034" s="16">
        <f>IF(tbal[[#This Row],[DEBE]]-tbal[[#This Row],[HABER]]&gt;0,tbal[[#This Row],[DEBE]]-tbal[[#This Row],[HABER]],0)</f>
        <v>0</v>
      </c>
      <c r="H1034" s="18">
        <f>IF(tbal[[#This Row],[HABER]]-tbal[[#This Row],[DEBE]]&gt;0,tbal[[#This Row],[HABER]]-tbal[[#This Row],[DEBE]],0)</f>
        <v>0</v>
      </c>
      <c r="I1034" s="16">
        <f>IF((OR(tbal[[#This Row],[X]]=1,tbal[[#This Row],[X]]=2)),tbal[[#This Row],[DEUDOR]],0)</f>
        <v>0</v>
      </c>
      <c r="J1034" s="18">
        <f>IF((OR(tbal[[#This Row],[X]]=2,tbal[[#This Row],[X]]=3)),tbal[[#This Row],[ACREEDOR]],0)</f>
        <v>0</v>
      </c>
      <c r="K1034" s="16">
        <f>IF((OR(tbal[[#This Row],[X]]=3,tbal[[#This Row],[X]]=5)),tbal[[#This Row],[DEUDOR]],0)</f>
        <v>0</v>
      </c>
      <c r="L1034" s="18">
        <f>IF((OR(tbal[[#This Row],[X]]=3,tbal[[#This Row],[X]]=4)),tbal[[#This Row],[ACREEDOR]],0)</f>
        <v>0</v>
      </c>
      <c r="M1034" s="16">
        <f>IF((OR(tbal[[#This Row],[X]]=0,tbal[[#This Row],[X]]=6)),tbal[[#This Row],[DEUDOR]],0)</f>
        <v>0</v>
      </c>
      <c r="N1034" s="18">
        <f>IF((OR(tbal[[#This Row],[X]]=0,tbal[[#This Row],[X]]=5)),tbal[[#This Row],[ACREEDOR]],0)</f>
        <v>0</v>
      </c>
    </row>
    <row r="1035" spans="1:14" hidden="1" x14ac:dyDescent="0.3">
      <c r="A1035" s="14">
        <f>+'PLAN DE CUENTAS'!A1035</f>
        <v>0</v>
      </c>
      <c r="B1035" s="13">
        <f>+'PLAN DE CUENTAS'!B1035</f>
        <v>0</v>
      </c>
      <c r="C1035" s="13">
        <f>+'PLAN DE CUENTAS'!C1035</f>
        <v>0</v>
      </c>
      <c r="D1035" t="str">
        <f>IF(tbal[[#This Row],[DEBE]]+tbal[[#This Row],[HABER]]=0,"","X")</f>
        <v/>
      </c>
      <c r="E1035" s="16">
        <f>SUMIF(tdiario[CUENTA],tbal[[#This Row],[CUENTA]],tdiario[DEBE])</f>
        <v>0</v>
      </c>
      <c r="F1035" s="17">
        <f>SUMIF(tdiario[CUENTA],tbal[[#This Row],[CUENTA]],tdiario[HABER])</f>
        <v>0</v>
      </c>
      <c r="G1035" s="16">
        <f>IF(tbal[[#This Row],[DEBE]]-tbal[[#This Row],[HABER]]&gt;0,tbal[[#This Row],[DEBE]]-tbal[[#This Row],[HABER]],0)</f>
        <v>0</v>
      </c>
      <c r="H1035" s="18">
        <f>IF(tbal[[#This Row],[HABER]]-tbal[[#This Row],[DEBE]]&gt;0,tbal[[#This Row],[HABER]]-tbal[[#This Row],[DEBE]],0)</f>
        <v>0</v>
      </c>
      <c r="I1035" s="16">
        <f>IF((OR(tbal[[#This Row],[X]]=1,tbal[[#This Row],[X]]=2)),tbal[[#This Row],[DEUDOR]],0)</f>
        <v>0</v>
      </c>
      <c r="J1035" s="18">
        <f>IF((OR(tbal[[#This Row],[X]]=2,tbal[[#This Row],[X]]=3)),tbal[[#This Row],[ACREEDOR]],0)</f>
        <v>0</v>
      </c>
      <c r="K1035" s="16">
        <f>IF((OR(tbal[[#This Row],[X]]=3,tbal[[#This Row],[X]]=5)),tbal[[#This Row],[DEUDOR]],0)</f>
        <v>0</v>
      </c>
      <c r="L1035" s="18">
        <f>IF((OR(tbal[[#This Row],[X]]=3,tbal[[#This Row],[X]]=4)),tbal[[#This Row],[ACREEDOR]],0)</f>
        <v>0</v>
      </c>
      <c r="M1035" s="16">
        <f>IF((OR(tbal[[#This Row],[X]]=0,tbal[[#This Row],[X]]=6)),tbal[[#This Row],[DEUDOR]],0)</f>
        <v>0</v>
      </c>
      <c r="N1035" s="18">
        <f>IF((OR(tbal[[#This Row],[X]]=0,tbal[[#This Row],[X]]=5)),tbal[[#This Row],[ACREEDOR]],0)</f>
        <v>0</v>
      </c>
    </row>
    <row r="1036" spans="1:14" hidden="1" x14ac:dyDescent="0.3">
      <c r="A1036" s="14">
        <f>+'PLAN DE CUENTAS'!A1036</f>
        <v>0</v>
      </c>
      <c r="B1036" s="13">
        <f>+'PLAN DE CUENTAS'!B1036</f>
        <v>0</v>
      </c>
      <c r="C1036" s="13">
        <f>+'PLAN DE CUENTAS'!C1036</f>
        <v>0</v>
      </c>
      <c r="D1036" t="str">
        <f>IF(tbal[[#This Row],[DEBE]]+tbal[[#This Row],[HABER]]=0,"","X")</f>
        <v/>
      </c>
      <c r="E1036" s="16">
        <f>SUMIF(tdiario[CUENTA],tbal[[#This Row],[CUENTA]],tdiario[DEBE])</f>
        <v>0</v>
      </c>
      <c r="F1036" s="17">
        <f>SUMIF(tdiario[CUENTA],tbal[[#This Row],[CUENTA]],tdiario[HABER])</f>
        <v>0</v>
      </c>
      <c r="G1036" s="16">
        <f>IF(tbal[[#This Row],[DEBE]]-tbal[[#This Row],[HABER]]&gt;0,tbal[[#This Row],[DEBE]]-tbal[[#This Row],[HABER]],0)</f>
        <v>0</v>
      </c>
      <c r="H1036" s="18">
        <f>IF(tbal[[#This Row],[HABER]]-tbal[[#This Row],[DEBE]]&gt;0,tbal[[#This Row],[HABER]]-tbal[[#This Row],[DEBE]],0)</f>
        <v>0</v>
      </c>
      <c r="I1036" s="16">
        <f>IF((OR(tbal[[#This Row],[X]]=1,tbal[[#This Row],[X]]=2)),tbal[[#This Row],[DEUDOR]],0)</f>
        <v>0</v>
      </c>
      <c r="J1036" s="18">
        <f>IF((OR(tbal[[#This Row],[X]]=2,tbal[[#This Row],[X]]=3)),tbal[[#This Row],[ACREEDOR]],0)</f>
        <v>0</v>
      </c>
      <c r="K1036" s="16">
        <f>IF((OR(tbal[[#This Row],[X]]=3,tbal[[#This Row],[X]]=5)),tbal[[#This Row],[DEUDOR]],0)</f>
        <v>0</v>
      </c>
      <c r="L1036" s="18">
        <f>IF((OR(tbal[[#This Row],[X]]=3,tbal[[#This Row],[X]]=4)),tbal[[#This Row],[ACREEDOR]],0)</f>
        <v>0</v>
      </c>
      <c r="M1036" s="16">
        <f>IF((OR(tbal[[#This Row],[X]]=0,tbal[[#This Row],[X]]=6)),tbal[[#This Row],[DEUDOR]],0)</f>
        <v>0</v>
      </c>
      <c r="N1036" s="18">
        <f>IF((OR(tbal[[#This Row],[X]]=0,tbal[[#This Row],[X]]=5)),tbal[[#This Row],[ACREEDOR]],0)</f>
        <v>0</v>
      </c>
    </row>
    <row r="1037" spans="1:14" hidden="1" x14ac:dyDescent="0.3">
      <c r="A1037" s="14">
        <f>+'PLAN DE CUENTAS'!A1037</f>
        <v>0</v>
      </c>
      <c r="B1037" s="13">
        <f>+'PLAN DE CUENTAS'!B1037</f>
        <v>0</v>
      </c>
      <c r="C1037" s="13">
        <f>+'PLAN DE CUENTAS'!C1037</f>
        <v>0</v>
      </c>
      <c r="D1037" t="str">
        <f>IF(tbal[[#This Row],[DEBE]]+tbal[[#This Row],[HABER]]=0,"","X")</f>
        <v/>
      </c>
      <c r="E1037" s="16">
        <f>SUMIF(tdiario[CUENTA],tbal[[#This Row],[CUENTA]],tdiario[DEBE])</f>
        <v>0</v>
      </c>
      <c r="F1037" s="17">
        <f>SUMIF(tdiario[CUENTA],tbal[[#This Row],[CUENTA]],tdiario[HABER])</f>
        <v>0</v>
      </c>
      <c r="G1037" s="16">
        <f>IF(tbal[[#This Row],[DEBE]]-tbal[[#This Row],[HABER]]&gt;0,tbal[[#This Row],[DEBE]]-tbal[[#This Row],[HABER]],0)</f>
        <v>0</v>
      </c>
      <c r="H1037" s="18">
        <f>IF(tbal[[#This Row],[HABER]]-tbal[[#This Row],[DEBE]]&gt;0,tbal[[#This Row],[HABER]]-tbal[[#This Row],[DEBE]],0)</f>
        <v>0</v>
      </c>
      <c r="I1037" s="16">
        <f>IF((OR(tbal[[#This Row],[X]]=1,tbal[[#This Row],[X]]=2)),tbal[[#This Row],[DEUDOR]],0)</f>
        <v>0</v>
      </c>
      <c r="J1037" s="18">
        <f>IF((OR(tbal[[#This Row],[X]]=2,tbal[[#This Row],[X]]=3)),tbal[[#This Row],[ACREEDOR]],0)</f>
        <v>0</v>
      </c>
      <c r="K1037" s="16">
        <f>IF((OR(tbal[[#This Row],[X]]=3,tbal[[#This Row],[X]]=5)),tbal[[#This Row],[DEUDOR]],0)</f>
        <v>0</v>
      </c>
      <c r="L1037" s="18">
        <f>IF((OR(tbal[[#This Row],[X]]=3,tbal[[#This Row],[X]]=4)),tbal[[#This Row],[ACREEDOR]],0)</f>
        <v>0</v>
      </c>
      <c r="M1037" s="16">
        <f>IF((OR(tbal[[#This Row],[X]]=0,tbal[[#This Row],[X]]=6)),tbal[[#This Row],[DEUDOR]],0)</f>
        <v>0</v>
      </c>
      <c r="N1037" s="18">
        <f>IF((OR(tbal[[#This Row],[X]]=0,tbal[[#This Row],[X]]=5)),tbal[[#This Row],[ACREEDOR]],0)</f>
        <v>0</v>
      </c>
    </row>
    <row r="1038" spans="1:14" hidden="1" x14ac:dyDescent="0.3">
      <c r="A1038" s="14">
        <f>+'PLAN DE CUENTAS'!A1038</f>
        <v>0</v>
      </c>
      <c r="B1038" s="13">
        <f>+'PLAN DE CUENTAS'!B1038</f>
        <v>0</v>
      </c>
      <c r="C1038" s="13">
        <f>+'PLAN DE CUENTAS'!C1038</f>
        <v>0</v>
      </c>
      <c r="D1038" t="str">
        <f>IF(tbal[[#This Row],[DEBE]]+tbal[[#This Row],[HABER]]=0,"","X")</f>
        <v/>
      </c>
      <c r="E1038" s="16">
        <f>SUMIF(tdiario[CUENTA],tbal[[#This Row],[CUENTA]],tdiario[DEBE])</f>
        <v>0</v>
      </c>
      <c r="F1038" s="17">
        <f>SUMIF(tdiario[CUENTA],tbal[[#This Row],[CUENTA]],tdiario[HABER])</f>
        <v>0</v>
      </c>
      <c r="G1038" s="16">
        <f>IF(tbal[[#This Row],[DEBE]]-tbal[[#This Row],[HABER]]&gt;0,tbal[[#This Row],[DEBE]]-tbal[[#This Row],[HABER]],0)</f>
        <v>0</v>
      </c>
      <c r="H1038" s="18">
        <f>IF(tbal[[#This Row],[HABER]]-tbal[[#This Row],[DEBE]]&gt;0,tbal[[#This Row],[HABER]]-tbal[[#This Row],[DEBE]],0)</f>
        <v>0</v>
      </c>
      <c r="I1038" s="16">
        <f>IF((OR(tbal[[#This Row],[X]]=1,tbal[[#This Row],[X]]=2)),tbal[[#This Row],[DEUDOR]],0)</f>
        <v>0</v>
      </c>
      <c r="J1038" s="18">
        <f>IF((OR(tbal[[#This Row],[X]]=2,tbal[[#This Row],[X]]=3)),tbal[[#This Row],[ACREEDOR]],0)</f>
        <v>0</v>
      </c>
      <c r="K1038" s="16">
        <f>IF((OR(tbal[[#This Row],[X]]=3,tbal[[#This Row],[X]]=5)),tbal[[#This Row],[DEUDOR]],0)</f>
        <v>0</v>
      </c>
      <c r="L1038" s="18">
        <f>IF((OR(tbal[[#This Row],[X]]=3,tbal[[#This Row],[X]]=4)),tbal[[#This Row],[ACREEDOR]],0)</f>
        <v>0</v>
      </c>
      <c r="M1038" s="16">
        <f>IF((OR(tbal[[#This Row],[X]]=0,tbal[[#This Row],[X]]=6)),tbal[[#This Row],[DEUDOR]],0)</f>
        <v>0</v>
      </c>
      <c r="N1038" s="18">
        <f>IF((OR(tbal[[#This Row],[X]]=0,tbal[[#This Row],[X]]=5)),tbal[[#This Row],[ACREEDOR]],0)</f>
        <v>0</v>
      </c>
    </row>
    <row r="1039" spans="1:14" hidden="1" x14ac:dyDescent="0.3">
      <c r="A1039" s="14">
        <f>+'PLAN DE CUENTAS'!A1039</f>
        <v>0</v>
      </c>
      <c r="B1039" s="13">
        <f>+'PLAN DE CUENTAS'!B1039</f>
        <v>0</v>
      </c>
      <c r="C1039" s="13">
        <f>+'PLAN DE CUENTAS'!C1039</f>
        <v>0</v>
      </c>
      <c r="D1039" t="str">
        <f>IF(tbal[[#This Row],[DEBE]]+tbal[[#This Row],[HABER]]=0,"","X")</f>
        <v/>
      </c>
      <c r="E1039" s="16">
        <f>SUMIF(tdiario[CUENTA],tbal[[#This Row],[CUENTA]],tdiario[DEBE])</f>
        <v>0</v>
      </c>
      <c r="F1039" s="17">
        <f>SUMIF(tdiario[CUENTA],tbal[[#This Row],[CUENTA]],tdiario[HABER])</f>
        <v>0</v>
      </c>
      <c r="G1039" s="16">
        <f>IF(tbal[[#This Row],[DEBE]]-tbal[[#This Row],[HABER]]&gt;0,tbal[[#This Row],[DEBE]]-tbal[[#This Row],[HABER]],0)</f>
        <v>0</v>
      </c>
      <c r="H1039" s="18">
        <f>IF(tbal[[#This Row],[HABER]]-tbal[[#This Row],[DEBE]]&gt;0,tbal[[#This Row],[HABER]]-tbal[[#This Row],[DEBE]],0)</f>
        <v>0</v>
      </c>
      <c r="I1039" s="16">
        <f>IF((OR(tbal[[#This Row],[X]]=1,tbal[[#This Row],[X]]=2)),tbal[[#This Row],[DEUDOR]],0)</f>
        <v>0</v>
      </c>
      <c r="J1039" s="18">
        <f>IF((OR(tbal[[#This Row],[X]]=2,tbal[[#This Row],[X]]=3)),tbal[[#This Row],[ACREEDOR]],0)</f>
        <v>0</v>
      </c>
      <c r="K1039" s="16">
        <f>IF((OR(tbal[[#This Row],[X]]=3,tbal[[#This Row],[X]]=5)),tbal[[#This Row],[DEUDOR]],0)</f>
        <v>0</v>
      </c>
      <c r="L1039" s="18">
        <f>IF((OR(tbal[[#This Row],[X]]=3,tbal[[#This Row],[X]]=4)),tbal[[#This Row],[ACREEDOR]],0)</f>
        <v>0</v>
      </c>
      <c r="M1039" s="16">
        <f>IF((OR(tbal[[#This Row],[X]]=0,tbal[[#This Row],[X]]=6)),tbal[[#This Row],[DEUDOR]],0)</f>
        <v>0</v>
      </c>
      <c r="N1039" s="18">
        <f>IF((OR(tbal[[#This Row],[X]]=0,tbal[[#This Row],[X]]=5)),tbal[[#This Row],[ACREEDOR]],0)</f>
        <v>0</v>
      </c>
    </row>
    <row r="1040" spans="1:14" hidden="1" x14ac:dyDescent="0.3">
      <c r="A1040" s="14">
        <f>+'PLAN DE CUENTAS'!A1040</f>
        <v>0</v>
      </c>
      <c r="B1040" s="13">
        <f>+'PLAN DE CUENTAS'!B1040</f>
        <v>0</v>
      </c>
      <c r="C1040" s="13">
        <f>+'PLAN DE CUENTAS'!C1040</f>
        <v>0</v>
      </c>
      <c r="D1040" t="str">
        <f>IF(tbal[[#This Row],[DEBE]]+tbal[[#This Row],[HABER]]=0,"","X")</f>
        <v/>
      </c>
      <c r="E1040" s="16">
        <f>SUMIF(tdiario[CUENTA],tbal[[#This Row],[CUENTA]],tdiario[DEBE])</f>
        <v>0</v>
      </c>
      <c r="F1040" s="17">
        <f>SUMIF(tdiario[CUENTA],tbal[[#This Row],[CUENTA]],tdiario[HABER])</f>
        <v>0</v>
      </c>
      <c r="G1040" s="16">
        <f>IF(tbal[[#This Row],[DEBE]]-tbal[[#This Row],[HABER]]&gt;0,tbal[[#This Row],[DEBE]]-tbal[[#This Row],[HABER]],0)</f>
        <v>0</v>
      </c>
      <c r="H1040" s="18">
        <f>IF(tbal[[#This Row],[HABER]]-tbal[[#This Row],[DEBE]]&gt;0,tbal[[#This Row],[HABER]]-tbal[[#This Row],[DEBE]],0)</f>
        <v>0</v>
      </c>
      <c r="I1040" s="16">
        <f>IF((OR(tbal[[#This Row],[X]]=1,tbal[[#This Row],[X]]=2)),tbal[[#This Row],[DEUDOR]],0)</f>
        <v>0</v>
      </c>
      <c r="J1040" s="18">
        <f>IF((OR(tbal[[#This Row],[X]]=2,tbal[[#This Row],[X]]=3)),tbal[[#This Row],[ACREEDOR]],0)</f>
        <v>0</v>
      </c>
      <c r="K1040" s="16">
        <f>IF((OR(tbal[[#This Row],[X]]=3,tbal[[#This Row],[X]]=5)),tbal[[#This Row],[DEUDOR]],0)</f>
        <v>0</v>
      </c>
      <c r="L1040" s="18">
        <f>IF((OR(tbal[[#This Row],[X]]=3,tbal[[#This Row],[X]]=4)),tbal[[#This Row],[ACREEDOR]],0)</f>
        <v>0</v>
      </c>
      <c r="M1040" s="16">
        <f>IF((OR(tbal[[#This Row],[X]]=0,tbal[[#This Row],[X]]=6)),tbal[[#This Row],[DEUDOR]],0)</f>
        <v>0</v>
      </c>
      <c r="N1040" s="18">
        <f>IF((OR(tbal[[#This Row],[X]]=0,tbal[[#This Row],[X]]=5)),tbal[[#This Row],[ACREEDOR]],0)</f>
        <v>0</v>
      </c>
    </row>
    <row r="1041" spans="1:14" hidden="1" x14ac:dyDescent="0.3">
      <c r="A1041" s="14">
        <f>+'PLAN DE CUENTAS'!A1041</f>
        <v>0</v>
      </c>
      <c r="B1041" s="13">
        <f>+'PLAN DE CUENTAS'!B1041</f>
        <v>0</v>
      </c>
      <c r="C1041" s="13">
        <f>+'PLAN DE CUENTAS'!C1041</f>
        <v>0</v>
      </c>
      <c r="D1041" t="str">
        <f>IF(tbal[[#This Row],[DEBE]]+tbal[[#This Row],[HABER]]=0,"","X")</f>
        <v/>
      </c>
      <c r="E1041" s="16">
        <f>SUMIF(tdiario[CUENTA],tbal[[#This Row],[CUENTA]],tdiario[DEBE])</f>
        <v>0</v>
      </c>
      <c r="F1041" s="17">
        <f>SUMIF(tdiario[CUENTA],tbal[[#This Row],[CUENTA]],tdiario[HABER])</f>
        <v>0</v>
      </c>
      <c r="G1041" s="16">
        <f>IF(tbal[[#This Row],[DEBE]]-tbal[[#This Row],[HABER]]&gt;0,tbal[[#This Row],[DEBE]]-tbal[[#This Row],[HABER]],0)</f>
        <v>0</v>
      </c>
      <c r="H1041" s="18">
        <f>IF(tbal[[#This Row],[HABER]]-tbal[[#This Row],[DEBE]]&gt;0,tbal[[#This Row],[HABER]]-tbal[[#This Row],[DEBE]],0)</f>
        <v>0</v>
      </c>
      <c r="I1041" s="16">
        <f>IF((OR(tbal[[#This Row],[X]]=1,tbal[[#This Row],[X]]=2)),tbal[[#This Row],[DEUDOR]],0)</f>
        <v>0</v>
      </c>
      <c r="J1041" s="18">
        <f>IF((OR(tbal[[#This Row],[X]]=2,tbal[[#This Row],[X]]=3)),tbal[[#This Row],[ACREEDOR]],0)</f>
        <v>0</v>
      </c>
      <c r="K1041" s="16">
        <f>IF((OR(tbal[[#This Row],[X]]=3,tbal[[#This Row],[X]]=5)),tbal[[#This Row],[DEUDOR]],0)</f>
        <v>0</v>
      </c>
      <c r="L1041" s="18">
        <f>IF((OR(tbal[[#This Row],[X]]=3,tbal[[#This Row],[X]]=4)),tbal[[#This Row],[ACREEDOR]],0)</f>
        <v>0</v>
      </c>
      <c r="M1041" s="16">
        <f>IF((OR(tbal[[#This Row],[X]]=0,tbal[[#This Row],[X]]=6)),tbal[[#This Row],[DEUDOR]],0)</f>
        <v>0</v>
      </c>
      <c r="N1041" s="18">
        <f>IF((OR(tbal[[#This Row],[X]]=0,tbal[[#This Row],[X]]=5)),tbal[[#This Row],[ACREEDOR]],0)</f>
        <v>0</v>
      </c>
    </row>
    <row r="1042" spans="1:14" hidden="1" x14ac:dyDescent="0.3">
      <c r="A1042" s="14">
        <f>+'PLAN DE CUENTAS'!A1042</f>
        <v>0</v>
      </c>
      <c r="B1042" s="13">
        <f>+'PLAN DE CUENTAS'!B1042</f>
        <v>0</v>
      </c>
      <c r="C1042" s="13">
        <f>+'PLAN DE CUENTAS'!C1042</f>
        <v>0</v>
      </c>
      <c r="D1042" t="str">
        <f>IF(tbal[[#This Row],[DEBE]]+tbal[[#This Row],[HABER]]=0,"","X")</f>
        <v/>
      </c>
      <c r="E1042" s="16">
        <f>SUMIF(tdiario[CUENTA],tbal[[#This Row],[CUENTA]],tdiario[DEBE])</f>
        <v>0</v>
      </c>
      <c r="F1042" s="17">
        <f>SUMIF(tdiario[CUENTA],tbal[[#This Row],[CUENTA]],tdiario[HABER])</f>
        <v>0</v>
      </c>
      <c r="G1042" s="16">
        <f>IF(tbal[[#This Row],[DEBE]]-tbal[[#This Row],[HABER]]&gt;0,tbal[[#This Row],[DEBE]]-tbal[[#This Row],[HABER]],0)</f>
        <v>0</v>
      </c>
      <c r="H1042" s="18">
        <f>IF(tbal[[#This Row],[HABER]]-tbal[[#This Row],[DEBE]]&gt;0,tbal[[#This Row],[HABER]]-tbal[[#This Row],[DEBE]],0)</f>
        <v>0</v>
      </c>
      <c r="I1042" s="16">
        <f>IF((OR(tbal[[#This Row],[X]]=1,tbal[[#This Row],[X]]=2)),tbal[[#This Row],[DEUDOR]],0)</f>
        <v>0</v>
      </c>
      <c r="J1042" s="18">
        <f>IF((OR(tbal[[#This Row],[X]]=2,tbal[[#This Row],[X]]=3)),tbal[[#This Row],[ACREEDOR]],0)</f>
        <v>0</v>
      </c>
      <c r="K1042" s="16">
        <f>IF((OR(tbal[[#This Row],[X]]=3,tbal[[#This Row],[X]]=5)),tbal[[#This Row],[DEUDOR]],0)</f>
        <v>0</v>
      </c>
      <c r="L1042" s="18">
        <f>IF((OR(tbal[[#This Row],[X]]=3,tbal[[#This Row],[X]]=4)),tbal[[#This Row],[ACREEDOR]],0)</f>
        <v>0</v>
      </c>
      <c r="M1042" s="16">
        <f>IF((OR(tbal[[#This Row],[X]]=0,tbal[[#This Row],[X]]=6)),tbal[[#This Row],[DEUDOR]],0)</f>
        <v>0</v>
      </c>
      <c r="N1042" s="18">
        <f>IF((OR(tbal[[#This Row],[X]]=0,tbal[[#This Row],[X]]=5)),tbal[[#This Row],[ACREEDOR]],0)</f>
        <v>0</v>
      </c>
    </row>
    <row r="1043" spans="1:14" hidden="1" x14ac:dyDescent="0.3">
      <c r="A1043" s="14">
        <f>+'PLAN DE CUENTAS'!A1043</f>
        <v>0</v>
      </c>
      <c r="B1043" s="13">
        <f>+'PLAN DE CUENTAS'!B1043</f>
        <v>0</v>
      </c>
      <c r="C1043" s="13">
        <f>+'PLAN DE CUENTAS'!C1043</f>
        <v>0</v>
      </c>
      <c r="D1043" t="str">
        <f>IF(tbal[[#This Row],[DEBE]]+tbal[[#This Row],[HABER]]=0,"","X")</f>
        <v/>
      </c>
      <c r="E1043" s="16">
        <f>SUMIF(tdiario[CUENTA],tbal[[#This Row],[CUENTA]],tdiario[DEBE])</f>
        <v>0</v>
      </c>
      <c r="F1043" s="17">
        <f>SUMIF(tdiario[CUENTA],tbal[[#This Row],[CUENTA]],tdiario[HABER])</f>
        <v>0</v>
      </c>
      <c r="G1043" s="16">
        <f>IF(tbal[[#This Row],[DEBE]]-tbal[[#This Row],[HABER]]&gt;0,tbal[[#This Row],[DEBE]]-tbal[[#This Row],[HABER]],0)</f>
        <v>0</v>
      </c>
      <c r="H1043" s="18">
        <f>IF(tbal[[#This Row],[HABER]]-tbal[[#This Row],[DEBE]]&gt;0,tbal[[#This Row],[HABER]]-tbal[[#This Row],[DEBE]],0)</f>
        <v>0</v>
      </c>
      <c r="I1043" s="16">
        <f>IF((OR(tbal[[#This Row],[X]]=1,tbal[[#This Row],[X]]=2)),tbal[[#This Row],[DEUDOR]],0)</f>
        <v>0</v>
      </c>
      <c r="J1043" s="18">
        <f>IF((OR(tbal[[#This Row],[X]]=2,tbal[[#This Row],[X]]=3)),tbal[[#This Row],[ACREEDOR]],0)</f>
        <v>0</v>
      </c>
      <c r="K1043" s="16">
        <f>IF((OR(tbal[[#This Row],[X]]=3,tbal[[#This Row],[X]]=5)),tbal[[#This Row],[DEUDOR]],0)</f>
        <v>0</v>
      </c>
      <c r="L1043" s="18">
        <f>IF((OR(tbal[[#This Row],[X]]=3,tbal[[#This Row],[X]]=4)),tbal[[#This Row],[ACREEDOR]],0)</f>
        <v>0</v>
      </c>
      <c r="M1043" s="16">
        <f>IF((OR(tbal[[#This Row],[X]]=0,tbal[[#This Row],[X]]=6)),tbal[[#This Row],[DEUDOR]],0)</f>
        <v>0</v>
      </c>
      <c r="N1043" s="18">
        <f>IF((OR(tbal[[#This Row],[X]]=0,tbal[[#This Row],[X]]=5)),tbal[[#This Row],[ACREEDOR]],0)</f>
        <v>0</v>
      </c>
    </row>
    <row r="1044" spans="1:14" hidden="1" x14ac:dyDescent="0.3">
      <c r="A1044" s="14">
        <f>+'PLAN DE CUENTAS'!A1044</f>
        <v>0</v>
      </c>
      <c r="B1044" s="13">
        <f>+'PLAN DE CUENTAS'!B1044</f>
        <v>0</v>
      </c>
      <c r="C1044" s="13">
        <f>+'PLAN DE CUENTAS'!C1044</f>
        <v>0</v>
      </c>
      <c r="D1044" t="str">
        <f>IF(tbal[[#This Row],[DEBE]]+tbal[[#This Row],[HABER]]=0,"","X")</f>
        <v/>
      </c>
      <c r="E1044" s="16">
        <f>SUMIF(tdiario[CUENTA],tbal[[#This Row],[CUENTA]],tdiario[DEBE])</f>
        <v>0</v>
      </c>
      <c r="F1044" s="17">
        <f>SUMIF(tdiario[CUENTA],tbal[[#This Row],[CUENTA]],tdiario[HABER])</f>
        <v>0</v>
      </c>
      <c r="G1044" s="16">
        <f>IF(tbal[[#This Row],[DEBE]]-tbal[[#This Row],[HABER]]&gt;0,tbal[[#This Row],[DEBE]]-tbal[[#This Row],[HABER]],0)</f>
        <v>0</v>
      </c>
      <c r="H1044" s="18">
        <f>IF(tbal[[#This Row],[HABER]]-tbal[[#This Row],[DEBE]]&gt;0,tbal[[#This Row],[HABER]]-tbal[[#This Row],[DEBE]],0)</f>
        <v>0</v>
      </c>
      <c r="I1044" s="16">
        <f>IF((OR(tbal[[#This Row],[X]]=1,tbal[[#This Row],[X]]=2)),tbal[[#This Row],[DEUDOR]],0)</f>
        <v>0</v>
      </c>
      <c r="J1044" s="18">
        <f>IF((OR(tbal[[#This Row],[X]]=2,tbal[[#This Row],[X]]=3)),tbal[[#This Row],[ACREEDOR]],0)</f>
        <v>0</v>
      </c>
      <c r="K1044" s="16">
        <f>IF((OR(tbal[[#This Row],[X]]=3,tbal[[#This Row],[X]]=5)),tbal[[#This Row],[DEUDOR]],0)</f>
        <v>0</v>
      </c>
      <c r="L1044" s="18">
        <f>IF((OR(tbal[[#This Row],[X]]=3,tbal[[#This Row],[X]]=4)),tbal[[#This Row],[ACREEDOR]],0)</f>
        <v>0</v>
      </c>
      <c r="M1044" s="16">
        <f>IF((OR(tbal[[#This Row],[X]]=0,tbal[[#This Row],[X]]=6)),tbal[[#This Row],[DEUDOR]],0)</f>
        <v>0</v>
      </c>
      <c r="N1044" s="18">
        <f>IF((OR(tbal[[#This Row],[X]]=0,tbal[[#This Row],[X]]=5)),tbal[[#This Row],[ACREEDOR]],0)</f>
        <v>0</v>
      </c>
    </row>
    <row r="1045" spans="1:14" hidden="1" x14ac:dyDescent="0.3">
      <c r="A1045" s="14">
        <f>+'PLAN DE CUENTAS'!A1045</f>
        <v>0</v>
      </c>
      <c r="B1045" s="13">
        <f>+'PLAN DE CUENTAS'!B1045</f>
        <v>0</v>
      </c>
      <c r="C1045" s="13">
        <f>+'PLAN DE CUENTAS'!C1045</f>
        <v>0</v>
      </c>
      <c r="D1045" t="str">
        <f>IF(tbal[[#This Row],[DEBE]]+tbal[[#This Row],[HABER]]=0,"","X")</f>
        <v/>
      </c>
      <c r="E1045" s="16">
        <f>SUMIF(tdiario[CUENTA],tbal[[#This Row],[CUENTA]],tdiario[DEBE])</f>
        <v>0</v>
      </c>
      <c r="F1045" s="17">
        <f>SUMIF(tdiario[CUENTA],tbal[[#This Row],[CUENTA]],tdiario[HABER])</f>
        <v>0</v>
      </c>
      <c r="G1045" s="16">
        <f>IF(tbal[[#This Row],[DEBE]]-tbal[[#This Row],[HABER]]&gt;0,tbal[[#This Row],[DEBE]]-tbal[[#This Row],[HABER]],0)</f>
        <v>0</v>
      </c>
      <c r="H1045" s="18">
        <f>IF(tbal[[#This Row],[HABER]]-tbal[[#This Row],[DEBE]]&gt;0,tbal[[#This Row],[HABER]]-tbal[[#This Row],[DEBE]],0)</f>
        <v>0</v>
      </c>
      <c r="I1045" s="16">
        <f>IF((OR(tbal[[#This Row],[X]]=1,tbal[[#This Row],[X]]=2)),tbal[[#This Row],[DEUDOR]],0)</f>
        <v>0</v>
      </c>
      <c r="J1045" s="18">
        <f>IF((OR(tbal[[#This Row],[X]]=2,tbal[[#This Row],[X]]=3)),tbal[[#This Row],[ACREEDOR]],0)</f>
        <v>0</v>
      </c>
      <c r="K1045" s="16">
        <f>IF((OR(tbal[[#This Row],[X]]=3,tbal[[#This Row],[X]]=5)),tbal[[#This Row],[DEUDOR]],0)</f>
        <v>0</v>
      </c>
      <c r="L1045" s="18">
        <f>IF((OR(tbal[[#This Row],[X]]=3,tbal[[#This Row],[X]]=4)),tbal[[#This Row],[ACREEDOR]],0)</f>
        <v>0</v>
      </c>
      <c r="M1045" s="16">
        <f>IF((OR(tbal[[#This Row],[X]]=0,tbal[[#This Row],[X]]=6)),tbal[[#This Row],[DEUDOR]],0)</f>
        <v>0</v>
      </c>
      <c r="N1045" s="18">
        <f>IF((OR(tbal[[#This Row],[X]]=0,tbal[[#This Row],[X]]=5)),tbal[[#This Row],[ACREEDOR]],0)</f>
        <v>0</v>
      </c>
    </row>
    <row r="1046" spans="1:14" hidden="1" x14ac:dyDescent="0.3">
      <c r="A1046" s="14">
        <f>+'PLAN DE CUENTAS'!A1046</f>
        <v>0</v>
      </c>
      <c r="B1046" s="13">
        <f>+'PLAN DE CUENTAS'!B1046</f>
        <v>0</v>
      </c>
      <c r="C1046" s="13">
        <f>+'PLAN DE CUENTAS'!C1046</f>
        <v>0</v>
      </c>
      <c r="D1046" t="str">
        <f>IF(tbal[[#This Row],[DEBE]]+tbal[[#This Row],[HABER]]=0,"","X")</f>
        <v/>
      </c>
      <c r="E1046" s="16">
        <f>SUMIF(tdiario[CUENTA],tbal[[#This Row],[CUENTA]],tdiario[DEBE])</f>
        <v>0</v>
      </c>
      <c r="F1046" s="17">
        <f>SUMIF(tdiario[CUENTA],tbal[[#This Row],[CUENTA]],tdiario[HABER])</f>
        <v>0</v>
      </c>
      <c r="G1046" s="16">
        <f>IF(tbal[[#This Row],[DEBE]]-tbal[[#This Row],[HABER]]&gt;0,tbal[[#This Row],[DEBE]]-tbal[[#This Row],[HABER]],0)</f>
        <v>0</v>
      </c>
      <c r="H1046" s="18">
        <f>IF(tbal[[#This Row],[HABER]]-tbal[[#This Row],[DEBE]]&gt;0,tbal[[#This Row],[HABER]]-tbal[[#This Row],[DEBE]],0)</f>
        <v>0</v>
      </c>
      <c r="I1046" s="16">
        <f>IF((OR(tbal[[#This Row],[X]]=1,tbal[[#This Row],[X]]=2)),tbal[[#This Row],[DEUDOR]],0)</f>
        <v>0</v>
      </c>
      <c r="J1046" s="18">
        <f>IF((OR(tbal[[#This Row],[X]]=2,tbal[[#This Row],[X]]=3)),tbal[[#This Row],[ACREEDOR]],0)</f>
        <v>0</v>
      </c>
      <c r="K1046" s="16">
        <f>IF((OR(tbal[[#This Row],[X]]=3,tbal[[#This Row],[X]]=5)),tbal[[#This Row],[DEUDOR]],0)</f>
        <v>0</v>
      </c>
      <c r="L1046" s="18">
        <f>IF((OR(tbal[[#This Row],[X]]=3,tbal[[#This Row],[X]]=4)),tbal[[#This Row],[ACREEDOR]],0)</f>
        <v>0</v>
      </c>
      <c r="M1046" s="16">
        <f>IF((OR(tbal[[#This Row],[X]]=0,tbal[[#This Row],[X]]=6)),tbal[[#This Row],[DEUDOR]],0)</f>
        <v>0</v>
      </c>
      <c r="N1046" s="18">
        <f>IF((OR(tbal[[#This Row],[X]]=0,tbal[[#This Row],[X]]=5)),tbal[[#This Row],[ACREEDOR]],0)</f>
        <v>0</v>
      </c>
    </row>
    <row r="1047" spans="1:14" hidden="1" x14ac:dyDescent="0.3">
      <c r="A1047" s="14">
        <f>+'PLAN DE CUENTAS'!A1047</f>
        <v>0</v>
      </c>
      <c r="B1047" s="13">
        <f>+'PLAN DE CUENTAS'!B1047</f>
        <v>0</v>
      </c>
      <c r="C1047" s="13">
        <f>+'PLAN DE CUENTAS'!C1047</f>
        <v>0</v>
      </c>
      <c r="D1047" t="str">
        <f>IF(tbal[[#This Row],[DEBE]]+tbal[[#This Row],[HABER]]=0,"","X")</f>
        <v/>
      </c>
      <c r="E1047" s="16">
        <f>SUMIF(tdiario[CUENTA],tbal[[#This Row],[CUENTA]],tdiario[DEBE])</f>
        <v>0</v>
      </c>
      <c r="F1047" s="17">
        <f>SUMIF(tdiario[CUENTA],tbal[[#This Row],[CUENTA]],tdiario[HABER])</f>
        <v>0</v>
      </c>
      <c r="G1047" s="16">
        <f>IF(tbal[[#This Row],[DEBE]]-tbal[[#This Row],[HABER]]&gt;0,tbal[[#This Row],[DEBE]]-tbal[[#This Row],[HABER]],0)</f>
        <v>0</v>
      </c>
      <c r="H1047" s="18">
        <f>IF(tbal[[#This Row],[HABER]]-tbal[[#This Row],[DEBE]]&gt;0,tbal[[#This Row],[HABER]]-tbal[[#This Row],[DEBE]],0)</f>
        <v>0</v>
      </c>
      <c r="I1047" s="16">
        <f>IF((OR(tbal[[#This Row],[X]]=1,tbal[[#This Row],[X]]=2)),tbal[[#This Row],[DEUDOR]],0)</f>
        <v>0</v>
      </c>
      <c r="J1047" s="18">
        <f>IF((OR(tbal[[#This Row],[X]]=2,tbal[[#This Row],[X]]=3)),tbal[[#This Row],[ACREEDOR]],0)</f>
        <v>0</v>
      </c>
      <c r="K1047" s="16">
        <f>IF((OR(tbal[[#This Row],[X]]=3,tbal[[#This Row],[X]]=5)),tbal[[#This Row],[DEUDOR]],0)</f>
        <v>0</v>
      </c>
      <c r="L1047" s="18">
        <f>IF((OR(tbal[[#This Row],[X]]=3,tbal[[#This Row],[X]]=4)),tbal[[#This Row],[ACREEDOR]],0)</f>
        <v>0</v>
      </c>
      <c r="M1047" s="16">
        <f>IF((OR(tbal[[#This Row],[X]]=0,tbal[[#This Row],[X]]=6)),tbal[[#This Row],[DEUDOR]],0)</f>
        <v>0</v>
      </c>
      <c r="N1047" s="18">
        <f>IF((OR(tbal[[#This Row],[X]]=0,tbal[[#This Row],[X]]=5)),tbal[[#This Row],[ACREEDOR]],0)</f>
        <v>0</v>
      </c>
    </row>
    <row r="1048" spans="1:14" hidden="1" x14ac:dyDescent="0.3">
      <c r="A1048" s="14">
        <f>+'PLAN DE CUENTAS'!A1048</f>
        <v>0</v>
      </c>
      <c r="B1048" s="13">
        <f>+'PLAN DE CUENTAS'!B1048</f>
        <v>0</v>
      </c>
      <c r="C1048" s="13">
        <f>+'PLAN DE CUENTAS'!C1048</f>
        <v>0</v>
      </c>
      <c r="D1048" t="str">
        <f>IF(tbal[[#This Row],[DEBE]]+tbal[[#This Row],[HABER]]=0,"","X")</f>
        <v/>
      </c>
      <c r="E1048" s="16">
        <f>SUMIF(tdiario[CUENTA],tbal[[#This Row],[CUENTA]],tdiario[DEBE])</f>
        <v>0</v>
      </c>
      <c r="F1048" s="17">
        <f>SUMIF(tdiario[CUENTA],tbal[[#This Row],[CUENTA]],tdiario[HABER])</f>
        <v>0</v>
      </c>
      <c r="G1048" s="16">
        <f>IF(tbal[[#This Row],[DEBE]]-tbal[[#This Row],[HABER]]&gt;0,tbal[[#This Row],[DEBE]]-tbal[[#This Row],[HABER]],0)</f>
        <v>0</v>
      </c>
      <c r="H1048" s="18">
        <f>IF(tbal[[#This Row],[HABER]]-tbal[[#This Row],[DEBE]]&gt;0,tbal[[#This Row],[HABER]]-tbal[[#This Row],[DEBE]],0)</f>
        <v>0</v>
      </c>
      <c r="I1048" s="16">
        <f>IF((OR(tbal[[#This Row],[X]]=1,tbal[[#This Row],[X]]=2)),tbal[[#This Row],[DEUDOR]],0)</f>
        <v>0</v>
      </c>
      <c r="J1048" s="18">
        <f>IF((OR(tbal[[#This Row],[X]]=2,tbal[[#This Row],[X]]=3)),tbal[[#This Row],[ACREEDOR]],0)</f>
        <v>0</v>
      </c>
      <c r="K1048" s="16">
        <f>IF((OR(tbal[[#This Row],[X]]=3,tbal[[#This Row],[X]]=5)),tbal[[#This Row],[DEUDOR]],0)</f>
        <v>0</v>
      </c>
      <c r="L1048" s="18">
        <f>IF((OR(tbal[[#This Row],[X]]=3,tbal[[#This Row],[X]]=4)),tbal[[#This Row],[ACREEDOR]],0)</f>
        <v>0</v>
      </c>
      <c r="M1048" s="16">
        <f>IF((OR(tbal[[#This Row],[X]]=0,tbal[[#This Row],[X]]=6)),tbal[[#This Row],[DEUDOR]],0)</f>
        <v>0</v>
      </c>
      <c r="N1048" s="18">
        <f>IF((OR(tbal[[#This Row],[X]]=0,tbal[[#This Row],[X]]=5)),tbal[[#This Row],[ACREEDOR]],0)</f>
        <v>0</v>
      </c>
    </row>
    <row r="1049" spans="1:14" hidden="1" x14ac:dyDescent="0.3">
      <c r="A1049" s="14">
        <f>+'PLAN DE CUENTAS'!A1049</f>
        <v>0</v>
      </c>
      <c r="B1049" s="13">
        <f>+'PLAN DE CUENTAS'!B1049</f>
        <v>0</v>
      </c>
      <c r="C1049" s="13">
        <f>+'PLAN DE CUENTAS'!C1049</f>
        <v>0</v>
      </c>
      <c r="D1049" t="str">
        <f>IF(tbal[[#This Row],[DEBE]]+tbal[[#This Row],[HABER]]=0,"","X")</f>
        <v/>
      </c>
      <c r="E1049" s="16">
        <f>SUMIF(tdiario[CUENTA],tbal[[#This Row],[CUENTA]],tdiario[DEBE])</f>
        <v>0</v>
      </c>
      <c r="F1049" s="17">
        <f>SUMIF(tdiario[CUENTA],tbal[[#This Row],[CUENTA]],tdiario[HABER])</f>
        <v>0</v>
      </c>
      <c r="G1049" s="16">
        <f>IF(tbal[[#This Row],[DEBE]]-tbal[[#This Row],[HABER]]&gt;0,tbal[[#This Row],[DEBE]]-tbal[[#This Row],[HABER]],0)</f>
        <v>0</v>
      </c>
      <c r="H1049" s="18">
        <f>IF(tbal[[#This Row],[HABER]]-tbal[[#This Row],[DEBE]]&gt;0,tbal[[#This Row],[HABER]]-tbal[[#This Row],[DEBE]],0)</f>
        <v>0</v>
      </c>
      <c r="I1049" s="16">
        <f>IF((OR(tbal[[#This Row],[X]]=1,tbal[[#This Row],[X]]=2)),tbal[[#This Row],[DEUDOR]],0)</f>
        <v>0</v>
      </c>
      <c r="J1049" s="18">
        <f>IF((OR(tbal[[#This Row],[X]]=2,tbal[[#This Row],[X]]=3)),tbal[[#This Row],[ACREEDOR]],0)</f>
        <v>0</v>
      </c>
      <c r="K1049" s="16">
        <f>IF((OR(tbal[[#This Row],[X]]=3,tbal[[#This Row],[X]]=5)),tbal[[#This Row],[DEUDOR]],0)</f>
        <v>0</v>
      </c>
      <c r="L1049" s="18">
        <f>IF((OR(tbal[[#This Row],[X]]=3,tbal[[#This Row],[X]]=4)),tbal[[#This Row],[ACREEDOR]],0)</f>
        <v>0</v>
      </c>
      <c r="M1049" s="16">
        <f>IF((OR(tbal[[#This Row],[X]]=0,tbal[[#This Row],[X]]=6)),tbal[[#This Row],[DEUDOR]],0)</f>
        <v>0</v>
      </c>
      <c r="N1049" s="18">
        <f>IF((OR(tbal[[#This Row],[X]]=0,tbal[[#This Row],[X]]=5)),tbal[[#This Row],[ACREEDOR]],0)</f>
        <v>0</v>
      </c>
    </row>
    <row r="1050" spans="1:14" hidden="1" x14ac:dyDescent="0.3">
      <c r="A1050" s="14">
        <f>+'PLAN DE CUENTAS'!A1050</f>
        <v>0</v>
      </c>
      <c r="B1050" s="13">
        <f>+'PLAN DE CUENTAS'!B1050</f>
        <v>0</v>
      </c>
      <c r="C1050" s="13">
        <f>+'PLAN DE CUENTAS'!C1050</f>
        <v>0</v>
      </c>
      <c r="D1050" t="str">
        <f>IF(tbal[[#This Row],[DEBE]]+tbal[[#This Row],[HABER]]=0,"","X")</f>
        <v/>
      </c>
      <c r="E1050" s="16">
        <f>SUMIF(tdiario[CUENTA],tbal[[#This Row],[CUENTA]],tdiario[DEBE])</f>
        <v>0</v>
      </c>
      <c r="F1050" s="17">
        <f>SUMIF(tdiario[CUENTA],tbal[[#This Row],[CUENTA]],tdiario[HABER])</f>
        <v>0</v>
      </c>
      <c r="G1050" s="16">
        <f>IF(tbal[[#This Row],[DEBE]]-tbal[[#This Row],[HABER]]&gt;0,tbal[[#This Row],[DEBE]]-tbal[[#This Row],[HABER]],0)</f>
        <v>0</v>
      </c>
      <c r="H1050" s="18">
        <f>IF(tbal[[#This Row],[HABER]]-tbal[[#This Row],[DEBE]]&gt;0,tbal[[#This Row],[HABER]]-tbal[[#This Row],[DEBE]],0)</f>
        <v>0</v>
      </c>
      <c r="I1050" s="16">
        <f>IF((OR(tbal[[#This Row],[X]]=1,tbal[[#This Row],[X]]=2)),tbal[[#This Row],[DEUDOR]],0)</f>
        <v>0</v>
      </c>
      <c r="J1050" s="18">
        <f>IF((OR(tbal[[#This Row],[X]]=2,tbal[[#This Row],[X]]=3)),tbal[[#This Row],[ACREEDOR]],0)</f>
        <v>0</v>
      </c>
      <c r="K1050" s="16">
        <f>IF((OR(tbal[[#This Row],[X]]=3,tbal[[#This Row],[X]]=5)),tbal[[#This Row],[DEUDOR]],0)</f>
        <v>0</v>
      </c>
      <c r="L1050" s="18">
        <f>IF((OR(tbal[[#This Row],[X]]=3,tbal[[#This Row],[X]]=4)),tbal[[#This Row],[ACREEDOR]],0)</f>
        <v>0</v>
      </c>
      <c r="M1050" s="16">
        <f>IF((OR(tbal[[#This Row],[X]]=0,tbal[[#This Row],[X]]=6)),tbal[[#This Row],[DEUDOR]],0)</f>
        <v>0</v>
      </c>
      <c r="N1050" s="18">
        <f>IF((OR(tbal[[#This Row],[X]]=0,tbal[[#This Row],[X]]=5)),tbal[[#This Row],[ACREEDOR]],0)</f>
        <v>0</v>
      </c>
    </row>
    <row r="1051" spans="1:14" hidden="1" x14ac:dyDescent="0.3">
      <c r="A1051" s="14">
        <f>+'PLAN DE CUENTAS'!A1051</f>
        <v>0</v>
      </c>
      <c r="B1051" s="13">
        <f>+'PLAN DE CUENTAS'!B1051</f>
        <v>0</v>
      </c>
      <c r="C1051" s="13">
        <f>+'PLAN DE CUENTAS'!C1051</f>
        <v>0</v>
      </c>
      <c r="D1051" t="str">
        <f>IF(tbal[[#This Row],[DEBE]]+tbal[[#This Row],[HABER]]=0,"","X")</f>
        <v/>
      </c>
      <c r="E1051" s="16">
        <f>SUMIF(tdiario[CUENTA],tbal[[#This Row],[CUENTA]],tdiario[DEBE])</f>
        <v>0</v>
      </c>
      <c r="F1051" s="17">
        <f>SUMIF(tdiario[CUENTA],tbal[[#This Row],[CUENTA]],tdiario[HABER])</f>
        <v>0</v>
      </c>
      <c r="G1051" s="16">
        <f>IF(tbal[[#This Row],[DEBE]]-tbal[[#This Row],[HABER]]&gt;0,tbal[[#This Row],[DEBE]]-tbal[[#This Row],[HABER]],0)</f>
        <v>0</v>
      </c>
      <c r="H1051" s="18">
        <f>IF(tbal[[#This Row],[HABER]]-tbal[[#This Row],[DEBE]]&gt;0,tbal[[#This Row],[HABER]]-tbal[[#This Row],[DEBE]],0)</f>
        <v>0</v>
      </c>
      <c r="I1051" s="16">
        <f>IF((OR(tbal[[#This Row],[X]]=1,tbal[[#This Row],[X]]=2)),tbal[[#This Row],[DEUDOR]],0)</f>
        <v>0</v>
      </c>
      <c r="J1051" s="18">
        <f>IF((OR(tbal[[#This Row],[X]]=2,tbal[[#This Row],[X]]=3)),tbal[[#This Row],[ACREEDOR]],0)</f>
        <v>0</v>
      </c>
      <c r="K1051" s="16">
        <f>IF((OR(tbal[[#This Row],[X]]=3,tbal[[#This Row],[X]]=5)),tbal[[#This Row],[DEUDOR]],0)</f>
        <v>0</v>
      </c>
      <c r="L1051" s="18">
        <f>IF((OR(tbal[[#This Row],[X]]=3,tbal[[#This Row],[X]]=4)),tbal[[#This Row],[ACREEDOR]],0)</f>
        <v>0</v>
      </c>
      <c r="M1051" s="16">
        <f>IF((OR(tbal[[#This Row],[X]]=0,tbal[[#This Row],[X]]=6)),tbal[[#This Row],[DEUDOR]],0)</f>
        <v>0</v>
      </c>
      <c r="N1051" s="18">
        <f>IF((OR(tbal[[#This Row],[X]]=0,tbal[[#This Row],[X]]=5)),tbal[[#This Row],[ACREEDOR]],0)</f>
        <v>0</v>
      </c>
    </row>
    <row r="1052" spans="1:14" hidden="1" x14ac:dyDescent="0.3">
      <c r="A1052" s="14">
        <f>+'PLAN DE CUENTAS'!A1052</f>
        <v>0</v>
      </c>
      <c r="B1052" s="13">
        <f>+'PLAN DE CUENTAS'!B1052</f>
        <v>0</v>
      </c>
      <c r="C1052" s="13">
        <f>+'PLAN DE CUENTAS'!C1052</f>
        <v>0</v>
      </c>
      <c r="D1052" t="str">
        <f>IF(tbal[[#This Row],[DEBE]]+tbal[[#This Row],[HABER]]=0,"","X")</f>
        <v/>
      </c>
      <c r="E1052" s="16">
        <f>SUMIF(tdiario[CUENTA],tbal[[#This Row],[CUENTA]],tdiario[DEBE])</f>
        <v>0</v>
      </c>
      <c r="F1052" s="17">
        <f>SUMIF(tdiario[CUENTA],tbal[[#This Row],[CUENTA]],tdiario[HABER])</f>
        <v>0</v>
      </c>
      <c r="G1052" s="16">
        <f>IF(tbal[[#This Row],[DEBE]]-tbal[[#This Row],[HABER]]&gt;0,tbal[[#This Row],[DEBE]]-tbal[[#This Row],[HABER]],0)</f>
        <v>0</v>
      </c>
      <c r="H1052" s="18">
        <f>IF(tbal[[#This Row],[HABER]]-tbal[[#This Row],[DEBE]]&gt;0,tbal[[#This Row],[HABER]]-tbal[[#This Row],[DEBE]],0)</f>
        <v>0</v>
      </c>
      <c r="I1052" s="16">
        <f>IF((OR(tbal[[#This Row],[X]]=1,tbal[[#This Row],[X]]=2)),tbal[[#This Row],[DEUDOR]],0)</f>
        <v>0</v>
      </c>
      <c r="J1052" s="18">
        <f>IF((OR(tbal[[#This Row],[X]]=2,tbal[[#This Row],[X]]=3)),tbal[[#This Row],[ACREEDOR]],0)</f>
        <v>0</v>
      </c>
      <c r="K1052" s="16">
        <f>IF((OR(tbal[[#This Row],[X]]=3,tbal[[#This Row],[X]]=5)),tbal[[#This Row],[DEUDOR]],0)</f>
        <v>0</v>
      </c>
      <c r="L1052" s="18">
        <f>IF((OR(tbal[[#This Row],[X]]=3,tbal[[#This Row],[X]]=4)),tbal[[#This Row],[ACREEDOR]],0)</f>
        <v>0</v>
      </c>
      <c r="M1052" s="16">
        <f>IF((OR(tbal[[#This Row],[X]]=0,tbal[[#This Row],[X]]=6)),tbal[[#This Row],[DEUDOR]],0)</f>
        <v>0</v>
      </c>
      <c r="N1052" s="18">
        <f>IF((OR(tbal[[#This Row],[X]]=0,tbal[[#This Row],[X]]=5)),tbal[[#This Row],[ACREEDOR]],0)</f>
        <v>0</v>
      </c>
    </row>
    <row r="1053" spans="1:14" hidden="1" x14ac:dyDescent="0.3">
      <c r="A1053" s="14">
        <f>+'PLAN DE CUENTAS'!A1053</f>
        <v>0</v>
      </c>
      <c r="B1053" s="13">
        <f>+'PLAN DE CUENTAS'!B1053</f>
        <v>0</v>
      </c>
      <c r="C1053" s="13">
        <f>+'PLAN DE CUENTAS'!C1053</f>
        <v>0</v>
      </c>
      <c r="D1053" t="str">
        <f>IF(tbal[[#This Row],[DEBE]]+tbal[[#This Row],[HABER]]=0,"","X")</f>
        <v/>
      </c>
      <c r="E1053" s="16">
        <f>SUMIF(tdiario[CUENTA],tbal[[#This Row],[CUENTA]],tdiario[DEBE])</f>
        <v>0</v>
      </c>
      <c r="F1053" s="17">
        <f>SUMIF(tdiario[CUENTA],tbal[[#This Row],[CUENTA]],tdiario[HABER])</f>
        <v>0</v>
      </c>
      <c r="G1053" s="16">
        <f>IF(tbal[[#This Row],[DEBE]]-tbal[[#This Row],[HABER]]&gt;0,tbal[[#This Row],[DEBE]]-tbal[[#This Row],[HABER]],0)</f>
        <v>0</v>
      </c>
      <c r="H1053" s="18">
        <f>IF(tbal[[#This Row],[HABER]]-tbal[[#This Row],[DEBE]]&gt;0,tbal[[#This Row],[HABER]]-tbal[[#This Row],[DEBE]],0)</f>
        <v>0</v>
      </c>
      <c r="I1053" s="16">
        <f>IF((OR(tbal[[#This Row],[X]]=1,tbal[[#This Row],[X]]=2)),tbal[[#This Row],[DEUDOR]],0)</f>
        <v>0</v>
      </c>
      <c r="J1053" s="18">
        <f>IF((OR(tbal[[#This Row],[X]]=2,tbal[[#This Row],[X]]=3)),tbal[[#This Row],[ACREEDOR]],0)</f>
        <v>0</v>
      </c>
      <c r="K1053" s="16">
        <f>IF((OR(tbal[[#This Row],[X]]=3,tbal[[#This Row],[X]]=5)),tbal[[#This Row],[DEUDOR]],0)</f>
        <v>0</v>
      </c>
      <c r="L1053" s="18">
        <f>IF((OR(tbal[[#This Row],[X]]=3,tbal[[#This Row],[X]]=4)),tbal[[#This Row],[ACREEDOR]],0)</f>
        <v>0</v>
      </c>
      <c r="M1053" s="16">
        <f>IF((OR(tbal[[#This Row],[X]]=0,tbal[[#This Row],[X]]=6)),tbal[[#This Row],[DEUDOR]],0)</f>
        <v>0</v>
      </c>
      <c r="N1053" s="18">
        <f>IF((OR(tbal[[#This Row],[X]]=0,tbal[[#This Row],[X]]=5)),tbal[[#This Row],[ACREEDOR]],0)</f>
        <v>0</v>
      </c>
    </row>
    <row r="1054" spans="1:14" hidden="1" x14ac:dyDescent="0.3">
      <c r="A1054" s="14">
        <f>+'PLAN DE CUENTAS'!A1054</f>
        <v>0</v>
      </c>
      <c r="B1054" s="13">
        <f>+'PLAN DE CUENTAS'!B1054</f>
        <v>0</v>
      </c>
      <c r="C1054" s="13">
        <f>+'PLAN DE CUENTAS'!C1054</f>
        <v>0</v>
      </c>
      <c r="D1054" t="str">
        <f>IF(tbal[[#This Row],[DEBE]]+tbal[[#This Row],[HABER]]=0,"","X")</f>
        <v/>
      </c>
      <c r="E1054" s="16">
        <f>SUMIF(tdiario[CUENTA],tbal[[#This Row],[CUENTA]],tdiario[DEBE])</f>
        <v>0</v>
      </c>
      <c r="F1054" s="17">
        <f>SUMIF(tdiario[CUENTA],tbal[[#This Row],[CUENTA]],tdiario[HABER])</f>
        <v>0</v>
      </c>
      <c r="G1054" s="16">
        <f>IF(tbal[[#This Row],[DEBE]]-tbal[[#This Row],[HABER]]&gt;0,tbal[[#This Row],[DEBE]]-tbal[[#This Row],[HABER]],0)</f>
        <v>0</v>
      </c>
      <c r="H1054" s="18">
        <f>IF(tbal[[#This Row],[HABER]]-tbal[[#This Row],[DEBE]]&gt;0,tbal[[#This Row],[HABER]]-tbal[[#This Row],[DEBE]],0)</f>
        <v>0</v>
      </c>
      <c r="I1054" s="16">
        <f>IF((OR(tbal[[#This Row],[X]]=1,tbal[[#This Row],[X]]=2)),tbal[[#This Row],[DEUDOR]],0)</f>
        <v>0</v>
      </c>
      <c r="J1054" s="18">
        <f>IF((OR(tbal[[#This Row],[X]]=2,tbal[[#This Row],[X]]=3)),tbal[[#This Row],[ACREEDOR]],0)</f>
        <v>0</v>
      </c>
      <c r="K1054" s="16">
        <f>IF((OR(tbal[[#This Row],[X]]=3,tbal[[#This Row],[X]]=5)),tbal[[#This Row],[DEUDOR]],0)</f>
        <v>0</v>
      </c>
      <c r="L1054" s="18">
        <f>IF((OR(tbal[[#This Row],[X]]=3,tbal[[#This Row],[X]]=4)),tbal[[#This Row],[ACREEDOR]],0)</f>
        <v>0</v>
      </c>
      <c r="M1054" s="16">
        <f>IF((OR(tbal[[#This Row],[X]]=0,tbal[[#This Row],[X]]=6)),tbal[[#This Row],[DEUDOR]],0)</f>
        <v>0</v>
      </c>
      <c r="N1054" s="18">
        <f>IF((OR(tbal[[#This Row],[X]]=0,tbal[[#This Row],[X]]=5)),tbal[[#This Row],[ACREEDOR]],0)</f>
        <v>0</v>
      </c>
    </row>
    <row r="1055" spans="1:14" hidden="1" x14ac:dyDescent="0.3">
      <c r="A1055" s="14">
        <f>+'PLAN DE CUENTAS'!A1055</f>
        <v>0</v>
      </c>
      <c r="B1055" s="13">
        <f>+'PLAN DE CUENTAS'!B1055</f>
        <v>0</v>
      </c>
      <c r="C1055" s="13">
        <f>+'PLAN DE CUENTAS'!C1055</f>
        <v>0</v>
      </c>
      <c r="D1055" t="str">
        <f>IF(tbal[[#This Row],[DEBE]]+tbal[[#This Row],[HABER]]=0,"","X")</f>
        <v/>
      </c>
      <c r="E1055" s="16">
        <f>SUMIF(tdiario[CUENTA],tbal[[#This Row],[CUENTA]],tdiario[DEBE])</f>
        <v>0</v>
      </c>
      <c r="F1055" s="17">
        <f>SUMIF(tdiario[CUENTA],tbal[[#This Row],[CUENTA]],tdiario[HABER])</f>
        <v>0</v>
      </c>
      <c r="G1055" s="16">
        <f>IF(tbal[[#This Row],[DEBE]]-tbal[[#This Row],[HABER]]&gt;0,tbal[[#This Row],[DEBE]]-tbal[[#This Row],[HABER]],0)</f>
        <v>0</v>
      </c>
      <c r="H1055" s="18">
        <f>IF(tbal[[#This Row],[HABER]]-tbal[[#This Row],[DEBE]]&gt;0,tbal[[#This Row],[HABER]]-tbal[[#This Row],[DEBE]],0)</f>
        <v>0</v>
      </c>
      <c r="I1055" s="16">
        <f>IF((OR(tbal[[#This Row],[X]]=1,tbal[[#This Row],[X]]=2)),tbal[[#This Row],[DEUDOR]],0)</f>
        <v>0</v>
      </c>
      <c r="J1055" s="18">
        <f>IF((OR(tbal[[#This Row],[X]]=2,tbal[[#This Row],[X]]=3)),tbal[[#This Row],[ACREEDOR]],0)</f>
        <v>0</v>
      </c>
      <c r="K1055" s="16">
        <f>IF((OR(tbal[[#This Row],[X]]=3,tbal[[#This Row],[X]]=5)),tbal[[#This Row],[DEUDOR]],0)</f>
        <v>0</v>
      </c>
      <c r="L1055" s="18">
        <f>IF((OR(tbal[[#This Row],[X]]=3,tbal[[#This Row],[X]]=4)),tbal[[#This Row],[ACREEDOR]],0)</f>
        <v>0</v>
      </c>
      <c r="M1055" s="16">
        <f>IF((OR(tbal[[#This Row],[X]]=0,tbal[[#This Row],[X]]=6)),tbal[[#This Row],[DEUDOR]],0)</f>
        <v>0</v>
      </c>
      <c r="N1055" s="18">
        <f>IF((OR(tbal[[#This Row],[X]]=0,tbal[[#This Row],[X]]=5)),tbal[[#This Row],[ACREEDOR]],0)</f>
        <v>0</v>
      </c>
    </row>
    <row r="1056" spans="1:14" hidden="1" x14ac:dyDescent="0.3">
      <c r="A1056" s="14">
        <f>+'PLAN DE CUENTAS'!A1056</f>
        <v>0</v>
      </c>
      <c r="B1056" s="13">
        <f>+'PLAN DE CUENTAS'!B1056</f>
        <v>0</v>
      </c>
      <c r="C1056" s="13">
        <f>+'PLAN DE CUENTAS'!C1056</f>
        <v>0</v>
      </c>
      <c r="D1056" t="str">
        <f>IF(tbal[[#This Row],[DEBE]]+tbal[[#This Row],[HABER]]=0,"","X")</f>
        <v/>
      </c>
      <c r="E1056" s="16">
        <f>SUMIF(tdiario[CUENTA],tbal[[#This Row],[CUENTA]],tdiario[DEBE])</f>
        <v>0</v>
      </c>
      <c r="F1056" s="17">
        <f>SUMIF(tdiario[CUENTA],tbal[[#This Row],[CUENTA]],tdiario[HABER])</f>
        <v>0</v>
      </c>
      <c r="G1056" s="16">
        <f>IF(tbal[[#This Row],[DEBE]]-tbal[[#This Row],[HABER]]&gt;0,tbal[[#This Row],[DEBE]]-tbal[[#This Row],[HABER]],0)</f>
        <v>0</v>
      </c>
      <c r="H1056" s="18">
        <f>IF(tbal[[#This Row],[HABER]]-tbal[[#This Row],[DEBE]]&gt;0,tbal[[#This Row],[HABER]]-tbal[[#This Row],[DEBE]],0)</f>
        <v>0</v>
      </c>
      <c r="I1056" s="16">
        <f>IF((OR(tbal[[#This Row],[X]]=1,tbal[[#This Row],[X]]=2)),tbal[[#This Row],[DEUDOR]],0)</f>
        <v>0</v>
      </c>
      <c r="J1056" s="18">
        <f>IF((OR(tbal[[#This Row],[X]]=2,tbal[[#This Row],[X]]=3)),tbal[[#This Row],[ACREEDOR]],0)</f>
        <v>0</v>
      </c>
      <c r="K1056" s="16">
        <f>IF((OR(tbal[[#This Row],[X]]=3,tbal[[#This Row],[X]]=5)),tbal[[#This Row],[DEUDOR]],0)</f>
        <v>0</v>
      </c>
      <c r="L1056" s="18">
        <f>IF((OR(tbal[[#This Row],[X]]=3,tbal[[#This Row],[X]]=4)),tbal[[#This Row],[ACREEDOR]],0)</f>
        <v>0</v>
      </c>
      <c r="M1056" s="16">
        <f>IF((OR(tbal[[#This Row],[X]]=0,tbal[[#This Row],[X]]=6)),tbal[[#This Row],[DEUDOR]],0)</f>
        <v>0</v>
      </c>
      <c r="N1056" s="18">
        <f>IF((OR(tbal[[#This Row],[X]]=0,tbal[[#This Row],[X]]=5)),tbal[[#This Row],[ACREEDOR]],0)</f>
        <v>0</v>
      </c>
    </row>
    <row r="1057" spans="1:14" hidden="1" x14ac:dyDescent="0.3">
      <c r="A1057" s="14">
        <f>+'PLAN DE CUENTAS'!A1057</f>
        <v>0</v>
      </c>
      <c r="B1057" s="13">
        <f>+'PLAN DE CUENTAS'!B1057</f>
        <v>0</v>
      </c>
      <c r="C1057" s="13">
        <f>+'PLAN DE CUENTAS'!C1057</f>
        <v>0</v>
      </c>
      <c r="D1057" t="str">
        <f>IF(tbal[[#This Row],[DEBE]]+tbal[[#This Row],[HABER]]=0,"","X")</f>
        <v/>
      </c>
      <c r="E1057" s="16">
        <f>SUMIF(tdiario[CUENTA],tbal[[#This Row],[CUENTA]],tdiario[DEBE])</f>
        <v>0</v>
      </c>
      <c r="F1057" s="17">
        <f>SUMIF(tdiario[CUENTA],tbal[[#This Row],[CUENTA]],tdiario[HABER])</f>
        <v>0</v>
      </c>
      <c r="G1057" s="16">
        <f>IF(tbal[[#This Row],[DEBE]]-tbal[[#This Row],[HABER]]&gt;0,tbal[[#This Row],[DEBE]]-tbal[[#This Row],[HABER]],0)</f>
        <v>0</v>
      </c>
      <c r="H1057" s="18">
        <f>IF(tbal[[#This Row],[HABER]]-tbal[[#This Row],[DEBE]]&gt;0,tbal[[#This Row],[HABER]]-tbal[[#This Row],[DEBE]],0)</f>
        <v>0</v>
      </c>
      <c r="I1057" s="16">
        <f>IF((OR(tbal[[#This Row],[X]]=1,tbal[[#This Row],[X]]=2)),tbal[[#This Row],[DEUDOR]],0)</f>
        <v>0</v>
      </c>
      <c r="J1057" s="18">
        <f>IF((OR(tbal[[#This Row],[X]]=2,tbal[[#This Row],[X]]=3)),tbal[[#This Row],[ACREEDOR]],0)</f>
        <v>0</v>
      </c>
      <c r="K1057" s="16">
        <f>IF((OR(tbal[[#This Row],[X]]=3,tbal[[#This Row],[X]]=5)),tbal[[#This Row],[DEUDOR]],0)</f>
        <v>0</v>
      </c>
      <c r="L1057" s="18">
        <f>IF((OR(tbal[[#This Row],[X]]=3,tbal[[#This Row],[X]]=4)),tbal[[#This Row],[ACREEDOR]],0)</f>
        <v>0</v>
      </c>
      <c r="M1057" s="16">
        <f>IF((OR(tbal[[#This Row],[X]]=0,tbal[[#This Row],[X]]=6)),tbal[[#This Row],[DEUDOR]],0)</f>
        <v>0</v>
      </c>
      <c r="N1057" s="18">
        <f>IF((OR(tbal[[#This Row],[X]]=0,tbal[[#This Row],[X]]=5)),tbal[[#This Row],[ACREEDOR]],0)</f>
        <v>0</v>
      </c>
    </row>
    <row r="1058" spans="1:14" hidden="1" x14ac:dyDescent="0.3">
      <c r="A1058" s="14">
        <f>+'PLAN DE CUENTAS'!A1058</f>
        <v>0</v>
      </c>
      <c r="B1058" s="13">
        <f>+'PLAN DE CUENTAS'!B1058</f>
        <v>0</v>
      </c>
      <c r="C1058" s="13">
        <f>+'PLAN DE CUENTAS'!C1058</f>
        <v>0</v>
      </c>
      <c r="D1058" t="str">
        <f>IF(tbal[[#This Row],[DEBE]]+tbal[[#This Row],[HABER]]=0,"","X")</f>
        <v/>
      </c>
      <c r="E1058" s="16">
        <f>SUMIF(tdiario[CUENTA],tbal[[#This Row],[CUENTA]],tdiario[DEBE])</f>
        <v>0</v>
      </c>
      <c r="F1058" s="17">
        <f>SUMIF(tdiario[CUENTA],tbal[[#This Row],[CUENTA]],tdiario[HABER])</f>
        <v>0</v>
      </c>
      <c r="G1058" s="16">
        <f>IF(tbal[[#This Row],[DEBE]]-tbal[[#This Row],[HABER]]&gt;0,tbal[[#This Row],[DEBE]]-tbal[[#This Row],[HABER]],0)</f>
        <v>0</v>
      </c>
      <c r="H1058" s="18">
        <f>IF(tbal[[#This Row],[HABER]]-tbal[[#This Row],[DEBE]]&gt;0,tbal[[#This Row],[HABER]]-tbal[[#This Row],[DEBE]],0)</f>
        <v>0</v>
      </c>
      <c r="I1058" s="16">
        <f>IF((OR(tbal[[#This Row],[X]]=1,tbal[[#This Row],[X]]=2)),tbal[[#This Row],[DEUDOR]],0)</f>
        <v>0</v>
      </c>
      <c r="J1058" s="18">
        <f>IF((OR(tbal[[#This Row],[X]]=2,tbal[[#This Row],[X]]=3)),tbal[[#This Row],[ACREEDOR]],0)</f>
        <v>0</v>
      </c>
      <c r="K1058" s="16">
        <f>IF((OR(tbal[[#This Row],[X]]=3,tbal[[#This Row],[X]]=5)),tbal[[#This Row],[DEUDOR]],0)</f>
        <v>0</v>
      </c>
      <c r="L1058" s="18">
        <f>IF((OR(tbal[[#This Row],[X]]=3,tbal[[#This Row],[X]]=4)),tbal[[#This Row],[ACREEDOR]],0)</f>
        <v>0</v>
      </c>
      <c r="M1058" s="16">
        <f>IF((OR(tbal[[#This Row],[X]]=0,tbal[[#This Row],[X]]=6)),tbal[[#This Row],[DEUDOR]],0)</f>
        <v>0</v>
      </c>
      <c r="N1058" s="18">
        <f>IF((OR(tbal[[#This Row],[X]]=0,tbal[[#This Row],[X]]=5)),tbal[[#This Row],[ACREEDOR]],0)</f>
        <v>0</v>
      </c>
    </row>
    <row r="1059" spans="1:14" hidden="1" x14ac:dyDescent="0.3">
      <c r="A1059" s="14">
        <f>+'PLAN DE CUENTAS'!A1059</f>
        <v>0</v>
      </c>
      <c r="B1059" s="13">
        <f>+'PLAN DE CUENTAS'!B1059</f>
        <v>0</v>
      </c>
      <c r="C1059" s="13">
        <f>+'PLAN DE CUENTAS'!C1059</f>
        <v>0</v>
      </c>
      <c r="D1059" t="str">
        <f>IF(tbal[[#This Row],[DEBE]]+tbal[[#This Row],[HABER]]=0,"","X")</f>
        <v/>
      </c>
      <c r="E1059" s="16">
        <f>SUMIF(tdiario[CUENTA],tbal[[#This Row],[CUENTA]],tdiario[DEBE])</f>
        <v>0</v>
      </c>
      <c r="F1059" s="17">
        <f>SUMIF(tdiario[CUENTA],tbal[[#This Row],[CUENTA]],tdiario[HABER])</f>
        <v>0</v>
      </c>
      <c r="G1059" s="16">
        <f>IF(tbal[[#This Row],[DEBE]]-tbal[[#This Row],[HABER]]&gt;0,tbal[[#This Row],[DEBE]]-tbal[[#This Row],[HABER]],0)</f>
        <v>0</v>
      </c>
      <c r="H1059" s="18">
        <f>IF(tbal[[#This Row],[HABER]]-tbal[[#This Row],[DEBE]]&gt;0,tbal[[#This Row],[HABER]]-tbal[[#This Row],[DEBE]],0)</f>
        <v>0</v>
      </c>
      <c r="I1059" s="16">
        <f>IF((OR(tbal[[#This Row],[X]]=1,tbal[[#This Row],[X]]=2)),tbal[[#This Row],[DEUDOR]],0)</f>
        <v>0</v>
      </c>
      <c r="J1059" s="18">
        <f>IF((OR(tbal[[#This Row],[X]]=2,tbal[[#This Row],[X]]=3)),tbal[[#This Row],[ACREEDOR]],0)</f>
        <v>0</v>
      </c>
      <c r="K1059" s="16">
        <f>IF((OR(tbal[[#This Row],[X]]=3,tbal[[#This Row],[X]]=5)),tbal[[#This Row],[DEUDOR]],0)</f>
        <v>0</v>
      </c>
      <c r="L1059" s="18">
        <f>IF((OR(tbal[[#This Row],[X]]=3,tbal[[#This Row],[X]]=4)),tbal[[#This Row],[ACREEDOR]],0)</f>
        <v>0</v>
      </c>
      <c r="M1059" s="16">
        <f>IF((OR(tbal[[#This Row],[X]]=0,tbal[[#This Row],[X]]=6)),tbal[[#This Row],[DEUDOR]],0)</f>
        <v>0</v>
      </c>
      <c r="N1059" s="18">
        <f>IF((OR(tbal[[#This Row],[X]]=0,tbal[[#This Row],[X]]=5)),tbal[[#This Row],[ACREEDOR]],0)</f>
        <v>0</v>
      </c>
    </row>
    <row r="1060" spans="1:14" hidden="1" x14ac:dyDescent="0.3">
      <c r="A1060" s="14">
        <f>+'PLAN DE CUENTAS'!A1060</f>
        <v>0</v>
      </c>
      <c r="B1060" s="13">
        <f>+'PLAN DE CUENTAS'!B1060</f>
        <v>0</v>
      </c>
      <c r="C1060" s="13">
        <f>+'PLAN DE CUENTAS'!C1060</f>
        <v>0</v>
      </c>
      <c r="D1060" t="str">
        <f>IF(tbal[[#This Row],[DEBE]]+tbal[[#This Row],[HABER]]=0,"","X")</f>
        <v/>
      </c>
      <c r="E1060" s="16">
        <f>SUMIF(tdiario[CUENTA],tbal[[#This Row],[CUENTA]],tdiario[DEBE])</f>
        <v>0</v>
      </c>
      <c r="F1060" s="17">
        <f>SUMIF(tdiario[CUENTA],tbal[[#This Row],[CUENTA]],tdiario[HABER])</f>
        <v>0</v>
      </c>
      <c r="G1060" s="16">
        <f>IF(tbal[[#This Row],[DEBE]]-tbal[[#This Row],[HABER]]&gt;0,tbal[[#This Row],[DEBE]]-tbal[[#This Row],[HABER]],0)</f>
        <v>0</v>
      </c>
      <c r="H1060" s="18">
        <f>IF(tbal[[#This Row],[HABER]]-tbal[[#This Row],[DEBE]]&gt;0,tbal[[#This Row],[HABER]]-tbal[[#This Row],[DEBE]],0)</f>
        <v>0</v>
      </c>
      <c r="I1060" s="16">
        <f>IF((OR(tbal[[#This Row],[X]]=1,tbal[[#This Row],[X]]=2)),tbal[[#This Row],[DEUDOR]],0)</f>
        <v>0</v>
      </c>
      <c r="J1060" s="18">
        <f>IF((OR(tbal[[#This Row],[X]]=2,tbal[[#This Row],[X]]=3)),tbal[[#This Row],[ACREEDOR]],0)</f>
        <v>0</v>
      </c>
      <c r="K1060" s="16">
        <f>IF((OR(tbal[[#This Row],[X]]=3,tbal[[#This Row],[X]]=5)),tbal[[#This Row],[DEUDOR]],0)</f>
        <v>0</v>
      </c>
      <c r="L1060" s="18">
        <f>IF((OR(tbal[[#This Row],[X]]=3,tbal[[#This Row],[X]]=4)),tbal[[#This Row],[ACREEDOR]],0)</f>
        <v>0</v>
      </c>
      <c r="M1060" s="16">
        <f>IF((OR(tbal[[#This Row],[X]]=0,tbal[[#This Row],[X]]=6)),tbal[[#This Row],[DEUDOR]],0)</f>
        <v>0</v>
      </c>
      <c r="N1060" s="18">
        <f>IF((OR(tbal[[#This Row],[X]]=0,tbal[[#This Row],[X]]=5)),tbal[[#This Row],[ACREEDOR]],0)</f>
        <v>0</v>
      </c>
    </row>
    <row r="1061" spans="1:14" hidden="1" x14ac:dyDescent="0.3">
      <c r="A1061" s="14">
        <f>+'PLAN DE CUENTAS'!A1061</f>
        <v>0</v>
      </c>
      <c r="B1061" s="13">
        <f>+'PLAN DE CUENTAS'!B1061</f>
        <v>0</v>
      </c>
      <c r="C1061" s="13">
        <f>+'PLAN DE CUENTAS'!C1061</f>
        <v>0</v>
      </c>
      <c r="D1061" t="str">
        <f>IF(tbal[[#This Row],[DEBE]]+tbal[[#This Row],[HABER]]=0,"","X")</f>
        <v/>
      </c>
      <c r="E1061" s="16">
        <f>SUMIF(tdiario[CUENTA],tbal[[#This Row],[CUENTA]],tdiario[DEBE])</f>
        <v>0</v>
      </c>
      <c r="F1061" s="17">
        <f>SUMIF(tdiario[CUENTA],tbal[[#This Row],[CUENTA]],tdiario[HABER])</f>
        <v>0</v>
      </c>
      <c r="G1061" s="16">
        <f>IF(tbal[[#This Row],[DEBE]]-tbal[[#This Row],[HABER]]&gt;0,tbal[[#This Row],[DEBE]]-tbal[[#This Row],[HABER]],0)</f>
        <v>0</v>
      </c>
      <c r="H1061" s="18">
        <f>IF(tbal[[#This Row],[HABER]]-tbal[[#This Row],[DEBE]]&gt;0,tbal[[#This Row],[HABER]]-tbal[[#This Row],[DEBE]],0)</f>
        <v>0</v>
      </c>
      <c r="I1061" s="16">
        <f>IF((OR(tbal[[#This Row],[X]]=1,tbal[[#This Row],[X]]=2)),tbal[[#This Row],[DEUDOR]],0)</f>
        <v>0</v>
      </c>
      <c r="J1061" s="18">
        <f>IF((OR(tbal[[#This Row],[X]]=2,tbal[[#This Row],[X]]=3)),tbal[[#This Row],[ACREEDOR]],0)</f>
        <v>0</v>
      </c>
      <c r="K1061" s="16">
        <f>IF((OR(tbal[[#This Row],[X]]=3,tbal[[#This Row],[X]]=5)),tbal[[#This Row],[DEUDOR]],0)</f>
        <v>0</v>
      </c>
      <c r="L1061" s="18">
        <f>IF((OR(tbal[[#This Row],[X]]=3,tbal[[#This Row],[X]]=4)),tbal[[#This Row],[ACREEDOR]],0)</f>
        <v>0</v>
      </c>
      <c r="M1061" s="16">
        <f>IF((OR(tbal[[#This Row],[X]]=0,tbal[[#This Row],[X]]=6)),tbal[[#This Row],[DEUDOR]],0)</f>
        <v>0</v>
      </c>
      <c r="N1061" s="18">
        <f>IF((OR(tbal[[#This Row],[X]]=0,tbal[[#This Row],[X]]=5)),tbal[[#This Row],[ACREEDOR]],0)</f>
        <v>0</v>
      </c>
    </row>
    <row r="1062" spans="1:14" hidden="1" x14ac:dyDescent="0.3">
      <c r="A1062" s="14">
        <f>+'PLAN DE CUENTAS'!A1062</f>
        <v>0</v>
      </c>
      <c r="B1062" s="13">
        <f>+'PLAN DE CUENTAS'!B1062</f>
        <v>0</v>
      </c>
      <c r="C1062" s="13">
        <f>+'PLAN DE CUENTAS'!C1062</f>
        <v>0</v>
      </c>
      <c r="D1062" t="str">
        <f>IF(tbal[[#This Row],[DEBE]]+tbal[[#This Row],[HABER]]=0,"","X")</f>
        <v/>
      </c>
      <c r="E1062" s="16">
        <f>SUMIF(tdiario[CUENTA],tbal[[#This Row],[CUENTA]],tdiario[DEBE])</f>
        <v>0</v>
      </c>
      <c r="F1062" s="17">
        <f>SUMIF(tdiario[CUENTA],tbal[[#This Row],[CUENTA]],tdiario[HABER])</f>
        <v>0</v>
      </c>
      <c r="G1062" s="16">
        <f>IF(tbal[[#This Row],[DEBE]]-tbal[[#This Row],[HABER]]&gt;0,tbal[[#This Row],[DEBE]]-tbal[[#This Row],[HABER]],0)</f>
        <v>0</v>
      </c>
      <c r="H1062" s="18">
        <f>IF(tbal[[#This Row],[HABER]]-tbal[[#This Row],[DEBE]]&gt;0,tbal[[#This Row],[HABER]]-tbal[[#This Row],[DEBE]],0)</f>
        <v>0</v>
      </c>
      <c r="I1062" s="16">
        <f>IF((OR(tbal[[#This Row],[X]]=1,tbal[[#This Row],[X]]=2)),tbal[[#This Row],[DEUDOR]],0)</f>
        <v>0</v>
      </c>
      <c r="J1062" s="18">
        <f>IF((OR(tbal[[#This Row],[X]]=2,tbal[[#This Row],[X]]=3)),tbal[[#This Row],[ACREEDOR]],0)</f>
        <v>0</v>
      </c>
      <c r="K1062" s="16">
        <f>IF((OR(tbal[[#This Row],[X]]=3,tbal[[#This Row],[X]]=5)),tbal[[#This Row],[DEUDOR]],0)</f>
        <v>0</v>
      </c>
      <c r="L1062" s="18">
        <f>IF((OR(tbal[[#This Row],[X]]=3,tbal[[#This Row],[X]]=4)),tbal[[#This Row],[ACREEDOR]],0)</f>
        <v>0</v>
      </c>
      <c r="M1062" s="16">
        <f>IF((OR(tbal[[#This Row],[X]]=0,tbal[[#This Row],[X]]=6)),tbal[[#This Row],[DEUDOR]],0)</f>
        <v>0</v>
      </c>
      <c r="N1062" s="18">
        <f>IF((OR(tbal[[#This Row],[X]]=0,tbal[[#This Row],[X]]=5)),tbal[[#This Row],[ACREEDOR]],0)</f>
        <v>0</v>
      </c>
    </row>
    <row r="1063" spans="1:14" hidden="1" x14ac:dyDescent="0.3">
      <c r="A1063" s="14">
        <f>+'PLAN DE CUENTAS'!A1063</f>
        <v>0</v>
      </c>
      <c r="B1063" s="13">
        <f>+'PLAN DE CUENTAS'!B1063</f>
        <v>0</v>
      </c>
      <c r="C1063" s="13">
        <f>+'PLAN DE CUENTAS'!C1063</f>
        <v>0</v>
      </c>
      <c r="D1063" t="str">
        <f>IF(tbal[[#This Row],[DEBE]]+tbal[[#This Row],[HABER]]=0,"","X")</f>
        <v/>
      </c>
      <c r="E1063" s="16">
        <f>SUMIF(tdiario[CUENTA],tbal[[#This Row],[CUENTA]],tdiario[DEBE])</f>
        <v>0</v>
      </c>
      <c r="F1063" s="17">
        <f>SUMIF(tdiario[CUENTA],tbal[[#This Row],[CUENTA]],tdiario[HABER])</f>
        <v>0</v>
      </c>
      <c r="G1063" s="16">
        <f>IF(tbal[[#This Row],[DEBE]]-tbal[[#This Row],[HABER]]&gt;0,tbal[[#This Row],[DEBE]]-tbal[[#This Row],[HABER]],0)</f>
        <v>0</v>
      </c>
      <c r="H1063" s="18">
        <f>IF(tbal[[#This Row],[HABER]]-tbal[[#This Row],[DEBE]]&gt;0,tbal[[#This Row],[HABER]]-tbal[[#This Row],[DEBE]],0)</f>
        <v>0</v>
      </c>
      <c r="I1063" s="16">
        <f>IF((OR(tbal[[#This Row],[X]]=1,tbal[[#This Row],[X]]=2)),tbal[[#This Row],[DEUDOR]],0)</f>
        <v>0</v>
      </c>
      <c r="J1063" s="18">
        <f>IF((OR(tbal[[#This Row],[X]]=2,tbal[[#This Row],[X]]=3)),tbal[[#This Row],[ACREEDOR]],0)</f>
        <v>0</v>
      </c>
      <c r="K1063" s="16">
        <f>IF((OR(tbal[[#This Row],[X]]=3,tbal[[#This Row],[X]]=5)),tbal[[#This Row],[DEUDOR]],0)</f>
        <v>0</v>
      </c>
      <c r="L1063" s="18">
        <f>IF((OR(tbal[[#This Row],[X]]=3,tbal[[#This Row],[X]]=4)),tbal[[#This Row],[ACREEDOR]],0)</f>
        <v>0</v>
      </c>
      <c r="M1063" s="16">
        <f>IF((OR(tbal[[#This Row],[X]]=0,tbal[[#This Row],[X]]=6)),tbal[[#This Row],[DEUDOR]],0)</f>
        <v>0</v>
      </c>
      <c r="N1063" s="18">
        <f>IF((OR(tbal[[#This Row],[X]]=0,tbal[[#This Row],[X]]=5)),tbal[[#This Row],[ACREEDOR]],0)</f>
        <v>0</v>
      </c>
    </row>
    <row r="1064" spans="1:14" hidden="1" x14ac:dyDescent="0.3">
      <c r="A1064" s="14">
        <f>+'PLAN DE CUENTAS'!A1064</f>
        <v>0</v>
      </c>
      <c r="B1064" s="13">
        <f>+'PLAN DE CUENTAS'!B1064</f>
        <v>0</v>
      </c>
      <c r="C1064" s="13">
        <f>+'PLAN DE CUENTAS'!C1064</f>
        <v>0</v>
      </c>
      <c r="D1064" t="str">
        <f>IF(tbal[[#This Row],[DEBE]]+tbal[[#This Row],[HABER]]=0,"","X")</f>
        <v/>
      </c>
      <c r="E1064" s="16">
        <f>SUMIF(tdiario[CUENTA],tbal[[#This Row],[CUENTA]],tdiario[DEBE])</f>
        <v>0</v>
      </c>
      <c r="F1064" s="17">
        <f>SUMIF(tdiario[CUENTA],tbal[[#This Row],[CUENTA]],tdiario[HABER])</f>
        <v>0</v>
      </c>
      <c r="G1064" s="16">
        <f>IF(tbal[[#This Row],[DEBE]]-tbal[[#This Row],[HABER]]&gt;0,tbal[[#This Row],[DEBE]]-tbal[[#This Row],[HABER]],0)</f>
        <v>0</v>
      </c>
      <c r="H1064" s="18">
        <f>IF(tbal[[#This Row],[HABER]]-tbal[[#This Row],[DEBE]]&gt;0,tbal[[#This Row],[HABER]]-tbal[[#This Row],[DEBE]],0)</f>
        <v>0</v>
      </c>
      <c r="I1064" s="16">
        <f>IF((OR(tbal[[#This Row],[X]]=1,tbal[[#This Row],[X]]=2)),tbal[[#This Row],[DEUDOR]],0)</f>
        <v>0</v>
      </c>
      <c r="J1064" s="18">
        <f>IF((OR(tbal[[#This Row],[X]]=2,tbal[[#This Row],[X]]=3)),tbal[[#This Row],[ACREEDOR]],0)</f>
        <v>0</v>
      </c>
      <c r="K1064" s="16">
        <f>IF((OR(tbal[[#This Row],[X]]=3,tbal[[#This Row],[X]]=5)),tbal[[#This Row],[DEUDOR]],0)</f>
        <v>0</v>
      </c>
      <c r="L1064" s="18">
        <f>IF((OR(tbal[[#This Row],[X]]=3,tbal[[#This Row],[X]]=4)),tbal[[#This Row],[ACREEDOR]],0)</f>
        <v>0</v>
      </c>
      <c r="M1064" s="16">
        <f>IF((OR(tbal[[#This Row],[X]]=0,tbal[[#This Row],[X]]=6)),tbal[[#This Row],[DEUDOR]],0)</f>
        <v>0</v>
      </c>
      <c r="N1064" s="18">
        <f>IF((OR(tbal[[#This Row],[X]]=0,tbal[[#This Row],[X]]=5)),tbal[[#This Row],[ACREEDOR]],0)</f>
        <v>0</v>
      </c>
    </row>
    <row r="1065" spans="1:14" hidden="1" x14ac:dyDescent="0.3">
      <c r="A1065" s="14">
        <f>+'PLAN DE CUENTAS'!A1065</f>
        <v>0</v>
      </c>
      <c r="B1065" s="13">
        <f>+'PLAN DE CUENTAS'!B1065</f>
        <v>0</v>
      </c>
      <c r="C1065" s="13">
        <f>+'PLAN DE CUENTAS'!C1065</f>
        <v>0</v>
      </c>
      <c r="D1065" t="str">
        <f>IF(tbal[[#This Row],[DEBE]]+tbal[[#This Row],[HABER]]=0,"","X")</f>
        <v/>
      </c>
      <c r="E1065" s="16">
        <f>SUMIF(tdiario[CUENTA],tbal[[#This Row],[CUENTA]],tdiario[DEBE])</f>
        <v>0</v>
      </c>
      <c r="F1065" s="17">
        <f>SUMIF(tdiario[CUENTA],tbal[[#This Row],[CUENTA]],tdiario[HABER])</f>
        <v>0</v>
      </c>
      <c r="G1065" s="16">
        <f>IF(tbal[[#This Row],[DEBE]]-tbal[[#This Row],[HABER]]&gt;0,tbal[[#This Row],[DEBE]]-tbal[[#This Row],[HABER]],0)</f>
        <v>0</v>
      </c>
      <c r="H1065" s="18">
        <f>IF(tbal[[#This Row],[HABER]]-tbal[[#This Row],[DEBE]]&gt;0,tbal[[#This Row],[HABER]]-tbal[[#This Row],[DEBE]],0)</f>
        <v>0</v>
      </c>
      <c r="I1065" s="16">
        <f>IF((OR(tbal[[#This Row],[X]]=1,tbal[[#This Row],[X]]=2)),tbal[[#This Row],[DEUDOR]],0)</f>
        <v>0</v>
      </c>
      <c r="J1065" s="18">
        <f>IF((OR(tbal[[#This Row],[X]]=2,tbal[[#This Row],[X]]=3)),tbal[[#This Row],[ACREEDOR]],0)</f>
        <v>0</v>
      </c>
      <c r="K1065" s="16">
        <f>IF((OR(tbal[[#This Row],[X]]=3,tbal[[#This Row],[X]]=5)),tbal[[#This Row],[DEUDOR]],0)</f>
        <v>0</v>
      </c>
      <c r="L1065" s="18">
        <f>IF((OR(tbal[[#This Row],[X]]=3,tbal[[#This Row],[X]]=4)),tbal[[#This Row],[ACREEDOR]],0)</f>
        <v>0</v>
      </c>
      <c r="M1065" s="16">
        <f>IF((OR(tbal[[#This Row],[X]]=0,tbal[[#This Row],[X]]=6)),tbal[[#This Row],[DEUDOR]],0)</f>
        <v>0</v>
      </c>
      <c r="N1065" s="18">
        <f>IF((OR(tbal[[#This Row],[X]]=0,tbal[[#This Row],[X]]=5)),tbal[[#This Row],[ACREEDOR]],0)</f>
        <v>0</v>
      </c>
    </row>
    <row r="1066" spans="1:14" hidden="1" x14ac:dyDescent="0.3">
      <c r="A1066" s="14">
        <f>+'PLAN DE CUENTAS'!A1066</f>
        <v>0</v>
      </c>
      <c r="B1066" s="13">
        <f>+'PLAN DE CUENTAS'!B1066</f>
        <v>0</v>
      </c>
      <c r="C1066" s="13">
        <f>+'PLAN DE CUENTAS'!C1066</f>
        <v>0</v>
      </c>
      <c r="D1066" t="str">
        <f>IF(tbal[[#This Row],[DEBE]]+tbal[[#This Row],[HABER]]=0,"","X")</f>
        <v/>
      </c>
      <c r="E1066" s="16">
        <f>SUMIF(tdiario[CUENTA],tbal[[#This Row],[CUENTA]],tdiario[DEBE])</f>
        <v>0</v>
      </c>
      <c r="F1066" s="17">
        <f>SUMIF(tdiario[CUENTA],tbal[[#This Row],[CUENTA]],tdiario[HABER])</f>
        <v>0</v>
      </c>
      <c r="G1066" s="16">
        <f>IF(tbal[[#This Row],[DEBE]]-tbal[[#This Row],[HABER]]&gt;0,tbal[[#This Row],[DEBE]]-tbal[[#This Row],[HABER]],0)</f>
        <v>0</v>
      </c>
      <c r="H1066" s="18">
        <f>IF(tbal[[#This Row],[HABER]]-tbal[[#This Row],[DEBE]]&gt;0,tbal[[#This Row],[HABER]]-tbal[[#This Row],[DEBE]],0)</f>
        <v>0</v>
      </c>
      <c r="I1066" s="16">
        <f>IF((OR(tbal[[#This Row],[X]]=1,tbal[[#This Row],[X]]=2)),tbal[[#This Row],[DEUDOR]],0)</f>
        <v>0</v>
      </c>
      <c r="J1066" s="18">
        <f>IF((OR(tbal[[#This Row],[X]]=2,tbal[[#This Row],[X]]=3)),tbal[[#This Row],[ACREEDOR]],0)</f>
        <v>0</v>
      </c>
      <c r="K1066" s="16">
        <f>IF((OR(tbal[[#This Row],[X]]=3,tbal[[#This Row],[X]]=5)),tbal[[#This Row],[DEUDOR]],0)</f>
        <v>0</v>
      </c>
      <c r="L1066" s="18">
        <f>IF((OR(tbal[[#This Row],[X]]=3,tbal[[#This Row],[X]]=4)),tbal[[#This Row],[ACREEDOR]],0)</f>
        <v>0</v>
      </c>
      <c r="M1066" s="16">
        <f>IF((OR(tbal[[#This Row],[X]]=0,tbal[[#This Row],[X]]=6)),tbal[[#This Row],[DEUDOR]],0)</f>
        <v>0</v>
      </c>
      <c r="N1066" s="18">
        <f>IF((OR(tbal[[#This Row],[X]]=0,tbal[[#This Row],[X]]=5)),tbal[[#This Row],[ACREEDOR]],0)</f>
        <v>0</v>
      </c>
    </row>
    <row r="1067" spans="1:14" hidden="1" x14ac:dyDescent="0.3">
      <c r="A1067" s="14">
        <f>+'PLAN DE CUENTAS'!A1067</f>
        <v>0</v>
      </c>
      <c r="B1067" s="13">
        <f>+'PLAN DE CUENTAS'!B1067</f>
        <v>0</v>
      </c>
      <c r="C1067" s="13">
        <f>+'PLAN DE CUENTAS'!C1067</f>
        <v>0</v>
      </c>
      <c r="D1067" t="str">
        <f>IF(tbal[[#This Row],[DEBE]]+tbal[[#This Row],[HABER]]=0,"","X")</f>
        <v/>
      </c>
      <c r="E1067" s="16">
        <f>SUMIF(tdiario[CUENTA],tbal[[#This Row],[CUENTA]],tdiario[DEBE])</f>
        <v>0</v>
      </c>
      <c r="F1067" s="17">
        <f>SUMIF(tdiario[CUENTA],tbal[[#This Row],[CUENTA]],tdiario[HABER])</f>
        <v>0</v>
      </c>
      <c r="G1067" s="16">
        <f>IF(tbal[[#This Row],[DEBE]]-tbal[[#This Row],[HABER]]&gt;0,tbal[[#This Row],[DEBE]]-tbal[[#This Row],[HABER]],0)</f>
        <v>0</v>
      </c>
      <c r="H1067" s="18">
        <f>IF(tbal[[#This Row],[HABER]]-tbal[[#This Row],[DEBE]]&gt;0,tbal[[#This Row],[HABER]]-tbal[[#This Row],[DEBE]],0)</f>
        <v>0</v>
      </c>
      <c r="I1067" s="16">
        <f>IF((OR(tbal[[#This Row],[X]]=1,tbal[[#This Row],[X]]=2)),tbal[[#This Row],[DEUDOR]],0)</f>
        <v>0</v>
      </c>
      <c r="J1067" s="18">
        <f>IF((OR(tbal[[#This Row],[X]]=2,tbal[[#This Row],[X]]=3)),tbal[[#This Row],[ACREEDOR]],0)</f>
        <v>0</v>
      </c>
      <c r="K1067" s="16">
        <f>IF((OR(tbal[[#This Row],[X]]=3,tbal[[#This Row],[X]]=5)),tbal[[#This Row],[DEUDOR]],0)</f>
        <v>0</v>
      </c>
      <c r="L1067" s="18">
        <f>IF((OR(tbal[[#This Row],[X]]=3,tbal[[#This Row],[X]]=4)),tbal[[#This Row],[ACREEDOR]],0)</f>
        <v>0</v>
      </c>
      <c r="M1067" s="16">
        <f>IF((OR(tbal[[#This Row],[X]]=0,tbal[[#This Row],[X]]=6)),tbal[[#This Row],[DEUDOR]],0)</f>
        <v>0</v>
      </c>
      <c r="N1067" s="18">
        <f>IF((OR(tbal[[#This Row],[X]]=0,tbal[[#This Row],[X]]=5)),tbal[[#This Row],[ACREEDOR]],0)</f>
        <v>0</v>
      </c>
    </row>
    <row r="1068" spans="1:14" hidden="1" x14ac:dyDescent="0.3">
      <c r="A1068" s="14">
        <f>+'PLAN DE CUENTAS'!A1068</f>
        <v>0</v>
      </c>
      <c r="B1068" s="13">
        <f>+'PLAN DE CUENTAS'!B1068</f>
        <v>0</v>
      </c>
      <c r="C1068" s="13">
        <f>+'PLAN DE CUENTAS'!C1068</f>
        <v>0</v>
      </c>
      <c r="D1068" t="str">
        <f>IF(tbal[[#This Row],[DEBE]]+tbal[[#This Row],[HABER]]=0,"","X")</f>
        <v/>
      </c>
      <c r="E1068" s="16">
        <f>SUMIF(tdiario[CUENTA],tbal[[#This Row],[CUENTA]],tdiario[DEBE])</f>
        <v>0</v>
      </c>
      <c r="F1068" s="17">
        <f>SUMIF(tdiario[CUENTA],tbal[[#This Row],[CUENTA]],tdiario[HABER])</f>
        <v>0</v>
      </c>
      <c r="G1068" s="16">
        <f>IF(tbal[[#This Row],[DEBE]]-tbal[[#This Row],[HABER]]&gt;0,tbal[[#This Row],[DEBE]]-tbal[[#This Row],[HABER]],0)</f>
        <v>0</v>
      </c>
      <c r="H1068" s="18">
        <f>IF(tbal[[#This Row],[HABER]]-tbal[[#This Row],[DEBE]]&gt;0,tbal[[#This Row],[HABER]]-tbal[[#This Row],[DEBE]],0)</f>
        <v>0</v>
      </c>
      <c r="I1068" s="16">
        <f>IF((OR(tbal[[#This Row],[X]]=1,tbal[[#This Row],[X]]=2)),tbal[[#This Row],[DEUDOR]],0)</f>
        <v>0</v>
      </c>
      <c r="J1068" s="18">
        <f>IF((OR(tbal[[#This Row],[X]]=2,tbal[[#This Row],[X]]=3)),tbal[[#This Row],[ACREEDOR]],0)</f>
        <v>0</v>
      </c>
      <c r="K1068" s="16">
        <f>IF((OR(tbal[[#This Row],[X]]=3,tbal[[#This Row],[X]]=5)),tbal[[#This Row],[DEUDOR]],0)</f>
        <v>0</v>
      </c>
      <c r="L1068" s="18">
        <f>IF((OR(tbal[[#This Row],[X]]=3,tbal[[#This Row],[X]]=4)),tbal[[#This Row],[ACREEDOR]],0)</f>
        <v>0</v>
      </c>
      <c r="M1068" s="16">
        <f>IF((OR(tbal[[#This Row],[X]]=0,tbal[[#This Row],[X]]=6)),tbal[[#This Row],[DEUDOR]],0)</f>
        <v>0</v>
      </c>
      <c r="N1068" s="18">
        <f>IF((OR(tbal[[#This Row],[X]]=0,tbal[[#This Row],[X]]=5)),tbal[[#This Row],[ACREEDOR]],0)</f>
        <v>0</v>
      </c>
    </row>
    <row r="1069" spans="1:14" hidden="1" x14ac:dyDescent="0.3">
      <c r="A1069" s="14">
        <f>+'PLAN DE CUENTAS'!A1069</f>
        <v>0</v>
      </c>
      <c r="B1069" s="13">
        <f>+'PLAN DE CUENTAS'!B1069</f>
        <v>0</v>
      </c>
      <c r="C1069" s="13">
        <f>+'PLAN DE CUENTAS'!C1069</f>
        <v>0</v>
      </c>
      <c r="D1069" t="str">
        <f>IF(tbal[[#This Row],[DEBE]]+tbal[[#This Row],[HABER]]=0,"","X")</f>
        <v/>
      </c>
      <c r="E1069" s="16">
        <f>SUMIF(tdiario[CUENTA],tbal[[#This Row],[CUENTA]],tdiario[DEBE])</f>
        <v>0</v>
      </c>
      <c r="F1069" s="17">
        <f>SUMIF(tdiario[CUENTA],tbal[[#This Row],[CUENTA]],tdiario[HABER])</f>
        <v>0</v>
      </c>
      <c r="G1069" s="16">
        <f>IF(tbal[[#This Row],[DEBE]]-tbal[[#This Row],[HABER]]&gt;0,tbal[[#This Row],[DEBE]]-tbal[[#This Row],[HABER]],0)</f>
        <v>0</v>
      </c>
      <c r="H1069" s="18">
        <f>IF(tbal[[#This Row],[HABER]]-tbal[[#This Row],[DEBE]]&gt;0,tbal[[#This Row],[HABER]]-tbal[[#This Row],[DEBE]],0)</f>
        <v>0</v>
      </c>
      <c r="I1069" s="16">
        <f>IF((OR(tbal[[#This Row],[X]]=1,tbal[[#This Row],[X]]=2)),tbal[[#This Row],[DEUDOR]],0)</f>
        <v>0</v>
      </c>
      <c r="J1069" s="18">
        <f>IF((OR(tbal[[#This Row],[X]]=2,tbal[[#This Row],[X]]=3)),tbal[[#This Row],[ACREEDOR]],0)</f>
        <v>0</v>
      </c>
      <c r="K1069" s="16">
        <f>IF((OR(tbal[[#This Row],[X]]=3,tbal[[#This Row],[X]]=5)),tbal[[#This Row],[DEUDOR]],0)</f>
        <v>0</v>
      </c>
      <c r="L1069" s="18">
        <f>IF((OR(tbal[[#This Row],[X]]=3,tbal[[#This Row],[X]]=4)),tbal[[#This Row],[ACREEDOR]],0)</f>
        <v>0</v>
      </c>
      <c r="M1069" s="16">
        <f>IF((OR(tbal[[#This Row],[X]]=0,tbal[[#This Row],[X]]=6)),tbal[[#This Row],[DEUDOR]],0)</f>
        <v>0</v>
      </c>
      <c r="N1069" s="18">
        <f>IF((OR(tbal[[#This Row],[X]]=0,tbal[[#This Row],[X]]=5)),tbal[[#This Row],[ACREEDOR]],0)</f>
        <v>0</v>
      </c>
    </row>
    <row r="1070" spans="1:14" hidden="1" x14ac:dyDescent="0.3">
      <c r="A1070" s="14">
        <f>+'PLAN DE CUENTAS'!A1070</f>
        <v>0</v>
      </c>
      <c r="B1070" s="13">
        <f>+'PLAN DE CUENTAS'!B1070</f>
        <v>0</v>
      </c>
      <c r="C1070" s="13">
        <f>+'PLAN DE CUENTAS'!C1070</f>
        <v>0</v>
      </c>
      <c r="D1070" t="str">
        <f>IF(tbal[[#This Row],[DEBE]]+tbal[[#This Row],[HABER]]=0,"","X")</f>
        <v/>
      </c>
      <c r="E1070" s="16">
        <f>SUMIF(tdiario[CUENTA],tbal[[#This Row],[CUENTA]],tdiario[DEBE])</f>
        <v>0</v>
      </c>
      <c r="F1070" s="17">
        <f>SUMIF(tdiario[CUENTA],tbal[[#This Row],[CUENTA]],tdiario[HABER])</f>
        <v>0</v>
      </c>
      <c r="G1070" s="16">
        <f>IF(tbal[[#This Row],[DEBE]]-tbal[[#This Row],[HABER]]&gt;0,tbal[[#This Row],[DEBE]]-tbal[[#This Row],[HABER]],0)</f>
        <v>0</v>
      </c>
      <c r="H1070" s="18">
        <f>IF(tbal[[#This Row],[HABER]]-tbal[[#This Row],[DEBE]]&gt;0,tbal[[#This Row],[HABER]]-tbal[[#This Row],[DEBE]],0)</f>
        <v>0</v>
      </c>
      <c r="I1070" s="16">
        <f>IF((OR(tbal[[#This Row],[X]]=1,tbal[[#This Row],[X]]=2)),tbal[[#This Row],[DEUDOR]],0)</f>
        <v>0</v>
      </c>
      <c r="J1070" s="18">
        <f>IF((OR(tbal[[#This Row],[X]]=2,tbal[[#This Row],[X]]=3)),tbal[[#This Row],[ACREEDOR]],0)</f>
        <v>0</v>
      </c>
      <c r="K1070" s="16">
        <f>IF((OR(tbal[[#This Row],[X]]=3,tbal[[#This Row],[X]]=5)),tbal[[#This Row],[DEUDOR]],0)</f>
        <v>0</v>
      </c>
      <c r="L1070" s="18">
        <f>IF((OR(tbal[[#This Row],[X]]=3,tbal[[#This Row],[X]]=4)),tbal[[#This Row],[ACREEDOR]],0)</f>
        <v>0</v>
      </c>
      <c r="M1070" s="16">
        <f>IF((OR(tbal[[#This Row],[X]]=0,tbal[[#This Row],[X]]=6)),tbal[[#This Row],[DEUDOR]],0)</f>
        <v>0</v>
      </c>
      <c r="N1070" s="18">
        <f>IF((OR(tbal[[#This Row],[X]]=0,tbal[[#This Row],[X]]=5)),tbal[[#This Row],[ACREEDOR]],0)</f>
        <v>0</v>
      </c>
    </row>
    <row r="1071" spans="1:14" hidden="1" x14ac:dyDescent="0.3">
      <c r="A1071" s="14">
        <f>+'PLAN DE CUENTAS'!A1071</f>
        <v>0</v>
      </c>
      <c r="B1071" s="13">
        <f>+'PLAN DE CUENTAS'!B1071</f>
        <v>0</v>
      </c>
      <c r="C1071" s="13">
        <f>+'PLAN DE CUENTAS'!C1071</f>
        <v>0</v>
      </c>
      <c r="D1071" t="str">
        <f>IF(tbal[[#This Row],[DEBE]]+tbal[[#This Row],[HABER]]=0,"","X")</f>
        <v/>
      </c>
      <c r="E1071" s="16">
        <f>SUMIF(tdiario[CUENTA],tbal[[#This Row],[CUENTA]],tdiario[DEBE])</f>
        <v>0</v>
      </c>
      <c r="F1071" s="17">
        <f>SUMIF(tdiario[CUENTA],tbal[[#This Row],[CUENTA]],tdiario[HABER])</f>
        <v>0</v>
      </c>
      <c r="G1071" s="16">
        <f>IF(tbal[[#This Row],[DEBE]]-tbal[[#This Row],[HABER]]&gt;0,tbal[[#This Row],[DEBE]]-tbal[[#This Row],[HABER]],0)</f>
        <v>0</v>
      </c>
      <c r="H1071" s="18">
        <f>IF(tbal[[#This Row],[HABER]]-tbal[[#This Row],[DEBE]]&gt;0,tbal[[#This Row],[HABER]]-tbal[[#This Row],[DEBE]],0)</f>
        <v>0</v>
      </c>
      <c r="I1071" s="16">
        <f>IF((OR(tbal[[#This Row],[X]]=1,tbal[[#This Row],[X]]=2)),tbal[[#This Row],[DEUDOR]],0)</f>
        <v>0</v>
      </c>
      <c r="J1071" s="18">
        <f>IF((OR(tbal[[#This Row],[X]]=2,tbal[[#This Row],[X]]=3)),tbal[[#This Row],[ACREEDOR]],0)</f>
        <v>0</v>
      </c>
      <c r="K1071" s="16">
        <f>IF((OR(tbal[[#This Row],[X]]=3,tbal[[#This Row],[X]]=5)),tbal[[#This Row],[DEUDOR]],0)</f>
        <v>0</v>
      </c>
      <c r="L1071" s="18">
        <f>IF((OR(tbal[[#This Row],[X]]=3,tbal[[#This Row],[X]]=4)),tbal[[#This Row],[ACREEDOR]],0)</f>
        <v>0</v>
      </c>
      <c r="M1071" s="16">
        <f>IF((OR(tbal[[#This Row],[X]]=0,tbal[[#This Row],[X]]=6)),tbal[[#This Row],[DEUDOR]],0)</f>
        <v>0</v>
      </c>
      <c r="N1071" s="18">
        <f>IF((OR(tbal[[#This Row],[X]]=0,tbal[[#This Row],[X]]=5)),tbal[[#This Row],[ACREEDOR]],0)</f>
        <v>0</v>
      </c>
    </row>
    <row r="1072" spans="1:14" hidden="1" x14ac:dyDescent="0.3">
      <c r="A1072" s="14">
        <f>+'PLAN DE CUENTAS'!A1072</f>
        <v>0</v>
      </c>
      <c r="B1072" s="13">
        <f>+'PLAN DE CUENTAS'!B1072</f>
        <v>0</v>
      </c>
      <c r="C1072" s="13">
        <f>+'PLAN DE CUENTAS'!C1072</f>
        <v>0</v>
      </c>
      <c r="D1072" t="str">
        <f>IF(tbal[[#This Row],[DEBE]]+tbal[[#This Row],[HABER]]=0,"","X")</f>
        <v/>
      </c>
      <c r="E1072" s="16">
        <f>SUMIF(tdiario[CUENTA],tbal[[#This Row],[CUENTA]],tdiario[DEBE])</f>
        <v>0</v>
      </c>
      <c r="F1072" s="17">
        <f>SUMIF(tdiario[CUENTA],tbal[[#This Row],[CUENTA]],tdiario[HABER])</f>
        <v>0</v>
      </c>
      <c r="G1072" s="16">
        <f>IF(tbal[[#This Row],[DEBE]]-tbal[[#This Row],[HABER]]&gt;0,tbal[[#This Row],[DEBE]]-tbal[[#This Row],[HABER]],0)</f>
        <v>0</v>
      </c>
      <c r="H1072" s="18">
        <f>IF(tbal[[#This Row],[HABER]]-tbal[[#This Row],[DEBE]]&gt;0,tbal[[#This Row],[HABER]]-tbal[[#This Row],[DEBE]],0)</f>
        <v>0</v>
      </c>
      <c r="I1072" s="16">
        <f>IF((OR(tbal[[#This Row],[X]]=1,tbal[[#This Row],[X]]=2)),tbal[[#This Row],[DEUDOR]],0)</f>
        <v>0</v>
      </c>
      <c r="J1072" s="18">
        <f>IF((OR(tbal[[#This Row],[X]]=2,tbal[[#This Row],[X]]=3)),tbal[[#This Row],[ACREEDOR]],0)</f>
        <v>0</v>
      </c>
      <c r="K1072" s="16">
        <f>IF((OR(tbal[[#This Row],[X]]=3,tbal[[#This Row],[X]]=5)),tbal[[#This Row],[DEUDOR]],0)</f>
        <v>0</v>
      </c>
      <c r="L1072" s="18">
        <f>IF((OR(tbal[[#This Row],[X]]=3,tbal[[#This Row],[X]]=4)),tbal[[#This Row],[ACREEDOR]],0)</f>
        <v>0</v>
      </c>
      <c r="M1072" s="16">
        <f>IF((OR(tbal[[#This Row],[X]]=0,tbal[[#This Row],[X]]=6)),tbal[[#This Row],[DEUDOR]],0)</f>
        <v>0</v>
      </c>
      <c r="N1072" s="18">
        <f>IF((OR(tbal[[#This Row],[X]]=0,tbal[[#This Row],[X]]=5)),tbal[[#This Row],[ACREEDOR]],0)</f>
        <v>0</v>
      </c>
    </row>
    <row r="1073" spans="1:14" hidden="1" x14ac:dyDescent="0.3">
      <c r="A1073" s="14">
        <f>+'PLAN DE CUENTAS'!A1073</f>
        <v>0</v>
      </c>
      <c r="B1073" s="13">
        <f>+'PLAN DE CUENTAS'!B1073</f>
        <v>0</v>
      </c>
      <c r="C1073" s="13">
        <f>+'PLAN DE CUENTAS'!C1073</f>
        <v>0</v>
      </c>
      <c r="D1073" t="str">
        <f>IF(tbal[[#This Row],[DEBE]]+tbal[[#This Row],[HABER]]=0,"","X")</f>
        <v/>
      </c>
      <c r="E1073" s="16">
        <f>SUMIF(tdiario[CUENTA],tbal[[#This Row],[CUENTA]],tdiario[DEBE])</f>
        <v>0</v>
      </c>
      <c r="F1073" s="17">
        <f>SUMIF(tdiario[CUENTA],tbal[[#This Row],[CUENTA]],tdiario[HABER])</f>
        <v>0</v>
      </c>
      <c r="G1073" s="16">
        <f>IF(tbal[[#This Row],[DEBE]]-tbal[[#This Row],[HABER]]&gt;0,tbal[[#This Row],[DEBE]]-tbal[[#This Row],[HABER]],0)</f>
        <v>0</v>
      </c>
      <c r="H1073" s="18">
        <f>IF(tbal[[#This Row],[HABER]]-tbal[[#This Row],[DEBE]]&gt;0,tbal[[#This Row],[HABER]]-tbal[[#This Row],[DEBE]],0)</f>
        <v>0</v>
      </c>
      <c r="I1073" s="16">
        <f>IF((OR(tbal[[#This Row],[X]]=1,tbal[[#This Row],[X]]=2)),tbal[[#This Row],[DEUDOR]],0)</f>
        <v>0</v>
      </c>
      <c r="J1073" s="18">
        <f>IF((OR(tbal[[#This Row],[X]]=2,tbal[[#This Row],[X]]=3)),tbal[[#This Row],[ACREEDOR]],0)</f>
        <v>0</v>
      </c>
      <c r="K1073" s="16">
        <f>IF((OR(tbal[[#This Row],[X]]=3,tbal[[#This Row],[X]]=5)),tbal[[#This Row],[DEUDOR]],0)</f>
        <v>0</v>
      </c>
      <c r="L1073" s="18">
        <f>IF((OR(tbal[[#This Row],[X]]=3,tbal[[#This Row],[X]]=4)),tbal[[#This Row],[ACREEDOR]],0)</f>
        <v>0</v>
      </c>
      <c r="M1073" s="16">
        <f>IF((OR(tbal[[#This Row],[X]]=0,tbal[[#This Row],[X]]=6)),tbal[[#This Row],[DEUDOR]],0)</f>
        <v>0</v>
      </c>
      <c r="N1073" s="18">
        <f>IF((OR(tbal[[#This Row],[X]]=0,tbal[[#This Row],[X]]=5)),tbal[[#This Row],[ACREEDOR]],0)</f>
        <v>0</v>
      </c>
    </row>
    <row r="1074" spans="1:14" hidden="1" x14ac:dyDescent="0.3">
      <c r="A1074" s="14">
        <f>+'PLAN DE CUENTAS'!A1074</f>
        <v>0</v>
      </c>
      <c r="B1074" s="13">
        <f>+'PLAN DE CUENTAS'!B1074</f>
        <v>0</v>
      </c>
      <c r="C1074" s="13">
        <f>+'PLAN DE CUENTAS'!C1074</f>
        <v>0</v>
      </c>
      <c r="D1074" t="str">
        <f>IF(tbal[[#This Row],[DEBE]]+tbal[[#This Row],[HABER]]=0,"","X")</f>
        <v/>
      </c>
      <c r="E1074" s="16">
        <f>SUMIF(tdiario[CUENTA],tbal[[#This Row],[CUENTA]],tdiario[DEBE])</f>
        <v>0</v>
      </c>
      <c r="F1074" s="17">
        <f>SUMIF(tdiario[CUENTA],tbal[[#This Row],[CUENTA]],tdiario[HABER])</f>
        <v>0</v>
      </c>
      <c r="G1074" s="16">
        <f>IF(tbal[[#This Row],[DEBE]]-tbal[[#This Row],[HABER]]&gt;0,tbal[[#This Row],[DEBE]]-tbal[[#This Row],[HABER]],0)</f>
        <v>0</v>
      </c>
      <c r="H1074" s="18">
        <f>IF(tbal[[#This Row],[HABER]]-tbal[[#This Row],[DEBE]]&gt;0,tbal[[#This Row],[HABER]]-tbal[[#This Row],[DEBE]],0)</f>
        <v>0</v>
      </c>
      <c r="I1074" s="16">
        <f>IF((OR(tbal[[#This Row],[X]]=1,tbal[[#This Row],[X]]=2)),tbal[[#This Row],[DEUDOR]],0)</f>
        <v>0</v>
      </c>
      <c r="J1074" s="18">
        <f>IF((OR(tbal[[#This Row],[X]]=2,tbal[[#This Row],[X]]=3)),tbal[[#This Row],[ACREEDOR]],0)</f>
        <v>0</v>
      </c>
      <c r="K1074" s="16">
        <f>IF((OR(tbal[[#This Row],[X]]=3,tbal[[#This Row],[X]]=5)),tbal[[#This Row],[DEUDOR]],0)</f>
        <v>0</v>
      </c>
      <c r="L1074" s="18">
        <f>IF((OR(tbal[[#This Row],[X]]=3,tbal[[#This Row],[X]]=4)),tbal[[#This Row],[ACREEDOR]],0)</f>
        <v>0</v>
      </c>
      <c r="M1074" s="16">
        <f>IF((OR(tbal[[#This Row],[X]]=0,tbal[[#This Row],[X]]=6)),tbal[[#This Row],[DEUDOR]],0)</f>
        <v>0</v>
      </c>
      <c r="N1074" s="18">
        <f>IF((OR(tbal[[#This Row],[X]]=0,tbal[[#This Row],[X]]=5)),tbal[[#This Row],[ACREEDOR]],0)</f>
        <v>0</v>
      </c>
    </row>
    <row r="1075" spans="1:14" hidden="1" x14ac:dyDescent="0.3">
      <c r="A1075" s="14">
        <f>+'PLAN DE CUENTAS'!A1075</f>
        <v>0</v>
      </c>
      <c r="B1075" s="13">
        <f>+'PLAN DE CUENTAS'!B1075</f>
        <v>0</v>
      </c>
      <c r="C1075" s="13">
        <f>+'PLAN DE CUENTAS'!C1075</f>
        <v>0</v>
      </c>
      <c r="D1075" t="str">
        <f>IF(tbal[[#This Row],[DEBE]]+tbal[[#This Row],[HABER]]=0,"","X")</f>
        <v/>
      </c>
      <c r="E1075" s="16">
        <f>SUMIF(tdiario[CUENTA],tbal[[#This Row],[CUENTA]],tdiario[DEBE])</f>
        <v>0</v>
      </c>
      <c r="F1075" s="17">
        <f>SUMIF(tdiario[CUENTA],tbal[[#This Row],[CUENTA]],tdiario[HABER])</f>
        <v>0</v>
      </c>
      <c r="G1075" s="16">
        <f>IF(tbal[[#This Row],[DEBE]]-tbal[[#This Row],[HABER]]&gt;0,tbal[[#This Row],[DEBE]]-tbal[[#This Row],[HABER]],0)</f>
        <v>0</v>
      </c>
      <c r="H1075" s="18">
        <f>IF(tbal[[#This Row],[HABER]]-tbal[[#This Row],[DEBE]]&gt;0,tbal[[#This Row],[HABER]]-tbal[[#This Row],[DEBE]],0)</f>
        <v>0</v>
      </c>
      <c r="I1075" s="16">
        <f>IF((OR(tbal[[#This Row],[X]]=1,tbal[[#This Row],[X]]=2)),tbal[[#This Row],[DEUDOR]],0)</f>
        <v>0</v>
      </c>
      <c r="J1075" s="18">
        <f>IF((OR(tbal[[#This Row],[X]]=2,tbal[[#This Row],[X]]=3)),tbal[[#This Row],[ACREEDOR]],0)</f>
        <v>0</v>
      </c>
      <c r="K1075" s="16">
        <f>IF((OR(tbal[[#This Row],[X]]=3,tbal[[#This Row],[X]]=5)),tbal[[#This Row],[DEUDOR]],0)</f>
        <v>0</v>
      </c>
      <c r="L1075" s="18">
        <f>IF((OR(tbal[[#This Row],[X]]=3,tbal[[#This Row],[X]]=4)),tbal[[#This Row],[ACREEDOR]],0)</f>
        <v>0</v>
      </c>
      <c r="M1075" s="16">
        <f>IF((OR(tbal[[#This Row],[X]]=0,tbal[[#This Row],[X]]=6)),tbal[[#This Row],[DEUDOR]],0)</f>
        <v>0</v>
      </c>
      <c r="N1075" s="18">
        <f>IF((OR(tbal[[#This Row],[X]]=0,tbal[[#This Row],[X]]=5)),tbal[[#This Row],[ACREEDOR]],0)</f>
        <v>0</v>
      </c>
    </row>
    <row r="1076" spans="1:14" hidden="1" x14ac:dyDescent="0.3">
      <c r="A1076" s="14">
        <f>+'PLAN DE CUENTAS'!A1076</f>
        <v>0</v>
      </c>
      <c r="B1076" s="13">
        <f>+'PLAN DE CUENTAS'!B1076</f>
        <v>0</v>
      </c>
      <c r="C1076" s="13">
        <f>+'PLAN DE CUENTAS'!C1076</f>
        <v>0</v>
      </c>
      <c r="D1076" t="str">
        <f>IF(tbal[[#This Row],[DEBE]]+tbal[[#This Row],[HABER]]=0,"","X")</f>
        <v/>
      </c>
      <c r="E1076" s="16">
        <f>SUMIF(tdiario[CUENTA],tbal[[#This Row],[CUENTA]],tdiario[DEBE])</f>
        <v>0</v>
      </c>
      <c r="F1076" s="17">
        <f>SUMIF(tdiario[CUENTA],tbal[[#This Row],[CUENTA]],tdiario[HABER])</f>
        <v>0</v>
      </c>
      <c r="G1076" s="16">
        <f>IF(tbal[[#This Row],[DEBE]]-tbal[[#This Row],[HABER]]&gt;0,tbal[[#This Row],[DEBE]]-tbal[[#This Row],[HABER]],0)</f>
        <v>0</v>
      </c>
      <c r="H1076" s="18">
        <f>IF(tbal[[#This Row],[HABER]]-tbal[[#This Row],[DEBE]]&gt;0,tbal[[#This Row],[HABER]]-tbal[[#This Row],[DEBE]],0)</f>
        <v>0</v>
      </c>
      <c r="I1076" s="16">
        <f>IF((OR(tbal[[#This Row],[X]]=1,tbal[[#This Row],[X]]=2)),tbal[[#This Row],[DEUDOR]],0)</f>
        <v>0</v>
      </c>
      <c r="J1076" s="18">
        <f>IF((OR(tbal[[#This Row],[X]]=2,tbal[[#This Row],[X]]=3)),tbal[[#This Row],[ACREEDOR]],0)</f>
        <v>0</v>
      </c>
      <c r="K1076" s="16">
        <f>IF((OR(tbal[[#This Row],[X]]=3,tbal[[#This Row],[X]]=5)),tbal[[#This Row],[DEUDOR]],0)</f>
        <v>0</v>
      </c>
      <c r="L1076" s="18">
        <f>IF((OR(tbal[[#This Row],[X]]=3,tbal[[#This Row],[X]]=4)),tbal[[#This Row],[ACREEDOR]],0)</f>
        <v>0</v>
      </c>
      <c r="M1076" s="16">
        <f>IF((OR(tbal[[#This Row],[X]]=0,tbal[[#This Row],[X]]=6)),tbal[[#This Row],[DEUDOR]],0)</f>
        <v>0</v>
      </c>
      <c r="N1076" s="18">
        <f>IF((OR(tbal[[#This Row],[X]]=0,tbal[[#This Row],[X]]=5)),tbal[[#This Row],[ACREEDOR]],0)</f>
        <v>0</v>
      </c>
    </row>
    <row r="1077" spans="1:14" hidden="1" x14ac:dyDescent="0.3">
      <c r="A1077" s="14">
        <f>+'PLAN DE CUENTAS'!A1077</f>
        <v>0</v>
      </c>
      <c r="B1077" s="13">
        <f>+'PLAN DE CUENTAS'!B1077</f>
        <v>0</v>
      </c>
      <c r="C1077" s="13">
        <f>+'PLAN DE CUENTAS'!C1077</f>
        <v>0</v>
      </c>
      <c r="D1077" t="str">
        <f>IF(tbal[[#This Row],[DEBE]]+tbal[[#This Row],[HABER]]=0,"","X")</f>
        <v/>
      </c>
      <c r="E1077" s="16">
        <f>SUMIF(tdiario[CUENTA],tbal[[#This Row],[CUENTA]],tdiario[DEBE])</f>
        <v>0</v>
      </c>
      <c r="F1077" s="17">
        <f>SUMIF(tdiario[CUENTA],tbal[[#This Row],[CUENTA]],tdiario[HABER])</f>
        <v>0</v>
      </c>
      <c r="G1077" s="16">
        <f>IF(tbal[[#This Row],[DEBE]]-tbal[[#This Row],[HABER]]&gt;0,tbal[[#This Row],[DEBE]]-tbal[[#This Row],[HABER]],0)</f>
        <v>0</v>
      </c>
      <c r="H1077" s="18">
        <f>IF(tbal[[#This Row],[HABER]]-tbal[[#This Row],[DEBE]]&gt;0,tbal[[#This Row],[HABER]]-tbal[[#This Row],[DEBE]],0)</f>
        <v>0</v>
      </c>
      <c r="I1077" s="16">
        <f>IF((OR(tbal[[#This Row],[X]]=1,tbal[[#This Row],[X]]=2)),tbal[[#This Row],[DEUDOR]],0)</f>
        <v>0</v>
      </c>
      <c r="J1077" s="18">
        <f>IF((OR(tbal[[#This Row],[X]]=2,tbal[[#This Row],[X]]=3)),tbal[[#This Row],[ACREEDOR]],0)</f>
        <v>0</v>
      </c>
      <c r="K1077" s="16">
        <f>IF((OR(tbal[[#This Row],[X]]=3,tbal[[#This Row],[X]]=5)),tbal[[#This Row],[DEUDOR]],0)</f>
        <v>0</v>
      </c>
      <c r="L1077" s="18">
        <f>IF((OR(tbal[[#This Row],[X]]=3,tbal[[#This Row],[X]]=4)),tbal[[#This Row],[ACREEDOR]],0)</f>
        <v>0</v>
      </c>
      <c r="M1077" s="16">
        <f>IF((OR(tbal[[#This Row],[X]]=0,tbal[[#This Row],[X]]=6)),tbal[[#This Row],[DEUDOR]],0)</f>
        <v>0</v>
      </c>
      <c r="N1077" s="18">
        <f>IF((OR(tbal[[#This Row],[X]]=0,tbal[[#This Row],[X]]=5)),tbal[[#This Row],[ACREEDOR]],0)</f>
        <v>0</v>
      </c>
    </row>
    <row r="1078" spans="1:14" hidden="1" x14ac:dyDescent="0.3">
      <c r="A1078" s="14">
        <f>+'PLAN DE CUENTAS'!A1078</f>
        <v>0</v>
      </c>
      <c r="B1078" s="13">
        <f>+'PLAN DE CUENTAS'!B1078</f>
        <v>0</v>
      </c>
      <c r="C1078" s="13">
        <f>+'PLAN DE CUENTAS'!C1078</f>
        <v>0</v>
      </c>
      <c r="D1078" t="str">
        <f>IF(tbal[[#This Row],[DEBE]]+tbal[[#This Row],[HABER]]=0,"","X")</f>
        <v/>
      </c>
      <c r="E1078" s="16">
        <f>SUMIF(tdiario[CUENTA],tbal[[#This Row],[CUENTA]],tdiario[DEBE])</f>
        <v>0</v>
      </c>
      <c r="F1078" s="17">
        <f>SUMIF(tdiario[CUENTA],tbal[[#This Row],[CUENTA]],tdiario[HABER])</f>
        <v>0</v>
      </c>
      <c r="G1078" s="16">
        <f>IF(tbal[[#This Row],[DEBE]]-tbal[[#This Row],[HABER]]&gt;0,tbal[[#This Row],[DEBE]]-tbal[[#This Row],[HABER]],0)</f>
        <v>0</v>
      </c>
      <c r="H1078" s="18">
        <f>IF(tbal[[#This Row],[HABER]]-tbal[[#This Row],[DEBE]]&gt;0,tbal[[#This Row],[HABER]]-tbal[[#This Row],[DEBE]],0)</f>
        <v>0</v>
      </c>
      <c r="I1078" s="16">
        <f>IF((OR(tbal[[#This Row],[X]]=1,tbal[[#This Row],[X]]=2)),tbal[[#This Row],[DEUDOR]],0)</f>
        <v>0</v>
      </c>
      <c r="J1078" s="18">
        <f>IF((OR(tbal[[#This Row],[X]]=2,tbal[[#This Row],[X]]=3)),tbal[[#This Row],[ACREEDOR]],0)</f>
        <v>0</v>
      </c>
      <c r="K1078" s="16">
        <f>IF((OR(tbal[[#This Row],[X]]=3,tbal[[#This Row],[X]]=5)),tbal[[#This Row],[DEUDOR]],0)</f>
        <v>0</v>
      </c>
      <c r="L1078" s="18">
        <f>IF((OR(tbal[[#This Row],[X]]=3,tbal[[#This Row],[X]]=4)),tbal[[#This Row],[ACREEDOR]],0)</f>
        <v>0</v>
      </c>
      <c r="M1078" s="16">
        <f>IF((OR(tbal[[#This Row],[X]]=0,tbal[[#This Row],[X]]=6)),tbal[[#This Row],[DEUDOR]],0)</f>
        <v>0</v>
      </c>
      <c r="N1078" s="18">
        <f>IF((OR(tbal[[#This Row],[X]]=0,tbal[[#This Row],[X]]=5)),tbal[[#This Row],[ACREEDOR]],0)</f>
        <v>0</v>
      </c>
    </row>
    <row r="1079" spans="1:14" hidden="1" x14ac:dyDescent="0.3">
      <c r="A1079" s="14">
        <f>+'PLAN DE CUENTAS'!A1079</f>
        <v>0</v>
      </c>
      <c r="B1079" s="13">
        <f>+'PLAN DE CUENTAS'!B1079</f>
        <v>0</v>
      </c>
      <c r="C1079" s="13">
        <f>+'PLAN DE CUENTAS'!C1079</f>
        <v>0</v>
      </c>
      <c r="D1079" t="str">
        <f>IF(tbal[[#This Row],[DEBE]]+tbal[[#This Row],[HABER]]=0,"","X")</f>
        <v/>
      </c>
      <c r="E1079" s="16">
        <f>SUMIF(tdiario[CUENTA],tbal[[#This Row],[CUENTA]],tdiario[DEBE])</f>
        <v>0</v>
      </c>
      <c r="F1079" s="17">
        <f>SUMIF(tdiario[CUENTA],tbal[[#This Row],[CUENTA]],tdiario[HABER])</f>
        <v>0</v>
      </c>
      <c r="G1079" s="16">
        <f>IF(tbal[[#This Row],[DEBE]]-tbal[[#This Row],[HABER]]&gt;0,tbal[[#This Row],[DEBE]]-tbal[[#This Row],[HABER]],0)</f>
        <v>0</v>
      </c>
      <c r="H1079" s="18">
        <f>IF(tbal[[#This Row],[HABER]]-tbal[[#This Row],[DEBE]]&gt;0,tbal[[#This Row],[HABER]]-tbal[[#This Row],[DEBE]],0)</f>
        <v>0</v>
      </c>
      <c r="I1079" s="16">
        <f>IF((OR(tbal[[#This Row],[X]]=1,tbal[[#This Row],[X]]=2)),tbal[[#This Row],[DEUDOR]],0)</f>
        <v>0</v>
      </c>
      <c r="J1079" s="18">
        <f>IF((OR(tbal[[#This Row],[X]]=2,tbal[[#This Row],[X]]=3)),tbal[[#This Row],[ACREEDOR]],0)</f>
        <v>0</v>
      </c>
      <c r="K1079" s="16">
        <f>IF((OR(tbal[[#This Row],[X]]=3,tbal[[#This Row],[X]]=5)),tbal[[#This Row],[DEUDOR]],0)</f>
        <v>0</v>
      </c>
      <c r="L1079" s="18">
        <f>IF((OR(tbal[[#This Row],[X]]=3,tbal[[#This Row],[X]]=4)),tbal[[#This Row],[ACREEDOR]],0)</f>
        <v>0</v>
      </c>
      <c r="M1079" s="16">
        <f>IF((OR(tbal[[#This Row],[X]]=0,tbal[[#This Row],[X]]=6)),tbal[[#This Row],[DEUDOR]],0)</f>
        <v>0</v>
      </c>
      <c r="N1079" s="18">
        <f>IF((OR(tbal[[#This Row],[X]]=0,tbal[[#This Row],[X]]=5)),tbal[[#This Row],[ACREEDOR]],0)</f>
        <v>0</v>
      </c>
    </row>
    <row r="1080" spans="1:14" hidden="1" x14ac:dyDescent="0.3">
      <c r="A1080" s="14">
        <f>+'PLAN DE CUENTAS'!A1080</f>
        <v>0</v>
      </c>
      <c r="B1080" s="13">
        <f>+'PLAN DE CUENTAS'!B1080</f>
        <v>0</v>
      </c>
      <c r="C1080" s="13">
        <f>+'PLAN DE CUENTAS'!C1080</f>
        <v>0</v>
      </c>
      <c r="D1080" t="str">
        <f>IF(tbal[[#This Row],[DEBE]]+tbal[[#This Row],[HABER]]=0,"","X")</f>
        <v/>
      </c>
      <c r="E1080" s="16">
        <f>SUMIF(tdiario[CUENTA],tbal[[#This Row],[CUENTA]],tdiario[DEBE])</f>
        <v>0</v>
      </c>
      <c r="F1080" s="17">
        <f>SUMIF(tdiario[CUENTA],tbal[[#This Row],[CUENTA]],tdiario[HABER])</f>
        <v>0</v>
      </c>
      <c r="G1080" s="16">
        <f>IF(tbal[[#This Row],[DEBE]]-tbal[[#This Row],[HABER]]&gt;0,tbal[[#This Row],[DEBE]]-tbal[[#This Row],[HABER]],0)</f>
        <v>0</v>
      </c>
      <c r="H1080" s="18">
        <f>IF(tbal[[#This Row],[HABER]]-tbal[[#This Row],[DEBE]]&gt;0,tbal[[#This Row],[HABER]]-tbal[[#This Row],[DEBE]],0)</f>
        <v>0</v>
      </c>
      <c r="I1080" s="16">
        <f>IF((OR(tbal[[#This Row],[X]]=1,tbal[[#This Row],[X]]=2)),tbal[[#This Row],[DEUDOR]],0)</f>
        <v>0</v>
      </c>
      <c r="J1080" s="18">
        <f>IF((OR(tbal[[#This Row],[X]]=2,tbal[[#This Row],[X]]=3)),tbal[[#This Row],[ACREEDOR]],0)</f>
        <v>0</v>
      </c>
      <c r="K1080" s="16">
        <f>IF((OR(tbal[[#This Row],[X]]=3,tbal[[#This Row],[X]]=5)),tbal[[#This Row],[DEUDOR]],0)</f>
        <v>0</v>
      </c>
      <c r="L1080" s="18">
        <f>IF((OR(tbal[[#This Row],[X]]=3,tbal[[#This Row],[X]]=4)),tbal[[#This Row],[ACREEDOR]],0)</f>
        <v>0</v>
      </c>
      <c r="M1080" s="16">
        <f>IF((OR(tbal[[#This Row],[X]]=0,tbal[[#This Row],[X]]=6)),tbal[[#This Row],[DEUDOR]],0)</f>
        <v>0</v>
      </c>
      <c r="N1080" s="18">
        <f>IF((OR(tbal[[#This Row],[X]]=0,tbal[[#This Row],[X]]=5)),tbal[[#This Row],[ACREEDOR]],0)</f>
        <v>0</v>
      </c>
    </row>
    <row r="1081" spans="1:14" hidden="1" x14ac:dyDescent="0.3">
      <c r="A1081" s="14">
        <f>+'PLAN DE CUENTAS'!A1081</f>
        <v>0</v>
      </c>
      <c r="B1081" s="13">
        <f>+'PLAN DE CUENTAS'!B1081</f>
        <v>0</v>
      </c>
      <c r="C1081" s="13">
        <f>+'PLAN DE CUENTAS'!C1081</f>
        <v>0</v>
      </c>
      <c r="D1081" t="str">
        <f>IF(tbal[[#This Row],[DEBE]]+tbal[[#This Row],[HABER]]=0,"","X")</f>
        <v/>
      </c>
      <c r="E1081" s="16">
        <f>SUMIF(tdiario[CUENTA],tbal[[#This Row],[CUENTA]],tdiario[DEBE])</f>
        <v>0</v>
      </c>
      <c r="F1081" s="17">
        <f>SUMIF(tdiario[CUENTA],tbal[[#This Row],[CUENTA]],tdiario[HABER])</f>
        <v>0</v>
      </c>
      <c r="G1081" s="16">
        <f>IF(tbal[[#This Row],[DEBE]]-tbal[[#This Row],[HABER]]&gt;0,tbal[[#This Row],[DEBE]]-tbal[[#This Row],[HABER]],0)</f>
        <v>0</v>
      </c>
      <c r="H1081" s="18">
        <f>IF(tbal[[#This Row],[HABER]]-tbal[[#This Row],[DEBE]]&gt;0,tbal[[#This Row],[HABER]]-tbal[[#This Row],[DEBE]],0)</f>
        <v>0</v>
      </c>
      <c r="I1081" s="16">
        <f>IF((OR(tbal[[#This Row],[X]]=1,tbal[[#This Row],[X]]=2)),tbal[[#This Row],[DEUDOR]],0)</f>
        <v>0</v>
      </c>
      <c r="J1081" s="18">
        <f>IF((OR(tbal[[#This Row],[X]]=2,tbal[[#This Row],[X]]=3)),tbal[[#This Row],[ACREEDOR]],0)</f>
        <v>0</v>
      </c>
      <c r="K1081" s="16">
        <f>IF((OR(tbal[[#This Row],[X]]=3,tbal[[#This Row],[X]]=5)),tbal[[#This Row],[DEUDOR]],0)</f>
        <v>0</v>
      </c>
      <c r="L1081" s="18">
        <f>IF((OR(tbal[[#This Row],[X]]=3,tbal[[#This Row],[X]]=4)),tbal[[#This Row],[ACREEDOR]],0)</f>
        <v>0</v>
      </c>
      <c r="M1081" s="16">
        <f>IF((OR(tbal[[#This Row],[X]]=0,tbal[[#This Row],[X]]=6)),tbal[[#This Row],[DEUDOR]],0)</f>
        <v>0</v>
      </c>
      <c r="N1081" s="18">
        <f>IF((OR(tbal[[#This Row],[X]]=0,tbal[[#This Row],[X]]=5)),tbal[[#This Row],[ACREEDOR]],0)</f>
        <v>0</v>
      </c>
    </row>
    <row r="1082" spans="1:14" hidden="1" x14ac:dyDescent="0.3">
      <c r="A1082" s="14">
        <f>+'PLAN DE CUENTAS'!A1082</f>
        <v>0</v>
      </c>
      <c r="B1082" s="13">
        <f>+'PLAN DE CUENTAS'!B1082</f>
        <v>0</v>
      </c>
      <c r="C1082" s="13">
        <f>+'PLAN DE CUENTAS'!C1082</f>
        <v>0</v>
      </c>
      <c r="D1082" t="str">
        <f>IF(tbal[[#This Row],[DEBE]]+tbal[[#This Row],[HABER]]=0,"","X")</f>
        <v/>
      </c>
      <c r="E1082" s="16">
        <f>SUMIF(tdiario[CUENTA],tbal[[#This Row],[CUENTA]],tdiario[DEBE])</f>
        <v>0</v>
      </c>
      <c r="F1082" s="17">
        <f>SUMIF(tdiario[CUENTA],tbal[[#This Row],[CUENTA]],tdiario[HABER])</f>
        <v>0</v>
      </c>
      <c r="G1082" s="16">
        <f>IF(tbal[[#This Row],[DEBE]]-tbal[[#This Row],[HABER]]&gt;0,tbal[[#This Row],[DEBE]]-tbal[[#This Row],[HABER]],0)</f>
        <v>0</v>
      </c>
      <c r="H1082" s="18">
        <f>IF(tbal[[#This Row],[HABER]]-tbal[[#This Row],[DEBE]]&gt;0,tbal[[#This Row],[HABER]]-tbal[[#This Row],[DEBE]],0)</f>
        <v>0</v>
      </c>
      <c r="I1082" s="16">
        <f>IF((OR(tbal[[#This Row],[X]]=1,tbal[[#This Row],[X]]=2)),tbal[[#This Row],[DEUDOR]],0)</f>
        <v>0</v>
      </c>
      <c r="J1082" s="18">
        <f>IF((OR(tbal[[#This Row],[X]]=2,tbal[[#This Row],[X]]=3)),tbal[[#This Row],[ACREEDOR]],0)</f>
        <v>0</v>
      </c>
      <c r="K1082" s="16">
        <f>IF((OR(tbal[[#This Row],[X]]=3,tbal[[#This Row],[X]]=5)),tbal[[#This Row],[DEUDOR]],0)</f>
        <v>0</v>
      </c>
      <c r="L1082" s="18">
        <f>IF((OR(tbal[[#This Row],[X]]=3,tbal[[#This Row],[X]]=4)),tbal[[#This Row],[ACREEDOR]],0)</f>
        <v>0</v>
      </c>
      <c r="M1082" s="16">
        <f>IF((OR(tbal[[#This Row],[X]]=0,tbal[[#This Row],[X]]=6)),tbal[[#This Row],[DEUDOR]],0)</f>
        <v>0</v>
      </c>
      <c r="N1082" s="18">
        <f>IF((OR(tbal[[#This Row],[X]]=0,tbal[[#This Row],[X]]=5)),tbal[[#This Row],[ACREEDOR]],0)</f>
        <v>0</v>
      </c>
    </row>
    <row r="1083" spans="1:14" hidden="1" x14ac:dyDescent="0.3">
      <c r="A1083" s="14">
        <f>+'PLAN DE CUENTAS'!A1083</f>
        <v>0</v>
      </c>
      <c r="B1083" s="13">
        <f>+'PLAN DE CUENTAS'!B1083</f>
        <v>0</v>
      </c>
      <c r="C1083" s="13">
        <f>+'PLAN DE CUENTAS'!C1083</f>
        <v>0</v>
      </c>
      <c r="D1083" t="str">
        <f>IF(tbal[[#This Row],[DEBE]]+tbal[[#This Row],[HABER]]=0,"","X")</f>
        <v/>
      </c>
      <c r="E1083" s="16">
        <f>SUMIF(tdiario[CUENTA],tbal[[#This Row],[CUENTA]],tdiario[DEBE])</f>
        <v>0</v>
      </c>
      <c r="F1083" s="17">
        <f>SUMIF(tdiario[CUENTA],tbal[[#This Row],[CUENTA]],tdiario[HABER])</f>
        <v>0</v>
      </c>
      <c r="G1083" s="16">
        <f>IF(tbal[[#This Row],[DEBE]]-tbal[[#This Row],[HABER]]&gt;0,tbal[[#This Row],[DEBE]]-tbal[[#This Row],[HABER]],0)</f>
        <v>0</v>
      </c>
      <c r="H1083" s="18">
        <f>IF(tbal[[#This Row],[HABER]]-tbal[[#This Row],[DEBE]]&gt;0,tbal[[#This Row],[HABER]]-tbal[[#This Row],[DEBE]],0)</f>
        <v>0</v>
      </c>
      <c r="I1083" s="16">
        <f>IF((OR(tbal[[#This Row],[X]]=1,tbal[[#This Row],[X]]=2)),tbal[[#This Row],[DEUDOR]],0)</f>
        <v>0</v>
      </c>
      <c r="J1083" s="18">
        <f>IF((OR(tbal[[#This Row],[X]]=2,tbal[[#This Row],[X]]=3)),tbal[[#This Row],[ACREEDOR]],0)</f>
        <v>0</v>
      </c>
      <c r="K1083" s="16">
        <f>IF((OR(tbal[[#This Row],[X]]=3,tbal[[#This Row],[X]]=5)),tbal[[#This Row],[DEUDOR]],0)</f>
        <v>0</v>
      </c>
      <c r="L1083" s="18">
        <f>IF((OR(tbal[[#This Row],[X]]=3,tbal[[#This Row],[X]]=4)),tbal[[#This Row],[ACREEDOR]],0)</f>
        <v>0</v>
      </c>
      <c r="M1083" s="16">
        <f>IF((OR(tbal[[#This Row],[X]]=0,tbal[[#This Row],[X]]=6)),tbal[[#This Row],[DEUDOR]],0)</f>
        <v>0</v>
      </c>
      <c r="N1083" s="18">
        <f>IF((OR(tbal[[#This Row],[X]]=0,tbal[[#This Row],[X]]=5)),tbal[[#This Row],[ACREEDOR]],0)</f>
        <v>0</v>
      </c>
    </row>
    <row r="1084" spans="1:14" hidden="1" x14ac:dyDescent="0.3">
      <c r="A1084" s="14">
        <f>+'PLAN DE CUENTAS'!A1084</f>
        <v>0</v>
      </c>
      <c r="B1084" s="13">
        <f>+'PLAN DE CUENTAS'!B1084</f>
        <v>0</v>
      </c>
      <c r="C1084" s="13">
        <f>+'PLAN DE CUENTAS'!C1084</f>
        <v>0</v>
      </c>
      <c r="D1084" t="str">
        <f>IF(tbal[[#This Row],[DEBE]]+tbal[[#This Row],[HABER]]=0,"","X")</f>
        <v/>
      </c>
      <c r="E1084" s="16">
        <f>SUMIF(tdiario[CUENTA],tbal[[#This Row],[CUENTA]],tdiario[DEBE])</f>
        <v>0</v>
      </c>
      <c r="F1084" s="17">
        <f>SUMIF(tdiario[CUENTA],tbal[[#This Row],[CUENTA]],tdiario[HABER])</f>
        <v>0</v>
      </c>
      <c r="G1084" s="16">
        <f>IF(tbal[[#This Row],[DEBE]]-tbal[[#This Row],[HABER]]&gt;0,tbal[[#This Row],[DEBE]]-tbal[[#This Row],[HABER]],0)</f>
        <v>0</v>
      </c>
      <c r="H1084" s="18">
        <f>IF(tbal[[#This Row],[HABER]]-tbal[[#This Row],[DEBE]]&gt;0,tbal[[#This Row],[HABER]]-tbal[[#This Row],[DEBE]],0)</f>
        <v>0</v>
      </c>
      <c r="I1084" s="16">
        <f>IF((OR(tbal[[#This Row],[X]]=1,tbal[[#This Row],[X]]=2)),tbal[[#This Row],[DEUDOR]],0)</f>
        <v>0</v>
      </c>
      <c r="J1084" s="18">
        <f>IF((OR(tbal[[#This Row],[X]]=2,tbal[[#This Row],[X]]=3)),tbal[[#This Row],[ACREEDOR]],0)</f>
        <v>0</v>
      </c>
      <c r="K1084" s="16">
        <f>IF((OR(tbal[[#This Row],[X]]=3,tbal[[#This Row],[X]]=5)),tbal[[#This Row],[DEUDOR]],0)</f>
        <v>0</v>
      </c>
      <c r="L1084" s="18">
        <f>IF((OR(tbal[[#This Row],[X]]=3,tbal[[#This Row],[X]]=4)),tbal[[#This Row],[ACREEDOR]],0)</f>
        <v>0</v>
      </c>
      <c r="M1084" s="16">
        <f>IF((OR(tbal[[#This Row],[X]]=0,tbal[[#This Row],[X]]=6)),tbal[[#This Row],[DEUDOR]],0)</f>
        <v>0</v>
      </c>
      <c r="N1084" s="18">
        <f>IF((OR(tbal[[#This Row],[X]]=0,tbal[[#This Row],[X]]=5)),tbal[[#This Row],[ACREEDOR]],0)</f>
        <v>0</v>
      </c>
    </row>
    <row r="1085" spans="1:14" hidden="1" x14ac:dyDescent="0.3">
      <c r="A1085" s="14">
        <f>+'PLAN DE CUENTAS'!A1085</f>
        <v>0</v>
      </c>
      <c r="B1085" s="13">
        <f>+'PLAN DE CUENTAS'!B1085</f>
        <v>0</v>
      </c>
      <c r="C1085" s="13">
        <f>+'PLAN DE CUENTAS'!C1085</f>
        <v>0</v>
      </c>
      <c r="D1085" t="str">
        <f>IF(tbal[[#This Row],[DEBE]]+tbal[[#This Row],[HABER]]=0,"","X")</f>
        <v/>
      </c>
      <c r="E1085" s="16">
        <f>SUMIF(tdiario[CUENTA],tbal[[#This Row],[CUENTA]],tdiario[DEBE])</f>
        <v>0</v>
      </c>
      <c r="F1085" s="17">
        <f>SUMIF(tdiario[CUENTA],tbal[[#This Row],[CUENTA]],tdiario[HABER])</f>
        <v>0</v>
      </c>
      <c r="G1085" s="16">
        <f>IF(tbal[[#This Row],[DEBE]]-tbal[[#This Row],[HABER]]&gt;0,tbal[[#This Row],[DEBE]]-tbal[[#This Row],[HABER]],0)</f>
        <v>0</v>
      </c>
      <c r="H1085" s="18">
        <f>IF(tbal[[#This Row],[HABER]]-tbal[[#This Row],[DEBE]]&gt;0,tbal[[#This Row],[HABER]]-tbal[[#This Row],[DEBE]],0)</f>
        <v>0</v>
      </c>
      <c r="I1085" s="16">
        <f>IF((OR(tbal[[#This Row],[X]]=1,tbal[[#This Row],[X]]=2)),tbal[[#This Row],[DEUDOR]],0)</f>
        <v>0</v>
      </c>
      <c r="J1085" s="18">
        <f>IF((OR(tbal[[#This Row],[X]]=2,tbal[[#This Row],[X]]=3)),tbal[[#This Row],[ACREEDOR]],0)</f>
        <v>0</v>
      </c>
      <c r="K1085" s="16">
        <f>IF((OR(tbal[[#This Row],[X]]=3,tbal[[#This Row],[X]]=5)),tbal[[#This Row],[DEUDOR]],0)</f>
        <v>0</v>
      </c>
      <c r="L1085" s="18">
        <f>IF((OR(tbal[[#This Row],[X]]=3,tbal[[#This Row],[X]]=4)),tbal[[#This Row],[ACREEDOR]],0)</f>
        <v>0</v>
      </c>
      <c r="M1085" s="16">
        <f>IF((OR(tbal[[#This Row],[X]]=0,tbal[[#This Row],[X]]=6)),tbal[[#This Row],[DEUDOR]],0)</f>
        <v>0</v>
      </c>
      <c r="N1085" s="18">
        <f>IF((OR(tbal[[#This Row],[X]]=0,tbal[[#This Row],[X]]=5)),tbal[[#This Row],[ACREEDOR]],0)</f>
        <v>0</v>
      </c>
    </row>
    <row r="1086" spans="1:14" hidden="1" x14ac:dyDescent="0.3">
      <c r="A1086" s="14">
        <f>+'PLAN DE CUENTAS'!A1086</f>
        <v>0</v>
      </c>
      <c r="B1086" s="13">
        <f>+'PLAN DE CUENTAS'!B1086</f>
        <v>0</v>
      </c>
      <c r="C1086" s="13">
        <f>+'PLAN DE CUENTAS'!C1086</f>
        <v>0</v>
      </c>
      <c r="D1086" t="str">
        <f>IF(tbal[[#This Row],[DEBE]]+tbal[[#This Row],[HABER]]=0,"","X")</f>
        <v/>
      </c>
      <c r="E1086" s="16">
        <f>SUMIF(tdiario[CUENTA],tbal[[#This Row],[CUENTA]],tdiario[DEBE])</f>
        <v>0</v>
      </c>
      <c r="F1086" s="17">
        <f>SUMIF(tdiario[CUENTA],tbal[[#This Row],[CUENTA]],tdiario[HABER])</f>
        <v>0</v>
      </c>
      <c r="G1086" s="16">
        <f>IF(tbal[[#This Row],[DEBE]]-tbal[[#This Row],[HABER]]&gt;0,tbal[[#This Row],[DEBE]]-tbal[[#This Row],[HABER]],0)</f>
        <v>0</v>
      </c>
      <c r="H1086" s="18">
        <f>IF(tbal[[#This Row],[HABER]]-tbal[[#This Row],[DEBE]]&gt;0,tbal[[#This Row],[HABER]]-tbal[[#This Row],[DEBE]],0)</f>
        <v>0</v>
      </c>
      <c r="I1086" s="16">
        <f>IF((OR(tbal[[#This Row],[X]]=1,tbal[[#This Row],[X]]=2)),tbal[[#This Row],[DEUDOR]],0)</f>
        <v>0</v>
      </c>
      <c r="J1086" s="18">
        <f>IF((OR(tbal[[#This Row],[X]]=2,tbal[[#This Row],[X]]=3)),tbal[[#This Row],[ACREEDOR]],0)</f>
        <v>0</v>
      </c>
      <c r="K1086" s="16">
        <f>IF((OR(tbal[[#This Row],[X]]=3,tbal[[#This Row],[X]]=5)),tbal[[#This Row],[DEUDOR]],0)</f>
        <v>0</v>
      </c>
      <c r="L1086" s="18">
        <f>IF((OR(tbal[[#This Row],[X]]=3,tbal[[#This Row],[X]]=4)),tbal[[#This Row],[ACREEDOR]],0)</f>
        <v>0</v>
      </c>
      <c r="M1086" s="16">
        <f>IF((OR(tbal[[#This Row],[X]]=0,tbal[[#This Row],[X]]=6)),tbal[[#This Row],[DEUDOR]],0)</f>
        <v>0</v>
      </c>
      <c r="N1086" s="18">
        <f>IF((OR(tbal[[#This Row],[X]]=0,tbal[[#This Row],[X]]=5)),tbal[[#This Row],[ACREEDOR]],0)</f>
        <v>0</v>
      </c>
    </row>
    <row r="1087" spans="1:14" hidden="1" x14ac:dyDescent="0.3">
      <c r="A1087" s="14">
        <f>+'PLAN DE CUENTAS'!A1087</f>
        <v>0</v>
      </c>
      <c r="B1087" s="13">
        <f>+'PLAN DE CUENTAS'!B1087</f>
        <v>0</v>
      </c>
      <c r="C1087" s="13">
        <f>+'PLAN DE CUENTAS'!C1087</f>
        <v>0</v>
      </c>
      <c r="D1087" t="str">
        <f>IF(tbal[[#This Row],[DEBE]]+tbal[[#This Row],[HABER]]=0,"","X")</f>
        <v/>
      </c>
      <c r="E1087" s="16">
        <f>SUMIF(tdiario[CUENTA],tbal[[#This Row],[CUENTA]],tdiario[DEBE])</f>
        <v>0</v>
      </c>
      <c r="F1087" s="17">
        <f>SUMIF(tdiario[CUENTA],tbal[[#This Row],[CUENTA]],tdiario[HABER])</f>
        <v>0</v>
      </c>
      <c r="G1087" s="16">
        <f>IF(tbal[[#This Row],[DEBE]]-tbal[[#This Row],[HABER]]&gt;0,tbal[[#This Row],[DEBE]]-tbal[[#This Row],[HABER]],0)</f>
        <v>0</v>
      </c>
      <c r="H1087" s="18">
        <f>IF(tbal[[#This Row],[HABER]]-tbal[[#This Row],[DEBE]]&gt;0,tbal[[#This Row],[HABER]]-tbal[[#This Row],[DEBE]],0)</f>
        <v>0</v>
      </c>
      <c r="I1087" s="16">
        <f>IF((OR(tbal[[#This Row],[X]]=1,tbal[[#This Row],[X]]=2)),tbal[[#This Row],[DEUDOR]],0)</f>
        <v>0</v>
      </c>
      <c r="J1087" s="18">
        <f>IF((OR(tbal[[#This Row],[X]]=2,tbal[[#This Row],[X]]=3)),tbal[[#This Row],[ACREEDOR]],0)</f>
        <v>0</v>
      </c>
      <c r="K1087" s="16">
        <f>IF((OR(tbal[[#This Row],[X]]=3,tbal[[#This Row],[X]]=5)),tbal[[#This Row],[DEUDOR]],0)</f>
        <v>0</v>
      </c>
      <c r="L1087" s="18">
        <f>IF((OR(tbal[[#This Row],[X]]=3,tbal[[#This Row],[X]]=4)),tbal[[#This Row],[ACREEDOR]],0)</f>
        <v>0</v>
      </c>
      <c r="M1087" s="16">
        <f>IF((OR(tbal[[#This Row],[X]]=0,tbal[[#This Row],[X]]=6)),tbal[[#This Row],[DEUDOR]],0)</f>
        <v>0</v>
      </c>
      <c r="N1087" s="18">
        <f>IF((OR(tbal[[#This Row],[X]]=0,tbal[[#This Row],[X]]=5)),tbal[[#This Row],[ACREEDOR]],0)</f>
        <v>0</v>
      </c>
    </row>
    <row r="1088" spans="1:14" hidden="1" x14ac:dyDescent="0.3">
      <c r="A1088" s="14">
        <f>+'PLAN DE CUENTAS'!A1088</f>
        <v>0</v>
      </c>
      <c r="B1088" s="13">
        <f>+'PLAN DE CUENTAS'!B1088</f>
        <v>0</v>
      </c>
      <c r="C1088" s="13">
        <f>+'PLAN DE CUENTAS'!C1088</f>
        <v>0</v>
      </c>
      <c r="D1088" t="str">
        <f>IF(tbal[[#This Row],[DEBE]]+tbal[[#This Row],[HABER]]=0,"","X")</f>
        <v/>
      </c>
      <c r="E1088" s="16">
        <f>SUMIF(tdiario[CUENTA],tbal[[#This Row],[CUENTA]],tdiario[DEBE])</f>
        <v>0</v>
      </c>
      <c r="F1088" s="17">
        <f>SUMIF(tdiario[CUENTA],tbal[[#This Row],[CUENTA]],tdiario[HABER])</f>
        <v>0</v>
      </c>
      <c r="G1088" s="16">
        <f>IF(tbal[[#This Row],[DEBE]]-tbal[[#This Row],[HABER]]&gt;0,tbal[[#This Row],[DEBE]]-tbal[[#This Row],[HABER]],0)</f>
        <v>0</v>
      </c>
      <c r="H1088" s="18">
        <f>IF(tbal[[#This Row],[HABER]]-tbal[[#This Row],[DEBE]]&gt;0,tbal[[#This Row],[HABER]]-tbal[[#This Row],[DEBE]],0)</f>
        <v>0</v>
      </c>
      <c r="I1088" s="16">
        <f>IF((OR(tbal[[#This Row],[X]]=1,tbal[[#This Row],[X]]=2)),tbal[[#This Row],[DEUDOR]],0)</f>
        <v>0</v>
      </c>
      <c r="J1088" s="18">
        <f>IF((OR(tbal[[#This Row],[X]]=2,tbal[[#This Row],[X]]=3)),tbal[[#This Row],[ACREEDOR]],0)</f>
        <v>0</v>
      </c>
      <c r="K1088" s="16">
        <f>IF((OR(tbal[[#This Row],[X]]=3,tbal[[#This Row],[X]]=5)),tbal[[#This Row],[DEUDOR]],0)</f>
        <v>0</v>
      </c>
      <c r="L1088" s="18">
        <f>IF((OR(tbal[[#This Row],[X]]=3,tbal[[#This Row],[X]]=4)),tbal[[#This Row],[ACREEDOR]],0)</f>
        <v>0</v>
      </c>
      <c r="M1088" s="16">
        <f>IF((OR(tbal[[#This Row],[X]]=0,tbal[[#This Row],[X]]=6)),tbal[[#This Row],[DEUDOR]],0)</f>
        <v>0</v>
      </c>
      <c r="N1088" s="18">
        <f>IF((OR(tbal[[#This Row],[X]]=0,tbal[[#This Row],[X]]=5)),tbal[[#This Row],[ACREEDOR]],0)</f>
        <v>0</v>
      </c>
    </row>
    <row r="1089" spans="1:14" hidden="1" x14ac:dyDescent="0.3">
      <c r="A1089" s="14">
        <f>+'PLAN DE CUENTAS'!A1089</f>
        <v>0</v>
      </c>
      <c r="B1089" s="13">
        <f>+'PLAN DE CUENTAS'!B1089</f>
        <v>0</v>
      </c>
      <c r="C1089" s="13">
        <f>+'PLAN DE CUENTAS'!C1089</f>
        <v>0</v>
      </c>
      <c r="D1089" t="str">
        <f>IF(tbal[[#This Row],[DEBE]]+tbal[[#This Row],[HABER]]=0,"","X")</f>
        <v/>
      </c>
      <c r="E1089" s="16">
        <f>SUMIF(tdiario[CUENTA],tbal[[#This Row],[CUENTA]],tdiario[DEBE])</f>
        <v>0</v>
      </c>
      <c r="F1089" s="17">
        <f>SUMIF(tdiario[CUENTA],tbal[[#This Row],[CUENTA]],tdiario[HABER])</f>
        <v>0</v>
      </c>
      <c r="G1089" s="16">
        <f>IF(tbal[[#This Row],[DEBE]]-tbal[[#This Row],[HABER]]&gt;0,tbal[[#This Row],[DEBE]]-tbal[[#This Row],[HABER]],0)</f>
        <v>0</v>
      </c>
      <c r="H1089" s="18">
        <f>IF(tbal[[#This Row],[HABER]]-tbal[[#This Row],[DEBE]]&gt;0,tbal[[#This Row],[HABER]]-tbal[[#This Row],[DEBE]],0)</f>
        <v>0</v>
      </c>
      <c r="I1089" s="16">
        <f>IF((OR(tbal[[#This Row],[X]]=1,tbal[[#This Row],[X]]=2)),tbal[[#This Row],[DEUDOR]],0)</f>
        <v>0</v>
      </c>
      <c r="J1089" s="18">
        <f>IF((OR(tbal[[#This Row],[X]]=2,tbal[[#This Row],[X]]=3)),tbal[[#This Row],[ACREEDOR]],0)</f>
        <v>0</v>
      </c>
      <c r="K1089" s="16">
        <f>IF((OR(tbal[[#This Row],[X]]=3,tbal[[#This Row],[X]]=5)),tbal[[#This Row],[DEUDOR]],0)</f>
        <v>0</v>
      </c>
      <c r="L1089" s="18">
        <f>IF((OR(tbal[[#This Row],[X]]=3,tbal[[#This Row],[X]]=4)),tbal[[#This Row],[ACREEDOR]],0)</f>
        <v>0</v>
      </c>
      <c r="M1089" s="16">
        <f>IF((OR(tbal[[#This Row],[X]]=0,tbal[[#This Row],[X]]=6)),tbal[[#This Row],[DEUDOR]],0)</f>
        <v>0</v>
      </c>
      <c r="N1089" s="18">
        <f>IF((OR(tbal[[#This Row],[X]]=0,tbal[[#This Row],[X]]=5)),tbal[[#This Row],[ACREEDOR]],0)</f>
        <v>0</v>
      </c>
    </row>
    <row r="1090" spans="1:14" hidden="1" x14ac:dyDescent="0.3">
      <c r="A1090" s="14">
        <f>+'PLAN DE CUENTAS'!A1090</f>
        <v>0</v>
      </c>
      <c r="B1090" s="13">
        <f>+'PLAN DE CUENTAS'!B1090</f>
        <v>0</v>
      </c>
      <c r="C1090" s="13">
        <f>+'PLAN DE CUENTAS'!C1090</f>
        <v>0</v>
      </c>
      <c r="D1090" t="str">
        <f>IF(tbal[[#This Row],[DEBE]]+tbal[[#This Row],[HABER]]=0,"","X")</f>
        <v/>
      </c>
      <c r="E1090" s="16">
        <f>SUMIF(tdiario[CUENTA],tbal[[#This Row],[CUENTA]],tdiario[DEBE])</f>
        <v>0</v>
      </c>
      <c r="F1090" s="17">
        <f>SUMIF(tdiario[CUENTA],tbal[[#This Row],[CUENTA]],tdiario[HABER])</f>
        <v>0</v>
      </c>
      <c r="G1090" s="16">
        <f>IF(tbal[[#This Row],[DEBE]]-tbal[[#This Row],[HABER]]&gt;0,tbal[[#This Row],[DEBE]]-tbal[[#This Row],[HABER]],0)</f>
        <v>0</v>
      </c>
      <c r="H1090" s="18">
        <f>IF(tbal[[#This Row],[HABER]]-tbal[[#This Row],[DEBE]]&gt;0,tbal[[#This Row],[HABER]]-tbal[[#This Row],[DEBE]],0)</f>
        <v>0</v>
      </c>
      <c r="I1090" s="16">
        <f>IF((OR(tbal[[#This Row],[X]]=1,tbal[[#This Row],[X]]=2)),tbal[[#This Row],[DEUDOR]],0)</f>
        <v>0</v>
      </c>
      <c r="J1090" s="18">
        <f>IF((OR(tbal[[#This Row],[X]]=2,tbal[[#This Row],[X]]=3)),tbal[[#This Row],[ACREEDOR]],0)</f>
        <v>0</v>
      </c>
      <c r="K1090" s="16">
        <f>IF((OR(tbal[[#This Row],[X]]=3,tbal[[#This Row],[X]]=5)),tbal[[#This Row],[DEUDOR]],0)</f>
        <v>0</v>
      </c>
      <c r="L1090" s="18">
        <f>IF((OR(tbal[[#This Row],[X]]=3,tbal[[#This Row],[X]]=4)),tbal[[#This Row],[ACREEDOR]],0)</f>
        <v>0</v>
      </c>
      <c r="M1090" s="16">
        <f>IF((OR(tbal[[#This Row],[X]]=0,tbal[[#This Row],[X]]=6)),tbal[[#This Row],[DEUDOR]],0)</f>
        <v>0</v>
      </c>
      <c r="N1090" s="18">
        <f>IF((OR(tbal[[#This Row],[X]]=0,tbal[[#This Row],[X]]=5)),tbal[[#This Row],[ACREEDOR]],0)</f>
        <v>0</v>
      </c>
    </row>
    <row r="1091" spans="1:14" hidden="1" x14ac:dyDescent="0.3">
      <c r="A1091" s="14">
        <f>+'PLAN DE CUENTAS'!A1091</f>
        <v>0</v>
      </c>
      <c r="B1091" s="13">
        <f>+'PLAN DE CUENTAS'!B1091</f>
        <v>0</v>
      </c>
      <c r="C1091" s="13">
        <f>+'PLAN DE CUENTAS'!C1091</f>
        <v>0</v>
      </c>
      <c r="D1091" t="str">
        <f>IF(tbal[[#This Row],[DEBE]]+tbal[[#This Row],[HABER]]=0,"","X")</f>
        <v/>
      </c>
      <c r="E1091" s="16">
        <f>SUMIF(tdiario[CUENTA],tbal[[#This Row],[CUENTA]],tdiario[DEBE])</f>
        <v>0</v>
      </c>
      <c r="F1091" s="17">
        <f>SUMIF(tdiario[CUENTA],tbal[[#This Row],[CUENTA]],tdiario[HABER])</f>
        <v>0</v>
      </c>
      <c r="G1091" s="16">
        <f>IF(tbal[[#This Row],[DEBE]]-tbal[[#This Row],[HABER]]&gt;0,tbal[[#This Row],[DEBE]]-tbal[[#This Row],[HABER]],0)</f>
        <v>0</v>
      </c>
      <c r="H1091" s="18">
        <f>IF(tbal[[#This Row],[HABER]]-tbal[[#This Row],[DEBE]]&gt;0,tbal[[#This Row],[HABER]]-tbal[[#This Row],[DEBE]],0)</f>
        <v>0</v>
      </c>
      <c r="I1091" s="16">
        <f>IF((OR(tbal[[#This Row],[X]]=1,tbal[[#This Row],[X]]=2)),tbal[[#This Row],[DEUDOR]],0)</f>
        <v>0</v>
      </c>
      <c r="J1091" s="18">
        <f>IF((OR(tbal[[#This Row],[X]]=2,tbal[[#This Row],[X]]=3)),tbal[[#This Row],[ACREEDOR]],0)</f>
        <v>0</v>
      </c>
      <c r="K1091" s="16">
        <f>IF((OR(tbal[[#This Row],[X]]=3,tbal[[#This Row],[X]]=5)),tbal[[#This Row],[DEUDOR]],0)</f>
        <v>0</v>
      </c>
      <c r="L1091" s="18">
        <f>IF((OR(tbal[[#This Row],[X]]=3,tbal[[#This Row],[X]]=4)),tbal[[#This Row],[ACREEDOR]],0)</f>
        <v>0</v>
      </c>
      <c r="M1091" s="16">
        <f>IF((OR(tbal[[#This Row],[X]]=0,tbal[[#This Row],[X]]=6)),tbal[[#This Row],[DEUDOR]],0)</f>
        <v>0</v>
      </c>
      <c r="N1091" s="18">
        <f>IF((OR(tbal[[#This Row],[X]]=0,tbal[[#This Row],[X]]=5)),tbal[[#This Row],[ACREEDOR]],0)</f>
        <v>0</v>
      </c>
    </row>
    <row r="1092" spans="1:14" hidden="1" x14ac:dyDescent="0.3">
      <c r="A1092" s="14">
        <f>+'PLAN DE CUENTAS'!A1092</f>
        <v>0</v>
      </c>
      <c r="B1092" s="13">
        <f>+'PLAN DE CUENTAS'!B1092</f>
        <v>0</v>
      </c>
      <c r="C1092" s="13">
        <f>+'PLAN DE CUENTAS'!C1092</f>
        <v>0</v>
      </c>
      <c r="D1092" t="str">
        <f>IF(tbal[[#This Row],[DEBE]]+tbal[[#This Row],[HABER]]=0,"","X")</f>
        <v/>
      </c>
      <c r="E1092" s="16">
        <f>SUMIF(tdiario[CUENTA],tbal[[#This Row],[CUENTA]],tdiario[DEBE])</f>
        <v>0</v>
      </c>
      <c r="F1092" s="17">
        <f>SUMIF(tdiario[CUENTA],tbal[[#This Row],[CUENTA]],tdiario[HABER])</f>
        <v>0</v>
      </c>
      <c r="G1092" s="16">
        <f>IF(tbal[[#This Row],[DEBE]]-tbal[[#This Row],[HABER]]&gt;0,tbal[[#This Row],[DEBE]]-tbal[[#This Row],[HABER]],0)</f>
        <v>0</v>
      </c>
      <c r="H1092" s="18">
        <f>IF(tbal[[#This Row],[HABER]]-tbal[[#This Row],[DEBE]]&gt;0,tbal[[#This Row],[HABER]]-tbal[[#This Row],[DEBE]],0)</f>
        <v>0</v>
      </c>
      <c r="I1092" s="16">
        <f>IF((OR(tbal[[#This Row],[X]]=1,tbal[[#This Row],[X]]=2)),tbal[[#This Row],[DEUDOR]],0)</f>
        <v>0</v>
      </c>
      <c r="J1092" s="18">
        <f>IF((OR(tbal[[#This Row],[X]]=2,tbal[[#This Row],[X]]=3)),tbal[[#This Row],[ACREEDOR]],0)</f>
        <v>0</v>
      </c>
      <c r="K1092" s="16">
        <f>IF((OR(tbal[[#This Row],[X]]=3,tbal[[#This Row],[X]]=5)),tbal[[#This Row],[DEUDOR]],0)</f>
        <v>0</v>
      </c>
      <c r="L1092" s="18">
        <f>IF((OR(tbal[[#This Row],[X]]=3,tbal[[#This Row],[X]]=4)),tbal[[#This Row],[ACREEDOR]],0)</f>
        <v>0</v>
      </c>
      <c r="M1092" s="16">
        <f>IF((OR(tbal[[#This Row],[X]]=0,tbal[[#This Row],[X]]=6)),tbal[[#This Row],[DEUDOR]],0)</f>
        <v>0</v>
      </c>
      <c r="N1092" s="18">
        <f>IF((OR(tbal[[#This Row],[X]]=0,tbal[[#This Row],[X]]=5)),tbal[[#This Row],[ACREEDOR]],0)</f>
        <v>0</v>
      </c>
    </row>
    <row r="1093" spans="1:14" hidden="1" x14ac:dyDescent="0.3">
      <c r="A1093" s="14">
        <f>+'PLAN DE CUENTAS'!A1093</f>
        <v>0</v>
      </c>
      <c r="B1093" s="13">
        <f>+'PLAN DE CUENTAS'!B1093</f>
        <v>0</v>
      </c>
      <c r="C1093" s="13">
        <f>+'PLAN DE CUENTAS'!C1093</f>
        <v>0</v>
      </c>
      <c r="D1093" t="str">
        <f>IF(tbal[[#This Row],[DEBE]]+tbal[[#This Row],[HABER]]=0,"","X")</f>
        <v/>
      </c>
      <c r="E1093" s="16">
        <f>SUMIF(tdiario[CUENTA],tbal[[#This Row],[CUENTA]],tdiario[DEBE])</f>
        <v>0</v>
      </c>
      <c r="F1093" s="17">
        <f>SUMIF(tdiario[CUENTA],tbal[[#This Row],[CUENTA]],tdiario[HABER])</f>
        <v>0</v>
      </c>
      <c r="G1093" s="16">
        <f>IF(tbal[[#This Row],[DEBE]]-tbal[[#This Row],[HABER]]&gt;0,tbal[[#This Row],[DEBE]]-tbal[[#This Row],[HABER]],0)</f>
        <v>0</v>
      </c>
      <c r="H1093" s="18">
        <f>IF(tbal[[#This Row],[HABER]]-tbal[[#This Row],[DEBE]]&gt;0,tbal[[#This Row],[HABER]]-tbal[[#This Row],[DEBE]],0)</f>
        <v>0</v>
      </c>
      <c r="I1093" s="16">
        <f>IF((OR(tbal[[#This Row],[X]]=1,tbal[[#This Row],[X]]=2)),tbal[[#This Row],[DEUDOR]],0)</f>
        <v>0</v>
      </c>
      <c r="J1093" s="18">
        <f>IF((OR(tbal[[#This Row],[X]]=2,tbal[[#This Row],[X]]=3)),tbal[[#This Row],[ACREEDOR]],0)</f>
        <v>0</v>
      </c>
      <c r="K1093" s="16">
        <f>IF((OR(tbal[[#This Row],[X]]=3,tbal[[#This Row],[X]]=5)),tbal[[#This Row],[DEUDOR]],0)</f>
        <v>0</v>
      </c>
      <c r="L1093" s="18">
        <f>IF((OR(tbal[[#This Row],[X]]=3,tbal[[#This Row],[X]]=4)),tbal[[#This Row],[ACREEDOR]],0)</f>
        <v>0</v>
      </c>
      <c r="M1093" s="16">
        <f>IF((OR(tbal[[#This Row],[X]]=0,tbal[[#This Row],[X]]=6)),tbal[[#This Row],[DEUDOR]],0)</f>
        <v>0</v>
      </c>
      <c r="N1093" s="18">
        <f>IF((OR(tbal[[#This Row],[X]]=0,tbal[[#This Row],[X]]=5)),tbal[[#This Row],[ACREEDOR]],0)</f>
        <v>0</v>
      </c>
    </row>
    <row r="1094" spans="1:14" hidden="1" x14ac:dyDescent="0.3">
      <c r="A1094" s="14">
        <f>+'PLAN DE CUENTAS'!A1094</f>
        <v>0</v>
      </c>
      <c r="B1094" s="13">
        <f>+'PLAN DE CUENTAS'!B1094</f>
        <v>0</v>
      </c>
      <c r="C1094" s="13">
        <f>+'PLAN DE CUENTAS'!C1094</f>
        <v>0</v>
      </c>
      <c r="D1094" t="str">
        <f>IF(tbal[[#This Row],[DEBE]]+tbal[[#This Row],[HABER]]=0,"","X")</f>
        <v/>
      </c>
      <c r="E1094" s="16">
        <f>SUMIF(tdiario[CUENTA],tbal[[#This Row],[CUENTA]],tdiario[DEBE])</f>
        <v>0</v>
      </c>
      <c r="F1094" s="17">
        <f>SUMIF(tdiario[CUENTA],tbal[[#This Row],[CUENTA]],tdiario[HABER])</f>
        <v>0</v>
      </c>
      <c r="G1094" s="16">
        <f>IF(tbal[[#This Row],[DEBE]]-tbal[[#This Row],[HABER]]&gt;0,tbal[[#This Row],[DEBE]]-tbal[[#This Row],[HABER]],0)</f>
        <v>0</v>
      </c>
      <c r="H1094" s="18">
        <f>IF(tbal[[#This Row],[HABER]]-tbal[[#This Row],[DEBE]]&gt;0,tbal[[#This Row],[HABER]]-tbal[[#This Row],[DEBE]],0)</f>
        <v>0</v>
      </c>
      <c r="I1094" s="16">
        <f>IF((OR(tbal[[#This Row],[X]]=1,tbal[[#This Row],[X]]=2)),tbal[[#This Row],[DEUDOR]],0)</f>
        <v>0</v>
      </c>
      <c r="J1094" s="18">
        <f>IF((OR(tbal[[#This Row],[X]]=2,tbal[[#This Row],[X]]=3)),tbal[[#This Row],[ACREEDOR]],0)</f>
        <v>0</v>
      </c>
      <c r="K1094" s="16">
        <f>IF((OR(tbal[[#This Row],[X]]=3,tbal[[#This Row],[X]]=5)),tbal[[#This Row],[DEUDOR]],0)</f>
        <v>0</v>
      </c>
      <c r="L1094" s="18">
        <f>IF((OR(tbal[[#This Row],[X]]=3,tbal[[#This Row],[X]]=4)),tbal[[#This Row],[ACREEDOR]],0)</f>
        <v>0</v>
      </c>
      <c r="M1094" s="16">
        <f>IF((OR(tbal[[#This Row],[X]]=0,tbal[[#This Row],[X]]=6)),tbal[[#This Row],[DEUDOR]],0)</f>
        <v>0</v>
      </c>
      <c r="N1094" s="18">
        <f>IF((OR(tbal[[#This Row],[X]]=0,tbal[[#This Row],[X]]=5)),tbal[[#This Row],[ACREEDOR]],0)</f>
        <v>0</v>
      </c>
    </row>
    <row r="1095" spans="1:14" hidden="1" x14ac:dyDescent="0.3">
      <c r="A1095" s="14">
        <f>+'PLAN DE CUENTAS'!A1095</f>
        <v>0</v>
      </c>
      <c r="B1095" s="13">
        <f>+'PLAN DE CUENTAS'!B1095</f>
        <v>0</v>
      </c>
      <c r="C1095" s="13">
        <f>+'PLAN DE CUENTAS'!C1095</f>
        <v>0</v>
      </c>
      <c r="D1095" t="str">
        <f>IF(tbal[[#This Row],[DEBE]]+tbal[[#This Row],[HABER]]=0,"","X")</f>
        <v/>
      </c>
      <c r="E1095" s="16">
        <f>SUMIF(tdiario[CUENTA],tbal[[#This Row],[CUENTA]],tdiario[DEBE])</f>
        <v>0</v>
      </c>
      <c r="F1095" s="17">
        <f>SUMIF(tdiario[CUENTA],tbal[[#This Row],[CUENTA]],tdiario[HABER])</f>
        <v>0</v>
      </c>
      <c r="G1095" s="16">
        <f>IF(tbal[[#This Row],[DEBE]]-tbal[[#This Row],[HABER]]&gt;0,tbal[[#This Row],[DEBE]]-tbal[[#This Row],[HABER]],0)</f>
        <v>0</v>
      </c>
      <c r="H1095" s="18">
        <f>IF(tbal[[#This Row],[HABER]]-tbal[[#This Row],[DEBE]]&gt;0,tbal[[#This Row],[HABER]]-tbal[[#This Row],[DEBE]],0)</f>
        <v>0</v>
      </c>
      <c r="I1095" s="16">
        <f>IF((OR(tbal[[#This Row],[X]]=1,tbal[[#This Row],[X]]=2)),tbal[[#This Row],[DEUDOR]],0)</f>
        <v>0</v>
      </c>
      <c r="J1095" s="18">
        <f>IF((OR(tbal[[#This Row],[X]]=2,tbal[[#This Row],[X]]=3)),tbal[[#This Row],[ACREEDOR]],0)</f>
        <v>0</v>
      </c>
      <c r="K1095" s="16">
        <f>IF((OR(tbal[[#This Row],[X]]=3,tbal[[#This Row],[X]]=5)),tbal[[#This Row],[DEUDOR]],0)</f>
        <v>0</v>
      </c>
      <c r="L1095" s="18">
        <f>IF((OR(tbal[[#This Row],[X]]=3,tbal[[#This Row],[X]]=4)),tbal[[#This Row],[ACREEDOR]],0)</f>
        <v>0</v>
      </c>
      <c r="M1095" s="16">
        <f>IF((OR(tbal[[#This Row],[X]]=0,tbal[[#This Row],[X]]=6)),tbal[[#This Row],[DEUDOR]],0)</f>
        <v>0</v>
      </c>
      <c r="N1095" s="18">
        <f>IF((OR(tbal[[#This Row],[X]]=0,tbal[[#This Row],[X]]=5)),tbal[[#This Row],[ACREEDOR]],0)</f>
        <v>0</v>
      </c>
    </row>
    <row r="1096" spans="1:14" hidden="1" x14ac:dyDescent="0.3">
      <c r="A1096" s="14">
        <f>+'PLAN DE CUENTAS'!A1096</f>
        <v>0</v>
      </c>
      <c r="B1096" s="13">
        <f>+'PLAN DE CUENTAS'!B1096</f>
        <v>0</v>
      </c>
      <c r="C1096" s="13">
        <f>+'PLAN DE CUENTAS'!C1096</f>
        <v>0</v>
      </c>
      <c r="D1096" t="str">
        <f>IF(tbal[[#This Row],[DEBE]]+tbal[[#This Row],[HABER]]=0,"","X")</f>
        <v/>
      </c>
      <c r="E1096" s="16">
        <f>SUMIF(tdiario[CUENTA],tbal[[#This Row],[CUENTA]],tdiario[DEBE])</f>
        <v>0</v>
      </c>
      <c r="F1096" s="17">
        <f>SUMIF(tdiario[CUENTA],tbal[[#This Row],[CUENTA]],tdiario[HABER])</f>
        <v>0</v>
      </c>
      <c r="G1096" s="16">
        <f>IF(tbal[[#This Row],[DEBE]]-tbal[[#This Row],[HABER]]&gt;0,tbal[[#This Row],[DEBE]]-tbal[[#This Row],[HABER]],0)</f>
        <v>0</v>
      </c>
      <c r="H1096" s="18">
        <f>IF(tbal[[#This Row],[HABER]]-tbal[[#This Row],[DEBE]]&gt;0,tbal[[#This Row],[HABER]]-tbal[[#This Row],[DEBE]],0)</f>
        <v>0</v>
      </c>
      <c r="I1096" s="16">
        <f>IF((OR(tbal[[#This Row],[X]]=1,tbal[[#This Row],[X]]=2)),tbal[[#This Row],[DEUDOR]],0)</f>
        <v>0</v>
      </c>
      <c r="J1096" s="18">
        <f>IF((OR(tbal[[#This Row],[X]]=2,tbal[[#This Row],[X]]=3)),tbal[[#This Row],[ACREEDOR]],0)</f>
        <v>0</v>
      </c>
      <c r="K1096" s="16">
        <f>IF((OR(tbal[[#This Row],[X]]=3,tbal[[#This Row],[X]]=5)),tbal[[#This Row],[DEUDOR]],0)</f>
        <v>0</v>
      </c>
      <c r="L1096" s="18">
        <f>IF((OR(tbal[[#This Row],[X]]=3,tbal[[#This Row],[X]]=4)),tbal[[#This Row],[ACREEDOR]],0)</f>
        <v>0</v>
      </c>
      <c r="M1096" s="16">
        <f>IF((OR(tbal[[#This Row],[X]]=0,tbal[[#This Row],[X]]=6)),tbal[[#This Row],[DEUDOR]],0)</f>
        <v>0</v>
      </c>
      <c r="N1096" s="18">
        <f>IF((OR(tbal[[#This Row],[X]]=0,tbal[[#This Row],[X]]=5)),tbal[[#This Row],[ACREEDOR]],0)</f>
        <v>0</v>
      </c>
    </row>
    <row r="1097" spans="1:14" hidden="1" x14ac:dyDescent="0.3">
      <c r="A1097" s="14">
        <f>+'PLAN DE CUENTAS'!A1097</f>
        <v>0</v>
      </c>
      <c r="B1097" s="13">
        <f>+'PLAN DE CUENTAS'!B1097</f>
        <v>0</v>
      </c>
      <c r="C1097" s="13">
        <f>+'PLAN DE CUENTAS'!C1097</f>
        <v>0</v>
      </c>
      <c r="D1097" t="str">
        <f>IF(tbal[[#This Row],[DEBE]]+tbal[[#This Row],[HABER]]=0,"","X")</f>
        <v/>
      </c>
      <c r="E1097" s="16">
        <f>SUMIF(tdiario[CUENTA],tbal[[#This Row],[CUENTA]],tdiario[DEBE])</f>
        <v>0</v>
      </c>
      <c r="F1097" s="17">
        <f>SUMIF(tdiario[CUENTA],tbal[[#This Row],[CUENTA]],tdiario[HABER])</f>
        <v>0</v>
      </c>
      <c r="G1097" s="16">
        <f>IF(tbal[[#This Row],[DEBE]]-tbal[[#This Row],[HABER]]&gt;0,tbal[[#This Row],[DEBE]]-tbal[[#This Row],[HABER]],0)</f>
        <v>0</v>
      </c>
      <c r="H1097" s="18">
        <f>IF(tbal[[#This Row],[HABER]]-tbal[[#This Row],[DEBE]]&gt;0,tbal[[#This Row],[HABER]]-tbal[[#This Row],[DEBE]],0)</f>
        <v>0</v>
      </c>
      <c r="I1097" s="16">
        <f>IF((OR(tbal[[#This Row],[X]]=1,tbal[[#This Row],[X]]=2)),tbal[[#This Row],[DEUDOR]],0)</f>
        <v>0</v>
      </c>
      <c r="J1097" s="18">
        <f>IF((OR(tbal[[#This Row],[X]]=2,tbal[[#This Row],[X]]=3)),tbal[[#This Row],[ACREEDOR]],0)</f>
        <v>0</v>
      </c>
      <c r="K1097" s="16">
        <f>IF((OR(tbal[[#This Row],[X]]=3,tbal[[#This Row],[X]]=5)),tbal[[#This Row],[DEUDOR]],0)</f>
        <v>0</v>
      </c>
      <c r="L1097" s="18">
        <f>IF((OR(tbal[[#This Row],[X]]=3,tbal[[#This Row],[X]]=4)),tbal[[#This Row],[ACREEDOR]],0)</f>
        <v>0</v>
      </c>
      <c r="M1097" s="16">
        <f>IF((OR(tbal[[#This Row],[X]]=0,tbal[[#This Row],[X]]=6)),tbal[[#This Row],[DEUDOR]],0)</f>
        <v>0</v>
      </c>
      <c r="N1097" s="18">
        <f>IF((OR(tbal[[#This Row],[X]]=0,tbal[[#This Row],[X]]=5)),tbal[[#This Row],[ACREEDOR]],0)</f>
        <v>0</v>
      </c>
    </row>
    <row r="1098" spans="1:14" hidden="1" x14ac:dyDescent="0.3">
      <c r="A1098" s="14">
        <f>+'PLAN DE CUENTAS'!A1098</f>
        <v>0</v>
      </c>
      <c r="B1098" s="13">
        <f>+'PLAN DE CUENTAS'!B1098</f>
        <v>0</v>
      </c>
      <c r="C1098" s="13">
        <f>+'PLAN DE CUENTAS'!C1098</f>
        <v>0</v>
      </c>
      <c r="D1098" t="str">
        <f>IF(tbal[[#This Row],[DEBE]]+tbal[[#This Row],[HABER]]=0,"","X")</f>
        <v/>
      </c>
      <c r="E1098" s="16">
        <f>SUMIF(tdiario[CUENTA],tbal[[#This Row],[CUENTA]],tdiario[DEBE])</f>
        <v>0</v>
      </c>
      <c r="F1098" s="17">
        <f>SUMIF(tdiario[CUENTA],tbal[[#This Row],[CUENTA]],tdiario[HABER])</f>
        <v>0</v>
      </c>
      <c r="G1098" s="16">
        <f>IF(tbal[[#This Row],[DEBE]]-tbal[[#This Row],[HABER]]&gt;0,tbal[[#This Row],[DEBE]]-tbal[[#This Row],[HABER]],0)</f>
        <v>0</v>
      </c>
      <c r="H1098" s="18">
        <f>IF(tbal[[#This Row],[HABER]]-tbal[[#This Row],[DEBE]]&gt;0,tbal[[#This Row],[HABER]]-tbal[[#This Row],[DEBE]],0)</f>
        <v>0</v>
      </c>
      <c r="I1098" s="16">
        <f>IF((OR(tbal[[#This Row],[X]]=1,tbal[[#This Row],[X]]=2)),tbal[[#This Row],[DEUDOR]],0)</f>
        <v>0</v>
      </c>
      <c r="J1098" s="18">
        <f>IF((OR(tbal[[#This Row],[X]]=2,tbal[[#This Row],[X]]=3)),tbal[[#This Row],[ACREEDOR]],0)</f>
        <v>0</v>
      </c>
      <c r="K1098" s="16">
        <f>IF((OR(tbal[[#This Row],[X]]=3,tbal[[#This Row],[X]]=5)),tbal[[#This Row],[DEUDOR]],0)</f>
        <v>0</v>
      </c>
      <c r="L1098" s="18">
        <f>IF((OR(tbal[[#This Row],[X]]=3,tbal[[#This Row],[X]]=4)),tbal[[#This Row],[ACREEDOR]],0)</f>
        <v>0</v>
      </c>
      <c r="M1098" s="16">
        <f>IF((OR(tbal[[#This Row],[X]]=0,tbal[[#This Row],[X]]=6)),tbal[[#This Row],[DEUDOR]],0)</f>
        <v>0</v>
      </c>
      <c r="N1098" s="18">
        <f>IF((OR(tbal[[#This Row],[X]]=0,tbal[[#This Row],[X]]=5)),tbal[[#This Row],[ACREEDOR]],0)</f>
        <v>0</v>
      </c>
    </row>
    <row r="1099" spans="1:14" hidden="1" x14ac:dyDescent="0.3">
      <c r="A1099" s="14">
        <f>+'PLAN DE CUENTAS'!A1099</f>
        <v>0</v>
      </c>
      <c r="B1099" s="13">
        <f>+'PLAN DE CUENTAS'!B1099</f>
        <v>0</v>
      </c>
      <c r="C1099" s="13">
        <f>+'PLAN DE CUENTAS'!C1099</f>
        <v>0</v>
      </c>
      <c r="D1099" t="str">
        <f>IF(tbal[[#This Row],[DEBE]]+tbal[[#This Row],[HABER]]=0,"","X")</f>
        <v/>
      </c>
      <c r="E1099" s="16">
        <f>SUMIF(tdiario[CUENTA],tbal[[#This Row],[CUENTA]],tdiario[DEBE])</f>
        <v>0</v>
      </c>
      <c r="F1099" s="17">
        <f>SUMIF(tdiario[CUENTA],tbal[[#This Row],[CUENTA]],tdiario[HABER])</f>
        <v>0</v>
      </c>
      <c r="G1099" s="16">
        <f>IF(tbal[[#This Row],[DEBE]]-tbal[[#This Row],[HABER]]&gt;0,tbal[[#This Row],[DEBE]]-tbal[[#This Row],[HABER]],0)</f>
        <v>0</v>
      </c>
      <c r="H1099" s="18">
        <f>IF(tbal[[#This Row],[HABER]]-tbal[[#This Row],[DEBE]]&gt;0,tbal[[#This Row],[HABER]]-tbal[[#This Row],[DEBE]],0)</f>
        <v>0</v>
      </c>
      <c r="I1099" s="16">
        <f>IF((OR(tbal[[#This Row],[X]]=1,tbal[[#This Row],[X]]=2)),tbal[[#This Row],[DEUDOR]],0)</f>
        <v>0</v>
      </c>
      <c r="J1099" s="18">
        <f>IF((OR(tbal[[#This Row],[X]]=2,tbal[[#This Row],[X]]=3)),tbal[[#This Row],[ACREEDOR]],0)</f>
        <v>0</v>
      </c>
      <c r="K1099" s="16">
        <f>IF((OR(tbal[[#This Row],[X]]=3,tbal[[#This Row],[X]]=5)),tbal[[#This Row],[DEUDOR]],0)</f>
        <v>0</v>
      </c>
      <c r="L1099" s="18">
        <f>IF((OR(tbal[[#This Row],[X]]=3,tbal[[#This Row],[X]]=4)),tbal[[#This Row],[ACREEDOR]],0)</f>
        <v>0</v>
      </c>
      <c r="M1099" s="16">
        <f>IF((OR(tbal[[#This Row],[X]]=0,tbal[[#This Row],[X]]=6)),tbal[[#This Row],[DEUDOR]],0)</f>
        <v>0</v>
      </c>
      <c r="N1099" s="18">
        <f>IF((OR(tbal[[#This Row],[X]]=0,tbal[[#This Row],[X]]=5)),tbal[[#This Row],[ACREEDOR]],0)</f>
        <v>0</v>
      </c>
    </row>
    <row r="1100" spans="1:14" hidden="1" x14ac:dyDescent="0.3">
      <c r="A1100" s="14">
        <f>+'PLAN DE CUENTAS'!A1100</f>
        <v>0</v>
      </c>
      <c r="B1100" s="13">
        <f>+'PLAN DE CUENTAS'!B1100</f>
        <v>0</v>
      </c>
      <c r="C1100" s="13">
        <f>+'PLAN DE CUENTAS'!C1100</f>
        <v>0</v>
      </c>
      <c r="D1100" t="str">
        <f>IF(tbal[[#This Row],[DEBE]]+tbal[[#This Row],[HABER]]=0,"","X")</f>
        <v/>
      </c>
      <c r="E1100" s="16">
        <f>SUMIF(tdiario[CUENTA],tbal[[#This Row],[CUENTA]],tdiario[DEBE])</f>
        <v>0</v>
      </c>
      <c r="F1100" s="17">
        <f>SUMIF(tdiario[CUENTA],tbal[[#This Row],[CUENTA]],tdiario[HABER])</f>
        <v>0</v>
      </c>
      <c r="G1100" s="16">
        <f>IF(tbal[[#This Row],[DEBE]]-tbal[[#This Row],[HABER]]&gt;0,tbal[[#This Row],[DEBE]]-tbal[[#This Row],[HABER]],0)</f>
        <v>0</v>
      </c>
      <c r="H1100" s="18">
        <f>IF(tbal[[#This Row],[HABER]]-tbal[[#This Row],[DEBE]]&gt;0,tbal[[#This Row],[HABER]]-tbal[[#This Row],[DEBE]],0)</f>
        <v>0</v>
      </c>
      <c r="I1100" s="16">
        <f>IF((OR(tbal[[#This Row],[X]]=1,tbal[[#This Row],[X]]=2)),tbal[[#This Row],[DEUDOR]],0)</f>
        <v>0</v>
      </c>
      <c r="J1100" s="18">
        <f>IF((OR(tbal[[#This Row],[X]]=2,tbal[[#This Row],[X]]=3)),tbal[[#This Row],[ACREEDOR]],0)</f>
        <v>0</v>
      </c>
      <c r="K1100" s="16">
        <f>IF((OR(tbal[[#This Row],[X]]=3,tbal[[#This Row],[X]]=5)),tbal[[#This Row],[DEUDOR]],0)</f>
        <v>0</v>
      </c>
      <c r="L1100" s="18">
        <f>IF((OR(tbal[[#This Row],[X]]=3,tbal[[#This Row],[X]]=4)),tbal[[#This Row],[ACREEDOR]],0)</f>
        <v>0</v>
      </c>
      <c r="M1100" s="16">
        <f>IF((OR(tbal[[#This Row],[X]]=0,tbal[[#This Row],[X]]=6)),tbal[[#This Row],[DEUDOR]],0)</f>
        <v>0</v>
      </c>
      <c r="N1100" s="18">
        <f>IF((OR(tbal[[#This Row],[X]]=0,tbal[[#This Row],[X]]=5)),tbal[[#This Row],[ACREEDOR]],0)</f>
        <v>0</v>
      </c>
    </row>
    <row r="1101" spans="1:14" hidden="1" x14ac:dyDescent="0.3">
      <c r="A1101" s="14">
        <f>+'PLAN DE CUENTAS'!A1101</f>
        <v>0</v>
      </c>
      <c r="B1101" s="13">
        <f>+'PLAN DE CUENTAS'!B1101</f>
        <v>0</v>
      </c>
      <c r="C1101" s="13">
        <f>+'PLAN DE CUENTAS'!C1101</f>
        <v>0</v>
      </c>
      <c r="D1101" t="str">
        <f>IF(tbal[[#This Row],[DEBE]]+tbal[[#This Row],[HABER]]=0,"","X")</f>
        <v/>
      </c>
      <c r="E1101" s="16">
        <f>SUMIF(tdiario[CUENTA],tbal[[#This Row],[CUENTA]],tdiario[DEBE])</f>
        <v>0</v>
      </c>
      <c r="F1101" s="17">
        <f>SUMIF(tdiario[CUENTA],tbal[[#This Row],[CUENTA]],tdiario[HABER])</f>
        <v>0</v>
      </c>
      <c r="G1101" s="16">
        <f>IF(tbal[[#This Row],[DEBE]]-tbal[[#This Row],[HABER]]&gt;0,tbal[[#This Row],[DEBE]]-tbal[[#This Row],[HABER]],0)</f>
        <v>0</v>
      </c>
      <c r="H1101" s="18">
        <f>IF(tbal[[#This Row],[HABER]]-tbal[[#This Row],[DEBE]]&gt;0,tbal[[#This Row],[HABER]]-tbal[[#This Row],[DEBE]],0)</f>
        <v>0</v>
      </c>
      <c r="I1101" s="16">
        <f>IF((OR(tbal[[#This Row],[X]]=1,tbal[[#This Row],[X]]=2)),tbal[[#This Row],[DEUDOR]],0)</f>
        <v>0</v>
      </c>
      <c r="J1101" s="18">
        <f>IF((OR(tbal[[#This Row],[X]]=2,tbal[[#This Row],[X]]=3)),tbal[[#This Row],[ACREEDOR]],0)</f>
        <v>0</v>
      </c>
      <c r="K1101" s="16">
        <f>IF((OR(tbal[[#This Row],[X]]=3,tbal[[#This Row],[X]]=5)),tbal[[#This Row],[DEUDOR]],0)</f>
        <v>0</v>
      </c>
      <c r="L1101" s="18">
        <f>IF((OR(tbal[[#This Row],[X]]=3,tbal[[#This Row],[X]]=4)),tbal[[#This Row],[ACREEDOR]],0)</f>
        <v>0</v>
      </c>
      <c r="M1101" s="16">
        <f>IF((OR(tbal[[#This Row],[X]]=0,tbal[[#This Row],[X]]=6)),tbal[[#This Row],[DEUDOR]],0)</f>
        <v>0</v>
      </c>
      <c r="N1101" s="18">
        <f>IF((OR(tbal[[#This Row],[X]]=0,tbal[[#This Row],[X]]=5)),tbal[[#This Row],[ACREEDOR]],0)</f>
        <v>0</v>
      </c>
    </row>
    <row r="1102" spans="1:14" hidden="1" x14ac:dyDescent="0.3">
      <c r="A1102" s="14">
        <f>+'PLAN DE CUENTAS'!A1102</f>
        <v>0</v>
      </c>
      <c r="B1102" s="13">
        <f>+'PLAN DE CUENTAS'!B1102</f>
        <v>0</v>
      </c>
      <c r="C1102" s="13">
        <f>+'PLAN DE CUENTAS'!C1102</f>
        <v>0</v>
      </c>
      <c r="D1102" t="str">
        <f>IF(tbal[[#This Row],[DEBE]]+tbal[[#This Row],[HABER]]=0,"","X")</f>
        <v/>
      </c>
      <c r="E1102" s="16">
        <f>SUMIF(tdiario[CUENTA],tbal[[#This Row],[CUENTA]],tdiario[DEBE])</f>
        <v>0</v>
      </c>
      <c r="F1102" s="17">
        <f>SUMIF(tdiario[CUENTA],tbal[[#This Row],[CUENTA]],tdiario[HABER])</f>
        <v>0</v>
      </c>
      <c r="G1102" s="16">
        <f>IF(tbal[[#This Row],[DEBE]]-tbal[[#This Row],[HABER]]&gt;0,tbal[[#This Row],[DEBE]]-tbal[[#This Row],[HABER]],0)</f>
        <v>0</v>
      </c>
      <c r="H1102" s="18">
        <f>IF(tbal[[#This Row],[HABER]]-tbal[[#This Row],[DEBE]]&gt;0,tbal[[#This Row],[HABER]]-tbal[[#This Row],[DEBE]],0)</f>
        <v>0</v>
      </c>
      <c r="I1102" s="16">
        <f>IF((OR(tbal[[#This Row],[X]]=1,tbal[[#This Row],[X]]=2)),tbal[[#This Row],[DEUDOR]],0)</f>
        <v>0</v>
      </c>
      <c r="J1102" s="18">
        <f>IF((OR(tbal[[#This Row],[X]]=2,tbal[[#This Row],[X]]=3)),tbal[[#This Row],[ACREEDOR]],0)</f>
        <v>0</v>
      </c>
      <c r="K1102" s="16">
        <f>IF((OR(tbal[[#This Row],[X]]=3,tbal[[#This Row],[X]]=5)),tbal[[#This Row],[DEUDOR]],0)</f>
        <v>0</v>
      </c>
      <c r="L1102" s="18">
        <f>IF((OR(tbal[[#This Row],[X]]=3,tbal[[#This Row],[X]]=4)),tbal[[#This Row],[ACREEDOR]],0)</f>
        <v>0</v>
      </c>
      <c r="M1102" s="16">
        <f>IF((OR(tbal[[#This Row],[X]]=0,tbal[[#This Row],[X]]=6)),tbal[[#This Row],[DEUDOR]],0)</f>
        <v>0</v>
      </c>
      <c r="N1102" s="18">
        <f>IF((OR(tbal[[#This Row],[X]]=0,tbal[[#This Row],[X]]=5)),tbal[[#This Row],[ACREEDOR]],0)</f>
        <v>0</v>
      </c>
    </row>
    <row r="1103" spans="1:14" hidden="1" x14ac:dyDescent="0.3">
      <c r="A1103" s="14">
        <f>+'PLAN DE CUENTAS'!A1103</f>
        <v>0</v>
      </c>
      <c r="B1103" s="13">
        <f>+'PLAN DE CUENTAS'!B1103</f>
        <v>0</v>
      </c>
      <c r="C1103" s="13">
        <f>+'PLAN DE CUENTAS'!C1103</f>
        <v>0</v>
      </c>
      <c r="D1103" t="str">
        <f>IF(tbal[[#This Row],[DEBE]]+tbal[[#This Row],[HABER]]=0,"","X")</f>
        <v/>
      </c>
      <c r="E1103" s="16">
        <f>SUMIF(tdiario[CUENTA],tbal[[#This Row],[CUENTA]],tdiario[DEBE])</f>
        <v>0</v>
      </c>
      <c r="F1103" s="17">
        <f>SUMIF(tdiario[CUENTA],tbal[[#This Row],[CUENTA]],tdiario[HABER])</f>
        <v>0</v>
      </c>
      <c r="G1103" s="16">
        <f>IF(tbal[[#This Row],[DEBE]]-tbal[[#This Row],[HABER]]&gt;0,tbal[[#This Row],[DEBE]]-tbal[[#This Row],[HABER]],0)</f>
        <v>0</v>
      </c>
      <c r="H1103" s="18">
        <f>IF(tbal[[#This Row],[HABER]]-tbal[[#This Row],[DEBE]]&gt;0,tbal[[#This Row],[HABER]]-tbal[[#This Row],[DEBE]],0)</f>
        <v>0</v>
      </c>
      <c r="I1103" s="16">
        <f>IF((OR(tbal[[#This Row],[X]]=1,tbal[[#This Row],[X]]=2)),tbal[[#This Row],[DEUDOR]],0)</f>
        <v>0</v>
      </c>
      <c r="J1103" s="18">
        <f>IF((OR(tbal[[#This Row],[X]]=2,tbal[[#This Row],[X]]=3)),tbal[[#This Row],[ACREEDOR]],0)</f>
        <v>0</v>
      </c>
      <c r="K1103" s="16">
        <f>IF((OR(tbal[[#This Row],[X]]=3,tbal[[#This Row],[X]]=5)),tbal[[#This Row],[DEUDOR]],0)</f>
        <v>0</v>
      </c>
      <c r="L1103" s="18">
        <f>IF((OR(tbal[[#This Row],[X]]=3,tbal[[#This Row],[X]]=4)),tbal[[#This Row],[ACREEDOR]],0)</f>
        <v>0</v>
      </c>
      <c r="M1103" s="16">
        <f>IF((OR(tbal[[#This Row],[X]]=0,tbal[[#This Row],[X]]=6)),tbal[[#This Row],[DEUDOR]],0)</f>
        <v>0</v>
      </c>
      <c r="N1103" s="18">
        <f>IF((OR(tbal[[#This Row],[X]]=0,tbal[[#This Row],[X]]=5)),tbal[[#This Row],[ACREEDOR]],0)</f>
        <v>0</v>
      </c>
    </row>
    <row r="1104" spans="1:14" hidden="1" x14ac:dyDescent="0.3">
      <c r="A1104" s="14">
        <f>+'PLAN DE CUENTAS'!A1104</f>
        <v>0</v>
      </c>
      <c r="B1104" s="13">
        <f>+'PLAN DE CUENTAS'!B1104</f>
        <v>0</v>
      </c>
      <c r="C1104" s="13">
        <f>+'PLAN DE CUENTAS'!C1104</f>
        <v>0</v>
      </c>
      <c r="D1104" t="str">
        <f>IF(tbal[[#This Row],[DEBE]]+tbal[[#This Row],[HABER]]=0,"","X")</f>
        <v/>
      </c>
      <c r="E1104" s="16">
        <f>SUMIF(tdiario[CUENTA],tbal[[#This Row],[CUENTA]],tdiario[DEBE])</f>
        <v>0</v>
      </c>
      <c r="F1104" s="17">
        <f>SUMIF(tdiario[CUENTA],tbal[[#This Row],[CUENTA]],tdiario[HABER])</f>
        <v>0</v>
      </c>
      <c r="G1104" s="16">
        <f>IF(tbal[[#This Row],[DEBE]]-tbal[[#This Row],[HABER]]&gt;0,tbal[[#This Row],[DEBE]]-tbal[[#This Row],[HABER]],0)</f>
        <v>0</v>
      </c>
      <c r="H1104" s="18">
        <f>IF(tbal[[#This Row],[HABER]]-tbal[[#This Row],[DEBE]]&gt;0,tbal[[#This Row],[HABER]]-tbal[[#This Row],[DEBE]],0)</f>
        <v>0</v>
      </c>
      <c r="I1104" s="16">
        <f>IF((OR(tbal[[#This Row],[X]]=1,tbal[[#This Row],[X]]=2)),tbal[[#This Row],[DEUDOR]],0)</f>
        <v>0</v>
      </c>
      <c r="J1104" s="18">
        <f>IF((OR(tbal[[#This Row],[X]]=2,tbal[[#This Row],[X]]=3)),tbal[[#This Row],[ACREEDOR]],0)</f>
        <v>0</v>
      </c>
      <c r="K1104" s="16">
        <f>IF((OR(tbal[[#This Row],[X]]=3,tbal[[#This Row],[X]]=5)),tbal[[#This Row],[DEUDOR]],0)</f>
        <v>0</v>
      </c>
      <c r="L1104" s="18">
        <f>IF((OR(tbal[[#This Row],[X]]=3,tbal[[#This Row],[X]]=4)),tbal[[#This Row],[ACREEDOR]],0)</f>
        <v>0</v>
      </c>
      <c r="M1104" s="16">
        <f>IF((OR(tbal[[#This Row],[X]]=0,tbal[[#This Row],[X]]=6)),tbal[[#This Row],[DEUDOR]],0)</f>
        <v>0</v>
      </c>
      <c r="N1104" s="18">
        <f>IF((OR(tbal[[#This Row],[X]]=0,tbal[[#This Row],[X]]=5)),tbal[[#This Row],[ACREEDOR]],0)</f>
        <v>0</v>
      </c>
    </row>
    <row r="1105" spans="1:14" hidden="1" x14ac:dyDescent="0.3">
      <c r="A1105" s="14">
        <f>+'PLAN DE CUENTAS'!A1105</f>
        <v>0</v>
      </c>
      <c r="B1105" s="13">
        <f>+'PLAN DE CUENTAS'!B1105</f>
        <v>0</v>
      </c>
      <c r="C1105" s="13">
        <f>+'PLAN DE CUENTAS'!C1105</f>
        <v>0</v>
      </c>
      <c r="D1105" t="str">
        <f>IF(tbal[[#This Row],[DEBE]]+tbal[[#This Row],[HABER]]=0,"","X")</f>
        <v/>
      </c>
      <c r="E1105" s="16">
        <f>SUMIF(tdiario[CUENTA],tbal[[#This Row],[CUENTA]],tdiario[DEBE])</f>
        <v>0</v>
      </c>
      <c r="F1105" s="17">
        <f>SUMIF(tdiario[CUENTA],tbal[[#This Row],[CUENTA]],tdiario[HABER])</f>
        <v>0</v>
      </c>
      <c r="G1105" s="16">
        <f>IF(tbal[[#This Row],[DEBE]]-tbal[[#This Row],[HABER]]&gt;0,tbal[[#This Row],[DEBE]]-tbal[[#This Row],[HABER]],0)</f>
        <v>0</v>
      </c>
      <c r="H1105" s="18">
        <f>IF(tbal[[#This Row],[HABER]]-tbal[[#This Row],[DEBE]]&gt;0,tbal[[#This Row],[HABER]]-tbal[[#This Row],[DEBE]],0)</f>
        <v>0</v>
      </c>
      <c r="I1105" s="16">
        <f>IF((OR(tbal[[#This Row],[X]]=1,tbal[[#This Row],[X]]=2)),tbal[[#This Row],[DEUDOR]],0)</f>
        <v>0</v>
      </c>
      <c r="J1105" s="18">
        <f>IF((OR(tbal[[#This Row],[X]]=2,tbal[[#This Row],[X]]=3)),tbal[[#This Row],[ACREEDOR]],0)</f>
        <v>0</v>
      </c>
      <c r="K1105" s="16">
        <f>IF((OR(tbal[[#This Row],[X]]=3,tbal[[#This Row],[X]]=5)),tbal[[#This Row],[DEUDOR]],0)</f>
        <v>0</v>
      </c>
      <c r="L1105" s="18">
        <f>IF((OR(tbal[[#This Row],[X]]=3,tbal[[#This Row],[X]]=4)),tbal[[#This Row],[ACREEDOR]],0)</f>
        <v>0</v>
      </c>
      <c r="M1105" s="16">
        <f>IF((OR(tbal[[#This Row],[X]]=0,tbal[[#This Row],[X]]=6)),tbal[[#This Row],[DEUDOR]],0)</f>
        <v>0</v>
      </c>
      <c r="N1105" s="18">
        <f>IF((OR(tbal[[#This Row],[X]]=0,tbal[[#This Row],[X]]=5)),tbal[[#This Row],[ACREEDOR]],0)</f>
        <v>0</v>
      </c>
    </row>
    <row r="1106" spans="1:14" hidden="1" x14ac:dyDescent="0.3">
      <c r="A1106" s="14">
        <f>+'PLAN DE CUENTAS'!A1106</f>
        <v>0</v>
      </c>
      <c r="B1106" s="13">
        <f>+'PLAN DE CUENTAS'!B1106</f>
        <v>0</v>
      </c>
      <c r="C1106" s="13">
        <f>+'PLAN DE CUENTAS'!C1106</f>
        <v>0</v>
      </c>
      <c r="D1106" t="str">
        <f>IF(tbal[[#This Row],[DEBE]]+tbal[[#This Row],[HABER]]=0,"","X")</f>
        <v/>
      </c>
      <c r="E1106" s="16">
        <f>SUMIF(tdiario[CUENTA],tbal[[#This Row],[CUENTA]],tdiario[DEBE])</f>
        <v>0</v>
      </c>
      <c r="F1106" s="17">
        <f>SUMIF(tdiario[CUENTA],tbal[[#This Row],[CUENTA]],tdiario[HABER])</f>
        <v>0</v>
      </c>
      <c r="G1106" s="16">
        <f>IF(tbal[[#This Row],[DEBE]]-tbal[[#This Row],[HABER]]&gt;0,tbal[[#This Row],[DEBE]]-tbal[[#This Row],[HABER]],0)</f>
        <v>0</v>
      </c>
      <c r="H1106" s="18">
        <f>IF(tbal[[#This Row],[HABER]]-tbal[[#This Row],[DEBE]]&gt;0,tbal[[#This Row],[HABER]]-tbal[[#This Row],[DEBE]],0)</f>
        <v>0</v>
      </c>
      <c r="I1106" s="16">
        <f>IF((OR(tbal[[#This Row],[X]]=1,tbal[[#This Row],[X]]=2)),tbal[[#This Row],[DEUDOR]],0)</f>
        <v>0</v>
      </c>
      <c r="J1106" s="18">
        <f>IF((OR(tbal[[#This Row],[X]]=2,tbal[[#This Row],[X]]=3)),tbal[[#This Row],[ACREEDOR]],0)</f>
        <v>0</v>
      </c>
      <c r="K1106" s="16">
        <f>IF((OR(tbal[[#This Row],[X]]=3,tbal[[#This Row],[X]]=5)),tbal[[#This Row],[DEUDOR]],0)</f>
        <v>0</v>
      </c>
      <c r="L1106" s="18">
        <f>IF((OR(tbal[[#This Row],[X]]=3,tbal[[#This Row],[X]]=4)),tbal[[#This Row],[ACREEDOR]],0)</f>
        <v>0</v>
      </c>
      <c r="M1106" s="16">
        <f>IF((OR(tbal[[#This Row],[X]]=0,tbal[[#This Row],[X]]=6)),tbal[[#This Row],[DEUDOR]],0)</f>
        <v>0</v>
      </c>
      <c r="N1106" s="18">
        <f>IF((OR(tbal[[#This Row],[X]]=0,tbal[[#This Row],[X]]=5)),tbal[[#This Row],[ACREEDOR]],0)</f>
        <v>0</v>
      </c>
    </row>
    <row r="1107" spans="1:14" hidden="1" x14ac:dyDescent="0.3">
      <c r="A1107" s="14">
        <f>+'PLAN DE CUENTAS'!A1107</f>
        <v>0</v>
      </c>
      <c r="B1107" s="13">
        <f>+'PLAN DE CUENTAS'!B1107</f>
        <v>0</v>
      </c>
      <c r="C1107" s="13">
        <f>+'PLAN DE CUENTAS'!C1107</f>
        <v>0</v>
      </c>
      <c r="D1107" t="str">
        <f>IF(tbal[[#This Row],[DEBE]]+tbal[[#This Row],[HABER]]=0,"","X")</f>
        <v/>
      </c>
      <c r="E1107" s="16">
        <f>SUMIF(tdiario[CUENTA],tbal[[#This Row],[CUENTA]],tdiario[DEBE])</f>
        <v>0</v>
      </c>
      <c r="F1107" s="17">
        <f>SUMIF(tdiario[CUENTA],tbal[[#This Row],[CUENTA]],tdiario[HABER])</f>
        <v>0</v>
      </c>
      <c r="G1107" s="16">
        <f>IF(tbal[[#This Row],[DEBE]]-tbal[[#This Row],[HABER]]&gt;0,tbal[[#This Row],[DEBE]]-tbal[[#This Row],[HABER]],0)</f>
        <v>0</v>
      </c>
      <c r="H1107" s="18">
        <f>IF(tbal[[#This Row],[HABER]]-tbal[[#This Row],[DEBE]]&gt;0,tbal[[#This Row],[HABER]]-tbal[[#This Row],[DEBE]],0)</f>
        <v>0</v>
      </c>
      <c r="I1107" s="16">
        <f>IF((OR(tbal[[#This Row],[X]]=1,tbal[[#This Row],[X]]=2)),tbal[[#This Row],[DEUDOR]],0)</f>
        <v>0</v>
      </c>
      <c r="J1107" s="18">
        <f>IF((OR(tbal[[#This Row],[X]]=2,tbal[[#This Row],[X]]=3)),tbal[[#This Row],[ACREEDOR]],0)</f>
        <v>0</v>
      </c>
      <c r="K1107" s="16">
        <f>IF((OR(tbal[[#This Row],[X]]=3,tbal[[#This Row],[X]]=5)),tbal[[#This Row],[DEUDOR]],0)</f>
        <v>0</v>
      </c>
      <c r="L1107" s="18">
        <f>IF((OR(tbal[[#This Row],[X]]=3,tbal[[#This Row],[X]]=4)),tbal[[#This Row],[ACREEDOR]],0)</f>
        <v>0</v>
      </c>
      <c r="M1107" s="16">
        <f>IF((OR(tbal[[#This Row],[X]]=0,tbal[[#This Row],[X]]=6)),tbal[[#This Row],[DEUDOR]],0)</f>
        <v>0</v>
      </c>
      <c r="N1107" s="18">
        <f>IF((OR(tbal[[#This Row],[X]]=0,tbal[[#This Row],[X]]=5)),tbal[[#This Row],[ACREEDOR]],0)</f>
        <v>0</v>
      </c>
    </row>
    <row r="1108" spans="1:14" hidden="1" x14ac:dyDescent="0.3">
      <c r="A1108" s="14">
        <f>+'PLAN DE CUENTAS'!A1108</f>
        <v>0</v>
      </c>
      <c r="B1108" s="13">
        <f>+'PLAN DE CUENTAS'!B1108</f>
        <v>0</v>
      </c>
      <c r="C1108" s="13">
        <f>+'PLAN DE CUENTAS'!C1108</f>
        <v>0</v>
      </c>
      <c r="D1108" t="str">
        <f>IF(tbal[[#This Row],[DEBE]]+tbal[[#This Row],[HABER]]=0,"","X")</f>
        <v/>
      </c>
      <c r="E1108" s="16">
        <f>SUMIF(tdiario[CUENTA],tbal[[#This Row],[CUENTA]],tdiario[DEBE])</f>
        <v>0</v>
      </c>
      <c r="F1108" s="17">
        <f>SUMIF(tdiario[CUENTA],tbal[[#This Row],[CUENTA]],tdiario[HABER])</f>
        <v>0</v>
      </c>
      <c r="G1108" s="16">
        <f>IF(tbal[[#This Row],[DEBE]]-tbal[[#This Row],[HABER]]&gt;0,tbal[[#This Row],[DEBE]]-tbal[[#This Row],[HABER]],0)</f>
        <v>0</v>
      </c>
      <c r="H1108" s="18">
        <f>IF(tbal[[#This Row],[HABER]]-tbal[[#This Row],[DEBE]]&gt;0,tbal[[#This Row],[HABER]]-tbal[[#This Row],[DEBE]],0)</f>
        <v>0</v>
      </c>
      <c r="I1108" s="16">
        <f>IF((OR(tbal[[#This Row],[X]]=1,tbal[[#This Row],[X]]=2)),tbal[[#This Row],[DEUDOR]],0)</f>
        <v>0</v>
      </c>
      <c r="J1108" s="18">
        <f>IF((OR(tbal[[#This Row],[X]]=2,tbal[[#This Row],[X]]=3)),tbal[[#This Row],[ACREEDOR]],0)</f>
        <v>0</v>
      </c>
      <c r="K1108" s="16">
        <f>IF((OR(tbal[[#This Row],[X]]=3,tbal[[#This Row],[X]]=5)),tbal[[#This Row],[DEUDOR]],0)</f>
        <v>0</v>
      </c>
      <c r="L1108" s="18">
        <f>IF((OR(tbal[[#This Row],[X]]=3,tbal[[#This Row],[X]]=4)),tbal[[#This Row],[ACREEDOR]],0)</f>
        <v>0</v>
      </c>
      <c r="M1108" s="16">
        <f>IF((OR(tbal[[#This Row],[X]]=0,tbal[[#This Row],[X]]=6)),tbal[[#This Row],[DEUDOR]],0)</f>
        <v>0</v>
      </c>
      <c r="N1108" s="18">
        <f>IF((OR(tbal[[#This Row],[X]]=0,tbal[[#This Row],[X]]=5)),tbal[[#This Row],[ACREEDOR]],0)</f>
        <v>0</v>
      </c>
    </row>
    <row r="1109" spans="1:14" hidden="1" x14ac:dyDescent="0.3">
      <c r="A1109" s="14">
        <f>+'PLAN DE CUENTAS'!A1109</f>
        <v>0</v>
      </c>
      <c r="B1109" s="13">
        <f>+'PLAN DE CUENTAS'!B1109</f>
        <v>0</v>
      </c>
      <c r="C1109" s="13">
        <f>+'PLAN DE CUENTAS'!C1109</f>
        <v>0</v>
      </c>
      <c r="D1109" t="str">
        <f>IF(tbal[[#This Row],[DEBE]]+tbal[[#This Row],[HABER]]=0,"","X")</f>
        <v/>
      </c>
      <c r="E1109" s="16">
        <f>SUMIF(tdiario[CUENTA],tbal[[#This Row],[CUENTA]],tdiario[DEBE])</f>
        <v>0</v>
      </c>
      <c r="F1109" s="17">
        <f>SUMIF(tdiario[CUENTA],tbal[[#This Row],[CUENTA]],tdiario[HABER])</f>
        <v>0</v>
      </c>
      <c r="G1109" s="16">
        <f>IF(tbal[[#This Row],[DEBE]]-tbal[[#This Row],[HABER]]&gt;0,tbal[[#This Row],[DEBE]]-tbal[[#This Row],[HABER]],0)</f>
        <v>0</v>
      </c>
      <c r="H1109" s="18">
        <f>IF(tbal[[#This Row],[HABER]]-tbal[[#This Row],[DEBE]]&gt;0,tbal[[#This Row],[HABER]]-tbal[[#This Row],[DEBE]],0)</f>
        <v>0</v>
      </c>
      <c r="I1109" s="16">
        <f>IF((OR(tbal[[#This Row],[X]]=1,tbal[[#This Row],[X]]=2)),tbal[[#This Row],[DEUDOR]],0)</f>
        <v>0</v>
      </c>
      <c r="J1109" s="18">
        <f>IF((OR(tbal[[#This Row],[X]]=2,tbal[[#This Row],[X]]=3)),tbal[[#This Row],[ACREEDOR]],0)</f>
        <v>0</v>
      </c>
      <c r="K1109" s="16">
        <f>IF((OR(tbal[[#This Row],[X]]=3,tbal[[#This Row],[X]]=5)),tbal[[#This Row],[DEUDOR]],0)</f>
        <v>0</v>
      </c>
      <c r="L1109" s="18">
        <f>IF((OR(tbal[[#This Row],[X]]=3,tbal[[#This Row],[X]]=4)),tbal[[#This Row],[ACREEDOR]],0)</f>
        <v>0</v>
      </c>
      <c r="M1109" s="16">
        <f>IF((OR(tbal[[#This Row],[X]]=0,tbal[[#This Row],[X]]=6)),tbal[[#This Row],[DEUDOR]],0)</f>
        <v>0</v>
      </c>
      <c r="N1109" s="18">
        <f>IF((OR(tbal[[#This Row],[X]]=0,tbal[[#This Row],[X]]=5)),tbal[[#This Row],[ACREEDOR]],0)</f>
        <v>0</v>
      </c>
    </row>
    <row r="1110" spans="1:14" hidden="1" x14ac:dyDescent="0.3">
      <c r="A1110" s="14">
        <f>+'PLAN DE CUENTAS'!A1110</f>
        <v>0</v>
      </c>
      <c r="B1110" s="13">
        <f>+'PLAN DE CUENTAS'!B1110</f>
        <v>0</v>
      </c>
      <c r="C1110" s="13">
        <f>+'PLAN DE CUENTAS'!C1110</f>
        <v>0</v>
      </c>
      <c r="D1110" t="str">
        <f>IF(tbal[[#This Row],[DEBE]]+tbal[[#This Row],[HABER]]=0,"","X")</f>
        <v/>
      </c>
      <c r="E1110" s="16">
        <f>SUMIF(tdiario[CUENTA],tbal[[#This Row],[CUENTA]],tdiario[DEBE])</f>
        <v>0</v>
      </c>
      <c r="F1110" s="17">
        <f>SUMIF(tdiario[CUENTA],tbal[[#This Row],[CUENTA]],tdiario[HABER])</f>
        <v>0</v>
      </c>
      <c r="G1110" s="16">
        <f>IF(tbal[[#This Row],[DEBE]]-tbal[[#This Row],[HABER]]&gt;0,tbal[[#This Row],[DEBE]]-tbal[[#This Row],[HABER]],0)</f>
        <v>0</v>
      </c>
      <c r="H1110" s="18">
        <f>IF(tbal[[#This Row],[HABER]]-tbal[[#This Row],[DEBE]]&gt;0,tbal[[#This Row],[HABER]]-tbal[[#This Row],[DEBE]],0)</f>
        <v>0</v>
      </c>
      <c r="I1110" s="16">
        <f>IF((OR(tbal[[#This Row],[X]]=1,tbal[[#This Row],[X]]=2)),tbal[[#This Row],[DEUDOR]],0)</f>
        <v>0</v>
      </c>
      <c r="J1110" s="18">
        <f>IF((OR(tbal[[#This Row],[X]]=2,tbal[[#This Row],[X]]=3)),tbal[[#This Row],[ACREEDOR]],0)</f>
        <v>0</v>
      </c>
      <c r="K1110" s="16">
        <f>IF((OR(tbal[[#This Row],[X]]=3,tbal[[#This Row],[X]]=5)),tbal[[#This Row],[DEUDOR]],0)</f>
        <v>0</v>
      </c>
      <c r="L1110" s="18">
        <f>IF((OR(tbal[[#This Row],[X]]=3,tbal[[#This Row],[X]]=4)),tbal[[#This Row],[ACREEDOR]],0)</f>
        <v>0</v>
      </c>
      <c r="M1110" s="16">
        <f>IF((OR(tbal[[#This Row],[X]]=0,tbal[[#This Row],[X]]=6)),tbal[[#This Row],[DEUDOR]],0)</f>
        <v>0</v>
      </c>
      <c r="N1110" s="18">
        <f>IF((OR(tbal[[#This Row],[X]]=0,tbal[[#This Row],[X]]=5)),tbal[[#This Row],[ACREEDOR]],0)</f>
        <v>0</v>
      </c>
    </row>
    <row r="1111" spans="1:14" hidden="1" x14ac:dyDescent="0.3">
      <c r="A1111" s="14">
        <f>+'PLAN DE CUENTAS'!A1111</f>
        <v>0</v>
      </c>
      <c r="B1111" s="13">
        <f>+'PLAN DE CUENTAS'!B1111</f>
        <v>0</v>
      </c>
      <c r="C1111" s="13">
        <f>+'PLAN DE CUENTAS'!C1111</f>
        <v>0</v>
      </c>
      <c r="D1111" t="str">
        <f>IF(tbal[[#This Row],[DEBE]]+tbal[[#This Row],[HABER]]=0,"","X")</f>
        <v/>
      </c>
      <c r="E1111" s="16">
        <f>SUMIF(tdiario[CUENTA],tbal[[#This Row],[CUENTA]],tdiario[DEBE])</f>
        <v>0</v>
      </c>
      <c r="F1111" s="17">
        <f>SUMIF(tdiario[CUENTA],tbal[[#This Row],[CUENTA]],tdiario[HABER])</f>
        <v>0</v>
      </c>
      <c r="G1111" s="16">
        <f>IF(tbal[[#This Row],[DEBE]]-tbal[[#This Row],[HABER]]&gt;0,tbal[[#This Row],[DEBE]]-tbal[[#This Row],[HABER]],0)</f>
        <v>0</v>
      </c>
      <c r="H1111" s="18">
        <f>IF(tbal[[#This Row],[HABER]]-tbal[[#This Row],[DEBE]]&gt;0,tbal[[#This Row],[HABER]]-tbal[[#This Row],[DEBE]],0)</f>
        <v>0</v>
      </c>
      <c r="I1111" s="16">
        <f>IF((OR(tbal[[#This Row],[X]]=1,tbal[[#This Row],[X]]=2)),tbal[[#This Row],[DEUDOR]],0)</f>
        <v>0</v>
      </c>
      <c r="J1111" s="18">
        <f>IF((OR(tbal[[#This Row],[X]]=2,tbal[[#This Row],[X]]=3)),tbal[[#This Row],[ACREEDOR]],0)</f>
        <v>0</v>
      </c>
      <c r="K1111" s="16">
        <f>IF((OR(tbal[[#This Row],[X]]=3,tbal[[#This Row],[X]]=5)),tbal[[#This Row],[DEUDOR]],0)</f>
        <v>0</v>
      </c>
      <c r="L1111" s="18">
        <f>IF((OR(tbal[[#This Row],[X]]=3,tbal[[#This Row],[X]]=4)),tbal[[#This Row],[ACREEDOR]],0)</f>
        <v>0</v>
      </c>
      <c r="M1111" s="16">
        <f>IF((OR(tbal[[#This Row],[X]]=0,tbal[[#This Row],[X]]=6)),tbal[[#This Row],[DEUDOR]],0)</f>
        <v>0</v>
      </c>
      <c r="N1111" s="18">
        <f>IF((OR(tbal[[#This Row],[X]]=0,tbal[[#This Row],[X]]=5)),tbal[[#This Row],[ACREEDOR]],0)</f>
        <v>0</v>
      </c>
    </row>
    <row r="1112" spans="1:14" hidden="1" x14ac:dyDescent="0.3">
      <c r="A1112" s="14">
        <f>+'PLAN DE CUENTAS'!A1112</f>
        <v>0</v>
      </c>
      <c r="B1112" s="13">
        <f>+'PLAN DE CUENTAS'!B1112</f>
        <v>0</v>
      </c>
      <c r="C1112" s="13">
        <f>+'PLAN DE CUENTAS'!C1112</f>
        <v>0</v>
      </c>
      <c r="D1112" t="str">
        <f>IF(tbal[[#This Row],[DEBE]]+tbal[[#This Row],[HABER]]=0,"","X")</f>
        <v/>
      </c>
      <c r="E1112" s="16">
        <f>SUMIF(tdiario[CUENTA],tbal[[#This Row],[CUENTA]],tdiario[DEBE])</f>
        <v>0</v>
      </c>
      <c r="F1112" s="17">
        <f>SUMIF(tdiario[CUENTA],tbal[[#This Row],[CUENTA]],tdiario[HABER])</f>
        <v>0</v>
      </c>
      <c r="G1112" s="16">
        <f>IF(tbal[[#This Row],[DEBE]]-tbal[[#This Row],[HABER]]&gt;0,tbal[[#This Row],[DEBE]]-tbal[[#This Row],[HABER]],0)</f>
        <v>0</v>
      </c>
      <c r="H1112" s="18">
        <f>IF(tbal[[#This Row],[HABER]]-tbal[[#This Row],[DEBE]]&gt;0,tbal[[#This Row],[HABER]]-tbal[[#This Row],[DEBE]],0)</f>
        <v>0</v>
      </c>
      <c r="I1112" s="16">
        <f>IF((OR(tbal[[#This Row],[X]]=1,tbal[[#This Row],[X]]=2)),tbal[[#This Row],[DEUDOR]],0)</f>
        <v>0</v>
      </c>
      <c r="J1112" s="18">
        <f>IF((OR(tbal[[#This Row],[X]]=2,tbal[[#This Row],[X]]=3)),tbal[[#This Row],[ACREEDOR]],0)</f>
        <v>0</v>
      </c>
      <c r="K1112" s="16">
        <f>IF((OR(tbal[[#This Row],[X]]=3,tbal[[#This Row],[X]]=5)),tbal[[#This Row],[DEUDOR]],0)</f>
        <v>0</v>
      </c>
      <c r="L1112" s="18">
        <f>IF((OR(tbal[[#This Row],[X]]=3,tbal[[#This Row],[X]]=4)),tbal[[#This Row],[ACREEDOR]],0)</f>
        <v>0</v>
      </c>
      <c r="M1112" s="16">
        <f>IF((OR(tbal[[#This Row],[X]]=0,tbal[[#This Row],[X]]=6)),tbal[[#This Row],[DEUDOR]],0)</f>
        <v>0</v>
      </c>
      <c r="N1112" s="18">
        <f>IF((OR(tbal[[#This Row],[X]]=0,tbal[[#This Row],[X]]=5)),tbal[[#This Row],[ACREEDOR]],0)</f>
        <v>0</v>
      </c>
    </row>
    <row r="1113" spans="1:14" hidden="1" x14ac:dyDescent="0.3">
      <c r="A1113" s="14">
        <f>+'PLAN DE CUENTAS'!A1113</f>
        <v>0</v>
      </c>
      <c r="B1113" s="13">
        <f>+'PLAN DE CUENTAS'!B1113</f>
        <v>0</v>
      </c>
      <c r="C1113" s="13">
        <f>+'PLAN DE CUENTAS'!C1113</f>
        <v>0</v>
      </c>
      <c r="D1113" t="str">
        <f>IF(tbal[[#This Row],[DEBE]]+tbal[[#This Row],[HABER]]=0,"","X")</f>
        <v/>
      </c>
      <c r="E1113" s="16">
        <f>SUMIF(tdiario[CUENTA],tbal[[#This Row],[CUENTA]],tdiario[DEBE])</f>
        <v>0</v>
      </c>
      <c r="F1113" s="17">
        <f>SUMIF(tdiario[CUENTA],tbal[[#This Row],[CUENTA]],tdiario[HABER])</f>
        <v>0</v>
      </c>
      <c r="G1113" s="16">
        <f>IF(tbal[[#This Row],[DEBE]]-tbal[[#This Row],[HABER]]&gt;0,tbal[[#This Row],[DEBE]]-tbal[[#This Row],[HABER]],0)</f>
        <v>0</v>
      </c>
      <c r="H1113" s="18">
        <f>IF(tbal[[#This Row],[HABER]]-tbal[[#This Row],[DEBE]]&gt;0,tbal[[#This Row],[HABER]]-tbal[[#This Row],[DEBE]],0)</f>
        <v>0</v>
      </c>
      <c r="I1113" s="16">
        <f>IF((OR(tbal[[#This Row],[X]]=1,tbal[[#This Row],[X]]=2)),tbal[[#This Row],[DEUDOR]],0)</f>
        <v>0</v>
      </c>
      <c r="J1113" s="18">
        <f>IF((OR(tbal[[#This Row],[X]]=2,tbal[[#This Row],[X]]=3)),tbal[[#This Row],[ACREEDOR]],0)</f>
        <v>0</v>
      </c>
      <c r="K1113" s="16">
        <f>IF((OR(tbal[[#This Row],[X]]=3,tbal[[#This Row],[X]]=5)),tbal[[#This Row],[DEUDOR]],0)</f>
        <v>0</v>
      </c>
      <c r="L1113" s="18">
        <f>IF((OR(tbal[[#This Row],[X]]=3,tbal[[#This Row],[X]]=4)),tbal[[#This Row],[ACREEDOR]],0)</f>
        <v>0</v>
      </c>
      <c r="M1113" s="16">
        <f>IF((OR(tbal[[#This Row],[X]]=0,tbal[[#This Row],[X]]=6)),tbal[[#This Row],[DEUDOR]],0)</f>
        <v>0</v>
      </c>
      <c r="N1113" s="18">
        <f>IF((OR(tbal[[#This Row],[X]]=0,tbal[[#This Row],[X]]=5)),tbal[[#This Row],[ACREEDOR]],0)</f>
        <v>0</v>
      </c>
    </row>
    <row r="1114" spans="1:14" hidden="1" x14ac:dyDescent="0.3">
      <c r="A1114" s="14">
        <f>+'PLAN DE CUENTAS'!A1114</f>
        <v>0</v>
      </c>
      <c r="B1114" s="13">
        <f>+'PLAN DE CUENTAS'!B1114</f>
        <v>0</v>
      </c>
      <c r="C1114" s="13">
        <f>+'PLAN DE CUENTAS'!C1114</f>
        <v>0</v>
      </c>
      <c r="D1114" t="str">
        <f>IF(tbal[[#This Row],[DEBE]]+tbal[[#This Row],[HABER]]=0,"","X")</f>
        <v/>
      </c>
      <c r="E1114" s="16">
        <f>SUMIF(tdiario[CUENTA],tbal[[#This Row],[CUENTA]],tdiario[DEBE])</f>
        <v>0</v>
      </c>
      <c r="F1114" s="17">
        <f>SUMIF(tdiario[CUENTA],tbal[[#This Row],[CUENTA]],tdiario[HABER])</f>
        <v>0</v>
      </c>
      <c r="G1114" s="16">
        <f>IF(tbal[[#This Row],[DEBE]]-tbal[[#This Row],[HABER]]&gt;0,tbal[[#This Row],[DEBE]]-tbal[[#This Row],[HABER]],0)</f>
        <v>0</v>
      </c>
      <c r="H1114" s="18">
        <f>IF(tbal[[#This Row],[HABER]]-tbal[[#This Row],[DEBE]]&gt;0,tbal[[#This Row],[HABER]]-tbal[[#This Row],[DEBE]],0)</f>
        <v>0</v>
      </c>
      <c r="I1114" s="16">
        <f>IF((OR(tbal[[#This Row],[X]]=1,tbal[[#This Row],[X]]=2)),tbal[[#This Row],[DEUDOR]],0)</f>
        <v>0</v>
      </c>
      <c r="J1114" s="18">
        <f>IF((OR(tbal[[#This Row],[X]]=2,tbal[[#This Row],[X]]=3)),tbal[[#This Row],[ACREEDOR]],0)</f>
        <v>0</v>
      </c>
      <c r="K1114" s="16">
        <f>IF((OR(tbal[[#This Row],[X]]=3,tbal[[#This Row],[X]]=5)),tbal[[#This Row],[DEUDOR]],0)</f>
        <v>0</v>
      </c>
      <c r="L1114" s="18">
        <f>IF((OR(tbal[[#This Row],[X]]=3,tbal[[#This Row],[X]]=4)),tbal[[#This Row],[ACREEDOR]],0)</f>
        <v>0</v>
      </c>
      <c r="M1114" s="16">
        <f>IF((OR(tbal[[#This Row],[X]]=0,tbal[[#This Row],[X]]=6)),tbal[[#This Row],[DEUDOR]],0)</f>
        <v>0</v>
      </c>
      <c r="N1114" s="18">
        <f>IF((OR(tbal[[#This Row],[X]]=0,tbal[[#This Row],[X]]=5)),tbal[[#This Row],[ACREEDOR]],0)</f>
        <v>0</v>
      </c>
    </row>
    <row r="1115" spans="1:14" hidden="1" x14ac:dyDescent="0.3">
      <c r="A1115" s="14">
        <f>+'PLAN DE CUENTAS'!A1115</f>
        <v>0</v>
      </c>
      <c r="B1115" s="13">
        <f>+'PLAN DE CUENTAS'!B1115</f>
        <v>0</v>
      </c>
      <c r="C1115" s="13">
        <f>+'PLAN DE CUENTAS'!C1115</f>
        <v>0</v>
      </c>
      <c r="D1115" t="str">
        <f>IF(tbal[[#This Row],[DEBE]]+tbal[[#This Row],[HABER]]=0,"","X")</f>
        <v/>
      </c>
      <c r="E1115" s="16">
        <f>SUMIF(tdiario[CUENTA],tbal[[#This Row],[CUENTA]],tdiario[DEBE])</f>
        <v>0</v>
      </c>
      <c r="F1115" s="17">
        <f>SUMIF(tdiario[CUENTA],tbal[[#This Row],[CUENTA]],tdiario[HABER])</f>
        <v>0</v>
      </c>
      <c r="G1115" s="16">
        <f>IF(tbal[[#This Row],[DEBE]]-tbal[[#This Row],[HABER]]&gt;0,tbal[[#This Row],[DEBE]]-tbal[[#This Row],[HABER]],0)</f>
        <v>0</v>
      </c>
      <c r="H1115" s="18">
        <f>IF(tbal[[#This Row],[HABER]]-tbal[[#This Row],[DEBE]]&gt;0,tbal[[#This Row],[HABER]]-tbal[[#This Row],[DEBE]],0)</f>
        <v>0</v>
      </c>
      <c r="I1115" s="16">
        <f>IF((OR(tbal[[#This Row],[X]]=1,tbal[[#This Row],[X]]=2)),tbal[[#This Row],[DEUDOR]],0)</f>
        <v>0</v>
      </c>
      <c r="J1115" s="18">
        <f>IF((OR(tbal[[#This Row],[X]]=2,tbal[[#This Row],[X]]=3)),tbal[[#This Row],[ACREEDOR]],0)</f>
        <v>0</v>
      </c>
      <c r="K1115" s="16">
        <f>IF((OR(tbal[[#This Row],[X]]=3,tbal[[#This Row],[X]]=5)),tbal[[#This Row],[DEUDOR]],0)</f>
        <v>0</v>
      </c>
      <c r="L1115" s="18">
        <f>IF((OR(tbal[[#This Row],[X]]=3,tbal[[#This Row],[X]]=4)),tbal[[#This Row],[ACREEDOR]],0)</f>
        <v>0</v>
      </c>
      <c r="M1115" s="16">
        <f>IF((OR(tbal[[#This Row],[X]]=0,tbal[[#This Row],[X]]=6)),tbal[[#This Row],[DEUDOR]],0)</f>
        <v>0</v>
      </c>
      <c r="N1115" s="18">
        <f>IF((OR(tbal[[#This Row],[X]]=0,tbal[[#This Row],[X]]=5)),tbal[[#This Row],[ACREEDOR]],0)</f>
        <v>0</v>
      </c>
    </row>
    <row r="1116" spans="1:14" hidden="1" x14ac:dyDescent="0.3">
      <c r="A1116" s="14">
        <f>+'PLAN DE CUENTAS'!A1116</f>
        <v>0</v>
      </c>
      <c r="B1116" s="13">
        <f>+'PLAN DE CUENTAS'!B1116</f>
        <v>0</v>
      </c>
      <c r="C1116" s="13">
        <f>+'PLAN DE CUENTAS'!C1116</f>
        <v>0</v>
      </c>
      <c r="D1116" t="str">
        <f>IF(tbal[[#This Row],[DEBE]]+tbal[[#This Row],[HABER]]=0,"","X")</f>
        <v/>
      </c>
      <c r="E1116" s="16">
        <f>SUMIF(tdiario[CUENTA],tbal[[#This Row],[CUENTA]],tdiario[DEBE])</f>
        <v>0</v>
      </c>
      <c r="F1116" s="17">
        <f>SUMIF(tdiario[CUENTA],tbal[[#This Row],[CUENTA]],tdiario[HABER])</f>
        <v>0</v>
      </c>
      <c r="G1116" s="16">
        <f>IF(tbal[[#This Row],[DEBE]]-tbal[[#This Row],[HABER]]&gt;0,tbal[[#This Row],[DEBE]]-tbal[[#This Row],[HABER]],0)</f>
        <v>0</v>
      </c>
      <c r="H1116" s="18">
        <f>IF(tbal[[#This Row],[HABER]]-tbal[[#This Row],[DEBE]]&gt;0,tbal[[#This Row],[HABER]]-tbal[[#This Row],[DEBE]],0)</f>
        <v>0</v>
      </c>
      <c r="I1116" s="16">
        <f>IF((OR(tbal[[#This Row],[X]]=1,tbal[[#This Row],[X]]=2)),tbal[[#This Row],[DEUDOR]],0)</f>
        <v>0</v>
      </c>
      <c r="J1116" s="18">
        <f>IF((OR(tbal[[#This Row],[X]]=2,tbal[[#This Row],[X]]=3)),tbal[[#This Row],[ACREEDOR]],0)</f>
        <v>0</v>
      </c>
      <c r="K1116" s="16">
        <f>IF((OR(tbal[[#This Row],[X]]=3,tbal[[#This Row],[X]]=5)),tbal[[#This Row],[DEUDOR]],0)</f>
        <v>0</v>
      </c>
      <c r="L1116" s="18">
        <f>IF((OR(tbal[[#This Row],[X]]=3,tbal[[#This Row],[X]]=4)),tbal[[#This Row],[ACREEDOR]],0)</f>
        <v>0</v>
      </c>
      <c r="M1116" s="16">
        <f>IF((OR(tbal[[#This Row],[X]]=0,tbal[[#This Row],[X]]=6)),tbal[[#This Row],[DEUDOR]],0)</f>
        <v>0</v>
      </c>
      <c r="N1116" s="18">
        <f>IF((OR(tbal[[#This Row],[X]]=0,tbal[[#This Row],[X]]=5)),tbal[[#This Row],[ACREEDOR]],0)</f>
        <v>0</v>
      </c>
    </row>
    <row r="1117" spans="1:14" hidden="1" x14ac:dyDescent="0.3">
      <c r="A1117" s="14">
        <f>+'PLAN DE CUENTAS'!A1117</f>
        <v>0</v>
      </c>
      <c r="B1117" s="13">
        <f>+'PLAN DE CUENTAS'!B1117</f>
        <v>0</v>
      </c>
      <c r="C1117" s="13">
        <f>+'PLAN DE CUENTAS'!C1117</f>
        <v>0</v>
      </c>
      <c r="D1117" t="str">
        <f>IF(tbal[[#This Row],[DEBE]]+tbal[[#This Row],[HABER]]=0,"","X")</f>
        <v/>
      </c>
      <c r="E1117" s="16">
        <f>SUMIF(tdiario[CUENTA],tbal[[#This Row],[CUENTA]],tdiario[DEBE])</f>
        <v>0</v>
      </c>
      <c r="F1117" s="17">
        <f>SUMIF(tdiario[CUENTA],tbal[[#This Row],[CUENTA]],tdiario[HABER])</f>
        <v>0</v>
      </c>
      <c r="G1117" s="16">
        <f>IF(tbal[[#This Row],[DEBE]]-tbal[[#This Row],[HABER]]&gt;0,tbal[[#This Row],[DEBE]]-tbal[[#This Row],[HABER]],0)</f>
        <v>0</v>
      </c>
      <c r="H1117" s="18">
        <f>IF(tbal[[#This Row],[HABER]]-tbal[[#This Row],[DEBE]]&gt;0,tbal[[#This Row],[HABER]]-tbal[[#This Row],[DEBE]],0)</f>
        <v>0</v>
      </c>
      <c r="I1117" s="16">
        <f>IF((OR(tbal[[#This Row],[X]]=1,tbal[[#This Row],[X]]=2)),tbal[[#This Row],[DEUDOR]],0)</f>
        <v>0</v>
      </c>
      <c r="J1117" s="18">
        <f>IF((OR(tbal[[#This Row],[X]]=2,tbal[[#This Row],[X]]=3)),tbal[[#This Row],[ACREEDOR]],0)</f>
        <v>0</v>
      </c>
      <c r="K1117" s="16">
        <f>IF((OR(tbal[[#This Row],[X]]=3,tbal[[#This Row],[X]]=5)),tbal[[#This Row],[DEUDOR]],0)</f>
        <v>0</v>
      </c>
      <c r="L1117" s="18">
        <f>IF((OR(tbal[[#This Row],[X]]=3,tbal[[#This Row],[X]]=4)),tbal[[#This Row],[ACREEDOR]],0)</f>
        <v>0</v>
      </c>
      <c r="M1117" s="16">
        <f>IF((OR(tbal[[#This Row],[X]]=0,tbal[[#This Row],[X]]=6)),tbal[[#This Row],[DEUDOR]],0)</f>
        <v>0</v>
      </c>
      <c r="N1117" s="18">
        <f>IF((OR(tbal[[#This Row],[X]]=0,tbal[[#This Row],[X]]=5)),tbal[[#This Row],[ACREEDOR]],0)</f>
        <v>0</v>
      </c>
    </row>
    <row r="1118" spans="1:14" hidden="1" x14ac:dyDescent="0.3">
      <c r="A1118" s="14">
        <f>+'PLAN DE CUENTAS'!A1118</f>
        <v>0</v>
      </c>
      <c r="B1118" s="13">
        <f>+'PLAN DE CUENTAS'!B1118</f>
        <v>0</v>
      </c>
      <c r="C1118" s="13">
        <f>+'PLAN DE CUENTAS'!C1118</f>
        <v>0</v>
      </c>
      <c r="D1118" t="str">
        <f>IF(tbal[[#This Row],[DEBE]]+tbal[[#This Row],[HABER]]=0,"","X")</f>
        <v/>
      </c>
      <c r="E1118" s="16">
        <f>SUMIF(tdiario[CUENTA],tbal[[#This Row],[CUENTA]],tdiario[DEBE])</f>
        <v>0</v>
      </c>
      <c r="F1118" s="17">
        <f>SUMIF(tdiario[CUENTA],tbal[[#This Row],[CUENTA]],tdiario[HABER])</f>
        <v>0</v>
      </c>
      <c r="G1118" s="16">
        <f>IF(tbal[[#This Row],[DEBE]]-tbal[[#This Row],[HABER]]&gt;0,tbal[[#This Row],[DEBE]]-tbal[[#This Row],[HABER]],0)</f>
        <v>0</v>
      </c>
      <c r="H1118" s="18">
        <f>IF(tbal[[#This Row],[HABER]]-tbal[[#This Row],[DEBE]]&gt;0,tbal[[#This Row],[HABER]]-tbal[[#This Row],[DEBE]],0)</f>
        <v>0</v>
      </c>
      <c r="I1118" s="16">
        <f>IF((OR(tbal[[#This Row],[X]]=1,tbal[[#This Row],[X]]=2)),tbal[[#This Row],[DEUDOR]],0)</f>
        <v>0</v>
      </c>
      <c r="J1118" s="18">
        <f>IF((OR(tbal[[#This Row],[X]]=2,tbal[[#This Row],[X]]=3)),tbal[[#This Row],[ACREEDOR]],0)</f>
        <v>0</v>
      </c>
      <c r="K1118" s="16">
        <f>IF((OR(tbal[[#This Row],[X]]=3,tbal[[#This Row],[X]]=5)),tbal[[#This Row],[DEUDOR]],0)</f>
        <v>0</v>
      </c>
      <c r="L1118" s="18">
        <f>IF((OR(tbal[[#This Row],[X]]=3,tbal[[#This Row],[X]]=4)),tbal[[#This Row],[ACREEDOR]],0)</f>
        <v>0</v>
      </c>
      <c r="M1118" s="16">
        <f>IF((OR(tbal[[#This Row],[X]]=0,tbal[[#This Row],[X]]=6)),tbal[[#This Row],[DEUDOR]],0)</f>
        <v>0</v>
      </c>
      <c r="N1118" s="18">
        <f>IF((OR(tbal[[#This Row],[X]]=0,tbal[[#This Row],[X]]=5)),tbal[[#This Row],[ACREEDOR]],0)</f>
        <v>0</v>
      </c>
    </row>
    <row r="1119" spans="1:14" hidden="1" x14ac:dyDescent="0.3">
      <c r="A1119" s="14">
        <f>+'PLAN DE CUENTAS'!A1119</f>
        <v>0</v>
      </c>
      <c r="B1119" s="13">
        <f>+'PLAN DE CUENTAS'!B1119</f>
        <v>0</v>
      </c>
      <c r="C1119" s="13">
        <f>+'PLAN DE CUENTAS'!C1119</f>
        <v>0</v>
      </c>
      <c r="D1119" t="str">
        <f>IF(tbal[[#This Row],[DEBE]]+tbal[[#This Row],[HABER]]=0,"","X")</f>
        <v/>
      </c>
      <c r="E1119" s="16">
        <f>SUMIF(tdiario[CUENTA],tbal[[#This Row],[CUENTA]],tdiario[DEBE])</f>
        <v>0</v>
      </c>
      <c r="F1119" s="17">
        <f>SUMIF(tdiario[CUENTA],tbal[[#This Row],[CUENTA]],tdiario[HABER])</f>
        <v>0</v>
      </c>
      <c r="G1119" s="16">
        <f>IF(tbal[[#This Row],[DEBE]]-tbal[[#This Row],[HABER]]&gt;0,tbal[[#This Row],[DEBE]]-tbal[[#This Row],[HABER]],0)</f>
        <v>0</v>
      </c>
      <c r="H1119" s="18">
        <f>IF(tbal[[#This Row],[HABER]]-tbal[[#This Row],[DEBE]]&gt;0,tbal[[#This Row],[HABER]]-tbal[[#This Row],[DEBE]],0)</f>
        <v>0</v>
      </c>
      <c r="I1119" s="16">
        <f>IF((OR(tbal[[#This Row],[X]]=1,tbal[[#This Row],[X]]=2)),tbal[[#This Row],[DEUDOR]],0)</f>
        <v>0</v>
      </c>
      <c r="J1119" s="18">
        <f>IF((OR(tbal[[#This Row],[X]]=2,tbal[[#This Row],[X]]=3)),tbal[[#This Row],[ACREEDOR]],0)</f>
        <v>0</v>
      </c>
      <c r="K1119" s="16">
        <f>IF((OR(tbal[[#This Row],[X]]=3,tbal[[#This Row],[X]]=5)),tbal[[#This Row],[DEUDOR]],0)</f>
        <v>0</v>
      </c>
      <c r="L1119" s="18">
        <f>IF((OR(tbal[[#This Row],[X]]=3,tbal[[#This Row],[X]]=4)),tbal[[#This Row],[ACREEDOR]],0)</f>
        <v>0</v>
      </c>
      <c r="M1119" s="16">
        <f>IF((OR(tbal[[#This Row],[X]]=0,tbal[[#This Row],[X]]=6)),tbal[[#This Row],[DEUDOR]],0)</f>
        <v>0</v>
      </c>
      <c r="N1119" s="18">
        <f>IF((OR(tbal[[#This Row],[X]]=0,tbal[[#This Row],[X]]=5)),tbal[[#This Row],[ACREEDOR]],0)</f>
        <v>0</v>
      </c>
    </row>
    <row r="1120" spans="1:14" hidden="1" x14ac:dyDescent="0.3">
      <c r="A1120" s="14">
        <f>+'PLAN DE CUENTAS'!A1120</f>
        <v>0</v>
      </c>
      <c r="B1120" s="13">
        <f>+'PLAN DE CUENTAS'!B1120</f>
        <v>0</v>
      </c>
      <c r="C1120" s="13">
        <f>+'PLAN DE CUENTAS'!C1120</f>
        <v>0</v>
      </c>
      <c r="D1120" t="str">
        <f>IF(tbal[[#This Row],[DEBE]]+tbal[[#This Row],[HABER]]=0,"","X")</f>
        <v/>
      </c>
      <c r="E1120" s="16">
        <f>SUMIF(tdiario[CUENTA],tbal[[#This Row],[CUENTA]],tdiario[DEBE])</f>
        <v>0</v>
      </c>
      <c r="F1120" s="17">
        <f>SUMIF(tdiario[CUENTA],tbal[[#This Row],[CUENTA]],tdiario[HABER])</f>
        <v>0</v>
      </c>
      <c r="G1120" s="16">
        <f>IF(tbal[[#This Row],[DEBE]]-tbal[[#This Row],[HABER]]&gt;0,tbal[[#This Row],[DEBE]]-tbal[[#This Row],[HABER]],0)</f>
        <v>0</v>
      </c>
      <c r="H1120" s="18">
        <f>IF(tbal[[#This Row],[HABER]]-tbal[[#This Row],[DEBE]]&gt;0,tbal[[#This Row],[HABER]]-tbal[[#This Row],[DEBE]],0)</f>
        <v>0</v>
      </c>
      <c r="I1120" s="16">
        <f>IF((OR(tbal[[#This Row],[X]]=1,tbal[[#This Row],[X]]=2)),tbal[[#This Row],[DEUDOR]],0)</f>
        <v>0</v>
      </c>
      <c r="J1120" s="18">
        <f>IF((OR(tbal[[#This Row],[X]]=2,tbal[[#This Row],[X]]=3)),tbal[[#This Row],[ACREEDOR]],0)</f>
        <v>0</v>
      </c>
      <c r="K1120" s="16">
        <f>IF((OR(tbal[[#This Row],[X]]=3,tbal[[#This Row],[X]]=5)),tbal[[#This Row],[DEUDOR]],0)</f>
        <v>0</v>
      </c>
      <c r="L1120" s="18">
        <f>IF((OR(tbal[[#This Row],[X]]=3,tbal[[#This Row],[X]]=4)),tbal[[#This Row],[ACREEDOR]],0)</f>
        <v>0</v>
      </c>
      <c r="M1120" s="16">
        <f>IF((OR(tbal[[#This Row],[X]]=0,tbal[[#This Row],[X]]=6)),tbal[[#This Row],[DEUDOR]],0)</f>
        <v>0</v>
      </c>
      <c r="N1120" s="18">
        <f>IF((OR(tbal[[#This Row],[X]]=0,tbal[[#This Row],[X]]=5)),tbal[[#This Row],[ACREEDOR]],0)</f>
        <v>0</v>
      </c>
    </row>
    <row r="1121" spans="1:14" hidden="1" x14ac:dyDescent="0.3">
      <c r="A1121" s="14">
        <f>+'PLAN DE CUENTAS'!A1121</f>
        <v>0</v>
      </c>
      <c r="B1121" s="13">
        <f>+'PLAN DE CUENTAS'!B1121</f>
        <v>0</v>
      </c>
      <c r="C1121" s="13">
        <f>+'PLAN DE CUENTAS'!C1121</f>
        <v>0</v>
      </c>
      <c r="D1121" t="str">
        <f>IF(tbal[[#This Row],[DEBE]]+tbal[[#This Row],[HABER]]=0,"","X")</f>
        <v/>
      </c>
      <c r="E1121" s="16">
        <f>SUMIF(tdiario[CUENTA],tbal[[#This Row],[CUENTA]],tdiario[DEBE])</f>
        <v>0</v>
      </c>
      <c r="F1121" s="17">
        <f>SUMIF(tdiario[CUENTA],tbal[[#This Row],[CUENTA]],tdiario[HABER])</f>
        <v>0</v>
      </c>
      <c r="G1121" s="16">
        <f>IF(tbal[[#This Row],[DEBE]]-tbal[[#This Row],[HABER]]&gt;0,tbal[[#This Row],[DEBE]]-tbal[[#This Row],[HABER]],0)</f>
        <v>0</v>
      </c>
      <c r="H1121" s="18">
        <f>IF(tbal[[#This Row],[HABER]]-tbal[[#This Row],[DEBE]]&gt;0,tbal[[#This Row],[HABER]]-tbal[[#This Row],[DEBE]],0)</f>
        <v>0</v>
      </c>
      <c r="I1121" s="16">
        <f>IF((OR(tbal[[#This Row],[X]]=1,tbal[[#This Row],[X]]=2)),tbal[[#This Row],[DEUDOR]],0)</f>
        <v>0</v>
      </c>
      <c r="J1121" s="18">
        <f>IF((OR(tbal[[#This Row],[X]]=2,tbal[[#This Row],[X]]=3)),tbal[[#This Row],[ACREEDOR]],0)</f>
        <v>0</v>
      </c>
      <c r="K1121" s="16">
        <f>IF((OR(tbal[[#This Row],[X]]=3,tbal[[#This Row],[X]]=5)),tbal[[#This Row],[DEUDOR]],0)</f>
        <v>0</v>
      </c>
      <c r="L1121" s="18">
        <f>IF((OR(tbal[[#This Row],[X]]=3,tbal[[#This Row],[X]]=4)),tbal[[#This Row],[ACREEDOR]],0)</f>
        <v>0</v>
      </c>
      <c r="M1121" s="16">
        <f>IF((OR(tbal[[#This Row],[X]]=0,tbal[[#This Row],[X]]=6)),tbal[[#This Row],[DEUDOR]],0)</f>
        <v>0</v>
      </c>
      <c r="N1121" s="18">
        <f>IF((OR(tbal[[#This Row],[X]]=0,tbal[[#This Row],[X]]=5)),tbal[[#This Row],[ACREEDOR]],0)</f>
        <v>0</v>
      </c>
    </row>
    <row r="1122" spans="1:14" hidden="1" x14ac:dyDescent="0.3">
      <c r="A1122" s="14">
        <f>+'PLAN DE CUENTAS'!A1122</f>
        <v>0</v>
      </c>
      <c r="B1122" s="13">
        <f>+'PLAN DE CUENTAS'!B1122</f>
        <v>0</v>
      </c>
      <c r="C1122" s="13">
        <f>+'PLAN DE CUENTAS'!C1122</f>
        <v>0</v>
      </c>
      <c r="D1122" t="str">
        <f>IF(tbal[[#This Row],[DEBE]]+tbal[[#This Row],[HABER]]=0,"","X")</f>
        <v/>
      </c>
      <c r="E1122" s="16">
        <f>SUMIF(tdiario[CUENTA],tbal[[#This Row],[CUENTA]],tdiario[DEBE])</f>
        <v>0</v>
      </c>
      <c r="F1122" s="17">
        <f>SUMIF(tdiario[CUENTA],tbal[[#This Row],[CUENTA]],tdiario[HABER])</f>
        <v>0</v>
      </c>
      <c r="G1122" s="16">
        <f>IF(tbal[[#This Row],[DEBE]]-tbal[[#This Row],[HABER]]&gt;0,tbal[[#This Row],[DEBE]]-tbal[[#This Row],[HABER]],0)</f>
        <v>0</v>
      </c>
      <c r="H1122" s="18">
        <f>IF(tbal[[#This Row],[HABER]]-tbal[[#This Row],[DEBE]]&gt;0,tbal[[#This Row],[HABER]]-tbal[[#This Row],[DEBE]],0)</f>
        <v>0</v>
      </c>
      <c r="I1122" s="16">
        <f>IF((OR(tbal[[#This Row],[X]]=1,tbal[[#This Row],[X]]=2)),tbal[[#This Row],[DEUDOR]],0)</f>
        <v>0</v>
      </c>
      <c r="J1122" s="18">
        <f>IF((OR(tbal[[#This Row],[X]]=2,tbal[[#This Row],[X]]=3)),tbal[[#This Row],[ACREEDOR]],0)</f>
        <v>0</v>
      </c>
      <c r="K1122" s="16">
        <f>IF((OR(tbal[[#This Row],[X]]=3,tbal[[#This Row],[X]]=5)),tbal[[#This Row],[DEUDOR]],0)</f>
        <v>0</v>
      </c>
      <c r="L1122" s="18">
        <f>IF((OR(tbal[[#This Row],[X]]=3,tbal[[#This Row],[X]]=4)),tbal[[#This Row],[ACREEDOR]],0)</f>
        <v>0</v>
      </c>
      <c r="M1122" s="16">
        <f>IF((OR(tbal[[#This Row],[X]]=0,tbal[[#This Row],[X]]=6)),tbal[[#This Row],[DEUDOR]],0)</f>
        <v>0</v>
      </c>
      <c r="N1122" s="18">
        <f>IF((OR(tbal[[#This Row],[X]]=0,tbal[[#This Row],[X]]=5)),tbal[[#This Row],[ACREEDOR]],0)</f>
        <v>0</v>
      </c>
    </row>
    <row r="1123" spans="1:14" hidden="1" x14ac:dyDescent="0.3">
      <c r="A1123" s="14">
        <f>+'PLAN DE CUENTAS'!A1123</f>
        <v>0</v>
      </c>
      <c r="B1123" s="13">
        <f>+'PLAN DE CUENTAS'!B1123</f>
        <v>0</v>
      </c>
      <c r="C1123" s="13">
        <f>+'PLAN DE CUENTAS'!C1123</f>
        <v>0</v>
      </c>
      <c r="D1123" t="str">
        <f>IF(tbal[[#This Row],[DEBE]]+tbal[[#This Row],[HABER]]=0,"","X")</f>
        <v/>
      </c>
      <c r="E1123" s="16">
        <f>SUMIF(tdiario[CUENTA],tbal[[#This Row],[CUENTA]],tdiario[DEBE])</f>
        <v>0</v>
      </c>
      <c r="F1123" s="17">
        <f>SUMIF(tdiario[CUENTA],tbal[[#This Row],[CUENTA]],tdiario[HABER])</f>
        <v>0</v>
      </c>
      <c r="G1123" s="16">
        <f>IF(tbal[[#This Row],[DEBE]]-tbal[[#This Row],[HABER]]&gt;0,tbal[[#This Row],[DEBE]]-tbal[[#This Row],[HABER]],0)</f>
        <v>0</v>
      </c>
      <c r="H1123" s="18">
        <f>IF(tbal[[#This Row],[HABER]]-tbal[[#This Row],[DEBE]]&gt;0,tbal[[#This Row],[HABER]]-tbal[[#This Row],[DEBE]],0)</f>
        <v>0</v>
      </c>
      <c r="I1123" s="16">
        <f>IF((OR(tbal[[#This Row],[X]]=1,tbal[[#This Row],[X]]=2)),tbal[[#This Row],[DEUDOR]],0)</f>
        <v>0</v>
      </c>
      <c r="J1123" s="18">
        <f>IF((OR(tbal[[#This Row],[X]]=2,tbal[[#This Row],[X]]=3)),tbal[[#This Row],[ACREEDOR]],0)</f>
        <v>0</v>
      </c>
      <c r="K1123" s="16">
        <f>IF((OR(tbal[[#This Row],[X]]=3,tbal[[#This Row],[X]]=5)),tbal[[#This Row],[DEUDOR]],0)</f>
        <v>0</v>
      </c>
      <c r="L1123" s="18">
        <f>IF((OR(tbal[[#This Row],[X]]=3,tbal[[#This Row],[X]]=4)),tbal[[#This Row],[ACREEDOR]],0)</f>
        <v>0</v>
      </c>
      <c r="M1123" s="16">
        <f>IF((OR(tbal[[#This Row],[X]]=0,tbal[[#This Row],[X]]=6)),tbal[[#This Row],[DEUDOR]],0)</f>
        <v>0</v>
      </c>
      <c r="N1123" s="18">
        <f>IF((OR(tbal[[#This Row],[X]]=0,tbal[[#This Row],[X]]=5)),tbal[[#This Row],[ACREEDOR]],0)</f>
        <v>0</v>
      </c>
    </row>
    <row r="1124" spans="1:14" hidden="1" x14ac:dyDescent="0.3">
      <c r="A1124" s="14">
        <f>+'PLAN DE CUENTAS'!A1124</f>
        <v>0</v>
      </c>
      <c r="B1124" s="13">
        <f>+'PLAN DE CUENTAS'!B1124</f>
        <v>0</v>
      </c>
      <c r="C1124" s="13">
        <f>+'PLAN DE CUENTAS'!C1124</f>
        <v>0</v>
      </c>
      <c r="D1124" t="str">
        <f>IF(tbal[[#This Row],[DEBE]]+tbal[[#This Row],[HABER]]=0,"","X")</f>
        <v/>
      </c>
      <c r="E1124" s="16">
        <f>SUMIF(tdiario[CUENTA],tbal[[#This Row],[CUENTA]],tdiario[DEBE])</f>
        <v>0</v>
      </c>
      <c r="F1124" s="17">
        <f>SUMIF(tdiario[CUENTA],tbal[[#This Row],[CUENTA]],tdiario[HABER])</f>
        <v>0</v>
      </c>
      <c r="G1124" s="16">
        <f>IF(tbal[[#This Row],[DEBE]]-tbal[[#This Row],[HABER]]&gt;0,tbal[[#This Row],[DEBE]]-tbal[[#This Row],[HABER]],0)</f>
        <v>0</v>
      </c>
      <c r="H1124" s="18">
        <f>IF(tbal[[#This Row],[HABER]]-tbal[[#This Row],[DEBE]]&gt;0,tbal[[#This Row],[HABER]]-tbal[[#This Row],[DEBE]],0)</f>
        <v>0</v>
      </c>
      <c r="I1124" s="16">
        <f>IF((OR(tbal[[#This Row],[X]]=1,tbal[[#This Row],[X]]=2)),tbal[[#This Row],[DEUDOR]],0)</f>
        <v>0</v>
      </c>
      <c r="J1124" s="18">
        <f>IF((OR(tbal[[#This Row],[X]]=2,tbal[[#This Row],[X]]=3)),tbal[[#This Row],[ACREEDOR]],0)</f>
        <v>0</v>
      </c>
      <c r="K1124" s="16">
        <f>IF((OR(tbal[[#This Row],[X]]=3,tbal[[#This Row],[X]]=5)),tbal[[#This Row],[DEUDOR]],0)</f>
        <v>0</v>
      </c>
      <c r="L1124" s="18">
        <f>IF((OR(tbal[[#This Row],[X]]=3,tbal[[#This Row],[X]]=4)),tbal[[#This Row],[ACREEDOR]],0)</f>
        <v>0</v>
      </c>
      <c r="M1124" s="16">
        <f>IF((OR(tbal[[#This Row],[X]]=0,tbal[[#This Row],[X]]=6)),tbal[[#This Row],[DEUDOR]],0)</f>
        <v>0</v>
      </c>
      <c r="N1124" s="18">
        <f>IF((OR(tbal[[#This Row],[X]]=0,tbal[[#This Row],[X]]=5)),tbal[[#This Row],[ACREEDOR]],0)</f>
        <v>0</v>
      </c>
    </row>
    <row r="1125" spans="1:14" hidden="1" x14ac:dyDescent="0.3">
      <c r="A1125" s="14">
        <f>+'PLAN DE CUENTAS'!A1125</f>
        <v>0</v>
      </c>
      <c r="B1125" s="13">
        <f>+'PLAN DE CUENTAS'!B1125</f>
        <v>0</v>
      </c>
      <c r="C1125" s="13">
        <f>+'PLAN DE CUENTAS'!C1125</f>
        <v>0</v>
      </c>
      <c r="D1125" t="str">
        <f>IF(tbal[[#This Row],[DEBE]]+tbal[[#This Row],[HABER]]=0,"","X")</f>
        <v/>
      </c>
      <c r="E1125" s="16">
        <f>SUMIF(tdiario[CUENTA],tbal[[#This Row],[CUENTA]],tdiario[DEBE])</f>
        <v>0</v>
      </c>
      <c r="F1125" s="17">
        <f>SUMIF(tdiario[CUENTA],tbal[[#This Row],[CUENTA]],tdiario[HABER])</f>
        <v>0</v>
      </c>
      <c r="G1125" s="16">
        <f>IF(tbal[[#This Row],[DEBE]]-tbal[[#This Row],[HABER]]&gt;0,tbal[[#This Row],[DEBE]]-tbal[[#This Row],[HABER]],0)</f>
        <v>0</v>
      </c>
      <c r="H1125" s="18">
        <f>IF(tbal[[#This Row],[HABER]]-tbal[[#This Row],[DEBE]]&gt;0,tbal[[#This Row],[HABER]]-tbal[[#This Row],[DEBE]],0)</f>
        <v>0</v>
      </c>
      <c r="I1125" s="16">
        <f>IF((OR(tbal[[#This Row],[X]]=1,tbal[[#This Row],[X]]=2)),tbal[[#This Row],[DEUDOR]],0)</f>
        <v>0</v>
      </c>
      <c r="J1125" s="18">
        <f>IF((OR(tbal[[#This Row],[X]]=2,tbal[[#This Row],[X]]=3)),tbal[[#This Row],[ACREEDOR]],0)</f>
        <v>0</v>
      </c>
      <c r="K1125" s="16">
        <f>IF((OR(tbal[[#This Row],[X]]=3,tbal[[#This Row],[X]]=5)),tbal[[#This Row],[DEUDOR]],0)</f>
        <v>0</v>
      </c>
      <c r="L1125" s="18">
        <f>IF((OR(tbal[[#This Row],[X]]=3,tbal[[#This Row],[X]]=4)),tbal[[#This Row],[ACREEDOR]],0)</f>
        <v>0</v>
      </c>
      <c r="M1125" s="16">
        <f>IF((OR(tbal[[#This Row],[X]]=0,tbal[[#This Row],[X]]=6)),tbal[[#This Row],[DEUDOR]],0)</f>
        <v>0</v>
      </c>
      <c r="N1125" s="18">
        <f>IF((OR(tbal[[#This Row],[X]]=0,tbal[[#This Row],[X]]=5)),tbal[[#This Row],[ACREEDOR]],0)</f>
        <v>0</v>
      </c>
    </row>
    <row r="1126" spans="1:14" hidden="1" x14ac:dyDescent="0.3">
      <c r="A1126" s="14">
        <f>+'PLAN DE CUENTAS'!A1126</f>
        <v>0</v>
      </c>
      <c r="B1126" s="13">
        <f>+'PLAN DE CUENTAS'!B1126</f>
        <v>0</v>
      </c>
      <c r="C1126" s="13">
        <f>+'PLAN DE CUENTAS'!C1126</f>
        <v>0</v>
      </c>
      <c r="D1126" t="str">
        <f>IF(tbal[[#This Row],[DEBE]]+tbal[[#This Row],[HABER]]=0,"","X")</f>
        <v/>
      </c>
      <c r="E1126" s="16">
        <f>SUMIF(tdiario[CUENTA],tbal[[#This Row],[CUENTA]],tdiario[DEBE])</f>
        <v>0</v>
      </c>
      <c r="F1126" s="17">
        <f>SUMIF(tdiario[CUENTA],tbal[[#This Row],[CUENTA]],tdiario[HABER])</f>
        <v>0</v>
      </c>
      <c r="G1126" s="16">
        <f>IF(tbal[[#This Row],[DEBE]]-tbal[[#This Row],[HABER]]&gt;0,tbal[[#This Row],[DEBE]]-tbal[[#This Row],[HABER]],0)</f>
        <v>0</v>
      </c>
      <c r="H1126" s="18">
        <f>IF(tbal[[#This Row],[HABER]]-tbal[[#This Row],[DEBE]]&gt;0,tbal[[#This Row],[HABER]]-tbal[[#This Row],[DEBE]],0)</f>
        <v>0</v>
      </c>
      <c r="I1126" s="16">
        <f>IF((OR(tbal[[#This Row],[X]]=1,tbal[[#This Row],[X]]=2)),tbal[[#This Row],[DEUDOR]],0)</f>
        <v>0</v>
      </c>
      <c r="J1126" s="18">
        <f>IF((OR(tbal[[#This Row],[X]]=2,tbal[[#This Row],[X]]=3)),tbal[[#This Row],[ACREEDOR]],0)</f>
        <v>0</v>
      </c>
      <c r="K1126" s="16">
        <f>IF((OR(tbal[[#This Row],[X]]=3,tbal[[#This Row],[X]]=5)),tbal[[#This Row],[DEUDOR]],0)</f>
        <v>0</v>
      </c>
      <c r="L1126" s="18">
        <f>IF((OR(tbal[[#This Row],[X]]=3,tbal[[#This Row],[X]]=4)),tbal[[#This Row],[ACREEDOR]],0)</f>
        <v>0</v>
      </c>
      <c r="M1126" s="16">
        <f>IF((OR(tbal[[#This Row],[X]]=0,tbal[[#This Row],[X]]=6)),tbal[[#This Row],[DEUDOR]],0)</f>
        <v>0</v>
      </c>
      <c r="N1126" s="18">
        <f>IF((OR(tbal[[#This Row],[X]]=0,tbal[[#This Row],[X]]=5)),tbal[[#This Row],[ACREEDOR]],0)</f>
        <v>0</v>
      </c>
    </row>
    <row r="1127" spans="1:14" hidden="1" x14ac:dyDescent="0.3">
      <c r="A1127" s="14">
        <f>+'PLAN DE CUENTAS'!A1127</f>
        <v>0</v>
      </c>
      <c r="B1127" s="13">
        <f>+'PLAN DE CUENTAS'!B1127</f>
        <v>0</v>
      </c>
      <c r="C1127" s="13">
        <f>+'PLAN DE CUENTAS'!C1127</f>
        <v>0</v>
      </c>
      <c r="D1127" t="str">
        <f>IF(tbal[[#This Row],[DEBE]]+tbal[[#This Row],[HABER]]=0,"","X")</f>
        <v/>
      </c>
      <c r="E1127" s="16">
        <f>SUMIF(tdiario[CUENTA],tbal[[#This Row],[CUENTA]],tdiario[DEBE])</f>
        <v>0</v>
      </c>
      <c r="F1127" s="17">
        <f>SUMIF(tdiario[CUENTA],tbal[[#This Row],[CUENTA]],tdiario[HABER])</f>
        <v>0</v>
      </c>
      <c r="G1127" s="16">
        <f>IF(tbal[[#This Row],[DEBE]]-tbal[[#This Row],[HABER]]&gt;0,tbal[[#This Row],[DEBE]]-tbal[[#This Row],[HABER]],0)</f>
        <v>0</v>
      </c>
      <c r="H1127" s="18">
        <f>IF(tbal[[#This Row],[HABER]]-tbal[[#This Row],[DEBE]]&gt;0,tbal[[#This Row],[HABER]]-tbal[[#This Row],[DEBE]],0)</f>
        <v>0</v>
      </c>
      <c r="I1127" s="16">
        <f>IF((OR(tbal[[#This Row],[X]]=1,tbal[[#This Row],[X]]=2)),tbal[[#This Row],[DEUDOR]],0)</f>
        <v>0</v>
      </c>
      <c r="J1127" s="18">
        <f>IF((OR(tbal[[#This Row],[X]]=2,tbal[[#This Row],[X]]=3)),tbal[[#This Row],[ACREEDOR]],0)</f>
        <v>0</v>
      </c>
      <c r="K1127" s="16">
        <f>IF((OR(tbal[[#This Row],[X]]=3,tbal[[#This Row],[X]]=5)),tbal[[#This Row],[DEUDOR]],0)</f>
        <v>0</v>
      </c>
      <c r="L1127" s="18">
        <f>IF((OR(tbal[[#This Row],[X]]=3,tbal[[#This Row],[X]]=4)),tbal[[#This Row],[ACREEDOR]],0)</f>
        <v>0</v>
      </c>
      <c r="M1127" s="16">
        <f>IF((OR(tbal[[#This Row],[X]]=0,tbal[[#This Row],[X]]=6)),tbal[[#This Row],[DEUDOR]],0)</f>
        <v>0</v>
      </c>
      <c r="N1127" s="18">
        <f>IF((OR(tbal[[#This Row],[X]]=0,tbal[[#This Row],[X]]=5)),tbal[[#This Row],[ACREEDOR]],0)</f>
        <v>0</v>
      </c>
    </row>
    <row r="1128" spans="1:14" hidden="1" x14ac:dyDescent="0.3">
      <c r="A1128" s="14">
        <f>+'PLAN DE CUENTAS'!A1128</f>
        <v>0</v>
      </c>
      <c r="B1128" s="13">
        <f>+'PLAN DE CUENTAS'!B1128</f>
        <v>0</v>
      </c>
      <c r="C1128" s="13">
        <f>+'PLAN DE CUENTAS'!C1128</f>
        <v>0</v>
      </c>
      <c r="D1128" t="str">
        <f>IF(tbal[[#This Row],[DEBE]]+tbal[[#This Row],[HABER]]=0,"","X")</f>
        <v/>
      </c>
      <c r="E1128" s="16">
        <f>SUMIF(tdiario[CUENTA],tbal[[#This Row],[CUENTA]],tdiario[DEBE])</f>
        <v>0</v>
      </c>
      <c r="F1128" s="17">
        <f>SUMIF(tdiario[CUENTA],tbal[[#This Row],[CUENTA]],tdiario[HABER])</f>
        <v>0</v>
      </c>
      <c r="G1128" s="16">
        <f>IF(tbal[[#This Row],[DEBE]]-tbal[[#This Row],[HABER]]&gt;0,tbal[[#This Row],[DEBE]]-tbal[[#This Row],[HABER]],0)</f>
        <v>0</v>
      </c>
      <c r="H1128" s="18">
        <f>IF(tbal[[#This Row],[HABER]]-tbal[[#This Row],[DEBE]]&gt;0,tbal[[#This Row],[HABER]]-tbal[[#This Row],[DEBE]],0)</f>
        <v>0</v>
      </c>
      <c r="I1128" s="16">
        <f>IF((OR(tbal[[#This Row],[X]]=1,tbal[[#This Row],[X]]=2)),tbal[[#This Row],[DEUDOR]],0)</f>
        <v>0</v>
      </c>
      <c r="J1128" s="18">
        <f>IF((OR(tbal[[#This Row],[X]]=2,tbal[[#This Row],[X]]=3)),tbal[[#This Row],[ACREEDOR]],0)</f>
        <v>0</v>
      </c>
      <c r="K1128" s="16">
        <f>IF((OR(tbal[[#This Row],[X]]=3,tbal[[#This Row],[X]]=5)),tbal[[#This Row],[DEUDOR]],0)</f>
        <v>0</v>
      </c>
      <c r="L1128" s="18">
        <f>IF((OR(tbal[[#This Row],[X]]=3,tbal[[#This Row],[X]]=4)),tbal[[#This Row],[ACREEDOR]],0)</f>
        <v>0</v>
      </c>
      <c r="M1128" s="16">
        <f>IF((OR(tbal[[#This Row],[X]]=0,tbal[[#This Row],[X]]=6)),tbal[[#This Row],[DEUDOR]],0)</f>
        <v>0</v>
      </c>
      <c r="N1128" s="18">
        <f>IF((OR(tbal[[#This Row],[X]]=0,tbal[[#This Row],[X]]=5)),tbal[[#This Row],[ACREEDOR]],0)</f>
        <v>0</v>
      </c>
    </row>
    <row r="1129" spans="1:14" hidden="1" x14ac:dyDescent="0.3">
      <c r="A1129" s="14">
        <f>+'PLAN DE CUENTAS'!A1129</f>
        <v>0</v>
      </c>
      <c r="B1129" s="13">
        <f>+'PLAN DE CUENTAS'!B1129</f>
        <v>0</v>
      </c>
      <c r="C1129" s="13">
        <f>+'PLAN DE CUENTAS'!C1129</f>
        <v>0</v>
      </c>
      <c r="D1129" t="str">
        <f>IF(tbal[[#This Row],[DEBE]]+tbal[[#This Row],[HABER]]=0,"","X")</f>
        <v/>
      </c>
      <c r="E1129" s="16">
        <f>SUMIF(tdiario[CUENTA],tbal[[#This Row],[CUENTA]],tdiario[DEBE])</f>
        <v>0</v>
      </c>
      <c r="F1129" s="17">
        <f>SUMIF(tdiario[CUENTA],tbal[[#This Row],[CUENTA]],tdiario[HABER])</f>
        <v>0</v>
      </c>
      <c r="G1129" s="16">
        <f>IF(tbal[[#This Row],[DEBE]]-tbal[[#This Row],[HABER]]&gt;0,tbal[[#This Row],[DEBE]]-tbal[[#This Row],[HABER]],0)</f>
        <v>0</v>
      </c>
      <c r="H1129" s="18">
        <f>IF(tbal[[#This Row],[HABER]]-tbal[[#This Row],[DEBE]]&gt;0,tbal[[#This Row],[HABER]]-tbal[[#This Row],[DEBE]],0)</f>
        <v>0</v>
      </c>
      <c r="I1129" s="16">
        <f>IF((OR(tbal[[#This Row],[X]]=1,tbal[[#This Row],[X]]=2)),tbal[[#This Row],[DEUDOR]],0)</f>
        <v>0</v>
      </c>
      <c r="J1129" s="18">
        <f>IF((OR(tbal[[#This Row],[X]]=2,tbal[[#This Row],[X]]=3)),tbal[[#This Row],[ACREEDOR]],0)</f>
        <v>0</v>
      </c>
      <c r="K1129" s="16">
        <f>IF((OR(tbal[[#This Row],[X]]=3,tbal[[#This Row],[X]]=5)),tbal[[#This Row],[DEUDOR]],0)</f>
        <v>0</v>
      </c>
      <c r="L1129" s="18">
        <f>IF((OR(tbal[[#This Row],[X]]=3,tbal[[#This Row],[X]]=4)),tbal[[#This Row],[ACREEDOR]],0)</f>
        <v>0</v>
      </c>
      <c r="M1129" s="16">
        <f>IF((OR(tbal[[#This Row],[X]]=0,tbal[[#This Row],[X]]=6)),tbal[[#This Row],[DEUDOR]],0)</f>
        <v>0</v>
      </c>
      <c r="N1129" s="18">
        <f>IF((OR(tbal[[#This Row],[X]]=0,tbal[[#This Row],[X]]=5)),tbal[[#This Row],[ACREEDOR]],0)</f>
        <v>0</v>
      </c>
    </row>
    <row r="1130" spans="1:14" hidden="1" x14ac:dyDescent="0.3">
      <c r="A1130" s="14">
        <f>+'PLAN DE CUENTAS'!A1130</f>
        <v>0</v>
      </c>
      <c r="B1130" s="13">
        <f>+'PLAN DE CUENTAS'!B1130</f>
        <v>0</v>
      </c>
      <c r="C1130" s="13">
        <f>+'PLAN DE CUENTAS'!C1130</f>
        <v>0</v>
      </c>
      <c r="D1130" t="str">
        <f>IF(tbal[[#This Row],[DEBE]]+tbal[[#This Row],[HABER]]=0,"","X")</f>
        <v/>
      </c>
      <c r="E1130" s="16">
        <f>SUMIF(tdiario[CUENTA],tbal[[#This Row],[CUENTA]],tdiario[DEBE])</f>
        <v>0</v>
      </c>
      <c r="F1130" s="17">
        <f>SUMIF(tdiario[CUENTA],tbal[[#This Row],[CUENTA]],tdiario[HABER])</f>
        <v>0</v>
      </c>
      <c r="G1130" s="16">
        <f>IF(tbal[[#This Row],[DEBE]]-tbal[[#This Row],[HABER]]&gt;0,tbal[[#This Row],[DEBE]]-tbal[[#This Row],[HABER]],0)</f>
        <v>0</v>
      </c>
      <c r="H1130" s="18">
        <f>IF(tbal[[#This Row],[HABER]]-tbal[[#This Row],[DEBE]]&gt;0,tbal[[#This Row],[HABER]]-tbal[[#This Row],[DEBE]],0)</f>
        <v>0</v>
      </c>
      <c r="I1130" s="16">
        <f>IF((OR(tbal[[#This Row],[X]]=1,tbal[[#This Row],[X]]=2)),tbal[[#This Row],[DEUDOR]],0)</f>
        <v>0</v>
      </c>
      <c r="J1130" s="18">
        <f>IF((OR(tbal[[#This Row],[X]]=2,tbal[[#This Row],[X]]=3)),tbal[[#This Row],[ACREEDOR]],0)</f>
        <v>0</v>
      </c>
      <c r="K1130" s="16">
        <f>IF((OR(tbal[[#This Row],[X]]=3,tbal[[#This Row],[X]]=5)),tbal[[#This Row],[DEUDOR]],0)</f>
        <v>0</v>
      </c>
      <c r="L1130" s="18">
        <f>IF((OR(tbal[[#This Row],[X]]=3,tbal[[#This Row],[X]]=4)),tbal[[#This Row],[ACREEDOR]],0)</f>
        <v>0</v>
      </c>
      <c r="M1130" s="16">
        <f>IF((OR(tbal[[#This Row],[X]]=0,tbal[[#This Row],[X]]=6)),tbal[[#This Row],[DEUDOR]],0)</f>
        <v>0</v>
      </c>
      <c r="N1130" s="18">
        <f>IF((OR(tbal[[#This Row],[X]]=0,tbal[[#This Row],[X]]=5)),tbal[[#This Row],[ACREEDOR]],0)</f>
        <v>0</v>
      </c>
    </row>
    <row r="1131" spans="1:14" hidden="1" x14ac:dyDescent="0.3">
      <c r="A1131" s="14">
        <f>+'PLAN DE CUENTAS'!A1131</f>
        <v>0</v>
      </c>
      <c r="B1131" s="13">
        <f>+'PLAN DE CUENTAS'!B1131</f>
        <v>0</v>
      </c>
      <c r="C1131" s="13">
        <f>+'PLAN DE CUENTAS'!C1131</f>
        <v>0</v>
      </c>
      <c r="D1131" t="str">
        <f>IF(tbal[[#This Row],[DEBE]]+tbal[[#This Row],[HABER]]=0,"","X")</f>
        <v/>
      </c>
      <c r="E1131" s="16">
        <f>SUMIF(tdiario[CUENTA],tbal[[#This Row],[CUENTA]],tdiario[DEBE])</f>
        <v>0</v>
      </c>
      <c r="F1131" s="17">
        <f>SUMIF(tdiario[CUENTA],tbal[[#This Row],[CUENTA]],tdiario[HABER])</f>
        <v>0</v>
      </c>
      <c r="G1131" s="16">
        <f>IF(tbal[[#This Row],[DEBE]]-tbal[[#This Row],[HABER]]&gt;0,tbal[[#This Row],[DEBE]]-tbal[[#This Row],[HABER]],0)</f>
        <v>0</v>
      </c>
      <c r="H1131" s="18">
        <f>IF(tbal[[#This Row],[HABER]]-tbal[[#This Row],[DEBE]]&gt;0,tbal[[#This Row],[HABER]]-tbal[[#This Row],[DEBE]],0)</f>
        <v>0</v>
      </c>
      <c r="I1131" s="16">
        <f>IF((OR(tbal[[#This Row],[X]]=1,tbal[[#This Row],[X]]=2)),tbal[[#This Row],[DEUDOR]],0)</f>
        <v>0</v>
      </c>
      <c r="J1131" s="18">
        <f>IF((OR(tbal[[#This Row],[X]]=2,tbal[[#This Row],[X]]=3)),tbal[[#This Row],[ACREEDOR]],0)</f>
        <v>0</v>
      </c>
      <c r="K1131" s="16">
        <f>IF((OR(tbal[[#This Row],[X]]=3,tbal[[#This Row],[X]]=5)),tbal[[#This Row],[DEUDOR]],0)</f>
        <v>0</v>
      </c>
      <c r="L1131" s="18">
        <f>IF((OR(tbal[[#This Row],[X]]=3,tbal[[#This Row],[X]]=4)),tbal[[#This Row],[ACREEDOR]],0)</f>
        <v>0</v>
      </c>
      <c r="M1131" s="16">
        <f>IF((OR(tbal[[#This Row],[X]]=0,tbal[[#This Row],[X]]=6)),tbal[[#This Row],[DEUDOR]],0)</f>
        <v>0</v>
      </c>
      <c r="N1131" s="18">
        <f>IF((OR(tbal[[#This Row],[X]]=0,tbal[[#This Row],[X]]=5)),tbal[[#This Row],[ACREEDOR]],0)</f>
        <v>0</v>
      </c>
    </row>
    <row r="1132" spans="1:14" hidden="1" x14ac:dyDescent="0.3">
      <c r="A1132" s="14">
        <f>+'PLAN DE CUENTAS'!A1132</f>
        <v>0</v>
      </c>
      <c r="B1132" s="13">
        <f>+'PLAN DE CUENTAS'!B1132</f>
        <v>0</v>
      </c>
      <c r="C1132" s="13">
        <f>+'PLAN DE CUENTAS'!C1132</f>
        <v>0</v>
      </c>
      <c r="D1132" t="str">
        <f>IF(tbal[[#This Row],[DEBE]]+tbal[[#This Row],[HABER]]=0,"","X")</f>
        <v/>
      </c>
      <c r="E1132" s="16">
        <f>SUMIF(tdiario[CUENTA],tbal[[#This Row],[CUENTA]],tdiario[DEBE])</f>
        <v>0</v>
      </c>
      <c r="F1132" s="17">
        <f>SUMIF(tdiario[CUENTA],tbal[[#This Row],[CUENTA]],tdiario[HABER])</f>
        <v>0</v>
      </c>
      <c r="G1132" s="16">
        <f>IF(tbal[[#This Row],[DEBE]]-tbal[[#This Row],[HABER]]&gt;0,tbal[[#This Row],[DEBE]]-tbal[[#This Row],[HABER]],0)</f>
        <v>0</v>
      </c>
      <c r="H1132" s="18">
        <f>IF(tbal[[#This Row],[HABER]]-tbal[[#This Row],[DEBE]]&gt;0,tbal[[#This Row],[HABER]]-tbal[[#This Row],[DEBE]],0)</f>
        <v>0</v>
      </c>
      <c r="I1132" s="16">
        <f>IF((OR(tbal[[#This Row],[X]]=1,tbal[[#This Row],[X]]=2)),tbal[[#This Row],[DEUDOR]],0)</f>
        <v>0</v>
      </c>
      <c r="J1132" s="18">
        <f>IF((OR(tbal[[#This Row],[X]]=2,tbal[[#This Row],[X]]=3)),tbal[[#This Row],[ACREEDOR]],0)</f>
        <v>0</v>
      </c>
      <c r="K1132" s="16">
        <f>IF((OR(tbal[[#This Row],[X]]=3,tbal[[#This Row],[X]]=5)),tbal[[#This Row],[DEUDOR]],0)</f>
        <v>0</v>
      </c>
      <c r="L1132" s="18">
        <f>IF((OR(tbal[[#This Row],[X]]=3,tbal[[#This Row],[X]]=4)),tbal[[#This Row],[ACREEDOR]],0)</f>
        <v>0</v>
      </c>
      <c r="M1132" s="16">
        <f>IF((OR(tbal[[#This Row],[X]]=0,tbal[[#This Row],[X]]=6)),tbal[[#This Row],[DEUDOR]],0)</f>
        <v>0</v>
      </c>
      <c r="N1132" s="18">
        <f>IF((OR(tbal[[#This Row],[X]]=0,tbal[[#This Row],[X]]=5)),tbal[[#This Row],[ACREEDOR]],0)</f>
        <v>0</v>
      </c>
    </row>
    <row r="1133" spans="1:14" hidden="1" x14ac:dyDescent="0.3">
      <c r="A1133" s="14">
        <f>+'PLAN DE CUENTAS'!A1133</f>
        <v>0</v>
      </c>
      <c r="B1133" s="13">
        <f>+'PLAN DE CUENTAS'!B1133</f>
        <v>0</v>
      </c>
      <c r="C1133" s="13">
        <f>+'PLAN DE CUENTAS'!C1133</f>
        <v>0</v>
      </c>
      <c r="D1133" t="str">
        <f>IF(tbal[[#This Row],[DEBE]]+tbal[[#This Row],[HABER]]=0,"","X")</f>
        <v/>
      </c>
      <c r="E1133" s="16">
        <f>SUMIF(tdiario[CUENTA],tbal[[#This Row],[CUENTA]],tdiario[DEBE])</f>
        <v>0</v>
      </c>
      <c r="F1133" s="17">
        <f>SUMIF(tdiario[CUENTA],tbal[[#This Row],[CUENTA]],tdiario[HABER])</f>
        <v>0</v>
      </c>
      <c r="G1133" s="16">
        <f>IF(tbal[[#This Row],[DEBE]]-tbal[[#This Row],[HABER]]&gt;0,tbal[[#This Row],[DEBE]]-tbal[[#This Row],[HABER]],0)</f>
        <v>0</v>
      </c>
      <c r="H1133" s="18">
        <f>IF(tbal[[#This Row],[HABER]]-tbal[[#This Row],[DEBE]]&gt;0,tbal[[#This Row],[HABER]]-tbal[[#This Row],[DEBE]],0)</f>
        <v>0</v>
      </c>
      <c r="I1133" s="16">
        <f>IF((OR(tbal[[#This Row],[X]]=1,tbal[[#This Row],[X]]=2)),tbal[[#This Row],[DEUDOR]],0)</f>
        <v>0</v>
      </c>
      <c r="J1133" s="18">
        <f>IF((OR(tbal[[#This Row],[X]]=2,tbal[[#This Row],[X]]=3)),tbal[[#This Row],[ACREEDOR]],0)</f>
        <v>0</v>
      </c>
      <c r="K1133" s="16">
        <f>IF((OR(tbal[[#This Row],[X]]=3,tbal[[#This Row],[X]]=5)),tbal[[#This Row],[DEUDOR]],0)</f>
        <v>0</v>
      </c>
      <c r="L1133" s="18">
        <f>IF((OR(tbal[[#This Row],[X]]=3,tbal[[#This Row],[X]]=4)),tbal[[#This Row],[ACREEDOR]],0)</f>
        <v>0</v>
      </c>
      <c r="M1133" s="16">
        <f>IF((OR(tbal[[#This Row],[X]]=0,tbal[[#This Row],[X]]=6)),tbal[[#This Row],[DEUDOR]],0)</f>
        <v>0</v>
      </c>
      <c r="N1133" s="18">
        <f>IF((OR(tbal[[#This Row],[X]]=0,tbal[[#This Row],[X]]=5)),tbal[[#This Row],[ACREEDOR]],0)</f>
        <v>0</v>
      </c>
    </row>
    <row r="1134" spans="1:14" hidden="1" x14ac:dyDescent="0.3">
      <c r="A1134" s="14">
        <f>+'PLAN DE CUENTAS'!A1134</f>
        <v>0</v>
      </c>
      <c r="B1134" s="13">
        <f>+'PLAN DE CUENTAS'!B1134</f>
        <v>0</v>
      </c>
      <c r="C1134" s="13">
        <f>+'PLAN DE CUENTAS'!C1134</f>
        <v>0</v>
      </c>
      <c r="D1134" t="str">
        <f>IF(tbal[[#This Row],[DEBE]]+tbal[[#This Row],[HABER]]=0,"","X")</f>
        <v/>
      </c>
      <c r="E1134" s="16">
        <f>SUMIF(tdiario[CUENTA],tbal[[#This Row],[CUENTA]],tdiario[DEBE])</f>
        <v>0</v>
      </c>
      <c r="F1134" s="17">
        <f>SUMIF(tdiario[CUENTA],tbal[[#This Row],[CUENTA]],tdiario[HABER])</f>
        <v>0</v>
      </c>
      <c r="G1134" s="16">
        <f>IF(tbal[[#This Row],[DEBE]]-tbal[[#This Row],[HABER]]&gt;0,tbal[[#This Row],[DEBE]]-tbal[[#This Row],[HABER]],0)</f>
        <v>0</v>
      </c>
      <c r="H1134" s="18">
        <f>IF(tbal[[#This Row],[HABER]]-tbal[[#This Row],[DEBE]]&gt;0,tbal[[#This Row],[HABER]]-tbal[[#This Row],[DEBE]],0)</f>
        <v>0</v>
      </c>
      <c r="I1134" s="16">
        <f>IF((OR(tbal[[#This Row],[X]]=1,tbal[[#This Row],[X]]=2)),tbal[[#This Row],[DEUDOR]],0)</f>
        <v>0</v>
      </c>
      <c r="J1134" s="18">
        <f>IF((OR(tbal[[#This Row],[X]]=2,tbal[[#This Row],[X]]=3)),tbal[[#This Row],[ACREEDOR]],0)</f>
        <v>0</v>
      </c>
      <c r="K1134" s="16">
        <f>IF((OR(tbal[[#This Row],[X]]=3,tbal[[#This Row],[X]]=5)),tbal[[#This Row],[DEUDOR]],0)</f>
        <v>0</v>
      </c>
      <c r="L1134" s="18">
        <f>IF((OR(tbal[[#This Row],[X]]=3,tbal[[#This Row],[X]]=4)),tbal[[#This Row],[ACREEDOR]],0)</f>
        <v>0</v>
      </c>
      <c r="M1134" s="16">
        <f>IF((OR(tbal[[#This Row],[X]]=0,tbal[[#This Row],[X]]=6)),tbal[[#This Row],[DEUDOR]],0)</f>
        <v>0</v>
      </c>
      <c r="N1134" s="18">
        <f>IF((OR(tbal[[#This Row],[X]]=0,tbal[[#This Row],[X]]=5)),tbal[[#This Row],[ACREEDOR]],0)</f>
        <v>0</v>
      </c>
    </row>
    <row r="1135" spans="1:14" hidden="1" x14ac:dyDescent="0.3">
      <c r="A1135" s="14">
        <f>+'PLAN DE CUENTAS'!A1135</f>
        <v>0</v>
      </c>
      <c r="B1135" s="13">
        <f>+'PLAN DE CUENTAS'!B1135</f>
        <v>0</v>
      </c>
      <c r="C1135" s="13">
        <f>+'PLAN DE CUENTAS'!C1135</f>
        <v>0</v>
      </c>
      <c r="D1135" t="str">
        <f>IF(tbal[[#This Row],[DEBE]]+tbal[[#This Row],[HABER]]=0,"","X")</f>
        <v/>
      </c>
      <c r="E1135" s="16">
        <f>SUMIF(tdiario[CUENTA],tbal[[#This Row],[CUENTA]],tdiario[DEBE])</f>
        <v>0</v>
      </c>
      <c r="F1135" s="17">
        <f>SUMIF(tdiario[CUENTA],tbal[[#This Row],[CUENTA]],tdiario[HABER])</f>
        <v>0</v>
      </c>
      <c r="G1135" s="16">
        <f>IF(tbal[[#This Row],[DEBE]]-tbal[[#This Row],[HABER]]&gt;0,tbal[[#This Row],[DEBE]]-tbal[[#This Row],[HABER]],0)</f>
        <v>0</v>
      </c>
      <c r="H1135" s="18">
        <f>IF(tbal[[#This Row],[HABER]]-tbal[[#This Row],[DEBE]]&gt;0,tbal[[#This Row],[HABER]]-tbal[[#This Row],[DEBE]],0)</f>
        <v>0</v>
      </c>
      <c r="I1135" s="16">
        <f>IF((OR(tbal[[#This Row],[X]]=1,tbal[[#This Row],[X]]=2)),tbal[[#This Row],[DEUDOR]],0)</f>
        <v>0</v>
      </c>
      <c r="J1135" s="18">
        <f>IF((OR(tbal[[#This Row],[X]]=2,tbal[[#This Row],[X]]=3)),tbal[[#This Row],[ACREEDOR]],0)</f>
        <v>0</v>
      </c>
      <c r="K1135" s="16">
        <f>IF((OR(tbal[[#This Row],[X]]=3,tbal[[#This Row],[X]]=5)),tbal[[#This Row],[DEUDOR]],0)</f>
        <v>0</v>
      </c>
      <c r="L1135" s="18">
        <f>IF((OR(tbal[[#This Row],[X]]=3,tbal[[#This Row],[X]]=4)),tbal[[#This Row],[ACREEDOR]],0)</f>
        <v>0</v>
      </c>
      <c r="M1135" s="16">
        <f>IF((OR(tbal[[#This Row],[X]]=0,tbal[[#This Row],[X]]=6)),tbal[[#This Row],[DEUDOR]],0)</f>
        <v>0</v>
      </c>
      <c r="N1135" s="18">
        <f>IF((OR(tbal[[#This Row],[X]]=0,tbal[[#This Row],[X]]=5)),tbal[[#This Row],[ACREEDOR]],0)</f>
        <v>0</v>
      </c>
    </row>
    <row r="1136" spans="1:14" hidden="1" x14ac:dyDescent="0.3">
      <c r="A1136" s="14">
        <f>+'PLAN DE CUENTAS'!A1136</f>
        <v>0</v>
      </c>
      <c r="B1136" s="13">
        <f>+'PLAN DE CUENTAS'!B1136</f>
        <v>0</v>
      </c>
      <c r="C1136" s="13">
        <f>+'PLAN DE CUENTAS'!C1136</f>
        <v>0</v>
      </c>
      <c r="D1136" t="str">
        <f>IF(tbal[[#This Row],[DEBE]]+tbal[[#This Row],[HABER]]=0,"","X")</f>
        <v/>
      </c>
      <c r="E1136" s="16">
        <f>SUMIF(tdiario[CUENTA],tbal[[#This Row],[CUENTA]],tdiario[DEBE])</f>
        <v>0</v>
      </c>
      <c r="F1136" s="17">
        <f>SUMIF(tdiario[CUENTA],tbal[[#This Row],[CUENTA]],tdiario[HABER])</f>
        <v>0</v>
      </c>
      <c r="G1136" s="16">
        <f>IF(tbal[[#This Row],[DEBE]]-tbal[[#This Row],[HABER]]&gt;0,tbal[[#This Row],[DEBE]]-tbal[[#This Row],[HABER]],0)</f>
        <v>0</v>
      </c>
      <c r="H1136" s="18">
        <f>IF(tbal[[#This Row],[HABER]]-tbal[[#This Row],[DEBE]]&gt;0,tbal[[#This Row],[HABER]]-tbal[[#This Row],[DEBE]],0)</f>
        <v>0</v>
      </c>
      <c r="I1136" s="16">
        <f>IF((OR(tbal[[#This Row],[X]]=1,tbal[[#This Row],[X]]=2)),tbal[[#This Row],[DEUDOR]],0)</f>
        <v>0</v>
      </c>
      <c r="J1136" s="18">
        <f>IF((OR(tbal[[#This Row],[X]]=2,tbal[[#This Row],[X]]=3)),tbal[[#This Row],[ACREEDOR]],0)</f>
        <v>0</v>
      </c>
      <c r="K1136" s="16">
        <f>IF((OR(tbal[[#This Row],[X]]=3,tbal[[#This Row],[X]]=5)),tbal[[#This Row],[DEUDOR]],0)</f>
        <v>0</v>
      </c>
      <c r="L1136" s="18">
        <f>IF((OR(tbal[[#This Row],[X]]=3,tbal[[#This Row],[X]]=4)),tbal[[#This Row],[ACREEDOR]],0)</f>
        <v>0</v>
      </c>
      <c r="M1136" s="16">
        <f>IF((OR(tbal[[#This Row],[X]]=0,tbal[[#This Row],[X]]=6)),tbal[[#This Row],[DEUDOR]],0)</f>
        <v>0</v>
      </c>
      <c r="N1136" s="18">
        <f>IF((OR(tbal[[#This Row],[X]]=0,tbal[[#This Row],[X]]=5)),tbal[[#This Row],[ACREEDOR]],0)</f>
        <v>0</v>
      </c>
    </row>
    <row r="1137" spans="1:14" hidden="1" x14ac:dyDescent="0.3">
      <c r="A1137" s="14">
        <f>+'PLAN DE CUENTAS'!A1137</f>
        <v>0</v>
      </c>
      <c r="B1137" s="13">
        <f>+'PLAN DE CUENTAS'!B1137</f>
        <v>0</v>
      </c>
      <c r="C1137" s="13">
        <f>+'PLAN DE CUENTAS'!C1137</f>
        <v>0</v>
      </c>
      <c r="D1137" t="str">
        <f>IF(tbal[[#This Row],[DEBE]]+tbal[[#This Row],[HABER]]=0,"","X")</f>
        <v/>
      </c>
      <c r="E1137" s="16">
        <f>SUMIF(tdiario[CUENTA],tbal[[#This Row],[CUENTA]],tdiario[DEBE])</f>
        <v>0</v>
      </c>
      <c r="F1137" s="17">
        <f>SUMIF(tdiario[CUENTA],tbal[[#This Row],[CUENTA]],tdiario[HABER])</f>
        <v>0</v>
      </c>
      <c r="G1137" s="16">
        <f>IF(tbal[[#This Row],[DEBE]]-tbal[[#This Row],[HABER]]&gt;0,tbal[[#This Row],[DEBE]]-tbal[[#This Row],[HABER]],0)</f>
        <v>0</v>
      </c>
      <c r="H1137" s="18">
        <f>IF(tbal[[#This Row],[HABER]]-tbal[[#This Row],[DEBE]]&gt;0,tbal[[#This Row],[HABER]]-tbal[[#This Row],[DEBE]],0)</f>
        <v>0</v>
      </c>
      <c r="I1137" s="16">
        <f>IF((OR(tbal[[#This Row],[X]]=1,tbal[[#This Row],[X]]=2)),tbal[[#This Row],[DEUDOR]],0)</f>
        <v>0</v>
      </c>
      <c r="J1137" s="18">
        <f>IF((OR(tbal[[#This Row],[X]]=2,tbal[[#This Row],[X]]=3)),tbal[[#This Row],[ACREEDOR]],0)</f>
        <v>0</v>
      </c>
      <c r="K1137" s="16">
        <f>IF((OR(tbal[[#This Row],[X]]=3,tbal[[#This Row],[X]]=5)),tbal[[#This Row],[DEUDOR]],0)</f>
        <v>0</v>
      </c>
      <c r="L1137" s="18">
        <f>IF((OR(tbal[[#This Row],[X]]=3,tbal[[#This Row],[X]]=4)),tbal[[#This Row],[ACREEDOR]],0)</f>
        <v>0</v>
      </c>
      <c r="M1137" s="16">
        <f>IF((OR(tbal[[#This Row],[X]]=0,tbal[[#This Row],[X]]=6)),tbal[[#This Row],[DEUDOR]],0)</f>
        <v>0</v>
      </c>
      <c r="N1137" s="18">
        <f>IF((OR(tbal[[#This Row],[X]]=0,tbal[[#This Row],[X]]=5)),tbal[[#This Row],[ACREEDOR]],0)</f>
        <v>0</v>
      </c>
    </row>
    <row r="1138" spans="1:14" hidden="1" x14ac:dyDescent="0.3">
      <c r="A1138" s="14">
        <f>+'PLAN DE CUENTAS'!A1138</f>
        <v>0</v>
      </c>
      <c r="B1138" s="13">
        <f>+'PLAN DE CUENTAS'!B1138</f>
        <v>0</v>
      </c>
      <c r="C1138" s="13">
        <f>+'PLAN DE CUENTAS'!C1138</f>
        <v>0</v>
      </c>
      <c r="D1138" t="str">
        <f>IF(tbal[[#This Row],[DEBE]]+tbal[[#This Row],[HABER]]=0,"","X")</f>
        <v/>
      </c>
      <c r="E1138" s="16">
        <f>SUMIF(tdiario[CUENTA],tbal[[#This Row],[CUENTA]],tdiario[DEBE])</f>
        <v>0</v>
      </c>
      <c r="F1138" s="17">
        <f>SUMIF(tdiario[CUENTA],tbal[[#This Row],[CUENTA]],tdiario[HABER])</f>
        <v>0</v>
      </c>
      <c r="G1138" s="16">
        <f>IF(tbal[[#This Row],[DEBE]]-tbal[[#This Row],[HABER]]&gt;0,tbal[[#This Row],[DEBE]]-tbal[[#This Row],[HABER]],0)</f>
        <v>0</v>
      </c>
      <c r="H1138" s="18">
        <f>IF(tbal[[#This Row],[HABER]]-tbal[[#This Row],[DEBE]]&gt;0,tbal[[#This Row],[HABER]]-tbal[[#This Row],[DEBE]],0)</f>
        <v>0</v>
      </c>
      <c r="I1138" s="16">
        <f>IF((OR(tbal[[#This Row],[X]]=1,tbal[[#This Row],[X]]=2)),tbal[[#This Row],[DEUDOR]],0)</f>
        <v>0</v>
      </c>
      <c r="J1138" s="18">
        <f>IF((OR(tbal[[#This Row],[X]]=2,tbal[[#This Row],[X]]=3)),tbal[[#This Row],[ACREEDOR]],0)</f>
        <v>0</v>
      </c>
      <c r="K1138" s="16">
        <f>IF((OR(tbal[[#This Row],[X]]=3,tbal[[#This Row],[X]]=5)),tbal[[#This Row],[DEUDOR]],0)</f>
        <v>0</v>
      </c>
      <c r="L1138" s="18">
        <f>IF((OR(tbal[[#This Row],[X]]=3,tbal[[#This Row],[X]]=4)),tbal[[#This Row],[ACREEDOR]],0)</f>
        <v>0</v>
      </c>
      <c r="M1138" s="16">
        <f>IF((OR(tbal[[#This Row],[X]]=0,tbal[[#This Row],[X]]=6)),tbal[[#This Row],[DEUDOR]],0)</f>
        <v>0</v>
      </c>
      <c r="N1138" s="18">
        <f>IF((OR(tbal[[#This Row],[X]]=0,tbal[[#This Row],[X]]=5)),tbal[[#This Row],[ACREEDOR]],0)</f>
        <v>0</v>
      </c>
    </row>
    <row r="1139" spans="1:14" hidden="1" x14ac:dyDescent="0.3">
      <c r="A1139" s="14">
        <f>+'PLAN DE CUENTAS'!A1139</f>
        <v>0</v>
      </c>
      <c r="B1139" s="13">
        <f>+'PLAN DE CUENTAS'!B1139</f>
        <v>0</v>
      </c>
      <c r="C1139" s="13">
        <f>+'PLAN DE CUENTAS'!C1139</f>
        <v>0</v>
      </c>
      <c r="D1139" t="str">
        <f>IF(tbal[[#This Row],[DEBE]]+tbal[[#This Row],[HABER]]=0,"","X")</f>
        <v/>
      </c>
      <c r="E1139" s="16">
        <f>SUMIF(tdiario[CUENTA],tbal[[#This Row],[CUENTA]],tdiario[DEBE])</f>
        <v>0</v>
      </c>
      <c r="F1139" s="17">
        <f>SUMIF(tdiario[CUENTA],tbal[[#This Row],[CUENTA]],tdiario[HABER])</f>
        <v>0</v>
      </c>
      <c r="G1139" s="16">
        <f>IF(tbal[[#This Row],[DEBE]]-tbal[[#This Row],[HABER]]&gt;0,tbal[[#This Row],[DEBE]]-tbal[[#This Row],[HABER]],0)</f>
        <v>0</v>
      </c>
      <c r="H1139" s="18">
        <f>IF(tbal[[#This Row],[HABER]]-tbal[[#This Row],[DEBE]]&gt;0,tbal[[#This Row],[HABER]]-tbal[[#This Row],[DEBE]],0)</f>
        <v>0</v>
      </c>
      <c r="I1139" s="16">
        <f>IF((OR(tbal[[#This Row],[X]]=1,tbal[[#This Row],[X]]=2)),tbal[[#This Row],[DEUDOR]],0)</f>
        <v>0</v>
      </c>
      <c r="J1139" s="18">
        <f>IF((OR(tbal[[#This Row],[X]]=2,tbal[[#This Row],[X]]=3)),tbal[[#This Row],[ACREEDOR]],0)</f>
        <v>0</v>
      </c>
      <c r="K1139" s="16">
        <f>IF((OR(tbal[[#This Row],[X]]=3,tbal[[#This Row],[X]]=5)),tbal[[#This Row],[DEUDOR]],0)</f>
        <v>0</v>
      </c>
      <c r="L1139" s="18">
        <f>IF((OR(tbal[[#This Row],[X]]=3,tbal[[#This Row],[X]]=4)),tbal[[#This Row],[ACREEDOR]],0)</f>
        <v>0</v>
      </c>
      <c r="M1139" s="16">
        <f>IF((OR(tbal[[#This Row],[X]]=0,tbal[[#This Row],[X]]=6)),tbal[[#This Row],[DEUDOR]],0)</f>
        <v>0</v>
      </c>
      <c r="N1139" s="18">
        <f>IF((OR(tbal[[#This Row],[X]]=0,tbal[[#This Row],[X]]=5)),tbal[[#This Row],[ACREEDOR]],0)</f>
        <v>0</v>
      </c>
    </row>
    <row r="1140" spans="1:14" hidden="1" x14ac:dyDescent="0.3">
      <c r="A1140" s="14">
        <f>+'PLAN DE CUENTAS'!A1140</f>
        <v>0</v>
      </c>
      <c r="B1140" s="13">
        <f>+'PLAN DE CUENTAS'!B1140</f>
        <v>0</v>
      </c>
      <c r="C1140" s="13">
        <f>+'PLAN DE CUENTAS'!C1140</f>
        <v>0</v>
      </c>
      <c r="D1140" t="str">
        <f>IF(tbal[[#This Row],[DEBE]]+tbal[[#This Row],[HABER]]=0,"","X")</f>
        <v/>
      </c>
      <c r="E1140" s="16">
        <f>SUMIF(tdiario[CUENTA],tbal[[#This Row],[CUENTA]],tdiario[DEBE])</f>
        <v>0</v>
      </c>
      <c r="F1140" s="17">
        <f>SUMIF(tdiario[CUENTA],tbal[[#This Row],[CUENTA]],tdiario[HABER])</f>
        <v>0</v>
      </c>
      <c r="G1140" s="16">
        <f>IF(tbal[[#This Row],[DEBE]]-tbal[[#This Row],[HABER]]&gt;0,tbal[[#This Row],[DEBE]]-tbal[[#This Row],[HABER]],0)</f>
        <v>0</v>
      </c>
      <c r="H1140" s="18">
        <f>IF(tbal[[#This Row],[HABER]]-tbal[[#This Row],[DEBE]]&gt;0,tbal[[#This Row],[HABER]]-tbal[[#This Row],[DEBE]],0)</f>
        <v>0</v>
      </c>
      <c r="I1140" s="16">
        <f>IF((OR(tbal[[#This Row],[X]]=1,tbal[[#This Row],[X]]=2)),tbal[[#This Row],[DEUDOR]],0)</f>
        <v>0</v>
      </c>
      <c r="J1140" s="18">
        <f>IF((OR(tbal[[#This Row],[X]]=2,tbal[[#This Row],[X]]=3)),tbal[[#This Row],[ACREEDOR]],0)</f>
        <v>0</v>
      </c>
      <c r="K1140" s="16">
        <f>IF((OR(tbal[[#This Row],[X]]=3,tbal[[#This Row],[X]]=5)),tbal[[#This Row],[DEUDOR]],0)</f>
        <v>0</v>
      </c>
      <c r="L1140" s="18">
        <f>IF((OR(tbal[[#This Row],[X]]=3,tbal[[#This Row],[X]]=4)),tbal[[#This Row],[ACREEDOR]],0)</f>
        <v>0</v>
      </c>
      <c r="M1140" s="16">
        <f>IF((OR(tbal[[#This Row],[X]]=0,tbal[[#This Row],[X]]=6)),tbal[[#This Row],[DEUDOR]],0)</f>
        <v>0</v>
      </c>
      <c r="N1140" s="18">
        <f>IF((OR(tbal[[#This Row],[X]]=0,tbal[[#This Row],[X]]=5)),tbal[[#This Row],[ACREEDOR]],0)</f>
        <v>0</v>
      </c>
    </row>
    <row r="1141" spans="1:14" hidden="1" x14ac:dyDescent="0.3">
      <c r="A1141" s="14">
        <f>+'PLAN DE CUENTAS'!A1141</f>
        <v>0</v>
      </c>
      <c r="B1141" s="13">
        <f>+'PLAN DE CUENTAS'!B1141</f>
        <v>0</v>
      </c>
      <c r="C1141" s="13">
        <f>+'PLAN DE CUENTAS'!C1141</f>
        <v>0</v>
      </c>
      <c r="D1141" t="str">
        <f>IF(tbal[[#This Row],[DEBE]]+tbal[[#This Row],[HABER]]=0,"","X")</f>
        <v/>
      </c>
      <c r="E1141" s="16">
        <f>SUMIF(tdiario[CUENTA],tbal[[#This Row],[CUENTA]],tdiario[DEBE])</f>
        <v>0</v>
      </c>
      <c r="F1141" s="17">
        <f>SUMIF(tdiario[CUENTA],tbal[[#This Row],[CUENTA]],tdiario[HABER])</f>
        <v>0</v>
      </c>
      <c r="G1141" s="16">
        <f>IF(tbal[[#This Row],[DEBE]]-tbal[[#This Row],[HABER]]&gt;0,tbal[[#This Row],[DEBE]]-tbal[[#This Row],[HABER]],0)</f>
        <v>0</v>
      </c>
      <c r="H1141" s="18">
        <f>IF(tbal[[#This Row],[HABER]]-tbal[[#This Row],[DEBE]]&gt;0,tbal[[#This Row],[HABER]]-tbal[[#This Row],[DEBE]],0)</f>
        <v>0</v>
      </c>
      <c r="I1141" s="16">
        <f>IF((OR(tbal[[#This Row],[X]]=1,tbal[[#This Row],[X]]=2)),tbal[[#This Row],[DEUDOR]],0)</f>
        <v>0</v>
      </c>
      <c r="J1141" s="18">
        <f>IF((OR(tbal[[#This Row],[X]]=2,tbal[[#This Row],[X]]=3)),tbal[[#This Row],[ACREEDOR]],0)</f>
        <v>0</v>
      </c>
      <c r="K1141" s="16">
        <f>IF((OR(tbal[[#This Row],[X]]=3,tbal[[#This Row],[X]]=5)),tbal[[#This Row],[DEUDOR]],0)</f>
        <v>0</v>
      </c>
      <c r="L1141" s="18">
        <f>IF((OR(tbal[[#This Row],[X]]=3,tbal[[#This Row],[X]]=4)),tbal[[#This Row],[ACREEDOR]],0)</f>
        <v>0</v>
      </c>
      <c r="M1141" s="16">
        <f>IF((OR(tbal[[#This Row],[X]]=0,tbal[[#This Row],[X]]=6)),tbal[[#This Row],[DEUDOR]],0)</f>
        <v>0</v>
      </c>
      <c r="N1141" s="18">
        <f>IF((OR(tbal[[#This Row],[X]]=0,tbal[[#This Row],[X]]=5)),tbal[[#This Row],[ACREEDOR]],0)</f>
        <v>0</v>
      </c>
    </row>
    <row r="1142" spans="1:14" hidden="1" x14ac:dyDescent="0.3">
      <c r="A1142" s="14">
        <f>+'PLAN DE CUENTAS'!A1142</f>
        <v>0</v>
      </c>
      <c r="B1142" s="13">
        <f>+'PLAN DE CUENTAS'!B1142</f>
        <v>0</v>
      </c>
      <c r="C1142" s="13">
        <f>+'PLAN DE CUENTAS'!C1142</f>
        <v>0</v>
      </c>
      <c r="D1142" t="str">
        <f>IF(tbal[[#This Row],[DEBE]]+tbal[[#This Row],[HABER]]=0,"","X")</f>
        <v/>
      </c>
      <c r="E1142" s="16">
        <f>SUMIF(tdiario[CUENTA],tbal[[#This Row],[CUENTA]],tdiario[DEBE])</f>
        <v>0</v>
      </c>
      <c r="F1142" s="17">
        <f>SUMIF(tdiario[CUENTA],tbal[[#This Row],[CUENTA]],tdiario[HABER])</f>
        <v>0</v>
      </c>
      <c r="G1142" s="16">
        <f>IF(tbal[[#This Row],[DEBE]]-tbal[[#This Row],[HABER]]&gt;0,tbal[[#This Row],[DEBE]]-tbal[[#This Row],[HABER]],0)</f>
        <v>0</v>
      </c>
      <c r="H1142" s="18">
        <f>IF(tbal[[#This Row],[HABER]]-tbal[[#This Row],[DEBE]]&gt;0,tbal[[#This Row],[HABER]]-tbal[[#This Row],[DEBE]],0)</f>
        <v>0</v>
      </c>
      <c r="I1142" s="16">
        <f>IF((OR(tbal[[#This Row],[X]]=1,tbal[[#This Row],[X]]=2)),tbal[[#This Row],[DEUDOR]],0)</f>
        <v>0</v>
      </c>
      <c r="J1142" s="18">
        <f>IF((OR(tbal[[#This Row],[X]]=2,tbal[[#This Row],[X]]=3)),tbal[[#This Row],[ACREEDOR]],0)</f>
        <v>0</v>
      </c>
      <c r="K1142" s="16">
        <f>IF((OR(tbal[[#This Row],[X]]=3,tbal[[#This Row],[X]]=5)),tbal[[#This Row],[DEUDOR]],0)</f>
        <v>0</v>
      </c>
      <c r="L1142" s="18">
        <f>IF((OR(tbal[[#This Row],[X]]=3,tbal[[#This Row],[X]]=4)),tbal[[#This Row],[ACREEDOR]],0)</f>
        <v>0</v>
      </c>
      <c r="M1142" s="16">
        <f>IF((OR(tbal[[#This Row],[X]]=0,tbal[[#This Row],[X]]=6)),tbal[[#This Row],[DEUDOR]],0)</f>
        <v>0</v>
      </c>
      <c r="N1142" s="18">
        <f>IF((OR(tbal[[#This Row],[X]]=0,tbal[[#This Row],[X]]=5)),tbal[[#This Row],[ACREEDOR]],0)</f>
        <v>0</v>
      </c>
    </row>
    <row r="1143" spans="1:14" hidden="1" x14ac:dyDescent="0.3">
      <c r="A1143" s="14">
        <f>+'PLAN DE CUENTAS'!A1143</f>
        <v>0</v>
      </c>
      <c r="B1143" s="13">
        <f>+'PLAN DE CUENTAS'!B1143</f>
        <v>0</v>
      </c>
      <c r="C1143" s="13">
        <f>+'PLAN DE CUENTAS'!C1143</f>
        <v>0</v>
      </c>
      <c r="D1143" t="str">
        <f>IF(tbal[[#This Row],[DEBE]]+tbal[[#This Row],[HABER]]=0,"","X")</f>
        <v/>
      </c>
      <c r="E1143" s="16">
        <f>SUMIF(tdiario[CUENTA],tbal[[#This Row],[CUENTA]],tdiario[DEBE])</f>
        <v>0</v>
      </c>
      <c r="F1143" s="17">
        <f>SUMIF(tdiario[CUENTA],tbal[[#This Row],[CUENTA]],tdiario[HABER])</f>
        <v>0</v>
      </c>
      <c r="G1143" s="16">
        <f>IF(tbal[[#This Row],[DEBE]]-tbal[[#This Row],[HABER]]&gt;0,tbal[[#This Row],[DEBE]]-tbal[[#This Row],[HABER]],0)</f>
        <v>0</v>
      </c>
      <c r="H1143" s="18">
        <f>IF(tbal[[#This Row],[HABER]]-tbal[[#This Row],[DEBE]]&gt;0,tbal[[#This Row],[HABER]]-tbal[[#This Row],[DEBE]],0)</f>
        <v>0</v>
      </c>
      <c r="I1143" s="16">
        <f>IF((OR(tbal[[#This Row],[X]]=1,tbal[[#This Row],[X]]=2)),tbal[[#This Row],[DEUDOR]],0)</f>
        <v>0</v>
      </c>
      <c r="J1143" s="18">
        <f>IF((OR(tbal[[#This Row],[X]]=2,tbal[[#This Row],[X]]=3)),tbal[[#This Row],[ACREEDOR]],0)</f>
        <v>0</v>
      </c>
      <c r="K1143" s="16">
        <f>IF((OR(tbal[[#This Row],[X]]=3,tbal[[#This Row],[X]]=5)),tbal[[#This Row],[DEUDOR]],0)</f>
        <v>0</v>
      </c>
      <c r="L1143" s="18">
        <f>IF((OR(tbal[[#This Row],[X]]=3,tbal[[#This Row],[X]]=4)),tbal[[#This Row],[ACREEDOR]],0)</f>
        <v>0</v>
      </c>
      <c r="M1143" s="16">
        <f>IF((OR(tbal[[#This Row],[X]]=0,tbal[[#This Row],[X]]=6)),tbal[[#This Row],[DEUDOR]],0)</f>
        <v>0</v>
      </c>
      <c r="N1143" s="18">
        <f>IF((OR(tbal[[#This Row],[X]]=0,tbal[[#This Row],[X]]=5)),tbal[[#This Row],[ACREEDOR]],0)</f>
        <v>0</v>
      </c>
    </row>
    <row r="1144" spans="1:14" hidden="1" x14ac:dyDescent="0.3">
      <c r="A1144" s="14">
        <f>+'PLAN DE CUENTAS'!A1144</f>
        <v>0</v>
      </c>
      <c r="B1144" s="13">
        <f>+'PLAN DE CUENTAS'!B1144</f>
        <v>0</v>
      </c>
      <c r="C1144" s="13">
        <f>+'PLAN DE CUENTAS'!C1144</f>
        <v>0</v>
      </c>
      <c r="D1144" t="str">
        <f>IF(tbal[[#This Row],[DEBE]]+tbal[[#This Row],[HABER]]=0,"","X")</f>
        <v/>
      </c>
      <c r="E1144" s="16">
        <f>SUMIF(tdiario[CUENTA],tbal[[#This Row],[CUENTA]],tdiario[DEBE])</f>
        <v>0</v>
      </c>
      <c r="F1144" s="17">
        <f>SUMIF(tdiario[CUENTA],tbal[[#This Row],[CUENTA]],tdiario[HABER])</f>
        <v>0</v>
      </c>
      <c r="G1144" s="16">
        <f>IF(tbal[[#This Row],[DEBE]]-tbal[[#This Row],[HABER]]&gt;0,tbal[[#This Row],[DEBE]]-tbal[[#This Row],[HABER]],0)</f>
        <v>0</v>
      </c>
      <c r="H1144" s="18">
        <f>IF(tbal[[#This Row],[HABER]]-tbal[[#This Row],[DEBE]]&gt;0,tbal[[#This Row],[HABER]]-tbal[[#This Row],[DEBE]],0)</f>
        <v>0</v>
      </c>
      <c r="I1144" s="16">
        <f>IF((OR(tbal[[#This Row],[X]]=1,tbal[[#This Row],[X]]=2)),tbal[[#This Row],[DEUDOR]],0)</f>
        <v>0</v>
      </c>
      <c r="J1144" s="18">
        <f>IF((OR(tbal[[#This Row],[X]]=2,tbal[[#This Row],[X]]=3)),tbal[[#This Row],[ACREEDOR]],0)</f>
        <v>0</v>
      </c>
      <c r="K1144" s="16">
        <f>IF((OR(tbal[[#This Row],[X]]=3,tbal[[#This Row],[X]]=5)),tbal[[#This Row],[DEUDOR]],0)</f>
        <v>0</v>
      </c>
      <c r="L1144" s="18">
        <f>IF((OR(tbal[[#This Row],[X]]=3,tbal[[#This Row],[X]]=4)),tbal[[#This Row],[ACREEDOR]],0)</f>
        <v>0</v>
      </c>
      <c r="M1144" s="16">
        <f>IF((OR(tbal[[#This Row],[X]]=0,tbal[[#This Row],[X]]=6)),tbal[[#This Row],[DEUDOR]],0)</f>
        <v>0</v>
      </c>
      <c r="N1144" s="18">
        <f>IF((OR(tbal[[#This Row],[X]]=0,tbal[[#This Row],[X]]=5)),tbal[[#This Row],[ACREEDOR]],0)</f>
        <v>0</v>
      </c>
    </row>
    <row r="1145" spans="1:14" hidden="1" x14ac:dyDescent="0.3">
      <c r="A1145" s="14">
        <f>+'PLAN DE CUENTAS'!A1145</f>
        <v>0</v>
      </c>
      <c r="B1145" s="13">
        <f>+'PLAN DE CUENTAS'!B1145</f>
        <v>0</v>
      </c>
      <c r="C1145" s="13">
        <f>+'PLAN DE CUENTAS'!C1145</f>
        <v>0</v>
      </c>
      <c r="D1145" t="str">
        <f>IF(tbal[[#This Row],[DEBE]]+tbal[[#This Row],[HABER]]=0,"","X")</f>
        <v/>
      </c>
      <c r="E1145" s="16">
        <f>SUMIF(tdiario[CUENTA],tbal[[#This Row],[CUENTA]],tdiario[DEBE])</f>
        <v>0</v>
      </c>
      <c r="F1145" s="17">
        <f>SUMIF(tdiario[CUENTA],tbal[[#This Row],[CUENTA]],tdiario[HABER])</f>
        <v>0</v>
      </c>
      <c r="G1145" s="16">
        <f>IF(tbal[[#This Row],[DEBE]]-tbal[[#This Row],[HABER]]&gt;0,tbal[[#This Row],[DEBE]]-tbal[[#This Row],[HABER]],0)</f>
        <v>0</v>
      </c>
      <c r="H1145" s="18">
        <f>IF(tbal[[#This Row],[HABER]]-tbal[[#This Row],[DEBE]]&gt;0,tbal[[#This Row],[HABER]]-tbal[[#This Row],[DEBE]],0)</f>
        <v>0</v>
      </c>
      <c r="I1145" s="16">
        <f>IF((OR(tbal[[#This Row],[X]]=1,tbal[[#This Row],[X]]=2)),tbal[[#This Row],[DEUDOR]],0)</f>
        <v>0</v>
      </c>
      <c r="J1145" s="18">
        <f>IF((OR(tbal[[#This Row],[X]]=2,tbal[[#This Row],[X]]=3)),tbal[[#This Row],[ACREEDOR]],0)</f>
        <v>0</v>
      </c>
      <c r="K1145" s="16">
        <f>IF((OR(tbal[[#This Row],[X]]=3,tbal[[#This Row],[X]]=5)),tbal[[#This Row],[DEUDOR]],0)</f>
        <v>0</v>
      </c>
      <c r="L1145" s="18">
        <f>IF((OR(tbal[[#This Row],[X]]=3,tbal[[#This Row],[X]]=4)),tbal[[#This Row],[ACREEDOR]],0)</f>
        <v>0</v>
      </c>
      <c r="M1145" s="16">
        <f>IF((OR(tbal[[#This Row],[X]]=0,tbal[[#This Row],[X]]=6)),tbal[[#This Row],[DEUDOR]],0)</f>
        <v>0</v>
      </c>
      <c r="N1145" s="18">
        <f>IF((OR(tbal[[#This Row],[X]]=0,tbal[[#This Row],[X]]=5)),tbal[[#This Row],[ACREEDOR]],0)</f>
        <v>0</v>
      </c>
    </row>
    <row r="1146" spans="1:14" hidden="1" x14ac:dyDescent="0.3">
      <c r="A1146" s="14">
        <f>+'PLAN DE CUENTAS'!A1146</f>
        <v>0</v>
      </c>
      <c r="B1146" s="13">
        <f>+'PLAN DE CUENTAS'!B1146</f>
        <v>0</v>
      </c>
      <c r="C1146" s="13">
        <f>+'PLAN DE CUENTAS'!C1146</f>
        <v>0</v>
      </c>
      <c r="D1146" t="str">
        <f>IF(tbal[[#This Row],[DEBE]]+tbal[[#This Row],[HABER]]=0,"","X")</f>
        <v/>
      </c>
      <c r="E1146" s="16">
        <f>SUMIF(tdiario[CUENTA],tbal[[#This Row],[CUENTA]],tdiario[DEBE])</f>
        <v>0</v>
      </c>
      <c r="F1146" s="17">
        <f>SUMIF(tdiario[CUENTA],tbal[[#This Row],[CUENTA]],tdiario[HABER])</f>
        <v>0</v>
      </c>
      <c r="G1146" s="16">
        <f>IF(tbal[[#This Row],[DEBE]]-tbal[[#This Row],[HABER]]&gt;0,tbal[[#This Row],[DEBE]]-tbal[[#This Row],[HABER]],0)</f>
        <v>0</v>
      </c>
      <c r="H1146" s="18">
        <f>IF(tbal[[#This Row],[HABER]]-tbal[[#This Row],[DEBE]]&gt;0,tbal[[#This Row],[HABER]]-tbal[[#This Row],[DEBE]],0)</f>
        <v>0</v>
      </c>
      <c r="I1146" s="16">
        <f>IF((OR(tbal[[#This Row],[X]]=1,tbal[[#This Row],[X]]=2)),tbal[[#This Row],[DEUDOR]],0)</f>
        <v>0</v>
      </c>
      <c r="J1146" s="18">
        <f>IF((OR(tbal[[#This Row],[X]]=2,tbal[[#This Row],[X]]=3)),tbal[[#This Row],[ACREEDOR]],0)</f>
        <v>0</v>
      </c>
      <c r="K1146" s="16">
        <f>IF((OR(tbal[[#This Row],[X]]=3,tbal[[#This Row],[X]]=5)),tbal[[#This Row],[DEUDOR]],0)</f>
        <v>0</v>
      </c>
      <c r="L1146" s="18">
        <f>IF((OR(tbal[[#This Row],[X]]=3,tbal[[#This Row],[X]]=4)),tbal[[#This Row],[ACREEDOR]],0)</f>
        <v>0</v>
      </c>
      <c r="M1146" s="16">
        <f>IF((OR(tbal[[#This Row],[X]]=0,tbal[[#This Row],[X]]=6)),tbal[[#This Row],[DEUDOR]],0)</f>
        <v>0</v>
      </c>
      <c r="N1146" s="18">
        <f>IF((OR(tbal[[#This Row],[X]]=0,tbal[[#This Row],[X]]=5)),tbal[[#This Row],[ACREEDOR]],0)</f>
        <v>0</v>
      </c>
    </row>
    <row r="1147" spans="1:14" hidden="1" x14ac:dyDescent="0.3">
      <c r="A1147" s="14">
        <f>+'PLAN DE CUENTAS'!A1147</f>
        <v>0</v>
      </c>
      <c r="B1147" s="13">
        <f>+'PLAN DE CUENTAS'!B1147</f>
        <v>0</v>
      </c>
      <c r="C1147" s="13">
        <f>+'PLAN DE CUENTAS'!C1147</f>
        <v>0</v>
      </c>
      <c r="D1147" t="str">
        <f>IF(tbal[[#This Row],[DEBE]]+tbal[[#This Row],[HABER]]=0,"","X")</f>
        <v/>
      </c>
      <c r="E1147" s="16">
        <f>SUMIF(tdiario[CUENTA],tbal[[#This Row],[CUENTA]],tdiario[DEBE])</f>
        <v>0</v>
      </c>
      <c r="F1147" s="17">
        <f>SUMIF(tdiario[CUENTA],tbal[[#This Row],[CUENTA]],tdiario[HABER])</f>
        <v>0</v>
      </c>
      <c r="G1147" s="16">
        <f>IF(tbal[[#This Row],[DEBE]]-tbal[[#This Row],[HABER]]&gt;0,tbal[[#This Row],[DEBE]]-tbal[[#This Row],[HABER]],0)</f>
        <v>0</v>
      </c>
      <c r="H1147" s="18">
        <f>IF(tbal[[#This Row],[HABER]]-tbal[[#This Row],[DEBE]]&gt;0,tbal[[#This Row],[HABER]]-tbal[[#This Row],[DEBE]],0)</f>
        <v>0</v>
      </c>
      <c r="I1147" s="16">
        <f>IF((OR(tbal[[#This Row],[X]]=1,tbal[[#This Row],[X]]=2)),tbal[[#This Row],[DEUDOR]],0)</f>
        <v>0</v>
      </c>
      <c r="J1147" s="18">
        <f>IF((OR(tbal[[#This Row],[X]]=2,tbal[[#This Row],[X]]=3)),tbal[[#This Row],[ACREEDOR]],0)</f>
        <v>0</v>
      </c>
      <c r="K1147" s="16">
        <f>IF((OR(tbal[[#This Row],[X]]=3,tbal[[#This Row],[X]]=5)),tbal[[#This Row],[DEUDOR]],0)</f>
        <v>0</v>
      </c>
      <c r="L1147" s="18">
        <f>IF((OR(tbal[[#This Row],[X]]=3,tbal[[#This Row],[X]]=4)),tbal[[#This Row],[ACREEDOR]],0)</f>
        <v>0</v>
      </c>
      <c r="M1147" s="16">
        <f>IF((OR(tbal[[#This Row],[X]]=0,tbal[[#This Row],[X]]=6)),tbal[[#This Row],[DEUDOR]],0)</f>
        <v>0</v>
      </c>
      <c r="N1147" s="18">
        <f>IF((OR(tbal[[#This Row],[X]]=0,tbal[[#This Row],[X]]=5)),tbal[[#This Row],[ACREEDOR]],0)</f>
        <v>0</v>
      </c>
    </row>
    <row r="1148" spans="1:14" hidden="1" x14ac:dyDescent="0.3">
      <c r="A1148" s="14">
        <f>+'PLAN DE CUENTAS'!A1148</f>
        <v>0</v>
      </c>
      <c r="B1148" s="13">
        <f>+'PLAN DE CUENTAS'!B1148</f>
        <v>0</v>
      </c>
      <c r="C1148" s="13">
        <f>+'PLAN DE CUENTAS'!C1148</f>
        <v>0</v>
      </c>
      <c r="D1148" t="str">
        <f>IF(tbal[[#This Row],[DEBE]]+tbal[[#This Row],[HABER]]=0,"","X")</f>
        <v/>
      </c>
      <c r="E1148" s="16">
        <f>SUMIF(tdiario[CUENTA],tbal[[#This Row],[CUENTA]],tdiario[DEBE])</f>
        <v>0</v>
      </c>
      <c r="F1148" s="17">
        <f>SUMIF(tdiario[CUENTA],tbal[[#This Row],[CUENTA]],tdiario[HABER])</f>
        <v>0</v>
      </c>
      <c r="G1148" s="16">
        <f>IF(tbal[[#This Row],[DEBE]]-tbal[[#This Row],[HABER]]&gt;0,tbal[[#This Row],[DEBE]]-tbal[[#This Row],[HABER]],0)</f>
        <v>0</v>
      </c>
      <c r="H1148" s="18">
        <f>IF(tbal[[#This Row],[HABER]]-tbal[[#This Row],[DEBE]]&gt;0,tbal[[#This Row],[HABER]]-tbal[[#This Row],[DEBE]],0)</f>
        <v>0</v>
      </c>
      <c r="I1148" s="16">
        <f>IF((OR(tbal[[#This Row],[X]]=1,tbal[[#This Row],[X]]=2)),tbal[[#This Row],[DEUDOR]],0)</f>
        <v>0</v>
      </c>
      <c r="J1148" s="18">
        <f>IF((OR(tbal[[#This Row],[X]]=2,tbal[[#This Row],[X]]=3)),tbal[[#This Row],[ACREEDOR]],0)</f>
        <v>0</v>
      </c>
      <c r="K1148" s="16">
        <f>IF((OR(tbal[[#This Row],[X]]=3,tbal[[#This Row],[X]]=5)),tbal[[#This Row],[DEUDOR]],0)</f>
        <v>0</v>
      </c>
      <c r="L1148" s="18">
        <f>IF((OR(tbal[[#This Row],[X]]=3,tbal[[#This Row],[X]]=4)),tbal[[#This Row],[ACREEDOR]],0)</f>
        <v>0</v>
      </c>
      <c r="M1148" s="16">
        <f>IF((OR(tbal[[#This Row],[X]]=0,tbal[[#This Row],[X]]=6)),tbal[[#This Row],[DEUDOR]],0)</f>
        <v>0</v>
      </c>
      <c r="N1148" s="18">
        <f>IF((OR(tbal[[#This Row],[X]]=0,tbal[[#This Row],[X]]=5)),tbal[[#This Row],[ACREEDOR]],0)</f>
        <v>0</v>
      </c>
    </row>
    <row r="1149" spans="1:14" hidden="1" x14ac:dyDescent="0.3">
      <c r="A1149" s="14">
        <f>+'PLAN DE CUENTAS'!A1149</f>
        <v>0</v>
      </c>
      <c r="B1149" s="13">
        <f>+'PLAN DE CUENTAS'!B1149</f>
        <v>0</v>
      </c>
      <c r="C1149" s="13">
        <f>+'PLAN DE CUENTAS'!C1149</f>
        <v>0</v>
      </c>
      <c r="D1149" t="str">
        <f>IF(tbal[[#This Row],[DEBE]]+tbal[[#This Row],[HABER]]=0,"","X")</f>
        <v/>
      </c>
      <c r="E1149" s="16">
        <f>SUMIF(tdiario[CUENTA],tbal[[#This Row],[CUENTA]],tdiario[DEBE])</f>
        <v>0</v>
      </c>
      <c r="F1149" s="17">
        <f>SUMIF(tdiario[CUENTA],tbal[[#This Row],[CUENTA]],tdiario[HABER])</f>
        <v>0</v>
      </c>
      <c r="G1149" s="16">
        <f>IF(tbal[[#This Row],[DEBE]]-tbal[[#This Row],[HABER]]&gt;0,tbal[[#This Row],[DEBE]]-tbal[[#This Row],[HABER]],0)</f>
        <v>0</v>
      </c>
      <c r="H1149" s="18">
        <f>IF(tbal[[#This Row],[HABER]]-tbal[[#This Row],[DEBE]]&gt;0,tbal[[#This Row],[HABER]]-tbal[[#This Row],[DEBE]],0)</f>
        <v>0</v>
      </c>
      <c r="I1149" s="16">
        <f>IF((OR(tbal[[#This Row],[X]]=1,tbal[[#This Row],[X]]=2)),tbal[[#This Row],[DEUDOR]],0)</f>
        <v>0</v>
      </c>
      <c r="J1149" s="18">
        <f>IF((OR(tbal[[#This Row],[X]]=2,tbal[[#This Row],[X]]=3)),tbal[[#This Row],[ACREEDOR]],0)</f>
        <v>0</v>
      </c>
      <c r="K1149" s="16">
        <f>IF((OR(tbal[[#This Row],[X]]=3,tbal[[#This Row],[X]]=5)),tbal[[#This Row],[DEUDOR]],0)</f>
        <v>0</v>
      </c>
      <c r="L1149" s="18">
        <f>IF((OR(tbal[[#This Row],[X]]=3,tbal[[#This Row],[X]]=4)),tbal[[#This Row],[ACREEDOR]],0)</f>
        <v>0</v>
      </c>
      <c r="M1149" s="16">
        <f>IF((OR(tbal[[#This Row],[X]]=0,tbal[[#This Row],[X]]=6)),tbal[[#This Row],[DEUDOR]],0)</f>
        <v>0</v>
      </c>
      <c r="N1149" s="18">
        <f>IF((OR(tbal[[#This Row],[X]]=0,tbal[[#This Row],[X]]=5)),tbal[[#This Row],[ACREEDOR]],0)</f>
        <v>0</v>
      </c>
    </row>
    <row r="1150" spans="1:14" hidden="1" x14ac:dyDescent="0.3">
      <c r="A1150" s="14">
        <f>+'PLAN DE CUENTAS'!A1150</f>
        <v>0</v>
      </c>
      <c r="B1150" s="13">
        <f>+'PLAN DE CUENTAS'!B1150</f>
        <v>0</v>
      </c>
      <c r="C1150" s="13">
        <f>+'PLAN DE CUENTAS'!C1150</f>
        <v>0</v>
      </c>
      <c r="D1150" t="str">
        <f>IF(tbal[[#This Row],[DEBE]]+tbal[[#This Row],[HABER]]=0,"","X")</f>
        <v/>
      </c>
      <c r="E1150" s="16">
        <f>SUMIF(tdiario[CUENTA],tbal[[#This Row],[CUENTA]],tdiario[DEBE])</f>
        <v>0</v>
      </c>
      <c r="F1150" s="17">
        <f>SUMIF(tdiario[CUENTA],tbal[[#This Row],[CUENTA]],tdiario[HABER])</f>
        <v>0</v>
      </c>
      <c r="G1150" s="16">
        <f>IF(tbal[[#This Row],[DEBE]]-tbal[[#This Row],[HABER]]&gt;0,tbal[[#This Row],[DEBE]]-tbal[[#This Row],[HABER]],0)</f>
        <v>0</v>
      </c>
      <c r="H1150" s="18">
        <f>IF(tbal[[#This Row],[HABER]]-tbal[[#This Row],[DEBE]]&gt;0,tbal[[#This Row],[HABER]]-tbal[[#This Row],[DEBE]],0)</f>
        <v>0</v>
      </c>
      <c r="I1150" s="16">
        <f>IF((OR(tbal[[#This Row],[X]]=1,tbal[[#This Row],[X]]=2)),tbal[[#This Row],[DEUDOR]],0)</f>
        <v>0</v>
      </c>
      <c r="J1150" s="18">
        <f>IF((OR(tbal[[#This Row],[X]]=2,tbal[[#This Row],[X]]=3)),tbal[[#This Row],[ACREEDOR]],0)</f>
        <v>0</v>
      </c>
      <c r="K1150" s="16">
        <f>IF((OR(tbal[[#This Row],[X]]=3,tbal[[#This Row],[X]]=5)),tbal[[#This Row],[DEUDOR]],0)</f>
        <v>0</v>
      </c>
      <c r="L1150" s="18">
        <f>IF((OR(tbal[[#This Row],[X]]=3,tbal[[#This Row],[X]]=4)),tbal[[#This Row],[ACREEDOR]],0)</f>
        <v>0</v>
      </c>
      <c r="M1150" s="16">
        <f>IF((OR(tbal[[#This Row],[X]]=0,tbal[[#This Row],[X]]=6)),tbal[[#This Row],[DEUDOR]],0)</f>
        <v>0</v>
      </c>
      <c r="N1150" s="18">
        <f>IF((OR(tbal[[#This Row],[X]]=0,tbal[[#This Row],[X]]=5)),tbal[[#This Row],[ACREEDOR]],0)</f>
        <v>0</v>
      </c>
    </row>
    <row r="1151" spans="1:14" hidden="1" x14ac:dyDescent="0.3">
      <c r="A1151" s="14">
        <f>+'PLAN DE CUENTAS'!A1151</f>
        <v>0</v>
      </c>
      <c r="B1151" s="13">
        <f>+'PLAN DE CUENTAS'!B1151</f>
        <v>0</v>
      </c>
      <c r="C1151" s="13">
        <f>+'PLAN DE CUENTAS'!C1151</f>
        <v>0</v>
      </c>
      <c r="D1151" t="str">
        <f>IF(tbal[[#This Row],[DEBE]]+tbal[[#This Row],[HABER]]=0,"","X")</f>
        <v/>
      </c>
      <c r="E1151" s="16">
        <f>SUMIF(tdiario[CUENTA],tbal[[#This Row],[CUENTA]],tdiario[DEBE])</f>
        <v>0</v>
      </c>
      <c r="F1151" s="17">
        <f>SUMIF(tdiario[CUENTA],tbal[[#This Row],[CUENTA]],tdiario[HABER])</f>
        <v>0</v>
      </c>
      <c r="G1151" s="16">
        <f>IF(tbal[[#This Row],[DEBE]]-tbal[[#This Row],[HABER]]&gt;0,tbal[[#This Row],[DEBE]]-tbal[[#This Row],[HABER]],0)</f>
        <v>0</v>
      </c>
      <c r="H1151" s="18">
        <f>IF(tbal[[#This Row],[HABER]]-tbal[[#This Row],[DEBE]]&gt;0,tbal[[#This Row],[HABER]]-tbal[[#This Row],[DEBE]],0)</f>
        <v>0</v>
      </c>
      <c r="I1151" s="16">
        <f>IF((OR(tbal[[#This Row],[X]]=1,tbal[[#This Row],[X]]=2)),tbal[[#This Row],[DEUDOR]],0)</f>
        <v>0</v>
      </c>
      <c r="J1151" s="18">
        <f>IF((OR(tbal[[#This Row],[X]]=2,tbal[[#This Row],[X]]=3)),tbal[[#This Row],[ACREEDOR]],0)</f>
        <v>0</v>
      </c>
      <c r="K1151" s="16">
        <f>IF((OR(tbal[[#This Row],[X]]=3,tbal[[#This Row],[X]]=5)),tbal[[#This Row],[DEUDOR]],0)</f>
        <v>0</v>
      </c>
      <c r="L1151" s="18">
        <f>IF((OR(tbal[[#This Row],[X]]=3,tbal[[#This Row],[X]]=4)),tbal[[#This Row],[ACREEDOR]],0)</f>
        <v>0</v>
      </c>
      <c r="M1151" s="16">
        <f>IF((OR(tbal[[#This Row],[X]]=0,tbal[[#This Row],[X]]=6)),tbal[[#This Row],[DEUDOR]],0)</f>
        <v>0</v>
      </c>
      <c r="N1151" s="18">
        <f>IF((OR(tbal[[#This Row],[X]]=0,tbal[[#This Row],[X]]=5)),tbal[[#This Row],[ACREEDOR]],0)</f>
        <v>0</v>
      </c>
    </row>
    <row r="1152" spans="1:14" hidden="1" x14ac:dyDescent="0.3">
      <c r="A1152" s="14">
        <f>+'PLAN DE CUENTAS'!A1152</f>
        <v>0</v>
      </c>
      <c r="B1152" s="13">
        <f>+'PLAN DE CUENTAS'!B1152</f>
        <v>0</v>
      </c>
      <c r="C1152" s="13">
        <f>+'PLAN DE CUENTAS'!C1152</f>
        <v>0</v>
      </c>
      <c r="D1152" t="str">
        <f>IF(tbal[[#This Row],[DEBE]]+tbal[[#This Row],[HABER]]=0,"","X")</f>
        <v/>
      </c>
      <c r="E1152" s="16">
        <f>SUMIF(tdiario[CUENTA],tbal[[#This Row],[CUENTA]],tdiario[DEBE])</f>
        <v>0</v>
      </c>
      <c r="F1152" s="17">
        <f>SUMIF(tdiario[CUENTA],tbal[[#This Row],[CUENTA]],tdiario[HABER])</f>
        <v>0</v>
      </c>
      <c r="G1152" s="16">
        <f>IF(tbal[[#This Row],[DEBE]]-tbal[[#This Row],[HABER]]&gt;0,tbal[[#This Row],[DEBE]]-tbal[[#This Row],[HABER]],0)</f>
        <v>0</v>
      </c>
      <c r="H1152" s="18">
        <f>IF(tbal[[#This Row],[HABER]]-tbal[[#This Row],[DEBE]]&gt;0,tbal[[#This Row],[HABER]]-tbal[[#This Row],[DEBE]],0)</f>
        <v>0</v>
      </c>
      <c r="I1152" s="16">
        <f>IF((OR(tbal[[#This Row],[X]]=1,tbal[[#This Row],[X]]=2)),tbal[[#This Row],[DEUDOR]],0)</f>
        <v>0</v>
      </c>
      <c r="J1152" s="18">
        <f>IF((OR(tbal[[#This Row],[X]]=2,tbal[[#This Row],[X]]=3)),tbal[[#This Row],[ACREEDOR]],0)</f>
        <v>0</v>
      </c>
      <c r="K1152" s="16">
        <f>IF((OR(tbal[[#This Row],[X]]=3,tbal[[#This Row],[X]]=5)),tbal[[#This Row],[DEUDOR]],0)</f>
        <v>0</v>
      </c>
      <c r="L1152" s="18">
        <f>IF((OR(tbal[[#This Row],[X]]=3,tbal[[#This Row],[X]]=4)),tbal[[#This Row],[ACREEDOR]],0)</f>
        <v>0</v>
      </c>
      <c r="M1152" s="16">
        <f>IF((OR(tbal[[#This Row],[X]]=0,tbal[[#This Row],[X]]=6)),tbal[[#This Row],[DEUDOR]],0)</f>
        <v>0</v>
      </c>
      <c r="N1152" s="18">
        <f>IF((OR(tbal[[#This Row],[X]]=0,tbal[[#This Row],[X]]=5)),tbal[[#This Row],[ACREEDOR]],0)</f>
        <v>0</v>
      </c>
    </row>
    <row r="1153" spans="1:14" hidden="1" x14ac:dyDescent="0.3">
      <c r="A1153" s="14">
        <f>+'PLAN DE CUENTAS'!A1153</f>
        <v>0</v>
      </c>
      <c r="B1153" s="13">
        <f>+'PLAN DE CUENTAS'!B1153</f>
        <v>0</v>
      </c>
      <c r="C1153" s="13">
        <f>+'PLAN DE CUENTAS'!C1153</f>
        <v>0</v>
      </c>
      <c r="D1153" t="str">
        <f>IF(tbal[[#This Row],[DEBE]]+tbal[[#This Row],[HABER]]=0,"","X")</f>
        <v/>
      </c>
      <c r="E1153" s="16">
        <f>SUMIF(tdiario[CUENTA],tbal[[#This Row],[CUENTA]],tdiario[DEBE])</f>
        <v>0</v>
      </c>
      <c r="F1153" s="17">
        <f>SUMIF(tdiario[CUENTA],tbal[[#This Row],[CUENTA]],tdiario[HABER])</f>
        <v>0</v>
      </c>
      <c r="G1153" s="16">
        <f>IF(tbal[[#This Row],[DEBE]]-tbal[[#This Row],[HABER]]&gt;0,tbal[[#This Row],[DEBE]]-tbal[[#This Row],[HABER]],0)</f>
        <v>0</v>
      </c>
      <c r="H1153" s="18">
        <f>IF(tbal[[#This Row],[HABER]]-tbal[[#This Row],[DEBE]]&gt;0,tbal[[#This Row],[HABER]]-tbal[[#This Row],[DEBE]],0)</f>
        <v>0</v>
      </c>
      <c r="I1153" s="16">
        <f>IF((OR(tbal[[#This Row],[X]]=1,tbal[[#This Row],[X]]=2)),tbal[[#This Row],[DEUDOR]],0)</f>
        <v>0</v>
      </c>
      <c r="J1153" s="18">
        <f>IF((OR(tbal[[#This Row],[X]]=2,tbal[[#This Row],[X]]=3)),tbal[[#This Row],[ACREEDOR]],0)</f>
        <v>0</v>
      </c>
      <c r="K1153" s="16">
        <f>IF((OR(tbal[[#This Row],[X]]=3,tbal[[#This Row],[X]]=5)),tbal[[#This Row],[DEUDOR]],0)</f>
        <v>0</v>
      </c>
      <c r="L1153" s="18">
        <f>IF((OR(tbal[[#This Row],[X]]=3,tbal[[#This Row],[X]]=4)),tbal[[#This Row],[ACREEDOR]],0)</f>
        <v>0</v>
      </c>
      <c r="M1153" s="16">
        <f>IF((OR(tbal[[#This Row],[X]]=0,tbal[[#This Row],[X]]=6)),tbal[[#This Row],[DEUDOR]],0)</f>
        <v>0</v>
      </c>
      <c r="N1153" s="18">
        <f>IF((OR(tbal[[#This Row],[X]]=0,tbal[[#This Row],[X]]=5)),tbal[[#This Row],[ACREEDOR]],0)</f>
        <v>0</v>
      </c>
    </row>
    <row r="1154" spans="1:14" hidden="1" x14ac:dyDescent="0.3">
      <c r="A1154" s="14">
        <f>+'PLAN DE CUENTAS'!A1154</f>
        <v>0</v>
      </c>
      <c r="B1154" s="13">
        <f>+'PLAN DE CUENTAS'!B1154</f>
        <v>0</v>
      </c>
      <c r="C1154" s="13">
        <f>+'PLAN DE CUENTAS'!C1154</f>
        <v>0</v>
      </c>
      <c r="D1154" t="str">
        <f>IF(tbal[[#This Row],[DEBE]]+tbal[[#This Row],[HABER]]=0,"","X")</f>
        <v/>
      </c>
      <c r="E1154" s="16">
        <f>SUMIF(tdiario[CUENTA],tbal[[#This Row],[CUENTA]],tdiario[DEBE])</f>
        <v>0</v>
      </c>
      <c r="F1154" s="17">
        <f>SUMIF(tdiario[CUENTA],tbal[[#This Row],[CUENTA]],tdiario[HABER])</f>
        <v>0</v>
      </c>
      <c r="G1154" s="16">
        <f>IF(tbal[[#This Row],[DEBE]]-tbal[[#This Row],[HABER]]&gt;0,tbal[[#This Row],[DEBE]]-tbal[[#This Row],[HABER]],0)</f>
        <v>0</v>
      </c>
      <c r="H1154" s="18">
        <f>IF(tbal[[#This Row],[HABER]]-tbal[[#This Row],[DEBE]]&gt;0,tbal[[#This Row],[HABER]]-tbal[[#This Row],[DEBE]],0)</f>
        <v>0</v>
      </c>
      <c r="I1154" s="16">
        <f>IF((OR(tbal[[#This Row],[X]]=1,tbal[[#This Row],[X]]=2)),tbal[[#This Row],[DEUDOR]],0)</f>
        <v>0</v>
      </c>
      <c r="J1154" s="18">
        <f>IF((OR(tbal[[#This Row],[X]]=2,tbal[[#This Row],[X]]=3)),tbal[[#This Row],[ACREEDOR]],0)</f>
        <v>0</v>
      </c>
      <c r="K1154" s="16">
        <f>IF((OR(tbal[[#This Row],[X]]=3,tbal[[#This Row],[X]]=5)),tbal[[#This Row],[DEUDOR]],0)</f>
        <v>0</v>
      </c>
      <c r="L1154" s="18">
        <f>IF((OR(tbal[[#This Row],[X]]=3,tbal[[#This Row],[X]]=4)),tbal[[#This Row],[ACREEDOR]],0)</f>
        <v>0</v>
      </c>
      <c r="M1154" s="16">
        <f>IF((OR(tbal[[#This Row],[X]]=0,tbal[[#This Row],[X]]=6)),tbal[[#This Row],[DEUDOR]],0)</f>
        <v>0</v>
      </c>
      <c r="N1154" s="18">
        <f>IF((OR(tbal[[#This Row],[X]]=0,tbal[[#This Row],[X]]=5)),tbal[[#This Row],[ACREEDOR]],0)</f>
        <v>0</v>
      </c>
    </row>
    <row r="1155" spans="1:14" hidden="1" x14ac:dyDescent="0.3">
      <c r="A1155" s="14">
        <f>+'PLAN DE CUENTAS'!A1155</f>
        <v>0</v>
      </c>
      <c r="B1155" s="13">
        <f>+'PLAN DE CUENTAS'!B1155</f>
        <v>0</v>
      </c>
      <c r="C1155" s="13">
        <f>+'PLAN DE CUENTAS'!C1155</f>
        <v>0</v>
      </c>
      <c r="D1155" t="str">
        <f>IF(tbal[[#This Row],[DEBE]]+tbal[[#This Row],[HABER]]=0,"","X")</f>
        <v/>
      </c>
      <c r="E1155" s="16">
        <f>SUMIF(tdiario[CUENTA],tbal[[#This Row],[CUENTA]],tdiario[DEBE])</f>
        <v>0</v>
      </c>
      <c r="F1155" s="17">
        <f>SUMIF(tdiario[CUENTA],tbal[[#This Row],[CUENTA]],tdiario[HABER])</f>
        <v>0</v>
      </c>
      <c r="G1155" s="16">
        <f>IF(tbal[[#This Row],[DEBE]]-tbal[[#This Row],[HABER]]&gt;0,tbal[[#This Row],[DEBE]]-tbal[[#This Row],[HABER]],0)</f>
        <v>0</v>
      </c>
      <c r="H1155" s="18">
        <f>IF(tbal[[#This Row],[HABER]]-tbal[[#This Row],[DEBE]]&gt;0,tbal[[#This Row],[HABER]]-tbal[[#This Row],[DEBE]],0)</f>
        <v>0</v>
      </c>
      <c r="I1155" s="16">
        <f>IF((OR(tbal[[#This Row],[X]]=1,tbal[[#This Row],[X]]=2)),tbal[[#This Row],[DEUDOR]],0)</f>
        <v>0</v>
      </c>
      <c r="J1155" s="18">
        <f>IF((OR(tbal[[#This Row],[X]]=2,tbal[[#This Row],[X]]=3)),tbal[[#This Row],[ACREEDOR]],0)</f>
        <v>0</v>
      </c>
      <c r="K1155" s="16">
        <f>IF((OR(tbal[[#This Row],[X]]=3,tbal[[#This Row],[X]]=5)),tbal[[#This Row],[DEUDOR]],0)</f>
        <v>0</v>
      </c>
      <c r="L1155" s="18">
        <f>IF((OR(tbal[[#This Row],[X]]=3,tbal[[#This Row],[X]]=4)),tbal[[#This Row],[ACREEDOR]],0)</f>
        <v>0</v>
      </c>
      <c r="M1155" s="16">
        <f>IF((OR(tbal[[#This Row],[X]]=0,tbal[[#This Row],[X]]=6)),tbal[[#This Row],[DEUDOR]],0)</f>
        <v>0</v>
      </c>
      <c r="N1155" s="18">
        <f>IF((OR(tbal[[#This Row],[X]]=0,tbal[[#This Row],[X]]=5)),tbal[[#This Row],[ACREEDOR]],0)</f>
        <v>0</v>
      </c>
    </row>
    <row r="1156" spans="1:14" hidden="1" x14ac:dyDescent="0.3">
      <c r="A1156" s="14">
        <f>+'PLAN DE CUENTAS'!A1156</f>
        <v>0</v>
      </c>
      <c r="B1156" s="13">
        <f>+'PLAN DE CUENTAS'!B1156</f>
        <v>0</v>
      </c>
      <c r="C1156" s="13">
        <f>+'PLAN DE CUENTAS'!C1156</f>
        <v>0</v>
      </c>
      <c r="D1156" t="str">
        <f>IF(tbal[[#This Row],[DEBE]]+tbal[[#This Row],[HABER]]=0,"","X")</f>
        <v/>
      </c>
      <c r="E1156" s="16">
        <f>SUMIF(tdiario[CUENTA],tbal[[#This Row],[CUENTA]],tdiario[DEBE])</f>
        <v>0</v>
      </c>
      <c r="F1156" s="17">
        <f>SUMIF(tdiario[CUENTA],tbal[[#This Row],[CUENTA]],tdiario[HABER])</f>
        <v>0</v>
      </c>
      <c r="G1156" s="16">
        <f>IF(tbal[[#This Row],[DEBE]]-tbal[[#This Row],[HABER]]&gt;0,tbal[[#This Row],[DEBE]]-tbal[[#This Row],[HABER]],0)</f>
        <v>0</v>
      </c>
      <c r="H1156" s="18">
        <f>IF(tbal[[#This Row],[HABER]]-tbal[[#This Row],[DEBE]]&gt;0,tbal[[#This Row],[HABER]]-tbal[[#This Row],[DEBE]],0)</f>
        <v>0</v>
      </c>
      <c r="I1156" s="16">
        <f>IF((OR(tbal[[#This Row],[X]]=1,tbal[[#This Row],[X]]=2)),tbal[[#This Row],[DEUDOR]],0)</f>
        <v>0</v>
      </c>
      <c r="J1156" s="18">
        <f>IF((OR(tbal[[#This Row],[X]]=2,tbal[[#This Row],[X]]=3)),tbal[[#This Row],[ACREEDOR]],0)</f>
        <v>0</v>
      </c>
      <c r="K1156" s="16">
        <f>IF((OR(tbal[[#This Row],[X]]=3,tbal[[#This Row],[X]]=5)),tbal[[#This Row],[DEUDOR]],0)</f>
        <v>0</v>
      </c>
      <c r="L1156" s="18">
        <f>IF((OR(tbal[[#This Row],[X]]=3,tbal[[#This Row],[X]]=4)),tbal[[#This Row],[ACREEDOR]],0)</f>
        <v>0</v>
      </c>
      <c r="M1156" s="16">
        <f>IF((OR(tbal[[#This Row],[X]]=0,tbal[[#This Row],[X]]=6)),tbal[[#This Row],[DEUDOR]],0)</f>
        <v>0</v>
      </c>
      <c r="N1156" s="18">
        <f>IF((OR(tbal[[#This Row],[X]]=0,tbal[[#This Row],[X]]=5)),tbal[[#This Row],[ACREEDOR]],0)</f>
        <v>0</v>
      </c>
    </row>
    <row r="1157" spans="1:14" hidden="1" x14ac:dyDescent="0.3">
      <c r="A1157" s="14">
        <f>+'PLAN DE CUENTAS'!A1157</f>
        <v>0</v>
      </c>
      <c r="B1157" s="13">
        <f>+'PLAN DE CUENTAS'!B1157</f>
        <v>0</v>
      </c>
      <c r="C1157" s="13">
        <f>+'PLAN DE CUENTAS'!C1157</f>
        <v>0</v>
      </c>
      <c r="D1157" t="str">
        <f>IF(tbal[[#This Row],[DEBE]]+tbal[[#This Row],[HABER]]=0,"","X")</f>
        <v/>
      </c>
      <c r="E1157" s="16">
        <f>SUMIF(tdiario[CUENTA],tbal[[#This Row],[CUENTA]],tdiario[DEBE])</f>
        <v>0</v>
      </c>
      <c r="F1157" s="17">
        <f>SUMIF(tdiario[CUENTA],tbal[[#This Row],[CUENTA]],tdiario[HABER])</f>
        <v>0</v>
      </c>
      <c r="G1157" s="16">
        <f>IF(tbal[[#This Row],[DEBE]]-tbal[[#This Row],[HABER]]&gt;0,tbal[[#This Row],[DEBE]]-tbal[[#This Row],[HABER]],0)</f>
        <v>0</v>
      </c>
      <c r="H1157" s="18">
        <f>IF(tbal[[#This Row],[HABER]]-tbal[[#This Row],[DEBE]]&gt;0,tbal[[#This Row],[HABER]]-tbal[[#This Row],[DEBE]],0)</f>
        <v>0</v>
      </c>
      <c r="I1157" s="16">
        <f>IF((OR(tbal[[#This Row],[X]]=1,tbal[[#This Row],[X]]=2)),tbal[[#This Row],[DEUDOR]],0)</f>
        <v>0</v>
      </c>
      <c r="J1157" s="18">
        <f>IF((OR(tbal[[#This Row],[X]]=2,tbal[[#This Row],[X]]=3)),tbal[[#This Row],[ACREEDOR]],0)</f>
        <v>0</v>
      </c>
      <c r="K1157" s="16">
        <f>IF((OR(tbal[[#This Row],[X]]=3,tbal[[#This Row],[X]]=5)),tbal[[#This Row],[DEUDOR]],0)</f>
        <v>0</v>
      </c>
      <c r="L1157" s="18">
        <f>IF((OR(tbal[[#This Row],[X]]=3,tbal[[#This Row],[X]]=4)),tbal[[#This Row],[ACREEDOR]],0)</f>
        <v>0</v>
      </c>
      <c r="M1157" s="16">
        <f>IF((OR(tbal[[#This Row],[X]]=0,tbal[[#This Row],[X]]=6)),tbal[[#This Row],[DEUDOR]],0)</f>
        <v>0</v>
      </c>
      <c r="N1157" s="18">
        <f>IF((OR(tbal[[#This Row],[X]]=0,tbal[[#This Row],[X]]=5)),tbal[[#This Row],[ACREEDOR]],0)</f>
        <v>0</v>
      </c>
    </row>
    <row r="1158" spans="1:14" hidden="1" x14ac:dyDescent="0.3">
      <c r="A1158" s="14">
        <f>+'PLAN DE CUENTAS'!A1158</f>
        <v>0</v>
      </c>
      <c r="B1158" s="13">
        <f>+'PLAN DE CUENTAS'!B1158</f>
        <v>0</v>
      </c>
      <c r="C1158" s="13">
        <f>+'PLAN DE CUENTAS'!C1158</f>
        <v>0</v>
      </c>
      <c r="D1158" t="str">
        <f>IF(tbal[[#This Row],[DEBE]]+tbal[[#This Row],[HABER]]=0,"","X")</f>
        <v/>
      </c>
      <c r="E1158" s="16">
        <f>SUMIF(tdiario[CUENTA],tbal[[#This Row],[CUENTA]],tdiario[DEBE])</f>
        <v>0</v>
      </c>
      <c r="F1158" s="17">
        <f>SUMIF(tdiario[CUENTA],tbal[[#This Row],[CUENTA]],tdiario[HABER])</f>
        <v>0</v>
      </c>
      <c r="G1158" s="16">
        <f>IF(tbal[[#This Row],[DEBE]]-tbal[[#This Row],[HABER]]&gt;0,tbal[[#This Row],[DEBE]]-tbal[[#This Row],[HABER]],0)</f>
        <v>0</v>
      </c>
      <c r="H1158" s="18">
        <f>IF(tbal[[#This Row],[HABER]]-tbal[[#This Row],[DEBE]]&gt;0,tbal[[#This Row],[HABER]]-tbal[[#This Row],[DEBE]],0)</f>
        <v>0</v>
      </c>
      <c r="I1158" s="16">
        <f>IF((OR(tbal[[#This Row],[X]]=1,tbal[[#This Row],[X]]=2)),tbal[[#This Row],[DEUDOR]],0)</f>
        <v>0</v>
      </c>
      <c r="J1158" s="18">
        <f>IF((OR(tbal[[#This Row],[X]]=2,tbal[[#This Row],[X]]=3)),tbal[[#This Row],[ACREEDOR]],0)</f>
        <v>0</v>
      </c>
      <c r="K1158" s="16">
        <f>IF((OR(tbal[[#This Row],[X]]=3,tbal[[#This Row],[X]]=5)),tbal[[#This Row],[DEUDOR]],0)</f>
        <v>0</v>
      </c>
      <c r="L1158" s="18">
        <f>IF((OR(tbal[[#This Row],[X]]=3,tbal[[#This Row],[X]]=4)),tbal[[#This Row],[ACREEDOR]],0)</f>
        <v>0</v>
      </c>
      <c r="M1158" s="16">
        <f>IF((OR(tbal[[#This Row],[X]]=0,tbal[[#This Row],[X]]=6)),tbal[[#This Row],[DEUDOR]],0)</f>
        <v>0</v>
      </c>
      <c r="N1158" s="18">
        <f>IF((OR(tbal[[#This Row],[X]]=0,tbal[[#This Row],[X]]=5)),tbal[[#This Row],[ACREEDOR]],0)</f>
        <v>0</v>
      </c>
    </row>
    <row r="1159" spans="1:14" hidden="1" x14ac:dyDescent="0.3">
      <c r="A1159" s="14">
        <f>+'PLAN DE CUENTAS'!A1159</f>
        <v>0</v>
      </c>
      <c r="B1159" s="13">
        <f>+'PLAN DE CUENTAS'!B1159</f>
        <v>0</v>
      </c>
      <c r="C1159" s="13">
        <f>+'PLAN DE CUENTAS'!C1159</f>
        <v>0</v>
      </c>
      <c r="D1159" t="str">
        <f>IF(tbal[[#This Row],[DEBE]]+tbal[[#This Row],[HABER]]=0,"","X")</f>
        <v/>
      </c>
      <c r="E1159" s="16">
        <f>SUMIF(tdiario[CUENTA],tbal[[#This Row],[CUENTA]],tdiario[DEBE])</f>
        <v>0</v>
      </c>
      <c r="F1159" s="17">
        <f>SUMIF(tdiario[CUENTA],tbal[[#This Row],[CUENTA]],tdiario[HABER])</f>
        <v>0</v>
      </c>
      <c r="G1159" s="16">
        <f>IF(tbal[[#This Row],[DEBE]]-tbal[[#This Row],[HABER]]&gt;0,tbal[[#This Row],[DEBE]]-tbal[[#This Row],[HABER]],0)</f>
        <v>0</v>
      </c>
      <c r="H1159" s="18">
        <f>IF(tbal[[#This Row],[HABER]]-tbal[[#This Row],[DEBE]]&gt;0,tbal[[#This Row],[HABER]]-tbal[[#This Row],[DEBE]],0)</f>
        <v>0</v>
      </c>
      <c r="I1159" s="16">
        <f>IF((OR(tbal[[#This Row],[X]]=1,tbal[[#This Row],[X]]=2)),tbal[[#This Row],[DEUDOR]],0)</f>
        <v>0</v>
      </c>
      <c r="J1159" s="18">
        <f>IF((OR(tbal[[#This Row],[X]]=2,tbal[[#This Row],[X]]=3)),tbal[[#This Row],[ACREEDOR]],0)</f>
        <v>0</v>
      </c>
      <c r="K1159" s="16">
        <f>IF((OR(tbal[[#This Row],[X]]=3,tbal[[#This Row],[X]]=5)),tbal[[#This Row],[DEUDOR]],0)</f>
        <v>0</v>
      </c>
      <c r="L1159" s="18">
        <f>IF((OR(tbal[[#This Row],[X]]=3,tbal[[#This Row],[X]]=4)),tbal[[#This Row],[ACREEDOR]],0)</f>
        <v>0</v>
      </c>
      <c r="M1159" s="16">
        <f>IF((OR(tbal[[#This Row],[X]]=0,tbal[[#This Row],[X]]=6)),tbal[[#This Row],[DEUDOR]],0)</f>
        <v>0</v>
      </c>
      <c r="N1159" s="18">
        <f>IF((OR(tbal[[#This Row],[X]]=0,tbal[[#This Row],[X]]=5)),tbal[[#This Row],[ACREEDOR]],0)</f>
        <v>0</v>
      </c>
    </row>
    <row r="1160" spans="1:14" hidden="1" x14ac:dyDescent="0.3">
      <c r="A1160" s="14">
        <f>+'PLAN DE CUENTAS'!A1160</f>
        <v>0</v>
      </c>
      <c r="B1160" s="13">
        <f>+'PLAN DE CUENTAS'!B1160</f>
        <v>0</v>
      </c>
      <c r="C1160" s="13">
        <f>+'PLAN DE CUENTAS'!C1160</f>
        <v>0</v>
      </c>
      <c r="D1160" t="str">
        <f>IF(tbal[[#This Row],[DEBE]]+tbal[[#This Row],[HABER]]=0,"","X")</f>
        <v/>
      </c>
      <c r="E1160" s="16">
        <f>SUMIF(tdiario[CUENTA],tbal[[#This Row],[CUENTA]],tdiario[DEBE])</f>
        <v>0</v>
      </c>
      <c r="F1160" s="17">
        <f>SUMIF(tdiario[CUENTA],tbal[[#This Row],[CUENTA]],tdiario[HABER])</f>
        <v>0</v>
      </c>
      <c r="G1160" s="16">
        <f>IF(tbal[[#This Row],[DEBE]]-tbal[[#This Row],[HABER]]&gt;0,tbal[[#This Row],[DEBE]]-tbal[[#This Row],[HABER]],0)</f>
        <v>0</v>
      </c>
      <c r="H1160" s="18">
        <f>IF(tbal[[#This Row],[HABER]]-tbal[[#This Row],[DEBE]]&gt;0,tbal[[#This Row],[HABER]]-tbal[[#This Row],[DEBE]],0)</f>
        <v>0</v>
      </c>
      <c r="I1160" s="16">
        <f>IF((OR(tbal[[#This Row],[X]]=1,tbal[[#This Row],[X]]=2)),tbal[[#This Row],[DEUDOR]],0)</f>
        <v>0</v>
      </c>
      <c r="J1160" s="18">
        <f>IF((OR(tbal[[#This Row],[X]]=2,tbal[[#This Row],[X]]=3)),tbal[[#This Row],[ACREEDOR]],0)</f>
        <v>0</v>
      </c>
      <c r="K1160" s="16">
        <f>IF((OR(tbal[[#This Row],[X]]=3,tbal[[#This Row],[X]]=5)),tbal[[#This Row],[DEUDOR]],0)</f>
        <v>0</v>
      </c>
      <c r="L1160" s="18">
        <f>IF((OR(tbal[[#This Row],[X]]=3,tbal[[#This Row],[X]]=4)),tbal[[#This Row],[ACREEDOR]],0)</f>
        <v>0</v>
      </c>
      <c r="M1160" s="16">
        <f>IF((OR(tbal[[#This Row],[X]]=0,tbal[[#This Row],[X]]=6)),tbal[[#This Row],[DEUDOR]],0)</f>
        <v>0</v>
      </c>
      <c r="N1160" s="18">
        <f>IF((OR(tbal[[#This Row],[X]]=0,tbal[[#This Row],[X]]=5)),tbal[[#This Row],[ACREEDOR]],0)</f>
        <v>0</v>
      </c>
    </row>
    <row r="1161" spans="1:14" hidden="1" x14ac:dyDescent="0.3">
      <c r="A1161" s="14">
        <f>+'PLAN DE CUENTAS'!A1161</f>
        <v>0</v>
      </c>
      <c r="B1161" s="13">
        <f>+'PLAN DE CUENTAS'!B1161</f>
        <v>0</v>
      </c>
      <c r="C1161" s="13">
        <f>+'PLAN DE CUENTAS'!C1161</f>
        <v>0</v>
      </c>
      <c r="D1161" t="str">
        <f>IF(tbal[[#This Row],[DEBE]]+tbal[[#This Row],[HABER]]=0,"","X")</f>
        <v/>
      </c>
      <c r="E1161" s="16">
        <f>SUMIF(tdiario[CUENTA],tbal[[#This Row],[CUENTA]],tdiario[DEBE])</f>
        <v>0</v>
      </c>
      <c r="F1161" s="17">
        <f>SUMIF(tdiario[CUENTA],tbal[[#This Row],[CUENTA]],tdiario[HABER])</f>
        <v>0</v>
      </c>
      <c r="G1161" s="16">
        <f>IF(tbal[[#This Row],[DEBE]]-tbal[[#This Row],[HABER]]&gt;0,tbal[[#This Row],[DEBE]]-tbal[[#This Row],[HABER]],0)</f>
        <v>0</v>
      </c>
      <c r="H1161" s="18">
        <f>IF(tbal[[#This Row],[HABER]]-tbal[[#This Row],[DEBE]]&gt;0,tbal[[#This Row],[HABER]]-tbal[[#This Row],[DEBE]],0)</f>
        <v>0</v>
      </c>
      <c r="I1161" s="16">
        <f>IF((OR(tbal[[#This Row],[X]]=1,tbal[[#This Row],[X]]=2)),tbal[[#This Row],[DEUDOR]],0)</f>
        <v>0</v>
      </c>
      <c r="J1161" s="18">
        <f>IF((OR(tbal[[#This Row],[X]]=2,tbal[[#This Row],[X]]=3)),tbal[[#This Row],[ACREEDOR]],0)</f>
        <v>0</v>
      </c>
      <c r="K1161" s="16">
        <f>IF((OR(tbal[[#This Row],[X]]=3,tbal[[#This Row],[X]]=5)),tbal[[#This Row],[DEUDOR]],0)</f>
        <v>0</v>
      </c>
      <c r="L1161" s="18">
        <f>IF((OR(tbal[[#This Row],[X]]=3,tbal[[#This Row],[X]]=4)),tbal[[#This Row],[ACREEDOR]],0)</f>
        <v>0</v>
      </c>
      <c r="M1161" s="16">
        <f>IF((OR(tbal[[#This Row],[X]]=0,tbal[[#This Row],[X]]=6)),tbal[[#This Row],[DEUDOR]],0)</f>
        <v>0</v>
      </c>
      <c r="N1161" s="18">
        <f>IF((OR(tbal[[#This Row],[X]]=0,tbal[[#This Row],[X]]=5)),tbal[[#This Row],[ACREEDOR]],0)</f>
        <v>0</v>
      </c>
    </row>
    <row r="1162" spans="1:14" hidden="1" x14ac:dyDescent="0.3">
      <c r="A1162" s="14">
        <f>+'PLAN DE CUENTAS'!A1162</f>
        <v>0</v>
      </c>
      <c r="B1162" s="13">
        <f>+'PLAN DE CUENTAS'!B1162</f>
        <v>0</v>
      </c>
      <c r="C1162" s="13">
        <f>+'PLAN DE CUENTAS'!C1162</f>
        <v>0</v>
      </c>
      <c r="D1162" t="str">
        <f>IF(tbal[[#This Row],[DEBE]]+tbal[[#This Row],[HABER]]=0,"","X")</f>
        <v/>
      </c>
      <c r="E1162" s="16">
        <f>SUMIF(tdiario[CUENTA],tbal[[#This Row],[CUENTA]],tdiario[DEBE])</f>
        <v>0</v>
      </c>
      <c r="F1162" s="17">
        <f>SUMIF(tdiario[CUENTA],tbal[[#This Row],[CUENTA]],tdiario[HABER])</f>
        <v>0</v>
      </c>
      <c r="G1162" s="16">
        <f>IF(tbal[[#This Row],[DEBE]]-tbal[[#This Row],[HABER]]&gt;0,tbal[[#This Row],[DEBE]]-tbal[[#This Row],[HABER]],0)</f>
        <v>0</v>
      </c>
      <c r="H1162" s="18">
        <f>IF(tbal[[#This Row],[HABER]]-tbal[[#This Row],[DEBE]]&gt;0,tbal[[#This Row],[HABER]]-tbal[[#This Row],[DEBE]],0)</f>
        <v>0</v>
      </c>
      <c r="I1162" s="16">
        <f>IF((OR(tbal[[#This Row],[X]]=1,tbal[[#This Row],[X]]=2)),tbal[[#This Row],[DEUDOR]],0)</f>
        <v>0</v>
      </c>
      <c r="J1162" s="18">
        <f>IF((OR(tbal[[#This Row],[X]]=2,tbal[[#This Row],[X]]=3)),tbal[[#This Row],[ACREEDOR]],0)</f>
        <v>0</v>
      </c>
      <c r="K1162" s="16">
        <f>IF((OR(tbal[[#This Row],[X]]=3,tbal[[#This Row],[X]]=5)),tbal[[#This Row],[DEUDOR]],0)</f>
        <v>0</v>
      </c>
      <c r="L1162" s="18">
        <f>IF((OR(tbal[[#This Row],[X]]=3,tbal[[#This Row],[X]]=4)),tbal[[#This Row],[ACREEDOR]],0)</f>
        <v>0</v>
      </c>
      <c r="M1162" s="16">
        <f>IF((OR(tbal[[#This Row],[X]]=0,tbal[[#This Row],[X]]=6)),tbal[[#This Row],[DEUDOR]],0)</f>
        <v>0</v>
      </c>
      <c r="N1162" s="18">
        <f>IF((OR(tbal[[#This Row],[X]]=0,tbal[[#This Row],[X]]=5)),tbal[[#This Row],[ACREEDOR]],0)</f>
        <v>0</v>
      </c>
    </row>
    <row r="1163" spans="1:14" hidden="1" x14ac:dyDescent="0.3">
      <c r="A1163" s="14">
        <f>+'PLAN DE CUENTAS'!A1163</f>
        <v>0</v>
      </c>
      <c r="B1163" s="13">
        <f>+'PLAN DE CUENTAS'!B1163</f>
        <v>0</v>
      </c>
      <c r="C1163" s="13">
        <f>+'PLAN DE CUENTAS'!C1163</f>
        <v>0</v>
      </c>
      <c r="D1163" t="str">
        <f>IF(tbal[[#This Row],[DEBE]]+tbal[[#This Row],[HABER]]=0,"","X")</f>
        <v/>
      </c>
      <c r="E1163" s="16">
        <f>SUMIF(tdiario[CUENTA],tbal[[#This Row],[CUENTA]],tdiario[DEBE])</f>
        <v>0</v>
      </c>
      <c r="F1163" s="17">
        <f>SUMIF(tdiario[CUENTA],tbal[[#This Row],[CUENTA]],tdiario[HABER])</f>
        <v>0</v>
      </c>
      <c r="G1163" s="16">
        <f>IF(tbal[[#This Row],[DEBE]]-tbal[[#This Row],[HABER]]&gt;0,tbal[[#This Row],[DEBE]]-tbal[[#This Row],[HABER]],0)</f>
        <v>0</v>
      </c>
      <c r="H1163" s="18">
        <f>IF(tbal[[#This Row],[HABER]]-tbal[[#This Row],[DEBE]]&gt;0,tbal[[#This Row],[HABER]]-tbal[[#This Row],[DEBE]],0)</f>
        <v>0</v>
      </c>
      <c r="I1163" s="16">
        <f>IF((OR(tbal[[#This Row],[X]]=1,tbal[[#This Row],[X]]=2)),tbal[[#This Row],[DEUDOR]],0)</f>
        <v>0</v>
      </c>
      <c r="J1163" s="18">
        <f>IF((OR(tbal[[#This Row],[X]]=2,tbal[[#This Row],[X]]=3)),tbal[[#This Row],[ACREEDOR]],0)</f>
        <v>0</v>
      </c>
      <c r="K1163" s="16">
        <f>IF((OR(tbal[[#This Row],[X]]=3,tbal[[#This Row],[X]]=5)),tbal[[#This Row],[DEUDOR]],0)</f>
        <v>0</v>
      </c>
      <c r="L1163" s="18">
        <f>IF((OR(tbal[[#This Row],[X]]=3,tbal[[#This Row],[X]]=4)),tbal[[#This Row],[ACREEDOR]],0)</f>
        <v>0</v>
      </c>
      <c r="M1163" s="16">
        <f>IF((OR(tbal[[#This Row],[X]]=0,tbal[[#This Row],[X]]=6)),tbal[[#This Row],[DEUDOR]],0)</f>
        <v>0</v>
      </c>
      <c r="N1163" s="18">
        <f>IF((OR(tbal[[#This Row],[X]]=0,tbal[[#This Row],[X]]=5)),tbal[[#This Row],[ACREEDOR]],0)</f>
        <v>0</v>
      </c>
    </row>
    <row r="1164" spans="1:14" hidden="1" x14ac:dyDescent="0.3">
      <c r="A1164" s="14">
        <f>+'PLAN DE CUENTAS'!A1164</f>
        <v>0</v>
      </c>
      <c r="B1164" s="13">
        <f>+'PLAN DE CUENTAS'!B1164</f>
        <v>0</v>
      </c>
      <c r="C1164" s="13">
        <f>+'PLAN DE CUENTAS'!C1164</f>
        <v>0</v>
      </c>
      <c r="D1164" t="str">
        <f>IF(tbal[[#This Row],[DEBE]]+tbal[[#This Row],[HABER]]=0,"","X")</f>
        <v/>
      </c>
      <c r="E1164" s="16">
        <f>SUMIF(tdiario[CUENTA],tbal[[#This Row],[CUENTA]],tdiario[DEBE])</f>
        <v>0</v>
      </c>
      <c r="F1164" s="17">
        <f>SUMIF(tdiario[CUENTA],tbal[[#This Row],[CUENTA]],tdiario[HABER])</f>
        <v>0</v>
      </c>
      <c r="G1164" s="16">
        <f>IF(tbal[[#This Row],[DEBE]]-tbal[[#This Row],[HABER]]&gt;0,tbal[[#This Row],[DEBE]]-tbal[[#This Row],[HABER]],0)</f>
        <v>0</v>
      </c>
      <c r="H1164" s="18">
        <f>IF(tbal[[#This Row],[HABER]]-tbal[[#This Row],[DEBE]]&gt;0,tbal[[#This Row],[HABER]]-tbal[[#This Row],[DEBE]],0)</f>
        <v>0</v>
      </c>
      <c r="I1164" s="16">
        <f>IF((OR(tbal[[#This Row],[X]]=1,tbal[[#This Row],[X]]=2)),tbal[[#This Row],[DEUDOR]],0)</f>
        <v>0</v>
      </c>
      <c r="J1164" s="18">
        <f>IF((OR(tbal[[#This Row],[X]]=2,tbal[[#This Row],[X]]=3)),tbal[[#This Row],[ACREEDOR]],0)</f>
        <v>0</v>
      </c>
      <c r="K1164" s="16">
        <f>IF((OR(tbal[[#This Row],[X]]=3,tbal[[#This Row],[X]]=5)),tbal[[#This Row],[DEUDOR]],0)</f>
        <v>0</v>
      </c>
      <c r="L1164" s="18">
        <f>IF((OR(tbal[[#This Row],[X]]=3,tbal[[#This Row],[X]]=4)),tbal[[#This Row],[ACREEDOR]],0)</f>
        <v>0</v>
      </c>
      <c r="M1164" s="16">
        <f>IF((OR(tbal[[#This Row],[X]]=0,tbal[[#This Row],[X]]=6)),tbal[[#This Row],[DEUDOR]],0)</f>
        <v>0</v>
      </c>
      <c r="N1164" s="18">
        <f>IF((OR(tbal[[#This Row],[X]]=0,tbal[[#This Row],[X]]=5)),tbal[[#This Row],[ACREEDOR]],0)</f>
        <v>0</v>
      </c>
    </row>
    <row r="1165" spans="1:14" hidden="1" x14ac:dyDescent="0.3">
      <c r="A1165" s="14">
        <f>+'PLAN DE CUENTAS'!A1165</f>
        <v>0</v>
      </c>
      <c r="B1165" s="13">
        <f>+'PLAN DE CUENTAS'!B1165</f>
        <v>0</v>
      </c>
      <c r="C1165" s="13">
        <f>+'PLAN DE CUENTAS'!C1165</f>
        <v>0</v>
      </c>
      <c r="D1165" t="str">
        <f>IF(tbal[[#This Row],[DEBE]]+tbal[[#This Row],[HABER]]=0,"","X")</f>
        <v/>
      </c>
      <c r="E1165" s="16">
        <f>SUMIF(tdiario[CUENTA],tbal[[#This Row],[CUENTA]],tdiario[DEBE])</f>
        <v>0</v>
      </c>
      <c r="F1165" s="17">
        <f>SUMIF(tdiario[CUENTA],tbal[[#This Row],[CUENTA]],tdiario[HABER])</f>
        <v>0</v>
      </c>
      <c r="G1165" s="16">
        <f>IF(tbal[[#This Row],[DEBE]]-tbal[[#This Row],[HABER]]&gt;0,tbal[[#This Row],[DEBE]]-tbal[[#This Row],[HABER]],0)</f>
        <v>0</v>
      </c>
      <c r="H1165" s="18">
        <f>IF(tbal[[#This Row],[HABER]]-tbal[[#This Row],[DEBE]]&gt;0,tbal[[#This Row],[HABER]]-tbal[[#This Row],[DEBE]],0)</f>
        <v>0</v>
      </c>
      <c r="I1165" s="16">
        <f>IF((OR(tbal[[#This Row],[X]]=1,tbal[[#This Row],[X]]=2)),tbal[[#This Row],[DEUDOR]],0)</f>
        <v>0</v>
      </c>
      <c r="J1165" s="18">
        <f>IF((OR(tbal[[#This Row],[X]]=2,tbal[[#This Row],[X]]=3)),tbal[[#This Row],[ACREEDOR]],0)</f>
        <v>0</v>
      </c>
      <c r="K1165" s="16">
        <f>IF((OR(tbal[[#This Row],[X]]=3,tbal[[#This Row],[X]]=5)),tbal[[#This Row],[DEUDOR]],0)</f>
        <v>0</v>
      </c>
      <c r="L1165" s="18">
        <f>IF((OR(tbal[[#This Row],[X]]=3,tbal[[#This Row],[X]]=4)),tbal[[#This Row],[ACREEDOR]],0)</f>
        <v>0</v>
      </c>
      <c r="M1165" s="16">
        <f>IF((OR(tbal[[#This Row],[X]]=0,tbal[[#This Row],[X]]=6)),tbal[[#This Row],[DEUDOR]],0)</f>
        <v>0</v>
      </c>
      <c r="N1165" s="18">
        <f>IF((OR(tbal[[#This Row],[X]]=0,tbal[[#This Row],[X]]=5)),tbal[[#This Row],[ACREEDOR]],0)</f>
        <v>0</v>
      </c>
    </row>
    <row r="1166" spans="1:14" hidden="1" x14ac:dyDescent="0.3">
      <c r="A1166" s="14">
        <f>+'PLAN DE CUENTAS'!A1166</f>
        <v>0</v>
      </c>
      <c r="B1166" s="13">
        <f>+'PLAN DE CUENTAS'!B1166</f>
        <v>0</v>
      </c>
      <c r="C1166" s="13">
        <f>+'PLAN DE CUENTAS'!C1166</f>
        <v>0</v>
      </c>
      <c r="D1166" t="str">
        <f>IF(tbal[[#This Row],[DEBE]]+tbal[[#This Row],[HABER]]=0,"","X")</f>
        <v/>
      </c>
      <c r="E1166" s="16">
        <f>SUMIF(tdiario[CUENTA],tbal[[#This Row],[CUENTA]],tdiario[DEBE])</f>
        <v>0</v>
      </c>
      <c r="F1166" s="17">
        <f>SUMIF(tdiario[CUENTA],tbal[[#This Row],[CUENTA]],tdiario[HABER])</f>
        <v>0</v>
      </c>
      <c r="G1166" s="16">
        <f>IF(tbal[[#This Row],[DEBE]]-tbal[[#This Row],[HABER]]&gt;0,tbal[[#This Row],[DEBE]]-tbal[[#This Row],[HABER]],0)</f>
        <v>0</v>
      </c>
      <c r="H1166" s="18">
        <f>IF(tbal[[#This Row],[HABER]]-tbal[[#This Row],[DEBE]]&gt;0,tbal[[#This Row],[HABER]]-tbal[[#This Row],[DEBE]],0)</f>
        <v>0</v>
      </c>
      <c r="I1166" s="16">
        <f>IF((OR(tbal[[#This Row],[X]]=1,tbal[[#This Row],[X]]=2)),tbal[[#This Row],[DEUDOR]],0)</f>
        <v>0</v>
      </c>
      <c r="J1166" s="18">
        <f>IF((OR(tbal[[#This Row],[X]]=2,tbal[[#This Row],[X]]=3)),tbal[[#This Row],[ACREEDOR]],0)</f>
        <v>0</v>
      </c>
      <c r="K1166" s="16">
        <f>IF((OR(tbal[[#This Row],[X]]=3,tbal[[#This Row],[X]]=5)),tbal[[#This Row],[DEUDOR]],0)</f>
        <v>0</v>
      </c>
      <c r="L1166" s="18">
        <f>IF((OR(tbal[[#This Row],[X]]=3,tbal[[#This Row],[X]]=4)),tbal[[#This Row],[ACREEDOR]],0)</f>
        <v>0</v>
      </c>
      <c r="M1166" s="16">
        <f>IF((OR(tbal[[#This Row],[X]]=0,tbal[[#This Row],[X]]=6)),tbal[[#This Row],[DEUDOR]],0)</f>
        <v>0</v>
      </c>
      <c r="N1166" s="18">
        <f>IF((OR(tbal[[#This Row],[X]]=0,tbal[[#This Row],[X]]=5)),tbal[[#This Row],[ACREEDOR]],0)</f>
        <v>0</v>
      </c>
    </row>
    <row r="1167" spans="1:14" hidden="1" x14ac:dyDescent="0.3">
      <c r="A1167" s="14">
        <f>+'PLAN DE CUENTAS'!A1167</f>
        <v>0</v>
      </c>
      <c r="B1167" s="13">
        <f>+'PLAN DE CUENTAS'!B1167</f>
        <v>0</v>
      </c>
      <c r="C1167" s="13">
        <f>+'PLAN DE CUENTAS'!C1167</f>
        <v>0</v>
      </c>
      <c r="D1167" t="str">
        <f>IF(tbal[[#This Row],[DEBE]]+tbal[[#This Row],[HABER]]=0,"","X")</f>
        <v/>
      </c>
      <c r="E1167" s="16">
        <f>SUMIF(tdiario[CUENTA],tbal[[#This Row],[CUENTA]],tdiario[DEBE])</f>
        <v>0</v>
      </c>
      <c r="F1167" s="17">
        <f>SUMIF(tdiario[CUENTA],tbal[[#This Row],[CUENTA]],tdiario[HABER])</f>
        <v>0</v>
      </c>
      <c r="G1167" s="16">
        <f>IF(tbal[[#This Row],[DEBE]]-tbal[[#This Row],[HABER]]&gt;0,tbal[[#This Row],[DEBE]]-tbal[[#This Row],[HABER]],0)</f>
        <v>0</v>
      </c>
      <c r="H1167" s="18">
        <f>IF(tbal[[#This Row],[HABER]]-tbal[[#This Row],[DEBE]]&gt;0,tbal[[#This Row],[HABER]]-tbal[[#This Row],[DEBE]],0)</f>
        <v>0</v>
      </c>
      <c r="I1167" s="16">
        <f>IF((OR(tbal[[#This Row],[X]]=1,tbal[[#This Row],[X]]=2)),tbal[[#This Row],[DEUDOR]],0)</f>
        <v>0</v>
      </c>
      <c r="J1167" s="18">
        <f>IF((OR(tbal[[#This Row],[X]]=2,tbal[[#This Row],[X]]=3)),tbal[[#This Row],[ACREEDOR]],0)</f>
        <v>0</v>
      </c>
      <c r="K1167" s="16">
        <f>IF((OR(tbal[[#This Row],[X]]=3,tbal[[#This Row],[X]]=5)),tbal[[#This Row],[DEUDOR]],0)</f>
        <v>0</v>
      </c>
      <c r="L1167" s="18">
        <f>IF((OR(tbal[[#This Row],[X]]=3,tbal[[#This Row],[X]]=4)),tbal[[#This Row],[ACREEDOR]],0)</f>
        <v>0</v>
      </c>
      <c r="M1167" s="16">
        <f>IF((OR(tbal[[#This Row],[X]]=0,tbal[[#This Row],[X]]=6)),tbal[[#This Row],[DEUDOR]],0)</f>
        <v>0</v>
      </c>
      <c r="N1167" s="18">
        <f>IF((OR(tbal[[#This Row],[X]]=0,tbal[[#This Row],[X]]=5)),tbal[[#This Row],[ACREEDOR]],0)</f>
        <v>0</v>
      </c>
    </row>
    <row r="1168" spans="1:14" hidden="1" x14ac:dyDescent="0.3">
      <c r="A1168" s="14">
        <f>+'PLAN DE CUENTAS'!A1168</f>
        <v>0</v>
      </c>
      <c r="B1168" s="13">
        <f>+'PLAN DE CUENTAS'!B1168</f>
        <v>0</v>
      </c>
      <c r="C1168" s="13">
        <f>+'PLAN DE CUENTAS'!C1168</f>
        <v>0</v>
      </c>
      <c r="D1168" t="str">
        <f>IF(tbal[[#This Row],[DEBE]]+tbal[[#This Row],[HABER]]=0,"","X")</f>
        <v/>
      </c>
      <c r="E1168" s="16">
        <f>SUMIF(tdiario[CUENTA],tbal[[#This Row],[CUENTA]],tdiario[DEBE])</f>
        <v>0</v>
      </c>
      <c r="F1168" s="17">
        <f>SUMIF(tdiario[CUENTA],tbal[[#This Row],[CUENTA]],tdiario[HABER])</f>
        <v>0</v>
      </c>
      <c r="G1168" s="16">
        <f>IF(tbal[[#This Row],[DEBE]]-tbal[[#This Row],[HABER]]&gt;0,tbal[[#This Row],[DEBE]]-tbal[[#This Row],[HABER]],0)</f>
        <v>0</v>
      </c>
      <c r="H1168" s="18">
        <f>IF(tbal[[#This Row],[HABER]]-tbal[[#This Row],[DEBE]]&gt;0,tbal[[#This Row],[HABER]]-tbal[[#This Row],[DEBE]],0)</f>
        <v>0</v>
      </c>
      <c r="I1168" s="16">
        <f>IF((OR(tbal[[#This Row],[X]]=1,tbal[[#This Row],[X]]=2)),tbal[[#This Row],[DEUDOR]],0)</f>
        <v>0</v>
      </c>
      <c r="J1168" s="18">
        <f>IF((OR(tbal[[#This Row],[X]]=2,tbal[[#This Row],[X]]=3)),tbal[[#This Row],[ACREEDOR]],0)</f>
        <v>0</v>
      </c>
      <c r="K1168" s="16">
        <f>IF((OR(tbal[[#This Row],[X]]=3,tbal[[#This Row],[X]]=5)),tbal[[#This Row],[DEUDOR]],0)</f>
        <v>0</v>
      </c>
      <c r="L1168" s="18">
        <f>IF((OR(tbal[[#This Row],[X]]=3,tbal[[#This Row],[X]]=4)),tbal[[#This Row],[ACREEDOR]],0)</f>
        <v>0</v>
      </c>
      <c r="M1168" s="16">
        <f>IF((OR(tbal[[#This Row],[X]]=0,tbal[[#This Row],[X]]=6)),tbal[[#This Row],[DEUDOR]],0)</f>
        <v>0</v>
      </c>
      <c r="N1168" s="18">
        <f>IF((OR(tbal[[#This Row],[X]]=0,tbal[[#This Row],[X]]=5)),tbal[[#This Row],[ACREEDOR]],0)</f>
        <v>0</v>
      </c>
    </row>
    <row r="1169" spans="1:14" hidden="1" x14ac:dyDescent="0.3">
      <c r="A1169" s="14">
        <f>+'PLAN DE CUENTAS'!A1169</f>
        <v>0</v>
      </c>
      <c r="B1169" s="13">
        <f>+'PLAN DE CUENTAS'!B1169</f>
        <v>0</v>
      </c>
      <c r="C1169" s="13">
        <f>+'PLAN DE CUENTAS'!C1169</f>
        <v>0</v>
      </c>
      <c r="D1169" t="str">
        <f>IF(tbal[[#This Row],[DEBE]]+tbal[[#This Row],[HABER]]=0,"","X")</f>
        <v/>
      </c>
      <c r="E1169" s="16">
        <f>SUMIF(tdiario[CUENTA],tbal[[#This Row],[CUENTA]],tdiario[DEBE])</f>
        <v>0</v>
      </c>
      <c r="F1169" s="17">
        <f>SUMIF(tdiario[CUENTA],tbal[[#This Row],[CUENTA]],tdiario[HABER])</f>
        <v>0</v>
      </c>
      <c r="G1169" s="16">
        <f>IF(tbal[[#This Row],[DEBE]]-tbal[[#This Row],[HABER]]&gt;0,tbal[[#This Row],[DEBE]]-tbal[[#This Row],[HABER]],0)</f>
        <v>0</v>
      </c>
      <c r="H1169" s="18">
        <f>IF(tbal[[#This Row],[HABER]]-tbal[[#This Row],[DEBE]]&gt;0,tbal[[#This Row],[HABER]]-tbal[[#This Row],[DEBE]],0)</f>
        <v>0</v>
      </c>
      <c r="I1169" s="16">
        <f>IF((OR(tbal[[#This Row],[X]]=1,tbal[[#This Row],[X]]=2)),tbal[[#This Row],[DEUDOR]],0)</f>
        <v>0</v>
      </c>
      <c r="J1169" s="18">
        <f>IF((OR(tbal[[#This Row],[X]]=2,tbal[[#This Row],[X]]=3)),tbal[[#This Row],[ACREEDOR]],0)</f>
        <v>0</v>
      </c>
      <c r="K1169" s="16">
        <f>IF((OR(tbal[[#This Row],[X]]=3,tbal[[#This Row],[X]]=5)),tbal[[#This Row],[DEUDOR]],0)</f>
        <v>0</v>
      </c>
      <c r="L1169" s="18">
        <f>IF((OR(tbal[[#This Row],[X]]=3,tbal[[#This Row],[X]]=4)),tbal[[#This Row],[ACREEDOR]],0)</f>
        <v>0</v>
      </c>
      <c r="M1169" s="16">
        <f>IF((OR(tbal[[#This Row],[X]]=0,tbal[[#This Row],[X]]=6)),tbal[[#This Row],[DEUDOR]],0)</f>
        <v>0</v>
      </c>
      <c r="N1169" s="18">
        <f>IF((OR(tbal[[#This Row],[X]]=0,tbal[[#This Row],[X]]=5)),tbal[[#This Row],[ACREEDOR]],0)</f>
        <v>0</v>
      </c>
    </row>
    <row r="1170" spans="1:14" hidden="1" x14ac:dyDescent="0.3">
      <c r="A1170" s="14">
        <f>+'PLAN DE CUENTAS'!A1170</f>
        <v>0</v>
      </c>
      <c r="B1170" s="13">
        <f>+'PLAN DE CUENTAS'!B1170</f>
        <v>0</v>
      </c>
      <c r="C1170" s="13">
        <f>+'PLAN DE CUENTAS'!C1170</f>
        <v>0</v>
      </c>
      <c r="D1170" t="str">
        <f>IF(tbal[[#This Row],[DEBE]]+tbal[[#This Row],[HABER]]=0,"","X")</f>
        <v/>
      </c>
      <c r="E1170" s="16">
        <f>SUMIF(tdiario[CUENTA],tbal[[#This Row],[CUENTA]],tdiario[DEBE])</f>
        <v>0</v>
      </c>
      <c r="F1170" s="17">
        <f>SUMIF(tdiario[CUENTA],tbal[[#This Row],[CUENTA]],tdiario[HABER])</f>
        <v>0</v>
      </c>
      <c r="G1170" s="16">
        <f>IF(tbal[[#This Row],[DEBE]]-tbal[[#This Row],[HABER]]&gt;0,tbal[[#This Row],[DEBE]]-tbal[[#This Row],[HABER]],0)</f>
        <v>0</v>
      </c>
      <c r="H1170" s="18">
        <f>IF(tbal[[#This Row],[HABER]]-tbal[[#This Row],[DEBE]]&gt;0,tbal[[#This Row],[HABER]]-tbal[[#This Row],[DEBE]],0)</f>
        <v>0</v>
      </c>
      <c r="I1170" s="16">
        <f>IF((OR(tbal[[#This Row],[X]]=1,tbal[[#This Row],[X]]=2)),tbal[[#This Row],[DEUDOR]],0)</f>
        <v>0</v>
      </c>
      <c r="J1170" s="18">
        <f>IF((OR(tbal[[#This Row],[X]]=2,tbal[[#This Row],[X]]=3)),tbal[[#This Row],[ACREEDOR]],0)</f>
        <v>0</v>
      </c>
      <c r="K1170" s="16">
        <f>IF((OR(tbal[[#This Row],[X]]=3,tbal[[#This Row],[X]]=5)),tbal[[#This Row],[DEUDOR]],0)</f>
        <v>0</v>
      </c>
      <c r="L1170" s="18">
        <f>IF((OR(tbal[[#This Row],[X]]=3,tbal[[#This Row],[X]]=4)),tbal[[#This Row],[ACREEDOR]],0)</f>
        <v>0</v>
      </c>
      <c r="M1170" s="16">
        <f>IF((OR(tbal[[#This Row],[X]]=0,tbal[[#This Row],[X]]=6)),tbal[[#This Row],[DEUDOR]],0)</f>
        <v>0</v>
      </c>
      <c r="N1170" s="18">
        <f>IF((OR(tbal[[#This Row],[X]]=0,tbal[[#This Row],[X]]=5)),tbal[[#This Row],[ACREEDOR]],0)</f>
        <v>0</v>
      </c>
    </row>
    <row r="1171" spans="1:14" hidden="1" x14ac:dyDescent="0.3">
      <c r="A1171" s="14">
        <f>+'PLAN DE CUENTAS'!A1171</f>
        <v>0</v>
      </c>
      <c r="B1171" s="13">
        <f>+'PLAN DE CUENTAS'!B1171</f>
        <v>0</v>
      </c>
      <c r="C1171" s="13">
        <f>+'PLAN DE CUENTAS'!C1171</f>
        <v>0</v>
      </c>
      <c r="D1171" t="str">
        <f>IF(tbal[[#This Row],[DEBE]]+tbal[[#This Row],[HABER]]=0,"","X")</f>
        <v/>
      </c>
      <c r="E1171" s="16">
        <f>SUMIF(tdiario[CUENTA],tbal[[#This Row],[CUENTA]],tdiario[DEBE])</f>
        <v>0</v>
      </c>
      <c r="F1171" s="17">
        <f>SUMIF(tdiario[CUENTA],tbal[[#This Row],[CUENTA]],tdiario[HABER])</f>
        <v>0</v>
      </c>
      <c r="G1171" s="16">
        <f>IF(tbal[[#This Row],[DEBE]]-tbal[[#This Row],[HABER]]&gt;0,tbal[[#This Row],[DEBE]]-tbal[[#This Row],[HABER]],0)</f>
        <v>0</v>
      </c>
      <c r="H1171" s="18">
        <f>IF(tbal[[#This Row],[HABER]]-tbal[[#This Row],[DEBE]]&gt;0,tbal[[#This Row],[HABER]]-tbal[[#This Row],[DEBE]],0)</f>
        <v>0</v>
      </c>
      <c r="I1171" s="16">
        <f>IF((OR(tbal[[#This Row],[X]]=1,tbal[[#This Row],[X]]=2)),tbal[[#This Row],[DEUDOR]],0)</f>
        <v>0</v>
      </c>
      <c r="J1171" s="18">
        <f>IF((OR(tbal[[#This Row],[X]]=2,tbal[[#This Row],[X]]=3)),tbal[[#This Row],[ACREEDOR]],0)</f>
        <v>0</v>
      </c>
      <c r="K1171" s="16">
        <f>IF((OR(tbal[[#This Row],[X]]=3,tbal[[#This Row],[X]]=5)),tbal[[#This Row],[DEUDOR]],0)</f>
        <v>0</v>
      </c>
      <c r="L1171" s="18">
        <f>IF((OR(tbal[[#This Row],[X]]=3,tbal[[#This Row],[X]]=4)),tbal[[#This Row],[ACREEDOR]],0)</f>
        <v>0</v>
      </c>
      <c r="M1171" s="16">
        <f>IF((OR(tbal[[#This Row],[X]]=0,tbal[[#This Row],[X]]=6)),tbal[[#This Row],[DEUDOR]],0)</f>
        <v>0</v>
      </c>
      <c r="N1171" s="18">
        <f>IF((OR(tbal[[#This Row],[X]]=0,tbal[[#This Row],[X]]=5)),tbal[[#This Row],[ACREEDOR]],0)</f>
        <v>0</v>
      </c>
    </row>
    <row r="1172" spans="1:14" hidden="1" x14ac:dyDescent="0.3">
      <c r="A1172" s="14">
        <f>+'PLAN DE CUENTAS'!A1172</f>
        <v>0</v>
      </c>
      <c r="B1172" s="13">
        <f>+'PLAN DE CUENTAS'!B1172</f>
        <v>0</v>
      </c>
      <c r="C1172" s="13">
        <f>+'PLAN DE CUENTAS'!C1172</f>
        <v>0</v>
      </c>
      <c r="D1172" t="str">
        <f>IF(tbal[[#This Row],[DEBE]]+tbal[[#This Row],[HABER]]=0,"","X")</f>
        <v/>
      </c>
      <c r="E1172" s="16">
        <f>SUMIF(tdiario[CUENTA],tbal[[#This Row],[CUENTA]],tdiario[DEBE])</f>
        <v>0</v>
      </c>
      <c r="F1172" s="17">
        <f>SUMIF(tdiario[CUENTA],tbal[[#This Row],[CUENTA]],tdiario[HABER])</f>
        <v>0</v>
      </c>
      <c r="G1172" s="16">
        <f>IF(tbal[[#This Row],[DEBE]]-tbal[[#This Row],[HABER]]&gt;0,tbal[[#This Row],[DEBE]]-tbal[[#This Row],[HABER]],0)</f>
        <v>0</v>
      </c>
      <c r="H1172" s="18">
        <f>IF(tbal[[#This Row],[HABER]]-tbal[[#This Row],[DEBE]]&gt;0,tbal[[#This Row],[HABER]]-tbal[[#This Row],[DEBE]],0)</f>
        <v>0</v>
      </c>
      <c r="I1172" s="16">
        <f>IF((OR(tbal[[#This Row],[X]]=1,tbal[[#This Row],[X]]=2)),tbal[[#This Row],[DEUDOR]],0)</f>
        <v>0</v>
      </c>
      <c r="J1172" s="18">
        <f>IF((OR(tbal[[#This Row],[X]]=2,tbal[[#This Row],[X]]=3)),tbal[[#This Row],[ACREEDOR]],0)</f>
        <v>0</v>
      </c>
      <c r="K1172" s="16">
        <f>IF((OR(tbal[[#This Row],[X]]=3,tbal[[#This Row],[X]]=5)),tbal[[#This Row],[DEUDOR]],0)</f>
        <v>0</v>
      </c>
      <c r="L1172" s="18">
        <f>IF((OR(tbal[[#This Row],[X]]=3,tbal[[#This Row],[X]]=4)),tbal[[#This Row],[ACREEDOR]],0)</f>
        <v>0</v>
      </c>
      <c r="M1172" s="16">
        <f>IF((OR(tbal[[#This Row],[X]]=0,tbal[[#This Row],[X]]=6)),tbal[[#This Row],[DEUDOR]],0)</f>
        <v>0</v>
      </c>
      <c r="N1172" s="18">
        <f>IF((OR(tbal[[#This Row],[X]]=0,tbal[[#This Row],[X]]=5)),tbal[[#This Row],[ACREEDOR]],0)</f>
        <v>0</v>
      </c>
    </row>
    <row r="1173" spans="1:14" hidden="1" x14ac:dyDescent="0.3">
      <c r="A1173" s="14">
        <f>+'PLAN DE CUENTAS'!A1173</f>
        <v>0</v>
      </c>
      <c r="B1173" s="13">
        <f>+'PLAN DE CUENTAS'!B1173</f>
        <v>0</v>
      </c>
      <c r="C1173" s="13">
        <f>+'PLAN DE CUENTAS'!C1173</f>
        <v>0</v>
      </c>
      <c r="D1173" t="str">
        <f>IF(tbal[[#This Row],[DEBE]]+tbal[[#This Row],[HABER]]=0,"","X")</f>
        <v/>
      </c>
      <c r="E1173" s="16">
        <f>SUMIF(tdiario[CUENTA],tbal[[#This Row],[CUENTA]],tdiario[DEBE])</f>
        <v>0</v>
      </c>
      <c r="F1173" s="17">
        <f>SUMIF(tdiario[CUENTA],tbal[[#This Row],[CUENTA]],tdiario[HABER])</f>
        <v>0</v>
      </c>
      <c r="G1173" s="16">
        <f>IF(tbal[[#This Row],[DEBE]]-tbal[[#This Row],[HABER]]&gt;0,tbal[[#This Row],[DEBE]]-tbal[[#This Row],[HABER]],0)</f>
        <v>0</v>
      </c>
      <c r="H1173" s="18">
        <f>IF(tbal[[#This Row],[HABER]]-tbal[[#This Row],[DEBE]]&gt;0,tbal[[#This Row],[HABER]]-tbal[[#This Row],[DEBE]],0)</f>
        <v>0</v>
      </c>
      <c r="I1173" s="16">
        <f>IF((OR(tbal[[#This Row],[X]]=1,tbal[[#This Row],[X]]=2)),tbal[[#This Row],[DEUDOR]],0)</f>
        <v>0</v>
      </c>
      <c r="J1173" s="18">
        <f>IF((OR(tbal[[#This Row],[X]]=2,tbal[[#This Row],[X]]=3)),tbal[[#This Row],[ACREEDOR]],0)</f>
        <v>0</v>
      </c>
      <c r="K1173" s="16">
        <f>IF((OR(tbal[[#This Row],[X]]=3,tbal[[#This Row],[X]]=5)),tbal[[#This Row],[DEUDOR]],0)</f>
        <v>0</v>
      </c>
      <c r="L1173" s="18">
        <f>IF((OR(tbal[[#This Row],[X]]=3,tbal[[#This Row],[X]]=4)),tbal[[#This Row],[ACREEDOR]],0)</f>
        <v>0</v>
      </c>
      <c r="M1173" s="16">
        <f>IF((OR(tbal[[#This Row],[X]]=0,tbal[[#This Row],[X]]=6)),tbal[[#This Row],[DEUDOR]],0)</f>
        <v>0</v>
      </c>
      <c r="N1173" s="18">
        <f>IF((OR(tbal[[#This Row],[X]]=0,tbal[[#This Row],[X]]=5)),tbal[[#This Row],[ACREEDOR]],0)</f>
        <v>0</v>
      </c>
    </row>
    <row r="1174" spans="1:14" hidden="1" x14ac:dyDescent="0.3">
      <c r="A1174" s="14">
        <f>+'PLAN DE CUENTAS'!A1174</f>
        <v>0</v>
      </c>
      <c r="B1174" s="13">
        <f>+'PLAN DE CUENTAS'!B1174</f>
        <v>0</v>
      </c>
      <c r="C1174" s="13">
        <f>+'PLAN DE CUENTAS'!C1174</f>
        <v>0</v>
      </c>
      <c r="D1174" t="str">
        <f>IF(tbal[[#This Row],[DEBE]]+tbal[[#This Row],[HABER]]=0,"","X")</f>
        <v/>
      </c>
      <c r="E1174" s="16">
        <f>SUMIF(tdiario[CUENTA],tbal[[#This Row],[CUENTA]],tdiario[DEBE])</f>
        <v>0</v>
      </c>
      <c r="F1174" s="17">
        <f>SUMIF(tdiario[CUENTA],tbal[[#This Row],[CUENTA]],tdiario[HABER])</f>
        <v>0</v>
      </c>
      <c r="G1174" s="16">
        <f>IF(tbal[[#This Row],[DEBE]]-tbal[[#This Row],[HABER]]&gt;0,tbal[[#This Row],[DEBE]]-tbal[[#This Row],[HABER]],0)</f>
        <v>0</v>
      </c>
      <c r="H1174" s="18">
        <f>IF(tbal[[#This Row],[HABER]]-tbal[[#This Row],[DEBE]]&gt;0,tbal[[#This Row],[HABER]]-tbal[[#This Row],[DEBE]],0)</f>
        <v>0</v>
      </c>
      <c r="I1174" s="16">
        <f>IF((OR(tbal[[#This Row],[X]]=1,tbal[[#This Row],[X]]=2)),tbal[[#This Row],[DEUDOR]],0)</f>
        <v>0</v>
      </c>
      <c r="J1174" s="18">
        <f>IF((OR(tbal[[#This Row],[X]]=2,tbal[[#This Row],[X]]=3)),tbal[[#This Row],[ACREEDOR]],0)</f>
        <v>0</v>
      </c>
      <c r="K1174" s="16">
        <f>IF((OR(tbal[[#This Row],[X]]=3,tbal[[#This Row],[X]]=5)),tbal[[#This Row],[DEUDOR]],0)</f>
        <v>0</v>
      </c>
      <c r="L1174" s="18">
        <f>IF((OR(tbal[[#This Row],[X]]=3,tbal[[#This Row],[X]]=4)),tbal[[#This Row],[ACREEDOR]],0)</f>
        <v>0</v>
      </c>
      <c r="M1174" s="16">
        <f>IF((OR(tbal[[#This Row],[X]]=0,tbal[[#This Row],[X]]=6)),tbal[[#This Row],[DEUDOR]],0)</f>
        <v>0</v>
      </c>
      <c r="N1174" s="18">
        <f>IF((OR(tbal[[#This Row],[X]]=0,tbal[[#This Row],[X]]=5)),tbal[[#This Row],[ACREEDOR]],0)</f>
        <v>0</v>
      </c>
    </row>
    <row r="1175" spans="1:14" hidden="1" x14ac:dyDescent="0.3">
      <c r="A1175" s="14">
        <f>+'PLAN DE CUENTAS'!A1175</f>
        <v>0</v>
      </c>
      <c r="B1175" s="13">
        <f>+'PLAN DE CUENTAS'!B1175</f>
        <v>0</v>
      </c>
      <c r="C1175" s="13">
        <f>+'PLAN DE CUENTAS'!C1175</f>
        <v>0</v>
      </c>
      <c r="D1175" t="str">
        <f>IF(tbal[[#This Row],[DEBE]]+tbal[[#This Row],[HABER]]=0,"","X")</f>
        <v/>
      </c>
      <c r="E1175" s="16">
        <f>SUMIF(tdiario[CUENTA],tbal[[#This Row],[CUENTA]],tdiario[DEBE])</f>
        <v>0</v>
      </c>
      <c r="F1175" s="17">
        <f>SUMIF(tdiario[CUENTA],tbal[[#This Row],[CUENTA]],tdiario[HABER])</f>
        <v>0</v>
      </c>
      <c r="G1175" s="16">
        <f>IF(tbal[[#This Row],[DEBE]]-tbal[[#This Row],[HABER]]&gt;0,tbal[[#This Row],[DEBE]]-tbal[[#This Row],[HABER]],0)</f>
        <v>0</v>
      </c>
      <c r="H1175" s="18">
        <f>IF(tbal[[#This Row],[HABER]]-tbal[[#This Row],[DEBE]]&gt;0,tbal[[#This Row],[HABER]]-tbal[[#This Row],[DEBE]],0)</f>
        <v>0</v>
      </c>
      <c r="I1175" s="16">
        <f>IF((OR(tbal[[#This Row],[X]]=1,tbal[[#This Row],[X]]=2)),tbal[[#This Row],[DEUDOR]],0)</f>
        <v>0</v>
      </c>
      <c r="J1175" s="18">
        <f>IF((OR(tbal[[#This Row],[X]]=2,tbal[[#This Row],[X]]=3)),tbal[[#This Row],[ACREEDOR]],0)</f>
        <v>0</v>
      </c>
      <c r="K1175" s="16">
        <f>IF((OR(tbal[[#This Row],[X]]=3,tbal[[#This Row],[X]]=5)),tbal[[#This Row],[DEUDOR]],0)</f>
        <v>0</v>
      </c>
      <c r="L1175" s="18">
        <f>IF((OR(tbal[[#This Row],[X]]=3,tbal[[#This Row],[X]]=4)),tbal[[#This Row],[ACREEDOR]],0)</f>
        <v>0</v>
      </c>
      <c r="M1175" s="16">
        <f>IF((OR(tbal[[#This Row],[X]]=0,tbal[[#This Row],[X]]=6)),tbal[[#This Row],[DEUDOR]],0)</f>
        <v>0</v>
      </c>
      <c r="N1175" s="18">
        <f>IF((OR(tbal[[#This Row],[X]]=0,tbal[[#This Row],[X]]=5)),tbal[[#This Row],[ACREEDOR]],0)</f>
        <v>0</v>
      </c>
    </row>
    <row r="1176" spans="1:14" hidden="1" x14ac:dyDescent="0.3">
      <c r="A1176" s="14">
        <f>+'PLAN DE CUENTAS'!A1176</f>
        <v>0</v>
      </c>
      <c r="B1176" s="13">
        <f>+'PLAN DE CUENTAS'!B1176</f>
        <v>0</v>
      </c>
      <c r="C1176" s="13">
        <f>+'PLAN DE CUENTAS'!C1176</f>
        <v>0</v>
      </c>
      <c r="D1176" t="str">
        <f>IF(tbal[[#This Row],[DEBE]]+tbal[[#This Row],[HABER]]=0,"","X")</f>
        <v/>
      </c>
      <c r="E1176" s="16">
        <f>SUMIF(tdiario[CUENTA],tbal[[#This Row],[CUENTA]],tdiario[DEBE])</f>
        <v>0</v>
      </c>
      <c r="F1176" s="17">
        <f>SUMIF(tdiario[CUENTA],tbal[[#This Row],[CUENTA]],tdiario[HABER])</f>
        <v>0</v>
      </c>
      <c r="G1176" s="16">
        <f>IF(tbal[[#This Row],[DEBE]]-tbal[[#This Row],[HABER]]&gt;0,tbal[[#This Row],[DEBE]]-tbal[[#This Row],[HABER]],0)</f>
        <v>0</v>
      </c>
      <c r="H1176" s="18">
        <f>IF(tbal[[#This Row],[HABER]]-tbal[[#This Row],[DEBE]]&gt;0,tbal[[#This Row],[HABER]]-tbal[[#This Row],[DEBE]],0)</f>
        <v>0</v>
      </c>
      <c r="I1176" s="16">
        <f>IF((OR(tbal[[#This Row],[X]]=1,tbal[[#This Row],[X]]=2)),tbal[[#This Row],[DEUDOR]],0)</f>
        <v>0</v>
      </c>
      <c r="J1176" s="18">
        <f>IF((OR(tbal[[#This Row],[X]]=2,tbal[[#This Row],[X]]=3)),tbal[[#This Row],[ACREEDOR]],0)</f>
        <v>0</v>
      </c>
      <c r="K1176" s="16">
        <f>IF((OR(tbal[[#This Row],[X]]=3,tbal[[#This Row],[X]]=5)),tbal[[#This Row],[DEUDOR]],0)</f>
        <v>0</v>
      </c>
      <c r="L1176" s="18">
        <f>IF((OR(tbal[[#This Row],[X]]=3,tbal[[#This Row],[X]]=4)),tbal[[#This Row],[ACREEDOR]],0)</f>
        <v>0</v>
      </c>
      <c r="M1176" s="16">
        <f>IF((OR(tbal[[#This Row],[X]]=0,tbal[[#This Row],[X]]=6)),tbal[[#This Row],[DEUDOR]],0)</f>
        <v>0</v>
      </c>
      <c r="N1176" s="18">
        <f>IF((OR(tbal[[#This Row],[X]]=0,tbal[[#This Row],[X]]=5)),tbal[[#This Row],[ACREEDOR]],0)</f>
        <v>0</v>
      </c>
    </row>
    <row r="1177" spans="1:14" hidden="1" x14ac:dyDescent="0.3">
      <c r="A1177" s="14">
        <f>+'PLAN DE CUENTAS'!A1177</f>
        <v>0</v>
      </c>
      <c r="B1177" s="13">
        <f>+'PLAN DE CUENTAS'!B1177</f>
        <v>0</v>
      </c>
      <c r="C1177" s="13">
        <f>+'PLAN DE CUENTAS'!C1177</f>
        <v>0</v>
      </c>
      <c r="D1177" t="str">
        <f>IF(tbal[[#This Row],[DEBE]]+tbal[[#This Row],[HABER]]=0,"","X")</f>
        <v/>
      </c>
      <c r="E1177" s="16">
        <f>SUMIF(tdiario[CUENTA],tbal[[#This Row],[CUENTA]],tdiario[DEBE])</f>
        <v>0</v>
      </c>
      <c r="F1177" s="17">
        <f>SUMIF(tdiario[CUENTA],tbal[[#This Row],[CUENTA]],tdiario[HABER])</f>
        <v>0</v>
      </c>
      <c r="G1177" s="16">
        <f>IF(tbal[[#This Row],[DEBE]]-tbal[[#This Row],[HABER]]&gt;0,tbal[[#This Row],[DEBE]]-tbal[[#This Row],[HABER]],0)</f>
        <v>0</v>
      </c>
      <c r="H1177" s="18">
        <f>IF(tbal[[#This Row],[HABER]]-tbal[[#This Row],[DEBE]]&gt;0,tbal[[#This Row],[HABER]]-tbal[[#This Row],[DEBE]],0)</f>
        <v>0</v>
      </c>
      <c r="I1177" s="16">
        <f>IF((OR(tbal[[#This Row],[X]]=1,tbal[[#This Row],[X]]=2)),tbal[[#This Row],[DEUDOR]],0)</f>
        <v>0</v>
      </c>
      <c r="J1177" s="18">
        <f>IF((OR(tbal[[#This Row],[X]]=2,tbal[[#This Row],[X]]=3)),tbal[[#This Row],[ACREEDOR]],0)</f>
        <v>0</v>
      </c>
      <c r="K1177" s="16">
        <f>IF((OR(tbal[[#This Row],[X]]=3,tbal[[#This Row],[X]]=5)),tbal[[#This Row],[DEUDOR]],0)</f>
        <v>0</v>
      </c>
      <c r="L1177" s="18">
        <f>IF((OR(tbal[[#This Row],[X]]=3,tbal[[#This Row],[X]]=4)),tbal[[#This Row],[ACREEDOR]],0)</f>
        <v>0</v>
      </c>
      <c r="M1177" s="16">
        <f>IF((OR(tbal[[#This Row],[X]]=0,tbal[[#This Row],[X]]=6)),tbal[[#This Row],[DEUDOR]],0)</f>
        <v>0</v>
      </c>
      <c r="N1177" s="18">
        <f>IF((OR(tbal[[#This Row],[X]]=0,tbal[[#This Row],[X]]=5)),tbal[[#This Row],[ACREEDOR]],0)</f>
        <v>0</v>
      </c>
    </row>
    <row r="1178" spans="1:14" hidden="1" x14ac:dyDescent="0.3">
      <c r="A1178" s="14">
        <f>+'PLAN DE CUENTAS'!A1178</f>
        <v>0</v>
      </c>
      <c r="B1178" s="13">
        <f>+'PLAN DE CUENTAS'!B1178</f>
        <v>0</v>
      </c>
      <c r="C1178" s="13">
        <f>+'PLAN DE CUENTAS'!C1178</f>
        <v>0</v>
      </c>
      <c r="D1178" t="str">
        <f>IF(tbal[[#This Row],[DEBE]]+tbal[[#This Row],[HABER]]=0,"","X")</f>
        <v/>
      </c>
      <c r="E1178" s="16">
        <f>SUMIF(tdiario[CUENTA],tbal[[#This Row],[CUENTA]],tdiario[DEBE])</f>
        <v>0</v>
      </c>
      <c r="F1178" s="17">
        <f>SUMIF(tdiario[CUENTA],tbal[[#This Row],[CUENTA]],tdiario[HABER])</f>
        <v>0</v>
      </c>
      <c r="G1178" s="16">
        <f>IF(tbal[[#This Row],[DEBE]]-tbal[[#This Row],[HABER]]&gt;0,tbal[[#This Row],[DEBE]]-tbal[[#This Row],[HABER]],0)</f>
        <v>0</v>
      </c>
      <c r="H1178" s="18">
        <f>IF(tbal[[#This Row],[HABER]]-tbal[[#This Row],[DEBE]]&gt;0,tbal[[#This Row],[HABER]]-tbal[[#This Row],[DEBE]],0)</f>
        <v>0</v>
      </c>
      <c r="I1178" s="16">
        <f>IF((OR(tbal[[#This Row],[X]]=1,tbal[[#This Row],[X]]=2)),tbal[[#This Row],[DEUDOR]],0)</f>
        <v>0</v>
      </c>
      <c r="J1178" s="18">
        <f>IF((OR(tbal[[#This Row],[X]]=2,tbal[[#This Row],[X]]=3)),tbal[[#This Row],[ACREEDOR]],0)</f>
        <v>0</v>
      </c>
      <c r="K1178" s="16">
        <f>IF((OR(tbal[[#This Row],[X]]=3,tbal[[#This Row],[X]]=5)),tbal[[#This Row],[DEUDOR]],0)</f>
        <v>0</v>
      </c>
      <c r="L1178" s="18">
        <f>IF((OR(tbal[[#This Row],[X]]=3,tbal[[#This Row],[X]]=4)),tbal[[#This Row],[ACREEDOR]],0)</f>
        <v>0</v>
      </c>
      <c r="M1178" s="16">
        <f>IF((OR(tbal[[#This Row],[X]]=0,tbal[[#This Row],[X]]=6)),tbal[[#This Row],[DEUDOR]],0)</f>
        <v>0</v>
      </c>
      <c r="N1178" s="18">
        <f>IF((OR(tbal[[#This Row],[X]]=0,tbal[[#This Row],[X]]=5)),tbal[[#This Row],[ACREEDOR]],0)</f>
        <v>0</v>
      </c>
    </row>
    <row r="1179" spans="1:14" hidden="1" x14ac:dyDescent="0.3">
      <c r="A1179" s="14">
        <f>+'PLAN DE CUENTAS'!A1179</f>
        <v>0</v>
      </c>
      <c r="B1179" s="13">
        <f>+'PLAN DE CUENTAS'!B1179</f>
        <v>0</v>
      </c>
      <c r="C1179" s="13">
        <f>+'PLAN DE CUENTAS'!C1179</f>
        <v>0</v>
      </c>
      <c r="D1179" t="str">
        <f>IF(tbal[[#This Row],[DEBE]]+tbal[[#This Row],[HABER]]=0,"","X")</f>
        <v/>
      </c>
      <c r="E1179" s="16">
        <f>SUMIF(tdiario[CUENTA],tbal[[#This Row],[CUENTA]],tdiario[DEBE])</f>
        <v>0</v>
      </c>
      <c r="F1179" s="17">
        <f>SUMIF(tdiario[CUENTA],tbal[[#This Row],[CUENTA]],tdiario[HABER])</f>
        <v>0</v>
      </c>
      <c r="G1179" s="16">
        <f>IF(tbal[[#This Row],[DEBE]]-tbal[[#This Row],[HABER]]&gt;0,tbal[[#This Row],[DEBE]]-tbal[[#This Row],[HABER]],0)</f>
        <v>0</v>
      </c>
      <c r="H1179" s="18">
        <f>IF(tbal[[#This Row],[HABER]]-tbal[[#This Row],[DEBE]]&gt;0,tbal[[#This Row],[HABER]]-tbal[[#This Row],[DEBE]],0)</f>
        <v>0</v>
      </c>
      <c r="I1179" s="16">
        <f>IF((OR(tbal[[#This Row],[X]]=1,tbal[[#This Row],[X]]=2)),tbal[[#This Row],[DEUDOR]],0)</f>
        <v>0</v>
      </c>
      <c r="J1179" s="18">
        <f>IF((OR(tbal[[#This Row],[X]]=2,tbal[[#This Row],[X]]=3)),tbal[[#This Row],[ACREEDOR]],0)</f>
        <v>0</v>
      </c>
      <c r="K1179" s="16">
        <f>IF((OR(tbal[[#This Row],[X]]=3,tbal[[#This Row],[X]]=5)),tbal[[#This Row],[DEUDOR]],0)</f>
        <v>0</v>
      </c>
      <c r="L1179" s="18">
        <f>IF((OR(tbal[[#This Row],[X]]=3,tbal[[#This Row],[X]]=4)),tbal[[#This Row],[ACREEDOR]],0)</f>
        <v>0</v>
      </c>
      <c r="M1179" s="16">
        <f>IF((OR(tbal[[#This Row],[X]]=0,tbal[[#This Row],[X]]=6)),tbal[[#This Row],[DEUDOR]],0)</f>
        <v>0</v>
      </c>
      <c r="N1179" s="18">
        <f>IF((OR(tbal[[#This Row],[X]]=0,tbal[[#This Row],[X]]=5)),tbal[[#This Row],[ACREEDOR]],0)</f>
        <v>0</v>
      </c>
    </row>
    <row r="1180" spans="1:14" hidden="1" x14ac:dyDescent="0.3">
      <c r="A1180" s="14">
        <f>+'PLAN DE CUENTAS'!A1180</f>
        <v>0</v>
      </c>
      <c r="B1180" s="13">
        <f>+'PLAN DE CUENTAS'!B1180</f>
        <v>0</v>
      </c>
      <c r="C1180" s="13">
        <f>+'PLAN DE CUENTAS'!C1180</f>
        <v>0</v>
      </c>
      <c r="D1180" t="str">
        <f>IF(tbal[[#This Row],[DEBE]]+tbal[[#This Row],[HABER]]=0,"","X")</f>
        <v/>
      </c>
      <c r="E1180" s="16">
        <f>SUMIF(tdiario[CUENTA],tbal[[#This Row],[CUENTA]],tdiario[DEBE])</f>
        <v>0</v>
      </c>
      <c r="F1180" s="17">
        <f>SUMIF(tdiario[CUENTA],tbal[[#This Row],[CUENTA]],tdiario[HABER])</f>
        <v>0</v>
      </c>
      <c r="G1180" s="16">
        <f>IF(tbal[[#This Row],[DEBE]]-tbal[[#This Row],[HABER]]&gt;0,tbal[[#This Row],[DEBE]]-tbal[[#This Row],[HABER]],0)</f>
        <v>0</v>
      </c>
      <c r="H1180" s="18">
        <f>IF(tbal[[#This Row],[HABER]]-tbal[[#This Row],[DEBE]]&gt;0,tbal[[#This Row],[HABER]]-tbal[[#This Row],[DEBE]],0)</f>
        <v>0</v>
      </c>
      <c r="I1180" s="16">
        <f>IF((OR(tbal[[#This Row],[X]]=1,tbal[[#This Row],[X]]=2)),tbal[[#This Row],[DEUDOR]],0)</f>
        <v>0</v>
      </c>
      <c r="J1180" s="18">
        <f>IF((OR(tbal[[#This Row],[X]]=2,tbal[[#This Row],[X]]=3)),tbal[[#This Row],[ACREEDOR]],0)</f>
        <v>0</v>
      </c>
      <c r="K1180" s="16">
        <f>IF((OR(tbal[[#This Row],[X]]=3,tbal[[#This Row],[X]]=5)),tbal[[#This Row],[DEUDOR]],0)</f>
        <v>0</v>
      </c>
      <c r="L1180" s="18">
        <f>IF((OR(tbal[[#This Row],[X]]=3,tbal[[#This Row],[X]]=4)),tbal[[#This Row],[ACREEDOR]],0)</f>
        <v>0</v>
      </c>
      <c r="M1180" s="16">
        <f>IF((OR(tbal[[#This Row],[X]]=0,tbal[[#This Row],[X]]=6)),tbal[[#This Row],[DEUDOR]],0)</f>
        <v>0</v>
      </c>
      <c r="N1180" s="18">
        <f>IF((OR(tbal[[#This Row],[X]]=0,tbal[[#This Row],[X]]=5)),tbal[[#This Row],[ACREEDOR]],0)</f>
        <v>0</v>
      </c>
    </row>
    <row r="1181" spans="1:14" hidden="1" x14ac:dyDescent="0.3">
      <c r="A1181" s="14">
        <f>+'PLAN DE CUENTAS'!A1181</f>
        <v>0</v>
      </c>
      <c r="B1181" s="13">
        <f>+'PLAN DE CUENTAS'!B1181</f>
        <v>0</v>
      </c>
      <c r="C1181" s="13">
        <f>+'PLAN DE CUENTAS'!C1181</f>
        <v>0</v>
      </c>
      <c r="D1181" t="str">
        <f>IF(tbal[[#This Row],[DEBE]]+tbal[[#This Row],[HABER]]=0,"","X")</f>
        <v/>
      </c>
      <c r="E1181" s="16">
        <f>SUMIF(tdiario[CUENTA],tbal[[#This Row],[CUENTA]],tdiario[DEBE])</f>
        <v>0</v>
      </c>
      <c r="F1181" s="17">
        <f>SUMIF(tdiario[CUENTA],tbal[[#This Row],[CUENTA]],tdiario[HABER])</f>
        <v>0</v>
      </c>
      <c r="G1181" s="16">
        <f>IF(tbal[[#This Row],[DEBE]]-tbal[[#This Row],[HABER]]&gt;0,tbal[[#This Row],[DEBE]]-tbal[[#This Row],[HABER]],0)</f>
        <v>0</v>
      </c>
      <c r="H1181" s="18">
        <f>IF(tbal[[#This Row],[HABER]]-tbal[[#This Row],[DEBE]]&gt;0,tbal[[#This Row],[HABER]]-tbal[[#This Row],[DEBE]],0)</f>
        <v>0</v>
      </c>
      <c r="I1181" s="16">
        <f>IF((OR(tbal[[#This Row],[X]]=1,tbal[[#This Row],[X]]=2)),tbal[[#This Row],[DEUDOR]],0)</f>
        <v>0</v>
      </c>
      <c r="J1181" s="18">
        <f>IF((OR(tbal[[#This Row],[X]]=2,tbal[[#This Row],[X]]=3)),tbal[[#This Row],[ACREEDOR]],0)</f>
        <v>0</v>
      </c>
      <c r="K1181" s="16">
        <f>IF((OR(tbal[[#This Row],[X]]=3,tbal[[#This Row],[X]]=5)),tbal[[#This Row],[DEUDOR]],0)</f>
        <v>0</v>
      </c>
      <c r="L1181" s="18">
        <f>IF((OR(tbal[[#This Row],[X]]=3,tbal[[#This Row],[X]]=4)),tbal[[#This Row],[ACREEDOR]],0)</f>
        <v>0</v>
      </c>
      <c r="M1181" s="16">
        <f>IF((OR(tbal[[#This Row],[X]]=0,tbal[[#This Row],[X]]=6)),tbal[[#This Row],[DEUDOR]],0)</f>
        <v>0</v>
      </c>
      <c r="N1181" s="18">
        <f>IF((OR(tbal[[#This Row],[X]]=0,tbal[[#This Row],[X]]=5)),tbal[[#This Row],[ACREEDOR]],0)</f>
        <v>0</v>
      </c>
    </row>
    <row r="1182" spans="1:14" hidden="1" x14ac:dyDescent="0.3">
      <c r="A1182" s="14">
        <f>+'PLAN DE CUENTAS'!A1182</f>
        <v>0</v>
      </c>
      <c r="B1182" s="13">
        <f>+'PLAN DE CUENTAS'!B1182</f>
        <v>0</v>
      </c>
      <c r="C1182" s="13">
        <f>+'PLAN DE CUENTAS'!C1182</f>
        <v>0</v>
      </c>
      <c r="D1182" t="str">
        <f>IF(tbal[[#This Row],[DEBE]]+tbal[[#This Row],[HABER]]=0,"","X")</f>
        <v/>
      </c>
      <c r="E1182" s="16">
        <f>SUMIF(tdiario[CUENTA],tbal[[#This Row],[CUENTA]],tdiario[DEBE])</f>
        <v>0</v>
      </c>
      <c r="F1182" s="17">
        <f>SUMIF(tdiario[CUENTA],tbal[[#This Row],[CUENTA]],tdiario[HABER])</f>
        <v>0</v>
      </c>
      <c r="G1182" s="16">
        <f>IF(tbal[[#This Row],[DEBE]]-tbal[[#This Row],[HABER]]&gt;0,tbal[[#This Row],[DEBE]]-tbal[[#This Row],[HABER]],0)</f>
        <v>0</v>
      </c>
      <c r="H1182" s="18">
        <f>IF(tbal[[#This Row],[HABER]]-tbal[[#This Row],[DEBE]]&gt;0,tbal[[#This Row],[HABER]]-tbal[[#This Row],[DEBE]],0)</f>
        <v>0</v>
      </c>
      <c r="I1182" s="16">
        <f>IF((OR(tbal[[#This Row],[X]]=1,tbal[[#This Row],[X]]=2)),tbal[[#This Row],[DEUDOR]],0)</f>
        <v>0</v>
      </c>
      <c r="J1182" s="18">
        <f>IF((OR(tbal[[#This Row],[X]]=2,tbal[[#This Row],[X]]=3)),tbal[[#This Row],[ACREEDOR]],0)</f>
        <v>0</v>
      </c>
      <c r="K1182" s="16">
        <f>IF((OR(tbal[[#This Row],[X]]=3,tbal[[#This Row],[X]]=5)),tbal[[#This Row],[DEUDOR]],0)</f>
        <v>0</v>
      </c>
      <c r="L1182" s="18">
        <f>IF((OR(tbal[[#This Row],[X]]=3,tbal[[#This Row],[X]]=4)),tbal[[#This Row],[ACREEDOR]],0)</f>
        <v>0</v>
      </c>
      <c r="M1182" s="16">
        <f>IF((OR(tbal[[#This Row],[X]]=0,tbal[[#This Row],[X]]=6)),tbal[[#This Row],[DEUDOR]],0)</f>
        <v>0</v>
      </c>
      <c r="N1182" s="18">
        <f>IF((OR(tbal[[#This Row],[X]]=0,tbal[[#This Row],[X]]=5)),tbal[[#This Row],[ACREEDOR]],0)</f>
        <v>0</v>
      </c>
    </row>
    <row r="1183" spans="1:14" hidden="1" x14ac:dyDescent="0.3">
      <c r="A1183" s="14">
        <f>+'PLAN DE CUENTAS'!A1183</f>
        <v>0</v>
      </c>
      <c r="B1183" s="13">
        <f>+'PLAN DE CUENTAS'!B1183</f>
        <v>0</v>
      </c>
      <c r="C1183" s="13">
        <f>+'PLAN DE CUENTAS'!C1183</f>
        <v>0</v>
      </c>
      <c r="D1183" t="str">
        <f>IF(tbal[[#This Row],[DEBE]]+tbal[[#This Row],[HABER]]=0,"","X")</f>
        <v/>
      </c>
      <c r="E1183" s="16">
        <f>SUMIF(tdiario[CUENTA],tbal[[#This Row],[CUENTA]],tdiario[DEBE])</f>
        <v>0</v>
      </c>
      <c r="F1183" s="17">
        <f>SUMIF(tdiario[CUENTA],tbal[[#This Row],[CUENTA]],tdiario[HABER])</f>
        <v>0</v>
      </c>
      <c r="G1183" s="16">
        <f>IF(tbal[[#This Row],[DEBE]]-tbal[[#This Row],[HABER]]&gt;0,tbal[[#This Row],[DEBE]]-tbal[[#This Row],[HABER]],0)</f>
        <v>0</v>
      </c>
      <c r="H1183" s="18">
        <f>IF(tbal[[#This Row],[HABER]]-tbal[[#This Row],[DEBE]]&gt;0,tbal[[#This Row],[HABER]]-tbal[[#This Row],[DEBE]],0)</f>
        <v>0</v>
      </c>
      <c r="I1183" s="16">
        <f>IF((OR(tbal[[#This Row],[X]]=1,tbal[[#This Row],[X]]=2)),tbal[[#This Row],[DEUDOR]],0)</f>
        <v>0</v>
      </c>
      <c r="J1183" s="18">
        <f>IF((OR(tbal[[#This Row],[X]]=2,tbal[[#This Row],[X]]=3)),tbal[[#This Row],[ACREEDOR]],0)</f>
        <v>0</v>
      </c>
      <c r="K1183" s="16">
        <f>IF((OR(tbal[[#This Row],[X]]=3,tbal[[#This Row],[X]]=5)),tbal[[#This Row],[DEUDOR]],0)</f>
        <v>0</v>
      </c>
      <c r="L1183" s="18">
        <f>IF((OR(tbal[[#This Row],[X]]=3,tbal[[#This Row],[X]]=4)),tbal[[#This Row],[ACREEDOR]],0)</f>
        <v>0</v>
      </c>
      <c r="M1183" s="16">
        <f>IF((OR(tbal[[#This Row],[X]]=0,tbal[[#This Row],[X]]=6)),tbal[[#This Row],[DEUDOR]],0)</f>
        <v>0</v>
      </c>
      <c r="N1183" s="18">
        <f>IF((OR(tbal[[#This Row],[X]]=0,tbal[[#This Row],[X]]=5)),tbal[[#This Row],[ACREEDOR]],0)</f>
        <v>0</v>
      </c>
    </row>
    <row r="1184" spans="1:14" hidden="1" x14ac:dyDescent="0.3">
      <c r="A1184" s="14">
        <f>+'PLAN DE CUENTAS'!A1184</f>
        <v>0</v>
      </c>
      <c r="B1184" s="13">
        <f>+'PLAN DE CUENTAS'!B1184</f>
        <v>0</v>
      </c>
      <c r="C1184" s="13">
        <f>+'PLAN DE CUENTAS'!C1184</f>
        <v>0</v>
      </c>
      <c r="D1184" t="str">
        <f>IF(tbal[[#This Row],[DEBE]]+tbal[[#This Row],[HABER]]=0,"","X")</f>
        <v/>
      </c>
      <c r="E1184" s="16">
        <f>SUMIF(tdiario[CUENTA],tbal[[#This Row],[CUENTA]],tdiario[DEBE])</f>
        <v>0</v>
      </c>
      <c r="F1184" s="17">
        <f>SUMIF(tdiario[CUENTA],tbal[[#This Row],[CUENTA]],tdiario[HABER])</f>
        <v>0</v>
      </c>
      <c r="G1184" s="16">
        <f>IF(tbal[[#This Row],[DEBE]]-tbal[[#This Row],[HABER]]&gt;0,tbal[[#This Row],[DEBE]]-tbal[[#This Row],[HABER]],0)</f>
        <v>0</v>
      </c>
      <c r="H1184" s="18">
        <f>IF(tbal[[#This Row],[HABER]]-tbal[[#This Row],[DEBE]]&gt;0,tbal[[#This Row],[HABER]]-tbal[[#This Row],[DEBE]],0)</f>
        <v>0</v>
      </c>
      <c r="I1184" s="16">
        <f>IF((OR(tbal[[#This Row],[X]]=1,tbal[[#This Row],[X]]=2)),tbal[[#This Row],[DEUDOR]],0)</f>
        <v>0</v>
      </c>
      <c r="J1184" s="18">
        <f>IF((OR(tbal[[#This Row],[X]]=2,tbal[[#This Row],[X]]=3)),tbal[[#This Row],[ACREEDOR]],0)</f>
        <v>0</v>
      </c>
      <c r="K1184" s="16">
        <f>IF((OR(tbal[[#This Row],[X]]=3,tbal[[#This Row],[X]]=5)),tbal[[#This Row],[DEUDOR]],0)</f>
        <v>0</v>
      </c>
      <c r="L1184" s="18">
        <f>IF((OR(tbal[[#This Row],[X]]=3,tbal[[#This Row],[X]]=4)),tbal[[#This Row],[ACREEDOR]],0)</f>
        <v>0</v>
      </c>
      <c r="M1184" s="16">
        <f>IF((OR(tbal[[#This Row],[X]]=0,tbal[[#This Row],[X]]=6)),tbal[[#This Row],[DEUDOR]],0)</f>
        <v>0</v>
      </c>
      <c r="N1184" s="18">
        <f>IF((OR(tbal[[#This Row],[X]]=0,tbal[[#This Row],[X]]=5)),tbal[[#This Row],[ACREEDOR]],0)</f>
        <v>0</v>
      </c>
    </row>
    <row r="1185" spans="1:14" hidden="1" x14ac:dyDescent="0.3">
      <c r="A1185" s="14">
        <f>+'PLAN DE CUENTAS'!A1185</f>
        <v>0</v>
      </c>
      <c r="B1185" s="13">
        <f>+'PLAN DE CUENTAS'!B1185</f>
        <v>0</v>
      </c>
      <c r="C1185" s="13">
        <f>+'PLAN DE CUENTAS'!C1185</f>
        <v>0</v>
      </c>
      <c r="D1185" t="str">
        <f>IF(tbal[[#This Row],[DEBE]]+tbal[[#This Row],[HABER]]=0,"","X")</f>
        <v/>
      </c>
      <c r="E1185" s="16">
        <f>SUMIF(tdiario[CUENTA],tbal[[#This Row],[CUENTA]],tdiario[DEBE])</f>
        <v>0</v>
      </c>
      <c r="F1185" s="17">
        <f>SUMIF(tdiario[CUENTA],tbal[[#This Row],[CUENTA]],tdiario[HABER])</f>
        <v>0</v>
      </c>
      <c r="G1185" s="16">
        <f>IF(tbal[[#This Row],[DEBE]]-tbal[[#This Row],[HABER]]&gt;0,tbal[[#This Row],[DEBE]]-tbal[[#This Row],[HABER]],0)</f>
        <v>0</v>
      </c>
      <c r="H1185" s="18">
        <f>IF(tbal[[#This Row],[HABER]]-tbal[[#This Row],[DEBE]]&gt;0,tbal[[#This Row],[HABER]]-tbal[[#This Row],[DEBE]],0)</f>
        <v>0</v>
      </c>
      <c r="I1185" s="16">
        <f>IF((OR(tbal[[#This Row],[X]]=1,tbal[[#This Row],[X]]=2)),tbal[[#This Row],[DEUDOR]],0)</f>
        <v>0</v>
      </c>
      <c r="J1185" s="18">
        <f>IF((OR(tbal[[#This Row],[X]]=2,tbal[[#This Row],[X]]=3)),tbal[[#This Row],[ACREEDOR]],0)</f>
        <v>0</v>
      </c>
      <c r="K1185" s="16">
        <f>IF((OR(tbal[[#This Row],[X]]=3,tbal[[#This Row],[X]]=5)),tbal[[#This Row],[DEUDOR]],0)</f>
        <v>0</v>
      </c>
      <c r="L1185" s="18">
        <f>IF((OR(tbal[[#This Row],[X]]=3,tbal[[#This Row],[X]]=4)),tbal[[#This Row],[ACREEDOR]],0)</f>
        <v>0</v>
      </c>
      <c r="M1185" s="16">
        <f>IF((OR(tbal[[#This Row],[X]]=0,tbal[[#This Row],[X]]=6)),tbal[[#This Row],[DEUDOR]],0)</f>
        <v>0</v>
      </c>
      <c r="N1185" s="18">
        <f>IF((OR(tbal[[#This Row],[X]]=0,tbal[[#This Row],[X]]=5)),tbal[[#This Row],[ACREEDOR]],0)</f>
        <v>0</v>
      </c>
    </row>
    <row r="1186" spans="1:14" hidden="1" x14ac:dyDescent="0.3">
      <c r="A1186" s="14">
        <f>+'PLAN DE CUENTAS'!A1186</f>
        <v>0</v>
      </c>
      <c r="B1186" s="13">
        <f>+'PLAN DE CUENTAS'!B1186</f>
        <v>0</v>
      </c>
      <c r="C1186" s="13">
        <f>+'PLAN DE CUENTAS'!C1186</f>
        <v>0</v>
      </c>
      <c r="D1186" t="str">
        <f>IF(tbal[[#This Row],[DEBE]]+tbal[[#This Row],[HABER]]=0,"","X")</f>
        <v/>
      </c>
      <c r="E1186" s="16">
        <f>SUMIF(tdiario[CUENTA],tbal[[#This Row],[CUENTA]],tdiario[DEBE])</f>
        <v>0</v>
      </c>
      <c r="F1186" s="17">
        <f>SUMIF(tdiario[CUENTA],tbal[[#This Row],[CUENTA]],tdiario[HABER])</f>
        <v>0</v>
      </c>
      <c r="G1186" s="16">
        <f>IF(tbal[[#This Row],[DEBE]]-tbal[[#This Row],[HABER]]&gt;0,tbal[[#This Row],[DEBE]]-tbal[[#This Row],[HABER]],0)</f>
        <v>0</v>
      </c>
      <c r="H1186" s="18">
        <f>IF(tbal[[#This Row],[HABER]]-tbal[[#This Row],[DEBE]]&gt;0,tbal[[#This Row],[HABER]]-tbal[[#This Row],[DEBE]],0)</f>
        <v>0</v>
      </c>
      <c r="I1186" s="16">
        <f>IF((OR(tbal[[#This Row],[X]]=1,tbal[[#This Row],[X]]=2)),tbal[[#This Row],[DEUDOR]],0)</f>
        <v>0</v>
      </c>
      <c r="J1186" s="18">
        <f>IF((OR(tbal[[#This Row],[X]]=2,tbal[[#This Row],[X]]=3)),tbal[[#This Row],[ACREEDOR]],0)</f>
        <v>0</v>
      </c>
      <c r="K1186" s="16">
        <f>IF((OR(tbal[[#This Row],[X]]=3,tbal[[#This Row],[X]]=5)),tbal[[#This Row],[DEUDOR]],0)</f>
        <v>0</v>
      </c>
      <c r="L1186" s="18">
        <f>IF((OR(tbal[[#This Row],[X]]=3,tbal[[#This Row],[X]]=4)),tbal[[#This Row],[ACREEDOR]],0)</f>
        <v>0</v>
      </c>
      <c r="M1186" s="16">
        <f>IF((OR(tbal[[#This Row],[X]]=0,tbal[[#This Row],[X]]=6)),tbal[[#This Row],[DEUDOR]],0)</f>
        <v>0</v>
      </c>
      <c r="N1186" s="18">
        <f>IF((OR(tbal[[#This Row],[X]]=0,tbal[[#This Row],[X]]=5)),tbal[[#This Row],[ACREEDOR]],0)</f>
        <v>0</v>
      </c>
    </row>
    <row r="1187" spans="1:14" hidden="1" x14ac:dyDescent="0.3">
      <c r="A1187" s="14">
        <f>+'PLAN DE CUENTAS'!A1187</f>
        <v>0</v>
      </c>
      <c r="B1187" s="13">
        <f>+'PLAN DE CUENTAS'!B1187</f>
        <v>0</v>
      </c>
      <c r="C1187" s="13">
        <f>+'PLAN DE CUENTAS'!C1187</f>
        <v>0</v>
      </c>
      <c r="D1187" t="str">
        <f>IF(tbal[[#This Row],[DEBE]]+tbal[[#This Row],[HABER]]=0,"","X")</f>
        <v/>
      </c>
      <c r="E1187" s="16">
        <f>SUMIF(tdiario[CUENTA],tbal[[#This Row],[CUENTA]],tdiario[DEBE])</f>
        <v>0</v>
      </c>
      <c r="F1187" s="17">
        <f>SUMIF(tdiario[CUENTA],tbal[[#This Row],[CUENTA]],tdiario[HABER])</f>
        <v>0</v>
      </c>
      <c r="G1187" s="16">
        <f>IF(tbal[[#This Row],[DEBE]]-tbal[[#This Row],[HABER]]&gt;0,tbal[[#This Row],[DEBE]]-tbal[[#This Row],[HABER]],0)</f>
        <v>0</v>
      </c>
      <c r="H1187" s="18">
        <f>IF(tbal[[#This Row],[HABER]]-tbal[[#This Row],[DEBE]]&gt;0,tbal[[#This Row],[HABER]]-tbal[[#This Row],[DEBE]],0)</f>
        <v>0</v>
      </c>
      <c r="I1187" s="16">
        <f>IF((OR(tbal[[#This Row],[X]]=1,tbal[[#This Row],[X]]=2)),tbal[[#This Row],[DEUDOR]],0)</f>
        <v>0</v>
      </c>
      <c r="J1187" s="18">
        <f>IF((OR(tbal[[#This Row],[X]]=2,tbal[[#This Row],[X]]=3)),tbal[[#This Row],[ACREEDOR]],0)</f>
        <v>0</v>
      </c>
      <c r="K1187" s="16">
        <f>IF((OR(tbal[[#This Row],[X]]=3,tbal[[#This Row],[X]]=5)),tbal[[#This Row],[DEUDOR]],0)</f>
        <v>0</v>
      </c>
      <c r="L1187" s="18">
        <f>IF((OR(tbal[[#This Row],[X]]=3,tbal[[#This Row],[X]]=4)),tbal[[#This Row],[ACREEDOR]],0)</f>
        <v>0</v>
      </c>
      <c r="M1187" s="16">
        <f>IF((OR(tbal[[#This Row],[X]]=0,tbal[[#This Row],[X]]=6)),tbal[[#This Row],[DEUDOR]],0)</f>
        <v>0</v>
      </c>
      <c r="N1187" s="18">
        <f>IF((OR(tbal[[#This Row],[X]]=0,tbal[[#This Row],[X]]=5)),tbal[[#This Row],[ACREEDOR]],0)</f>
        <v>0</v>
      </c>
    </row>
    <row r="1188" spans="1:14" hidden="1" x14ac:dyDescent="0.3">
      <c r="A1188" s="14">
        <f>+'PLAN DE CUENTAS'!A1188</f>
        <v>0</v>
      </c>
      <c r="B1188" s="13">
        <f>+'PLAN DE CUENTAS'!B1188</f>
        <v>0</v>
      </c>
      <c r="C1188" s="13">
        <f>+'PLAN DE CUENTAS'!C1188</f>
        <v>0</v>
      </c>
      <c r="D1188" t="str">
        <f>IF(tbal[[#This Row],[DEBE]]+tbal[[#This Row],[HABER]]=0,"","X")</f>
        <v/>
      </c>
      <c r="E1188" s="16">
        <f>SUMIF(tdiario[CUENTA],tbal[[#This Row],[CUENTA]],tdiario[DEBE])</f>
        <v>0</v>
      </c>
      <c r="F1188" s="17">
        <f>SUMIF(tdiario[CUENTA],tbal[[#This Row],[CUENTA]],tdiario[HABER])</f>
        <v>0</v>
      </c>
      <c r="G1188" s="16">
        <f>IF(tbal[[#This Row],[DEBE]]-tbal[[#This Row],[HABER]]&gt;0,tbal[[#This Row],[DEBE]]-tbal[[#This Row],[HABER]],0)</f>
        <v>0</v>
      </c>
      <c r="H1188" s="18">
        <f>IF(tbal[[#This Row],[HABER]]-tbal[[#This Row],[DEBE]]&gt;0,tbal[[#This Row],[HABER]]-tbal[[#This Row],[DEBE]],0)</f>
        <v>0</v>
      </c>
      <c r="I1188" s="16">
        <f>IF((OR(tbal[[#This Row],[X]]=1,tbal[[#This Row],[X]]=2)),tbal[[#This Row],[DEUDOR]],0)</f>
        <v>0</v>
      </c>
      <c r="J1188" s="18">
        <f>IF((OR(tbal[[#This Row],[X]]=2,tbal[[#This Row],[X]]=3)),tbal[[#This Row],[ACREEDOR]],0)</f>
        <v>0</v>
      </c>
      <c r="K1188" s="16">
        <f>IF((OR(tbal[[#This Row],[X]]=3,tbal[[#This Row],[X]]=5)),tbal[[#This Row],[DEUDOR]],0)</f>
        <v>0</v>
      </c>
      <c r="L1188" s="18">
        <f>IF((OR(tbal[[#This Row],[X]]=3,tbal[[#This Row],[X]]=4)),tbal[[#This Row],[ACREEDOR]],0)</f>
        <v>0</v>
      </c>
      <c r="M1188" s="16">
        <f>IF((OR(tbal[[#This Row],[X]]=0,tbal[[#This Row],[X]]=6)),tbal[[#This Row],[DEUDOR]],0)</f>
        <v>0</v>
      </c>
      <c r="N1188" s="18">
        <f>IF((OR(tbal[[#This Row],[X]]=0,tbal[[#This Row],[X]]=5)),tbal[[#This Row],[ACREEDOR]],0)</f>
        <v>0</v>
      </c>
    </row>
    <row r="1189" spans="1:14" hidden="1" x14ac:dyDescent="0.3">
      <c r="A1189" s="14">
        <f>+'PLAN DE CUENTAS'!A1189</f>
        <v>0</v>
      </c>
      <c r="B1189" s="13">
        <f>+'PLAN DE CUENTAS'!B1189</f>
        <v>0</v>
      </c>
      <c r="C1189" s="13">
        <f>+'PLAN DE CUENTAS'!C1189</f>
        <v>0</v>
      </c>
      <c r="D1189" t="str">
        <f>IF(tbal[[#This Row],[DEBE]]+tbal[[#This Row],[HABER]]=0,"","X")</f>
        <v/>
      </c>
      <c r="E1189" s="16">
        <f>SUMIF(tdiario[CUENTA],tbal[[#This Row],[CUENTA]],tdiario[DEBE])</f>
        <v>0</v>
      </c>
      <c r="F1189" s="17">
        <f>SUMIF(tdiario[CUENTA],tbal[[#This Row],[CUENTA]],tdiario[HABER])</f>
        <v>0</v>
      </c>
      <c r="G1189" s="16">
        <f>IF(tbal[[#This Row],[DEBE]]-tbal[[#This Row],[HABER]]&gt;0,tbal[[#This Row],[DEBE]]-tbal[[#This Row],[HABER]],0)</f>
        <v>0</v>
      </c>
      <c r="H1189" s="18">
        <f>IF(tbal[[#This Row],[HABER]]-tbal[[#This Row],[DEBE]]&gt;0,tbal[[#This Row],[HABER]]-tbal[[#This Row],[DEBE]],0)</f>
        <v>0</v>
      </c>
      <c r="I1189" s="16">
        <f>IF((OR(tbal[[#This Row],[X]]=1,tbal[[#This Row],[X]]=2)),tbal[[#This Row],[DEUDOR]],0)</f>
        <v>0</v>
      </c>
      <c r="J1189" s="18">
        <f>IF((OR(tbal[[#This Row],[X]]=2,tbal[[#This Row],[X]]=3)),tbal[[#This Row],[ACREEDOR]],0)</f>
        <v>0</v>
      </c>
      <c r="K1189" s="16">
        <f>IF((OR(tbal[[#This Row],[X]]=3,tbal[[#This Row],[X]]=5)),tbal[[#This Row],[DEUDOR]],0)</f>
        <v>0</v>
      </c>
      <c r="L1189" s="18">
        <f>IF((OR(tbal[[#This Row],[X]]=3,tbal[[#This Row],[X]]=4)),tbal[[#This Row],[ACREEDOR]],0)</f>
        <v>0</v>
      </c>
      <c r="M1189" s="16">
        <f>IF((OR(tbal[[#This Row],[X]]=0,tbal[[#This Row],[X]]=6)),tbal[[#This Row],[DEUDOR]],0)</f>
        <v>0</v>
      </c>
      <c r="N1189" s="18">
        <f>IF((OR(tbal[[#This Row],[X]]=0,tbal[[#This Row],[X]]=5)),tbal[[#This Row],[ACREEDOR]],0)</f>
        <v>0</v>
      </c>
    </row>
    <row r="1190" spans="1:14" hidden="1" x14ac:dyDescent="0.3">
      <c r="A1190" s="14">
        <f>+'PLAN DE CUENTAS'!A1190</f>
        <v>0</v>
      </c>
      <c r="B1190" s="13">
        <f>+'PLAN DE CUENTAS'!B1190</f>
        <v>0</v>
      </c>
      <c r="C1190" s="13">
        <f>+'PLAN DE CUENTAS'!C1190</f>
        <v>0</v>
      </c>
      <c r="D1190" t="str">
        <f>IF(tbal[[#This Row],[DEBE]]+tbal[[#This Row],[HABER]]=0,"","X")</f>
        <v/>
      </c>
      <c r="E1190" s="16">
        <f>SUMIF(tdiario[CUENTA],tbal[[#This Row],[CUENTA]],tdiario[DEBE])</f>
        <v>0</v>
      </c>
      <c r="F1190" s="17">
        <f>SUMIF(tdiario[CUENTA],tbal[[#This Row],[CUENTA]],tdiario[HABER])</f>
        <v>0</v>
      </c>
      <c r="G1190" s="16">
        <f>IF(tbal[[#This Row],[DEBE]]-tbal[[#This Row],[HABER]]&gt;0,tbal[[#This Row],[DEBE]]-tbal[[#This Row],[HABER]],0)</f>
        <v>0</v>
      </c>
      <c r="H1190" s="18">
        <f>IF(tbal[[#This Row],[HABER]]-tbal[[#This Row],[DEBE]]&gt;0,tbal[[#This Row],[HABER]]-tbal[[#This Row],[DEBE]],0)</f>
        <v>0</v>
      </c>
      <c r="I1190" s="16">
        <f>IF((OR(tbal[[#This Row],[X]]=1,tbal[[#This Row],[X]]=2)),tbal[[#This Row],[DEUDOR]],0)</f>
        <v>0</v>
      </c>
      <c r="J1190" s="18">
        <f>IF((OR(tbal[[#This Row],[X]]=2,tbal[[#This Row],[X]]=3)),tbal[[#This Row],[ACREEDOR]],0)</f>
        <v>0</v>
      </c>
      <c r="K1190" s="16">
        <f>IF((OR(tbal[[#This Row],[X]]=3,tbal[[#This Row],[X]]=5)),tbal[[#This Row],[DEUDOR]],0)</f>
        <v>0</v>
      </c>
      <c r="L1190" s="18">
        <f>IF((OR(tbal[[#This Row],[X]]=3,tbal[[#This Row],[X]]=4)),tbal[[#This Row],[ACREEDOR]],0)</f>
        <v>0</v>
      </c>
      <c r="M1190" s="16">
        <f>IF((OR(tbal[[#This Row],[X]]=0,tbal[[#This Row],[X]]=6)),tbal[[#This Row],[DEUDOR]],0)</f>
        <v>0</v>
      </c>
      <c r="N1190" s="18">
        <f>IF((OR(tbal[[#This Row],[X]]=0,tbal[[#This Row],[X]]=5)),tbal[[#This Row],[ACREEDOR]],0)</f>
        <v>0</v>
      </c>
    </row>
    <row r="1191" spans="1:14" hidden="1" x14ac:dyDescent="0.3">
      <c r="A1191" s="14">
        <f>+'PLAN DE CUENTAS'!A1191</f>
        <v>0</v>
      </c>
      <c r="B1191" s="13">
        <f>+'PLAN DE CUENTAS'!B1191</f>
        <v>0</v>
      </c>
      <c r="C1191" s="13">
        <f>+'PLAN DE CUENTAS'!C1191</f>
        <v>0</v>
      </c>
      <c r="D1191" t="str">
        <f>IF(tbal[[#This Row],[DEBE]]+tbal[[#This Row],[HABER]]=0,"","X")</f>
        <v/>
      </c>
      <c r="E1191" s="16">
        <f>SUMIF(tdiario[CUENTA],tbal[[#This Row],[CUENTA]],tdiario[DEBE])</f>
        <v>0</v>
      </c>
      <c r="F1191" s="17">
        <f>SUMIF(tdiario[CUENTA],tbal[[#This Row],[CUENTA]],tdiario[HABER])</f>
        <v>0</v>
      </c>
      <c r="G1191" s="16">
        <f>IF(tbal[[#This Row],[DEBE]]-tbal[[#This Row],[HABER]]&gt;0,tbal[[#This Row],[DEBE]]-tbal[[#This Row],[HABER]],0)</f>
        <v>0</v>
      </c>
      <c r="H1191" s="18">
        <f>IF(tbal[[#This Row],[HABER]]-tbal[[#This Row],[DEBE]]&gt;0,tbal[[#This Row],[HABER]]-tbal[[#This Row],[DEBE]],0)</f>
        <v>0</v>
      </c>
      <c r="I1191" s="16">
        <f>IF((OR(tbal[[#This Row],[X]]=1,tbal[[#This Row],[X]]=2)),tbal[[#This Row],[DEUDOR]],0)</f>
        <v>0</v>
      </c>
      <c r="J1191" s="18">
        <f>IF((OR(tbal[[#This Row],[X]]=2,tbal[[#This Row],[X]]=3)),tbal[[#This Row],[ACREEDOR]],0)</f>
        <v>0</v>
      </c>
      <c r="K1191" s="16">
        <f>IF((OR(tbal[[#This Row],[X]]=3,tbal[[#This Row],[X]]=5)),tbal[[#This Row],[DEUDOR]],0)</f>
        <v>0</v>
      </c>
      <c r="L1191" s="18">
        <f>IF((OR(tbal[[#This Row],[X]]=3,tbal[[#This Row],[X]]=4)),tbal[[#This Row],[ACREEDOR]],0)</f>
        <v>0</v>
      </c>
      <c r="M1191" s="16">
        <f>IF((OR(tbal[[#This Row],[X]]=0,tbal[[#This Row],[X]]=6)),tbal[[#This Row],[DEUDOR]],0)</f>
        <v>0</v>
      </c>
      <c r="N1191" s="18">
        <f>IF((OR(tbal[[#This Row],[X]]=0,tbal[[#This Row],[X]]=5)),tbal[[#This Row],[ACREEDOR]],0)</f>
        <v>0</v>
      </c>
    </row>
    <row r="1192" spans="1:14" hidden="1" x14ac:dyDescent="0.3">
      <c r="A1192" s="14">
        <f>+'PLAN DE CUENTAS'!A1192</f>
        <v>0</v>
      </c>
      <c r="B1192" s="13">
        <f>+'PLAN DE CUENTAS'!B1192</f>
        <v>0</v>
      </c>
      <c r="C1192" s="13">
        <f>+'PLAN DE CUENTAS'!C1192</f>
        <v>0</v>
      </c>
      <c r="D1192" t="str">
        <f>IF(tbal[[#This Row],[DEBE]]+tbal[[#This Row],[HABER]]=0,"","X")</f>
        <v/>
      </c>
      <c r="E1192" s="16">
        <f>SUMIF(tdiario[CUENTA],tbal[[#This Row],[CUENTA]],tdiario[DEBE])</f>
        <v>0</v>
      </c>
      <c r="F1192" s="17">
        <f>SUMIF(tdiario[CUENTA],tbal[[#This Row],[CUENTA]],tdiario[HABER])</f>
        <v>0</v>
      </c>
      <c r="G1192" s="16">
        <f>IF(tbal[[#This Row],[DEBE]]-tbal[[#This Row],[HABER]]&gt;0,tbal[[#This Row],[DEBE]]-tbal[[#This Row],[HABER]],0)</f>
        <v>0</v>
      </c>
      <c r="H1192" s="18">
        <f>IF(tbal[[#This Row],[HABER]]-tbal[[#This Row],[DEBE]]&gt;0,tbal[[#This Row],[HABER]]-tbal[[#This Row],[DEBE]],0)</f>
        <v>0</v>
      </c>
      <c r="I1192" s="16">
        <f>IF((OR(tbal[[#This Row],[X]]=1,tbal[[#This Row],[X]]=2)),tbal[[#This Row],[DEUDOR]],0)</f>
        <v>0</v>
      </c>
      <c r="J1192" s="18">
        <f>IF((OR(tbal[[#This Row],[X]]=2,tbal[[#This Row],[X]]=3)),tbal[[#This Row],[ACREEDOR]],0)</f>
        <v>0</v>
      </c>
      <c r="K1192" s="16">
        <f>IF((OR(tbal[[#This Row],[X]]=3,tbal[[#This Row],[X]]=5)),tbal[[#This Row],[DEUDOR]],0)</f>
        <v>0</v>
      </c>
      <c r="L1192" s="18">
        <f>IF((OR(tbal[[#This Row],[X]]=3,tbal[[#This Row],[X]]=4)),tbal[[#This Row],[ACREEDOR]],0)</f>
        <v>0</v>
      </c>
      <c r="M1192" s="16">
        <f>IF((OR(tbal[[#This Row],[X]]=0,tbal[[#This Row],[X]]=6)),tbal[[#This Row],[DEUDOR]],0)</f>
        <v>0</v>
      </c>
      <c r="N1192" s="18">
        <f>IF((OR(tbal[[#This Row],[X]]=0,tbal[[#This Row],[X]]=5)),tbal[[#This Row],[ACREEDOR]],0)</f>
        <v>0</v>
      </c>
    </row>
    <row r="1193" spans="1:14" hidden="1" x14ac:dyDescent="0.3">
      <c r="A1193" s="14">
        <f>+'PLAN DE CUENTAS'!A1193</f>
        <v>0</v>
      </c>
      <c r="B1193" s="13">
        <f>+'PLAN DE CUENTAS'!B1193</f>
        <v>0</v>
      </c>
      <c r="C1193" s="13">
        <f>+'PLAN DE CUENTAS'!C1193</f>
        <v>0</v>
      </c>
      <c r="D1193" t="str">
        <f>IF(tbal[[#This Row],[DEBE]]+tbal[[#This Row],[HABER]]=0,"","X")</f>
        <v/>
      </c>
      <c r="E1193" s="16">
        <f>SUMIF(tdiario[CUENTA],tbal[[#This Row],[CUENTA]],tdiario[DEBE])</f>
        <v>0</v>
      </c>
      <c r="F1193" s="17">
        <f>SUMIF(tdiario[CUENTA],tbal[[#This Row],[CUENTA]],tdiario[HABER])</f>
        <v>0</v>
      </c>
      <c r="G1193" s="16">
        <f>IF(tbal[[#This Row],[DEBE]]-tbal[[#This Row],[HABER]]&gt;0,tbal[[#This Row],[DEBE]]-tbal[[#This Row],[HABER]],0)</f>
        <v>0</v>
      </c>
      <c r="H1193" s="18">
        <f>IF(tbal[[#This Row],[HABER]]-tbal[[#This Row],[DEBE]]&gt;0,tbal[[#This Row],[HABER]]-tbal[[#This Row],[DEBE]],0)</f>
        <v>0</v>
      </c>
      <c r="I1193" s="16">
        <f>IF((OR(tbal[[#This Row],[X]]=1,tbal[[#This Row],[X]]=2)),tbal[[#This Row],[DEUDOR]],0)</f>
        <v>0</v>
      </c>
      <c r="J1193" s="18">
        <f>IF((OR(tbal[[#This Row],[X]]=2,tbal[[#This Row],[X]]=3)),tbal[[#This Row],[ACREEDOR]],0)</f>
        <v>0</v>
      </c>
      <c r="K1193" s="16">
        <f>IF((OR(tbal[[#This Row],[X]]=3,tbal[[#This Row],[X]]=5)),tbal[[#This Row],[DEUDOR]],0)</f>
        <v>0</v>
      </c>
      <c r="L1193" s="18">
        <f>IF((OR(tbal[[#This Row],[X]]=3,tbal[[#This Row],[X]]=4)),tbal[[#This Row],[ACREEDOR]],0)</f>
        <v>0</v>
      </c>
      <c r="M1193" s="16">
        <f>IF((OR(tbal[[#This Row],[X]]=0,tbal[[#This Row],[X]]=6)),tbal[[#This Row],[DEUDOR]],0)</f>
        <v>0</v>
      </c>
      <c r="N1193" s="18">
        <f>IF((OR(tbal[[#This Row],[X]]=0,tbal[[#This Row],[X]]=5)),tbal[[#This Row],[ACREEDOR]],0)</f>
        <v>0</v>
      </c>
    </row>
    <row r="1194" spans="1:14" hidden="1" x14ac:dyDescent="0.3">
      <c r="A1194" s="14">
        <f>+'PLAN DE CUENTAS'!A1194</f>
        <v>0</v>
      </c>
      <c r="B1194" s="13">
        <f>+'PLAN DE CUENTAS'!B1194</f>
        <v>0</v>
      </c>
      <c r="C1194" s="13">
        <f>+'PLAN DE CUENTAS'!C1194</f>
        <v>0</v>
      </c>
      <c r="D1194" t="str">
        <f>IF(tbal[[#This Row],[DEBE]]+tbal[[#This Row],[HABER]]=0,"","X")</f>
        <v/>
      </c>
      <c r="E1194" s="16">
        <f>SUMIF(tdiario[CUENTA],tbal[[#This Row],[CUENTA]],tdiario[DEBE])</f>
        <v>0</v>
      </c>
      <c r="F1194" s="17">
        <f>SUMIF(tdiario[CUENTA],tbal[[#This Row],[CUENTA]],tdiario[HABER])</f>
        <v>0</v>
      </c>
      <c r="G1194" s="16">
        <f>IF(tbal[[#This Row],[DEBE]]-tbal[[#This Row],[HABER]]&gt;0,tbal[[#This Row],[DEBE]]-tbal[[#This Row],[HABER]],0)</f>
        <v>0</v>
      </c>
      <c r="H1194" s="18">
        <f>IF(tbal[[#This Row],[HABER]]-tbal[[#This Row],[DEBE]]&gt;0,tbal[[#This Row],[HABER]]-tbal[[#This Row],[DEBE]],0)</f>
        <v>0</v>
      </c>
      <c r="I1194" s="16">
        <f>IF((OR(tbal[[#This Row],[X]]=1,tbal[[#This Row],[X]]=2)),tbal[[#This Row],[DEUDOR]],0)</f>
        <v>0</v>
      </c>
      <c r="J1194" s="18">
        <f>IF((OR(tbal[[#This Row],[X]]=2,tbal[[#This Row],[X]]=3)),tbal[[#This Row],[ACREEDOR]],0)</f>
        <v>0</v>
      </c>
      <c r="K1194" s="16">
        <f>IF((OR(tbal[[#This Row],[X]]=3,tbal[[#This Row],[X]]=5)),tbal[[#This Row],[DEUDOR]],0)</f>
        <v>0</v>
      </c>
      <c r="L1194" s="18">
        <f>IF((OR(tbal[[#This Row],[X]]=3,tbal[[#This Row],[X]]=4)),tbal[[#This Row],[ACREEDOR]],0)</f>
        <v>0</v>
      </c>
      <c r="M1194" s="16">
        <f>IF((OR(tbal[[#This Row],[X]]=0,tbal[[#This Row],[X]]=6)),tbal[[#This Row],[DEUDOR]],0)</f>
        <v>0</v>
      </c>
      <c r="N1194" s="18">
        <f>IF((OR(tbal[[#This Row],[X]]=0,tbal[[#This Row],[X]]=5)),tbal[[#This Row],[ACREEDOR]],0)</f>
        <v>0</v>
      </c>
    </row>
    <row r="1195" spans="1:14" hidden="1" x14ac:dyDescent="0.3">
      <c r="A1195" s="14">
        <f>+'PLAN DE CUENTAS'!A1195</f>
        <v>0</v>
      </c>
      <c r="B1195" s="13">
        <f>+'PLAN DE CUENTAS'!B1195</f>
        <v>0</v>
      </c>
      <c r="C1195" s="13">
        <f>+'PLAN DE CUENTAS'!C1195</f>
        <v>0</v>
      </c>
      <c r="D1195" t="str">
        <f>IF(tbal[[#This Row],[DEBE]]+tbal[[#This Row],[HABER]]=0,"","X")</f>
        <v/>
      </c>
      <c r="E1195" s="16">
        <f>SUMIF(tdiario[CUENTA],tbal[[#This Row],[CUENTA]],tdiario[DEBE])</f>
        <v>0</v>
      </c>
      <c r="F1195" s="17">
        <f>SUMIF(tdiario[CUENTA],tbal[[#This Row],[CUENTA]],tdiario[HABER])</f>
        <v>0</v>
      </c>
      <c r="G1195" s="16">
        <f>IF(tbal[[#This Row],[DEBE]]-tbal[[#This Row],[HABER]]&gt;0,tbal[[#This Row],[DEBE]]-tbal[[#This Row],[HABER]],0)</f>
        <v>0</v>
      </c>
      <c r="H1195" s="18">
        <f>IF(tbal[[#This Row],[HABER]]-tbal[[#This Row],[DEBE]]&gt;0,tbal[[#This Row],[HABER]]-tbal[[#This Row],[DEBE]],0)</f>
        <v>0</v>
      </c>
      <c r="I1195" s="16">
        <f>IF((OR(tbal[[#This Row],[X]]=1,tbal[[#This Row],[X]]=2)),tbal[[#This Row],[DEUDOR]],0)</f>
        <v>0</v>
      </c>
      <c r="J1195" s="18">
        <f>IF((OR(tbal[[#This Row],[X]]=2,tbal[[#This Row],[X]]=3)),tbal[[#This Row],[ACREEDOR]],0)</f>
        <v>0</v>
      </c>
      <c r="K1195" s="16">
        <f>IF((OR(tbal[[#This Row],[X]]=3,tbal[[#This Row],[X]]=5)),tbal[[#This Row],[DEUDOR]],0)</f>
        <v>0</v>
      </c>
      <c r="L1195" s="18">
        <f>IF((OR(tbal[[#This Row],[X]]=3,tbal[[#This Row],[X]]=4)),tbal[[#This Row],[ACREEDOR]],0)</f>
        <v>0</v>
      </c>
      <c r="M1195" s="16">
        <f>IF((OR(tbal[[#This Row],[X]]=0,tbal[[#This Row],[X]]=6)),tbal[[#This Row],[DEUDOR]],0)</f>
        <v>0</v>
      </c>
      <c r="N1195" s="18">
        <f>IF((OR(tbal[[#This Row],[X]]=0,tbal[[#This Row],[X]]=5)),tbal[[#This Row],[ACREEDOR]],0)</f>
        <v>0</v>
      </c>
    </row>
    <row r="1196" spans="1:14" hidden="1" x14ac:dyDescent="0.3">
      <c r="A1196" s="14">
        <f>+'PLAN DE CUENTAS'!A1196</f>
        <v>0</v>
      </c>
      <c r="B1196" s="13">
        <f>+'PLAN DE CUENTAS'!B1196</f>
        <v>0</v>
      </c>
      <c r="C1196" s="13">
        <f>+'PLAN DE CUENTAS'!C1196</f>
        <v>0</v>
      </c>
      <c r="D1196" t="str">
        <f>IF(tbal[[#This Row],[DEBE]]+tbal[[#This Row],[HABER]]=0,"","X")</f>
        <v/>
      </c>
      <c r="E1196" s="16">
        <f>SUMIF(tdiario[CUENTA],tbal[[#This Row],[CUENTA]],tdiario[DEBE])</f>
        <v>0</v>
      </c>
      <c r="F1196" s="17">
        <f>SUMIF(tdiario[CUENTA],tbal[[#This Row],[CUENTA]],tdiario[HABER])</f>
        <v>0</v>
      </c>
      <c r="G1196" s="16">
        <f>IF(tbal[[#This Row],[DEBE]]-tbal[[#This Row],[HABER]]&gt;0,tbal[[#This Row],[DEBE]]-tbal[[#This Row],[HABER]],0)</f>
        <v>0</v>
      </c>
      <c r="H1196" s="18">
        <f>IF(tbal[[#This Row],[HABER]]-tbal[[#This Row],[DEBE]]&gt;0,tbal[[#This Row],[HABER]]-tbal[[#This Row],[DEBE]],0)</f>
        <v>0</v>
      </c>
      <c r="I1196" s="16">
        <f>IF((OR(tbal[[#This Row],[X]]=1,tbal[[#This Row],[X]]=2)),tbal[[#This Row],[DEUDOR]],0)</f>
        <v>0</v>
      </c>
      <c r="J1196" s="18">
        <f>IF((OR(tbal[[#This Row],[X]]=2,tbal[[#This Row],[X]]=3)),tbal[[#This Row],[ACREEDOR]],0)</f>
        <v>0</v>
      </c>
      <c r="K1196" s="16">
        <f>IF((OR(tbal[[#This Row],[X]]=3,tbal[[#This Row],[X]]=5)),tbal[[#This Row],[DEUDOR]],0)</f>
        <v>0</v>
      </c>
      <c r="L1196" s="18">
        <f>IF((OR(tbal[[#This Row],[X]]=3,tbal[[#This Row],[X]]=4)),tbal[[#This Row],[ACREEDOR]],0)</f>
        <v>0</v>
      </c>
      <c r="M1196" s="16">
        <f>IF((OR(tbal[[#This Row],[X]]=0,tbal[[#This Row],[X]]=6)),tbal[[#This Row],[DEUDOR]],0)</f>
        <v>0</v>
      </c>
      <c r="N1196" s="18">
        <f>IF((OR(tbal[[#This Row],[X]]=0,tbal[[#This Row],[X]]=5)),tbal[[#This Row],[ACREEDOR]],0)</f>
        <v>0</v>
      </c>
    </row>
    <row r="1197" spans="1:14" hidden="1" x14ac:dyDescent="0.3">
      <c r="A1197" s="14">
        <f>+'PLAN DE CUENTAS'!A1197</f>
        <v>0</v>
      </c>
      <c r="B1197" s="13">
        <f>+'PLAN DE CUENTAS'!B1197</f>
        <v>0</v>
      </c>
      <c r="C1197" s="13">
        <f>+'PLAN DE CUENTAS'!C1197</f>
        <v>0</v>
      </c>
      <c r="D1197" t="str">
        <f>IF(tbal[[#This Row],[DEBE]]+tbal[[#This Row],[HABER]]=0,"","X")</f>
        <v/>
      </c>
      <c r="E1197" s="16">
        <f>SUMIF(tdiario[CUENTA],tbal[[#This Row],[CUENTA]],tdiario[DEBE])</f>
        <v>0</v>
      </c>
      <c r="F1197" s="17">
        <f>SUMIF(tdiario[CUENTA],tbal[[#This Row],[CUENTA]],tdiario[HABER])</f>
        <v>0</v>
      </c>
      <c r="G1197" s="16">
        <f>IF(tbal[[#This Row],[DEBE]]-tbal[[#This Row],[HABER]]&gt;0,tbal[[#This Row],[DEBE]]-tbal[[#This Row],[HABER]],0)</f>
        <v>0</v>
      </c>
      <c r="H1197" s="18">
        <f>IF(tbal[[#This Row],[HABER]]-tbal[[#This Row],[DEBE]]&gt;0,tbal[[#This Row],[HABER]]-tbal[[#This Row],[DEBE]],0)</f>
        <v>0</v>
      </c>
      <c r="I1197" s="16">
        <f>IF((OR(tbal[[#This Row],[X]]=1,tbal[[#This Row],[X]]=2)),tbal[[#This Row],[DEUDOR]],0)</f>
        <v>0</v>
      </c>
      <c r="J1197" s="18">
        <f>IF((OR(tbal[[#This Row],[X]]=2,tbal[[#This Row],[X]]=3)),tbal[[#This Row],[ACREEDOR]],0)</f>
        <v>0</v>
      </c>
      <c r="K1197" s="16">
        <f>IF((OR(tbal[[#This Row],[X]]=3,tbal[[#This Row],[X]]=5)),tbal[[#This Row],[DEUDOR]],0)</f>
        <v>0</v>
      </c>
      <c r="L1197" s="18">
        <f>IF((OR(tbal[[#This Row],[X]]=3,tbal[[#This Row],[X]]=4)),tbal[[#This Row],[ACREEDOR]],0)</f>
        <v>0</v>
      </c>
      <c r="M1197" s="16">
        <f>IF((OR(tbal[[#This Row],[X]]=0,tbal[[#This Row],[X]]=6)),tbal[[#This Row],[DEUDOR]],0)</f>
        <v>0</v>
      </c>
      <c r="N1197" s="18">
        <f>IF((OR(tbal[[#This Row],[X]]=0,tbal[[#This Row],[X]]=5)),tbal[[#This Row],[ACREEDOR]],0)</f>
        <v>0</v>
      </c>
    </row>
    <row r="1198" spans="1:14" hidden="1" x14ac:dyDescent="0.3">
      <c r="A1198" s="14">
        <f>+'PLAN DE CUENTAS'!A1198</f>
        <v>0</v>
      </c>
      <c r="B1198" s="13">
        <f>+'PLAN DE CUENTAS'!B1198</f>
        <v>0</v>
      </c>
      <c r="C1198" s="13">
        <f>+'PLAN DE CUENTAS'!C1198</f>
        <v>0</v>
      </c>
      <c r="D1198" t="str">
        <f>IF(tbal[[#This Row],[DEBE]]+tbal[[#This Row],[HABER]]=0,"","X")</f>
        <v/>
      </c>
      <c r="E1198" s="16">
        <f>SUMIF(tdiario[CUENTA],tbal[[#This Row],[CUENTA]],tdiario[DEBE])</f>
        <v>0</v>
      </c>
      <c r="F1198" s="17">
        <f>SUMIF(tdiario[CUENTA],tbal[[#This Row],[CUENTA]],tdiario[HABER])</f>
        <v>0</v>
      </c>
      <c r="G1198" s="16">
        <f>IF(tbal[[#This Row],[DEBE]]-tbal[[#This Row],[HABER]]&gt;0,tbal[[#This Row],[DEBE]]-tbal[[#This Row],[HABER]],0)</f>
        <v>0</v>
      </c>
      <c r="H1198" s="18">
        <f>IF(tbal[[#This Row],[HABER]]-tbal[[#This Row],[DEBE]]&gt;0,tbal[[#This Row],[HABER]]-tbal[[#This Row],[DEBE]],0)</f>
        <v>0</v>
      </c>
      <c r="I1198" s="16">
        <f>IF((OR(tbal[[#This Row],[X]]=1,tbal[[#This Row],[X]]=2)),tbal[[#This Row],[DEUDOR]],0)</f>
        <v>0</v>
      </c>
      <c r="J1198" s="18">
        <f>IF((OR(tbal[[#This Row],[X]]=2,tbal[[#This Row],[X]]=3)),tbal[[#This Row],[ACREEDOR]],0)</f>
        <v>0</v>
      </c>
      <c r="K1198" s="16">
        <f>IF((OR(tbal[[#This Row],[X]]=3,tbal[[#This Row],[X]]=5)),tbal[[#This Row],[DEUDOR]],0)</f>
        <v>0</v>
      </c>
      <c r="L1198" s="18">
        <f>IF((OR(tbal[[#This Row],[X]]=3,tbal[[#This Row],[X]]=4)),tbal[[#This Row],[ACREEDOR]],0)</f>
        <v>0</v>
      </c>
      <c r="M1198" s="16">
        <f>IF((OR(tbal[[#This Row],[X]]=0,tbal[[#This Row],[X]]=6)),tbal[[#This Row],[DEUDOR]],0)</f>
        <v>0</v>
      </c>
      <c r="N1198" s="18">
        <f>IF((OR(tbal[[#This Row],[X]]=0,tbal[[#This Row],[X]]=5)),tbal[[#This Row],[ACREEDOR]],0)</f>
        <v>0</v>
      </c>
    </row>
    <row r="1199" spans="1:14" hidden="1" x14ac:dyDescent="0.3">
      <c r="A1199" s="14">
        <f>+'PLAN DE CUENTAS'!A1199</f>
        <v>0</v>
      </c>
      <c r="B1199" s="13">
        <f>+'PLAN DE CUENTAS'!B1199</f>
        <v>0</v>
      </c>
      <c r="C1199" s="13">
        <f>+'PLAN DE CUENTAS'!C1199</f>
        <v>0</v>
      </c>
      <c r="D1199" t="str">
        <f>IF(tbal[[#This Row],[DEBE]]+tbal[[#This Row],[HABER]]=0,"","X")</f>
        <v/>
      </c>
      <c r="E1199" s="16">
        <f>SUMIF(tdiario[CUENTA],tbal[[#This Row],[CUENTA]],tdiario[DEBE])</f>
        <v>0</v>
      </c>
      <c r="F1199" s="17">
        <f>SUMIF(tdiario[CUENTA],tbal[[#This Row],[CUENTA]],tdiario[HABER])</f>
        <v>0</v>
      </c>
      <c r="G1199" s="16">
        <f>IF(tbal[[#This Row],[DEBE]]-tbal[[#This Row],[HABER]]&gt;0,tbal[[#This Row],[DEBE]]-tbal[[#This Row],[HABER]],0)</f>
        <v>0</v>
      </c>
      <c r="H1199" s="18">
        <f>IF(tbal[[#This Row],[HABER]]-tbal[[#This Row],[DEBE]]&gt;0,tbal[[#This Row],[HABER]]-tbal[[#This Row],[DEBE]],0)</f>
        <v>0</v>
      </c>
      <c r="I1199" s="16">
        <f>IF((OR(tbal[[#This Row],[X]]=1,tbal[[#This Row],[X]]=2)),tbal[[#This Row],[DEUDOR]],0)</f>
        <v>0</v>
      </c>
      <c r="J1199" s="18">
        <f>IF((OR(tbal[[#This Row],[X]]=2,tbal[[#This Row],[X]]=3)),tbal[[#This Row],[ACREEDOR]],0)</f>
        <v>0</v>
      </c>
      <c r="K1199" s="16">
        <f>IF((OR(tbal[[#This Row],[X]]=3,tbal[[#This Row],[X]]=5)),tbal[[#This Row],[DEUDOR]],0)</f>
        <v>0</v>
      </c>
      <c r="L1199" s="18">
        <f>IF((OR(tbal[[#This Row],[X]]=3,tbal[[#This Row],[X]]=4)),tbal[[#This Row],[ACREEDOR]],0)</f>
        <v>0</v>
      </c>
      <c r="M1199" s="16">
        <f>IF((OR(tbal[[#This Row],[X]]=0,tbal[[#This Row],[X]]=6)),tbal[[#This Row],[DEUDOR]],0)</f>
        <v>0</v>
      </c>
      <c r="N1199" s="18">
        <f>IF((OR(tbal[[#This Row],[X]]=0,tbal[[#This Row],[X]]=5)),tbal[[#This Row],[ACREEDOR]],0)</f>
        <v>0</v>
      </c>
    </row>
    <row r="1200" spans="1:14" hidden="1" x14ac:dyDescent="0.3">
      <c r="A1200" s="14">
        <f>+'PLAN DE CUENTAS'!A1200</f>
        <v>0</v>
      </c>
      <c r="B1200" s="13">
        <f>+'PLAN DE CUENTAS'!B1200</f>
        <v>0</v>
      </c>
      <c r="C1200" s="13">
        <f>+'PLAN DE CUENTAS'!C1200</f>
        <v>0</v>
      </c>
      <c r="D1200" t="str">
        <f>IF(tbal[[#This Row],[DEBE]]+tbal[[#This Row],[HABER]]=0,"","X")</f>
        <v/>
      </c>
      <c r="E1200" s="16">
        <f>SUMIF(tdiario[CUENTA],tbal[[#This Row],[CUENTA]],tdiario[DEBE])</f>
        <v>0</v>
      </c>
      <c r="F1200" s="17">
        <f>SUMIF(tdiario[CUENTA],tbal[[#This Row],[CUENTA]],tdiario[HABER])</f>
        <v>0</v>
      </c>
      <c r="G1200" s="16">
        <f>IF(tbal[[#This Row],[DEBE]]-tbal[[#This Row],[HABER]]&gt;0,tbal[[#This Row],[DEBE]]-tbal[[#This Row],[HABER]],0)</f>
        <v>0</v>
      </c>
      <c r="H1200" s="18">
        <f>IF(tbal[[#This Row],[HABER]]-tbal[[#This Row],[DEBE]]&gt;0,tbal[[#This Row],[HABER]]-tbal[[#This Row],[DEBE]],0)</f>
        <v>0</v>
      </c>
      <c r="I1200" s="16">
        <f>IF((OR(tbal[[#This Row],[X]]=1,tbal[[#This Row],[X]]=2)),tbal[[#This Row],[DEUDOR]],0)</f>
        <v>0</v>
      </c>
      <c r="J1200" s="18">
        <f>IF((OR(tbal[[#This Row],[X]]=2,tbal[[#This Row],[X]]=3)),tbal[[#This Row],[ACREEDOR]],0)</f>
        <v>0</v>
      </c>
      <c r="K1200" s="16">
        <f>IF((OR(tbal[[#This Row],[X]]=3,tbal[[#This Row],[X]]=5)),tbal[[#This Row],[DEUDOR]],0)</f>
        <v>0</v>
      </c>
      <c r="L1200" s="18">
        <f>IF((OR(tbal[[#This Row],[X]]=3,tbal[[#This Row],[X]]=4)),tbal[[#This Row],[ACREEDOR]],0)</f>
        <v>0</v>
      </c>
      <c r="M1200" s="16">
        <f>IF((OR(tbal[[#This Row],[X]]=0,tbal[[#This Row],[X]]=6)),tbal[[#This Row],[DEUDOR]],0)</f>
        <v>0</v>
      </c>
      <c r="N1200" s="18">
        <f>IF((OR(tbal[[#This Row],[X]]=0,tbal[[#This Row],[X]]=5)),tbal[[#This Row],[ACREEDOR]],0)</f>
        <v>0</v>
      </c>
    </row>
    <row r="1201" spans="1:14" hidden="1" x14ac:dyDescent="0.3">
      <c r="A1201" s="14">
        <f>+'PLAN DE CUENTAS'!A1201</f>
        <v>0</v>
      </c>
      <c r="B1201" s="13">
        <f>+'PLAN DE CUENTAS'!B1201</f>
        <v>0</v>
      </c>
      <c r="C1201" s="13">
        <f>+'PLAN DE CUENTAS'!C1201</f>
        <v>0</v>
      </c>
      <c r="D1201" t="str">
        <f>IF(tbal[[#This Row],[DEBE]]+tbal[[#This Row],[HABER]]=0,"","X")</f>
        <v/>
      </c>
      <c r="E1201" s="16">
        <f>SUMIF(tdiario[CUENTA],tbal[[#This Row],[CUENTA]],tdiario[DEBE])</f>
        <v>0</v>
      </c>
      <c r="F1201" s="17">
        <f>SUMIF(tdiario[CUENTA],tbal[[#This Row],[CUENTA]],tdiario[HABER])</f>
        <v>0</v>
      </c>
      <c r="G1201" s="16">
        <f>IF(tbal[[#This Row],[DEBE]]-tbal[[#This Row],[HABER]]&gt;0,tbal[[#This Row],[DEBE]]-tbal[[#This Row],[HABER]],0)</f>
        <v>0</v>
      </c>
      <c r="H1201" s="18">
        <f>IF(tbal[[#This Row],[HABER]]-tbal[[#This Row],[DEBE]]&gt;0,tbal[[#This Row],[HABER]]-tbal[[#This Row],[DEBE]],0)</f>
        <v>0</v>
      </c>
      <c r="I1201" s="16">
        <f>IF((OR(tbal[[#This Row],[X]]=1,tbal[[#This Row],[X]]=2)),tbal[[#This Row],[DEUDOR]],0)</f>
        <v>0</v>
      </c>
      <c r="J1201" s="18">
        <f>IF((OR(tbal[[#This Row],[X]]=2,tbal[[#This Row],[X]]=3)),tbal[[#This Row],[ACREEDOR]],0)</f>
        <v>0</v>
      </c>
      <c r="K1201" s="16">
        <f>IF((OR(tbal[[#This Row],[X]]=3,tbal[[#This Row],[X]]=5)),tbal[[#This Row],[DEUDOR]],0)</f>
        <v>0</v>
      </c>
      <c r="L1201" s="18">
        <f>IF((OR(tbal[[#This Row],[X]]=3,tbal[[#This Row],[X]]=4)),tbal[[#This Row],[ACREEDOR]],0)</f>
        <v>0</v>
      </c>
      <c r="M1201" s="16">
        <f>IF((OR(tbal[[#This Row],[X]]=0,tbal[[#This Row],[X]]=6)),tbal[[#This Row],[DEUDOR]],0)</f>
        <v>0</v>
      </c>
      <c r="N1201" s="18">
        <f>IF((OR(tbal[[#This Row],[X]]=0,tbal[[#This Row],[X]]=5)),tbal[[#This Row],[ACREEDOR]],0)</f>
        <v>0</v>
      </c>
    </row>
    <row r="1202" spans="1:14" hidden="1" x14ac:dyDescent="0.3">
      <c r="A1202" s="14">
        <f>+'PLAN DE CUENTAS'!A1202</f>
        <v>0</v>
      </c>
      <c r="B1202" s="13">
        <f>+'PLAN DE CUENTAS'!B1202</f>
        <v>0</v>
      </c>
      <c r="C1202" s="13">
        <f>+'PLAN DE CUENTAS'!C1202</f>
        <v>0</v>
      </c>
      <c r="D1202" t="str">
        <f>IF(tbal[[#This Row],[DEBE]]+tbal[[#This Row],[HABER]]=0,"","X")</f>
        <v/>
      </c>
      <c r="E1202" s="16">
        <f>SUMIF(tdiario[CUENTA],tbal[[#This Row],[CUENTA]],tdiario[DEBE])</f>
        <v>0</v>
      </c>
      <c r="F1202" s="17">
        <f>SUMIF(tdiario[CUENTA],tbal[[#This Row],[CUENTA]],tdiario[HABER])</f>
        <v>0</v>
      </c>
      <c r="G1202" s="16">
        <f>IF(tbal[[#This Row],[DEBE]]-tbal[[#This Row],[HABER]]&gt;0,tbal[[#This Row],[DEBE]]-tbal[[#This Row],[HABER]],0)</f>
        <v>0</v>
      </c>
      <c r="H1202" s="18">
        <f>IF(tbal[[#This Row],[HABER]]-tbal[[#This Row],[DEBE]]&gt;0,tbal[[#This Row],[HABER]]-tbal[[#This Row],[DEBE]],0)</f>
        <v>0</v>
      </c>
      <c r="I1202" s="16">
        <f>IF((OR(tbal[[#This Row],[X]]=1,tbal[[#This Row],[X]]=2)),tbal[[#This Row],[DEUDOR]],0)</f>
        <v>0</v>
      </c>
      <c r="J1202" s="18">
        <f>IF((OR(tbal[[#This Row],[X]]=2,tbal[[#This Row],[X]]=3)),tbal[[#This Row],[ACREEDOR]],0)</f>
        <v>0</v>
      </c>
      <c r="K1202" s="16">
        <f>IF((OR(tbal[[#This Row],[X]]=3,tbal[[#This Row],[X]]=5)),tbal[[#This Row],[DEUDOR]],0)</f>
        <v>0</v>
      </c>
      <c r="L1202" s="18">
        <f>IF((OR(tbal[[#This Row],[X]]=3,tbal[[#This Row],[X]]=4)),tbal[[#This Row],[ACREEDOR]],0)</f>
        <v>0</v>
      </c>
      <c r="M1202" s="16">
        <f>IF((OR(tbal[[#This Row],[X]]=0,tbal[[#This Row],[X]]=6)),tbal[[#This Row],[DEUDOR]],0)</f>
        <v>0</v>
      </c>
      <c r="N1202" s="18">
        <f>IF((OR(tbal[[#This Row],[X]]=0,tbal[[#This Row],[X]]=5)),tbal[[#This Row],[ACREEDOR]],0)</f>
        <v>0</v>
      </c>
    </row>
    <row r="1203" spans="1:14" hidden="1" x14ac:dyDescent="0.3">
      <c r="A1203" s="14">
        <f>+'PLAN DE CUENTAS'!A1203</f>
        <v>0</v>
      </c>
      <c r="B1203" s="13">
        <f>+'PLAN DE CUENTAS'!B1203</f>
        <v>0</v>
      </c>
      <c r="C1203" s="13">
        <f>+'PLAN DE CUENTAS'!C1203</f>
        <v>0</v>
      </c>
      <c r="D1203" t="str">
        <f>IF(tbal[[#This Row],[DEBE]]+tbal[[#This Row],[HABER]]=0,"","X")</f>
        <v/>
      </c>
      <c r="E1203" s="16">
        <f>SUMIF(tdiario[CUENTA],tbal[[#This Row],[CUENTA]],tdiario[DEBE])</f>
        <v>0</v>
      </c>
      <c r="F1203" s="17">
        <f>SUMIF(tdiario[CUENTA],tbal[[#This Row],[CUENTA]],tdiario[HABER])</f>
        <v>0</v>
      </c>
      <c r="G1203" s="16">
        <f>IF(tbal[[#This Row],[DEBE]]-tbal[[#This Row],[HABER]]&gt;0,tbal[[#This Row],[DEBE]]-tbal[[#This Row],[HABER]],0)</f>
        <v>0</v>
      </c>
      <c r="H1203" s="18">
        <f>IF(tbal[[#This Row],[HABER]]-tbal[[#This Row],[DEBE]]&gt;0,tbal[[#This Row],[HABER]]-tbal[[#This Row],[DEBE]],0)</f>
        <v>0</v>
      </c>
      <c r="I1203" s="16">
        <f>IF((OR(tbal[[#This Row],[X]]=1,tbal[[#This Row],[X]]=2)),tbal[[#This Row],[DEUDOR]],0)</f>
        <v>0</v>
      </c>
      <c r="J1203" s="18">
        <f>IF((OR(tbal[[#This Row],[X]]=2,tbal[[#This Row],[X]]=3)),tbal[[#This Row],[ACREEDOR]],0)</f>
        <v>0</v>
      </c>
      <c r="K1203" s="16">
        <f>IF((OR(tbal[[#This Row],[X]]=3,tbal[[#This Row],[X]]=5)),tbal[[#This Row],[DEUDOR]],0)</f>
        <v>0</v>
      </c>
      <c r="L1203" s="18">
        <f>IF((OR(tbal[[#This Row],[X]]=3,tbal[[#This Row],[X]]=4)),tbal[[#This Row],[ACREEDOR]],0)</f>
        <v>0</v>
      </c>
      <c r="M1203" s="16">
        <f>IF((OR(tbal[[#This Row],[X]]=0,tbal[[#This Row],[X]]=6)),tbal[[#This Row],[DEUDOR]],0)</f>
        <v>0</v>
      </c>
      <c r="N1203" s="18">
        <f>IF((OR(tbal[[#This Row],[X]]=0,tbal[[#This Row],[X]]=5)),tbal[[#This Row],[ACREEDOR]],0)</f>
        <v>0</v>
      </c>
    </row>
    <row r="1204" spans="1:14" hidden="1" x14ac:dyDescent="0.3">
      <c r="A1204" s="14">
        <f>+'PLAN DE CUENTAS'!A1204</f>
        <v>0</v>
      </c>
      <c r="B1204" s="13">
        <f>+'PLAN DE CUENTAS'!B1204</f>
        <v>0</v>
      </c>
      <c r="C1204" s="13">
        <f>+'PLAN DE CUENTAS'!C1204</f>
        <v>0</v>
      </c>
      <c r="D1204" t="str">
        <f>IF(tbal[[#This Row],[DEBE]]+tbal[[#This Row],[HABER]]=0,"","X")</f>
        <v/>
      </c>
      <c r="E1204" s="16">
        <f>SUMIF(tdiario[CUENTA],tbal[[#This Row],[CUENTA]],tdiario[DEBE])</f>
        <v>0</v>
      </c>
      <c r="F1204" s="17">
        <f>SUMIF(tdiario[CUENTA],tbal[[#This Row],[CUENTA]],tdiario[HABER])</f>
        <v>0</v>
      </c>
      <c r="G1204" s="16">
        <f>IF(tbal[[#This Row],[DEBE]]-tbal[[#This Row],[HABER]]&gt;0,tbal[[#This Row],[DEBE]]-tbal[[#This Row],[HABER]],0)</f>
        <v>0</v>
      </c>
      <c r="H1204" s="18">
        <f>IF(tbal[[#This Row],[HABER]]-tbal[[#This Row],[DEBE]]&gt;0,tbal[[#This Row],[HABER]]-tbal[[#This Row],[DEBE]],0)</f>
        <v>0</v>
      </c>
      <c r="I1204" s="16">
        <f>IF((OR(tbal[[#This Row],[X]]=1,tbal[[#This Row],[X]]=2)),tbal[[#This Row],[DEUDOR]],0)</f>
        <v>0</v>
      </c>
      <c r="J1204" s="18">
        <f>IF((OR(tbal[[#This Row],[X]]=2,tbal[[#This Row],[X]]=3)),tbal[[#This Row],[ACREEDOR]],0)</f>
        <v>0</v>
      </c>
      <c r="K1204" s="16">
        <f>IF((OR(tbal[[#This Row],[X]]=3,tbal[[#This Row],[X]]=5)),tbal[[#This Row],[DEUDOR]],0)</f>
        <v>0</v>
      </c>
      <c r="L1204" s="18">
        <f>IF((OR(tbal[[#This Row],[X]]=3,tbal[[#This Row],[X]]=4)),tbal[[#This Row],[ACREEDOR]],0)</f>
        <v>0</v>
      </c>
      <c r="M1204" s="16">
        <f>IF((OR(tbal[[#This Row],[X]]=0,tbal[[#This Row],[X]]=6)),tbal[[#This Row],[DEUDOR]],0)</f>
        <v>0</v>
      </c>
      <c r="N1204" s="18">
        <f>IF((OR(tbal[[#This Row],[X]]=0,tbal[[#This Row],[X]]=5)),tbal[[#This Row],[ACREEDOR]],0)</f>
        <v>0</v>
      </c>
    </row>
    <row r="1205" spans="1:14" hidden="1" x14ac:dyDescent="0.3">
      <c r="A1205" s="14">
        <f>+'PLAN DE CUENTAS'!A1205</f>
        <v>0</v>
      </c>
      <c r="B1205" s="13">
        <f>+'PLAN DE CUENTAS'!B1205</f>
        <v>0</v>
      </c>
      <c r="C1205" s="13">
        <f>+'PLAN DE CUENTAS'!C1205</f>
        <v>0</v>
      </c>
      <c r="D1205" t="str">
        <f>IF(tbal[[#This Row],[DEBE]]+tbal[[#This Row],[HABER]]=0,"","X")</f>
        <v/>
      </c>
      <c r="E1205" s="16">
        <f>SUMIF(tdiario[CUENTA],tbal[[#This Row],[CUENTA]],tdiario[DEBE])</f>
        <v>0</v>
      </c>
      <c r="F1205" s="17">
        <f>SUMIF(tdiario[CUENTA],tbal[[#This Row],[CUENTA]],tdiario[HABER])</f>
        <v>0</v>
      </c>
      <c r="G1205" s="16">
        <f>IF(tbal[[#This Row],[DEBE]]-tbal[[#This Row],[HABER]]&gt;0,tbal[[#This Row],[DEBE]]-tbal[[#This Row],[HABER]],0)</f>
        <v>0</v>
      </c>
      <c r="H1205" s="18">
        <f>IF(tbal[[#This Row],[HABER]]-tbal[[#This Row],[DEBE]]&gt;0,tbal[[#This Row],[HABER]]-tbal[[#This Row],[DEBE]],0)</f>
        <v>0</v>
      </c>
      <c r="I1205" s="16">
        <f>IF((OR(tbal[[#This Row],[X]]=1,tbal[[#This Row],[X]]=2)),tbal[[#This Row],[DEUDOR]],0)</f>
        <v>0</v>
      </c>
      <c r="J1205" s="18">
        <f>IF((OR(tbal[[#This Row],[X]]=2,tbal[[#This Row],[X]]=3)),tbal[[#This Row],[ACREEDOR]],0)</f>
        <v>0</v>
      </c>
      <c r="K1205" s="16">
        <f>IF((OR(tbal[[#This Row],[X]]=3,tbal[[#This Row],[X]]=5)),tbal[[#This Row],[DEUDOR]],0)</f>
        <v>0</v>
      </c>
      <c r="L1205" s="18">
        <f>IF((OR(tbal[[#This Row],[X]]=3,tbal[[#This Row],[X]]=4)),tbal[[#This Row],[ACREEDOR]],0)</f>
        <v>0</v>
      </c>
      <c r="M1205" s="16">
        <f>IF((OR(tbal[[#This Row],[X]]=0,tbal[[#This Row],[X]]=6)),tbal[[#This Row],[DEUDOR]],0)</f>
        <v>0</v>
      </c>
      <c r="N1205" s="18">
        <f>IF((OR(tbal[[#This Row],[X]]=0,tbal[[#This Row],[X]]=5)),tbal[[#This Row],[ACREEDOR]],0)</f>
        <v>0</v>
      </c>
    </row>
    <row r="1206" spans="1:14" hidden="1" x14ac:dyDescent="0.3">
      <c r="A1206" s="14">
        <f>+'PLAN DE CUENTAS'!A1206</f>
        <v>0</v>
      </c>
      <c r="B1206" s="13">
        <f>+'PLAN DE CUENTAS'!B1206</f>
        <v>0</v>
      </c>
      <c r="C1206" s="13">
        <f>+'PLAN DE CUENTAS'!C1206</f>
        <v>0</v>
      </c>
      <c r="D1206" t="str">
        <f>IF(tbal[[#This Row],[DEBE]]+tbal[[#This Row],[HABER]]=0,"","X")</f>
        <v/>
      </c>
      <c r="E1206" s="16">
        <f>SUMIF(tdiario[CUENTA],tbal[[#This Row],[CUENTA]],tdiario[DEBE])</f>
        <v>0</v>
      </c>
      <c r="F1206" s="17">
        <f>SUMIF(tdiario[CUENTA],tbal[[#This Row],[CUENTA]],tdiario[HABER])</f>
        <v>0</v>
      </c>
      <c r="G1206" s="16">
        <f>IF(tbal[[#This Row],[DEBE]]-tbal[[#This Row],[HABER]]&gt;0,tbal[[#This Row],[DEBE]]-tbal[[#This Row],[HABER]],0)</f>
        <v>0</v>
      </c>
      <c r="H1206" s="18">
        <f>IF(tbal[[#This Row],[HABER]]-tbal[[#This Row],[DEBE]]&gt;0,tbal[[#This Row],[HABER]]-tbal[[#This Row],[DEBE]],0)</f>
        <v>0</v>
      </c>
      <c r="I1206" s="16">
        <f>IF((OR(tbal[[#This Row],[X]]=1,tbal[[#This Row],[X]]=2)),tbal[[#This Row],[DEUDOR]],0)</f>
        <v>0</v>
      </c>
      <c r="J1206" s="18">
        <f>IF((OR(tbal[[#This Row],[X]]=2,tbal[[#This Row],[X]]=3)),tbal[[#This Row],[ACREEDOR]],0)</f>
        <v>0</v>
      </c>
      <c r="K1206" s="16">
        <f>IF((OR(tbal[[#This Row],[X]]=3,tbal[[#This Row],[X]]=5)),tbal[[#This Row],[DEUDOR]],0)</f>
        <v>0</v>
      </c>
      <c r="L1206" s="18">
        <f>IF((OR(tbal[[#This Row],[X]]=3,tbal[[#This Row],[X]]=4)),tbal[[#This Row],[ACREEDOR]],0)</f>
        <v>0</v>
      </c>
      <c r="M1206" s="16">
        <f>IF((OR(tbal[[#This Row],[X]]=0,tbal[[#This Row],[X]]=6)),tbal[[#This Row],[DEUDOR]],0)</f>
        <v>0</v>
      </c>
      <c r="N1206" s="18">
        <f>IF((OR(tbal[[#This Row],[X]]=0,tbal[[#This Row],[X]]=5)),tbal[[#This Row],[ACREEDOR]],0)</f>
        <v>0</v>
      </c>
    </row>
    <row r="1207" spans="1:14" hidden="1" x14ac:dyDescent="0.3">
      <c r="A1207" s="14">
        <f>+'PLAN DE CUENTAS'!A1207</f>
        <v>0</v>
      </c>
      <c r="B1207" s="13">
        <f>+'PLAN DE CUENTAS'!B1207</f>
        <v>0</v>
      </c>
      <c r="C1207" s="13">
        <f>+'PLAN DE CUENTAS'!C1207</f>
        <v>0</v>
      </c>
      <c r="D1207" t="str">
        <f>IF(tbal[[#This Row],[DEBE]]+tbal[[#This Row],[HABER]]=0,"","X")</f>
        <v/>
      </c>
      <c r="E1207" s="16">
        <f>SUMIF(tdiario[CUENTA],tbal[[#This Row],[CUENTA]],tdiario[DEBE])</f>
        <v>0</v>
      </c>
      <c r="F1207" s="17">
        <f>SUMIF(tdiario[CUENTA],tbal[[#This Row],[CUENTA]],tdiario[HABER])</f>
        <v>0</v>
      </c>
      <c r="G1207" s="16">
        <f>IF(tbal[[#This Row],[DEBE]]-tbal[[#This Row],[HABER]]&gt;0,tbal[[#This Row],[DEBE]]-tbal[[#This Row],[HABER]],0)</f>
        <v>0</v>
      </c>
      <c r="H1207" s="18">
        <f>IF(tbal[[#This Row],[HABER]]-tbal[[#This Row],[DEBE]]&gt;0,tbal[[#This Row],[HABER]]-tbal[[#This Row],[DEBE]],0)</f>
        <v>0</v>
      </c>
      <c r="I1207" s="16">
        <f>IF((OR(tbal[[#This Row],[X]]=1,tbal[[#This Row],[X]]=2)),tbal[[#This Row],[DEUDOR]],0)</f>
        <v>0</v>
      </c>
      <c r="J1207" s="18">
        <f>IF((OR(tbal[[#This Row],[X]]=2,tbal[[#This Row],[X]]=3)),tbal[[#This Row],[ACREEDOR]],0)</f>
        <v>0</v>
      </c>
      <c r="K1207" s="16">
        <f>IF((OR(tbal[[#This Row],[X]]=3,tbal[[#This Row],[X]]=5)),tbal[[#This Row],[DEUDOR]],0)</f>
        <v>0</v>
      </c>
      <c r="L1207" s="18">
        <f>IF((OR(tbal[[#This Row],[X]]=3,tbal[[#This Row],[X]]=4)),tbal[[#This Row],[ACREEDOR]],0)</f>
        <v>0</v>
      </c>
      <c r="M1207" s="16">
        <f>IF((OR(tbal[[#This Row],[X]]=0,tbal[[#This Row],[X]]=6)),tbal[[#This Row],[DEUDOR]],0)</f>
        <v>0</v>
      </c>
      <c r="N1207" s="18">
        <f>IF((OR(tbal[[#This Row],[X]]=0,tbal[[#This Row],[X]]=5)),tbal[[#This Row],[ACREEDOR]],0)</f>
        <v>0</v>
      </c>
    </row>
    <row r="1208" spans="1:14" hidden="1" x14ac:dyDescent="0.3">
      <c r="A1208" s="14">
        <f>+'PLAN DE CUENTAS'!A1208</f>
        <v>0</v>
      </c>
      <c r="B1208" s="13">
        <f>+'PLAN DE CUENTAS'!B1208</f>
        <v>0</v>
      </c>
      <c r="C1208" s="13">
        <f>+'PLAN DE CUENTAS'!C1208</f>
        <v>0</v>
      </c>
      <c r="D1208" t="str">
        <f>IF(tbal[[#This Row],[DEBE]]+tbal[[#This Row],[HABER]]=0,"","X")</f>
        <v/>
      </c>
      <c r="E1208" s="16">
        <f>SUMIF(tdiario[CUENTA],tbal[[#This Row],[CUENTA]],tdiario[DEBE])</f>
        <v>0</v>
      </c>
      <c r="F1208" s="17">
        <f>SUMIF(tdiario[CUENTA],tbal[[#This Row],[CUENTA]],tdiario[HABER])</f>
        <v>0</v>
      </c>
      <c r="G1208" s="16">
        <f>IF(tbal[[#This Row],[DEBE]]-tbal[[#This Row],[HABER]]&gt;0,tbal[[#This Row],[DEBE]]-tbal[[#This Row],[HABER]],0)</f>
        <v>0</v>
      </c>
      <c r="H1208" s="18">
        <f>IF(tbal[[#This Row],[HABER]]-tbal[[#This Row],[DEBE]]&gt;0,tbal[[#This Row],[HABER]]-tbal[[#This Row],[DEBE]],0)</f>
        <v>0</v>
      </c>
      <c r="I1208" s="16">
        <f>IF((OR(tbal[[#This Row],[X]]=1,tbal[[#This Row],[X]]=2)),tbal[[#This Row],[DEUDOR]],0)</f>
        <v>0</v>
      </c>
      <c r="J1208" s="18">
        <f>IF((OR(tbal[[#This Row],[X]]=2,tbal[[#This Row],[X]]=3)),tbal[[#This Row],[ACREEDOR]],0)</f>
        <v>0</v>
      </c>
      <c r="K1208" s="16">
        <f>IF((OR(tbal[[#This Row],[X]]=3,tbal[[#This Row],[X]]=5)),tbal[[#This Row],[DEUDOR]],0)</f>
        <v>0</v>
      </c>
      <c r="L1208" s="18">
        <f>IF((OR(tbal[[#This Row],[X]]=3,tbal[[#This Row],[X]]=4)),tbal[[#This Row],[ACREEDOR]],0)</f>
        <v>0</v>
      </c>
      <c r="M1208" s="16">
        <f>IF((OR(tbal[[#This Row],[X]]=0,tbal[[#This Row],[X]]=6)),tbal[[#This Row],[DEUDOR]],0)</f>
        <v>0</v>
      </c>
      <c r="N1208" s="18">
        <f>IF((OR(tbal[[#This Row],[X]]=0,tbal[[#This Row],[X]]=5)),tbal[[#This Row],[ACREEDOR]],0)</f>
        <v>0</v>
      </c>
    </row>
    <row r="1209" spans="1:14" hidden="1" x14ac:dyDescent="0.3">
      <c r="A1209" s="14">
        <f>+'PLAN DE CUENTAS'!A1209</f>
        <v>0</v>
      </c>
      <c r="B1209" s="13">
        <f>+'PLAN DE CUENTAS'!B1209</f>
        <v>0</v>
      </c>
      <c r="C1209" s="13">
        <f>+'PLAN DE CUENTAS'!C1209</f>
        <v>0</v>
      </c>
      <c r="D1209" t="str">
        <f>IF(tbal[[#This Row],[DEBE]]+tbal[[#This Row],[HABER]]=0,"","X")</f>
        <v/>
      </c>
      <c r="E1209" s="16">
        <f>SUMIF(tdiario[CUENTA],tbal[[#This Row],[CUENTA]],tdiario[DEBE])</f>
        <v>0</v>
      </c>
      <c r="F1209" s="17">
        <f>SUMIF(tdiario[CUENTA],tbal[[#This Row],[CUENTA]],tdiario[HABER])</f>
        <v>0</v>
      </c>
      <c r="G1209" s="16">
        <f>IF(tbal[[#This Row],[DEBE]]-tbal[[#This Row],[HABER]]&gt;0,tbal[[#This Row],[DEBE]]-tbal[[#This Row],[HABER]],0)</f>
        <v>0</v>
      </c>
      <c r="H1209" s="18">
        <f>IF(tbal[[#This Row],[HABER]]-tbal[[#This Row],[DEBE]]&gt;0,tbal[[#This Row],[HABER]]-tbal[[#This Row],[DEBE]],0)</f>
        <v>0</v>
      </c>
      <c r="I1209" s="16">
        <f>IF((OR(tbal[[#This Row],[X]]=1,tbal[[#This Row],[X]]=2)),tbal[[#This Row],[DEUDOR]],0)</f>
        <v>0</v>
      </c>
      <c r="J1209" s="18">
        <f>IF((OR(tbal[[#This Row],[X]]=2,tbal[[#This Row],[X]]=3)),tbal[[#This Row],[ACREEDOR]],0)</f>
        <v>0</v>
      </c>
      <c r="K1209" s="16">
        <f>IF((OR(tbal[[#This Row],[X]]=3,tbal[[#This Row],[X]]=5)),tbal[[#This Row],[DEUDOR]],0)</f>
        <v>0</v>
      </c>
      <c r="L1209" s="18">
        <f>IF((OR(tbal[[#This Row],[X]]=3,tbal[[#This Row],[X]]=4)),tbal[[#This Row],[ACREEDOR]],0)</f>
        <v>0</v>
      </c>
      <c r="M1209" s="16">
        <f>IF((OR(tbal[[#This Row],[X]]=0,tbal[[#This Row],[X]]=6)),tbal[[#This Row],[DEUDOR]],0)</f>
        <v>0</v>
      </c>
      <c r="N1209" s="18">
        <f>IF((OR(tbal[[#This Row],[X]]=0,tbal[[#This Row],[X]]=5)),tbal[[#This Row],[ACREEDOR]],0)</f>
        <v>0</v>
      </c>
    </row>
    <row r="1210" spans="1:14" hidden="1" x14ac:dyDescent="0.3">
      <c r="A1210" s="14">
        <f>+'PLAN DE CUENTAS'!A1210</f>
        <v>0</v>
      </c>
      <c r="B1210" s="13">
        <f>+'PLAN DE CUENTAS'!B1210</f>
        <v>0</v>
      </c>
      <c r="C1210" s="13">
        <f>+'PLAN DE CUENTAS'!C1210</f>
        <v>0</v>
      </c>
      <c r="D1210" t="str">
        <f>IF(tbal[[#This Row],[DEBE]]+tbal[[#This Row],[HABER]]=0,"","X")</f>
        <v/>
      </c>
      <c r="E1210" s="16">
        <f>SUMIF(tdiario[CUENTA],tbal[[#This Row],[CUENTA]],tdiario[DEBE])</f>
        <v>0</v>
      </c>
      <c r="F1210" s="17">
        <f>SUMIF(tdiario[CUENTA],tbal[[#This Row],[CUENTA]],tdiario[HABER])</f>
        <v>0</v>
      </c>
      <c r="G1210" s="16">
        <f>IF(tbal[[#This Row],[DEBE]]-tbal[[#This Row],[HABER]]&gt;0,tbal[[#This Row],[DEBE]]-tbal[[#This Row],[HABER]],0)</f>
        <v>0</v>
      </c>
      <c r="H1210" s="18">
        <f>IF(tbal[[#This Row],[HABER]]-tbal[[#This Row],[DEBE]]&gt;0,tbal[[#This Row],[HABER]]-tbal[[#This Row],[DEBE]],0)</f>
        <v>0</v>
      </c>
      <c r="I1210" s="16">
        <f>IF((OR(tbal[[#This Row],[X]]=1,tbal[[#This Row],[X]]=2)),tbal[[#This Row],[DEUDOR]],0)</f>
        <v>0</v>
      </c>
      <c r="J1210" s="18">
        <f>IF((OR(tbal[[#This Row],[X]]=2,tbal[[#This Row],[X]]=3)),tbal[[#This Row],[ACREEDOR]],0)</f>
        <v>0</v>
      </c>
      <c r="K1210" s="16">
        <f>IF((OR(tbal[[#This Row],[X]]=3,tbal[[#This Row],[X]]=5)),tbal[[#This Row],[DEUDOR]],0)</f>
        <v>0</v>
      </c>
      <c r="L1210" s="18">
        <f>IF((OR(tbal[[#This Row],[X]]=3,tbal[[#This Row],[X]]=4)),tbal[[#This Row],[ACREEDOR]],0)</f>
        <v>0</v>
      </c>
      <c r="M1210" s="16">
        <f>IF((OR(tbal[[#This Row],[X]]=0,tbal[[#This Row],[X]]=6)),tbal[[#This Row],[DEUDOR]],0)</f>
        <v>0</v>
      </c>
      <c r="N1210" s="18">
        <f>IF((OR(tbal[[#This Row],[X]]=0,tbal[[#This Row],[X]]=5)),tbal[[#This Row],[ACREEDOR]],0)</f>
        <v>0</v>
      </c>
    </row>
    <row r="1211" spans="1:14" hidden="1" x14ac:dyDescent="0.3">
      <c r="A1211" s="14">
        <f>+'PLAN DE CUENTAS'!A1211</f>
        <v>0</v>
      </c>
      <c r="B1211" s="13">
        <f>+'PLAN DE CUENTAS'!B1211</f>
        <v>0</v>
      </c>
      <c r="C1211" s="13">
        <f>+'PLAN DE CUENTAS'!C1211</f>
        <v>0</v>
      </c>
      <c r="D1211" t="str">
        <f>IF(tbal[[#This Row],[DEBE]]+tbal[[#This Row],[HABER]]=0,"","X")</f>
        <v/>
      </c>
      <c r="E1211" s="16">
        <f>SUMIF(tdiario[CUENTA],tbal[[#This Row],[CUENTA]],tdiario[DEBE])</f>
        <v>0</v>
      </c>
      <c r="F1211" s="17">
        <f>SUMIF(tdiario[CUENTA],tbal[[#This Row],[CUENTA]],tdiario[HABER])</f>
        <v>0</v>
      </c>
      <c r="G1211" s="16">
        <f>IF(tbal[[#This Row],[DEBE]]-tbal[[#This Row],[HABER]]&gt;0,tbal[[#This Row],[DEBE]]-tbal[[#This Row],[HABER]],0)</f>
        <v>0</v>
      </c>
      <c r="H1211" s="18">
        <f>IF(tbal[[#This Row],[HABER]]-tbal[[#This Row],[DEBE]]&gt;0,tbal[[#This Row],[HABER]]-tbal[[#This Row],[DEBE]],0)</f>
        <v>0</v>
      </c>
      <c r="I1211" s="16">
        <f>IF((OR(tbal[[#This Row],[X]]=1,tbal[[#This Row],[X]]=2)),tbal[[#This Row],[DEUDOR]],0)</f>
        <v>0</v>
      </c>
      <c r="J1211" s="18">
        <f>IF((OR(tbal[[#This Row],[X]]=2,tbal[[#This Row],[X]]=3)),tbal[[#This Row],[ACREEDOR]],0)</f>
        <v>0</v>
      </c>
      <c r="K1211" s="16">
        <f>IF((OR(tbal[[#This Row],[X]]=3,tbal[[#This Row],[X]]=5)),tbal[[#This Row],[DEUDOR]],0)</f>
        <v>0</v>
      </c>
      <c r="L1211" s="18">
        <f>IF((OR(tbal[[#This Row],[X]]=3,tbal[[#This Row],[X]]=4)),tbal[[#This Row],[ACREEDOR]],0)</f>
        <v>0</v>
      </c>
      <c r="M1211" s="16">
        <f>IF((OR(tbal[[#This Row],[X]]=0,tbal[[#This Row],[X]]=6)),tbal[[#This Row],[DEUDOR]],0)</f>
        <v>0</v>
      </c>
      <c r="N1211" s="18">
        <f>IF((OR(tbal[[#This Row],[X]]=0,tbal[[#This Row],[X]]=5)),tbal[[#This Row],[ACREEDOR]],0)</f>
        <v>0</v>
      </c>
    </row>
    <row r="1212" spans="1:14" hidden="1" x14ac:dyDescent="0.3">
      <c r="A1212" s="14">
        <f>+'PLAN DE CUENTAS'!A1212</f>
        <v>0</v>
      </c>
      <c r="B1212" s="13">
        <f>+'PLAN DE CUENTAS'!B1212</f>
        <v>0</v>
      </c>
      <c r="C1212" s="13">
        <f>+'PLAN DE CUENTAS'!C1212</f>
        <v>0</v>
      </c>
      <c r="D1212" t="str">
        <f>IF(tbal[[#This Row],[DEBE]]+tbal[[#This Row],[HABER]]=0,"","X")</f>
        <v/>
      </c>
      <c r="E1212" s="16">
        <f>SUMIF(tdiario[CUENTA],tbal[[#This Row],[CUENTA]],tdiario[DEBE])</f>
        <v>0</v>
      </c>
      <c r="F1212" s="17">
        <f>SUMIF(tdiario[CUENTA],tbal[[#This Row],[CUENTA]],tdiario[HABER])</f>
        <v>0</v>
      </c>
      <c r="G1212" s="16">
        <f>IF(tbal[[#This Row],[DEBE]]-tbal[[#This Row],[HABER]]&gt;0,tbal[[#This Row],[DEBE]]-tbal[[#This Row],[HABER]],0)</f>
        <v>0</v>
      </c>
      <c r="H1212" s="18">
        <f>IF(tbal[[#This Row],[HABER]]-tbal[[#This Row],[DEBE]]&gt;0,tbal[[#This Row],[HABER]]-tbal[[#This Row],[DEBE]],0)</f>
        <v>0</v>
      </c>
      <c r="I1212" s="16">
        <f>IF((OR(tbal[[#This Row],[X]]=1,tbal[[#This Row],[X]]=2)),tbal[[#This Row],[DEUDOR]],0)</f>
        <v>0</v>
      </c>
      <c r="J1212" s="18">
        <f>IF((OR(tbal[[#This Row],[X]]=2,tbal[[#This Row],[X]]=3)),tbal[[#This Row],[ACREEDOR]],0)</f>
        <v>0</v>
      </c>
      <c r="K1212" s="16">
        <f>IF((OR(tbal[[#This Row],[X]]=3,tbal[[#This Row],[X]]=5)),tbal[[#This Row],[DEUDOR]],0)</f>
        <v>0</v>
      </c>
      <c r="L1212" s="18">
        <f>IF((OR(tbal[[#This Row],[X]]=3,tbal[[#This Row],[X]]=4)),tbal[[#This Row],[ACREEDOR]],0)</f>
        <v>0</v>
      </c>
      <c r="M1212" s="16">
        <f>IF((OR(tbal[[#This Row],[X]]=0,tbal[[#This Row],[X]]=6)),tbal[[#This Row],[DEUDOR]],0)</f>
        <v>0</v>
      </c>
      <c r="N1212" s="18">
        <f>IF((OR(tbal[[#This Row],[X]]=0,tbal[[#This Row],[X]]=5)),tbal[[#This Row],[ACREEDOR]],0)</f>
        <v>0</v>
      </c>
    </row>
    <row r="1213" spans="1:14" hidden="1" x14ac:dyDescent="0.3">
      <c r="A1213" s="14">
        <f>+'PLAN DE CUENTAS'!A1213</f>
        <v>0</v>
      </c>
      <c r="B1213" s="13">
        <f>+'PLAN DE CUENTAS'!B1213</f>
        <v>0</v>
      </c>
      <c r="C1213" s="13">
        <f>+'PLAN DE CUENTAS'!C1213</f>
        <v>0</v>
      </c>
      <c r="D1213" t="str">
        <f>IF(tbal[[#This Row],[DEBE]]+tbal[[#This Row],[HABER]]=0,"","X")</f>
        <v/>
      </c>
      <c r="E1213" s="16">
        <f>SUMIF(tdiario[CUENTA],tbal[[#This Row],[CUENTA]],tdiario[DEBE])</f>
        <v>0</v>
      </c>
      <c r="F1213" s="17">
        <f>SUMIF(tdiario[CUENTA],tbal[[#This Row],[CUENTA]],tdiario[HABER])</f>
        <v>0</v>
      </c>
      <c r="G1213" s="16">
        <f>IF(tbal[[#This Row],[DEBE]]-tbal[[#This Row],[HABER]]&gt;0,tbal[[#This Row],[DEBE]]-tbal[[#This Row],[HABER]],0)</f>
        <v>0</v>
      </c>
      <c r="H1213" s="18">
        <f>IF(tbal[[#This Row],[HABER]]-tbal[[#This Row],[DEBE]]&gt;0,tbal[[#This Row],[HABER]]-tbal[[#This Row],[DEBE]],0)</f>
        <v>0</v>
      </c>
      <c r="I1213" s="16">
        <f>IF((OR(tbal[[#This Row],[X]]=1,tbal[[#This Row],[X]]=2)),tbal[[#This Row],[DEUDOR]],0)</f>
        <v>0</v>
      </c>
      <c r="J1213" s="18">
        <f>IF((OR(tbal[[#This Row],[X]]=2,tbal[[#This Row],[X]]=3)),tbal[[#This Row],[ACREEDOR]],0)</f>
        <v>0</v>
      </c>
      <c r="K1213" s="16">
        <f>IF((OR(tbal[[#This Row],[X]]=3,tbal[[#This Row],[X]]=5)),tbal[[#This Row],[DEUDOR]],0)</f>
        <v>0</v>
      </c>
      <c r="L1213" s="18">
        <f>IF((OR(tbal[[#This Row],[X]]=3,tbal[[#This Row],[X]]=4)),tbal[[#This Row],[ACREEDOR]],0)</f>
        <v>0</v>
      </c>
      <c r="M1213" s="16">
        <f>IF((OR(tbal[[#This Row],[X]]=0,tbal[[#This Row],[X]]=6)),tbal[[#This Row],[DEUDOR]],0)</f>
        <v>0</v>
      </c>
      <c r="N1213" s="18">
        <f>IF((OR(tbal[[#This Row],[X]]=0,tbal[[#This Row],[X]]=5)),tbal[[#This Row],[ACREEDOR]],0)</f>
        <v>0</v>
      </c>
    </row>
    <row r="1214" spans="1:14" hidden="1" x14ac:dyDescent="0.3">
      <c r="A1214" s="14">
        <f>+'PLAN DE CUENTAS'!A1214</f>
        <v>0</v>
      </c>
      <c r="B1214" s="13">
        <f>+'PLAN DE CUENTAS'!B1214</f>
        <v>0</v>
      </c>
      <c r="C1214" s="13">
        <f>+'PLAN DE CUENTAS'!C1214</f>
        <v>0</v>
      </c>
      <c r="D1214" t="str">
        <f>IF(tbal[[#This Row],[DEBE]]+tbal[[#This Row],[HABER]]=0,"","X")</f>
        <v/>
      </c>
      <c r="E1214" s="16">
        <f>SUMIF(tdiario[CUENTA],tbal[[#This Row],[CUENTA]],tdiario[DEBE])</f>
        <v>0</v>
      </c>
      <c r="F1214" s="17">
        <f>SUMIF(tdiario[CUENTA],tbal[[#This Row],[CUENTA]],tdiario[HABER])</f>
        <v>0</v>
      </c>
      <c r="G1214" s="16">
        <f>IF(tbal[[#This Row],[DEBE]]-tbal[[#This Row],[HABER]]&gt;0,tbal[[#This Row],[DEBE]]-tbal[[#This Row],[HABER]],0)</f>
        <v>0</v>
      </c>
      <c r="H1214" s="18">
        <f>IF(tbal[[#This Row],[HABER]]-tbal[[#This Row],[DEBE]]&gt;0,tbal[[#This Row],[HABER]]-tbal[[#This Row],[DEBE]],0)</f>
        <v>0</v>
      </c>
      <c r="I1214" s="16">
        <f>IF((OR(tbal[[#This Row],[X]]=1,tbal[[#This Row],[X]]=2)),tbal[[#This Row],[DEUDOR]],0)</f>
        <v>0</v>
      </c>
      <c r="J1214" s="18">
        <f>IF((OR(tbal[[#This Row],[X]]=2,tbal[[#This Row],[X]]=3)),tbal[[#This Row],[ACREEDOR]],0)</f>
        <v>0</v>
      </c>
      <c r="K1214" s="16">
        <f>IF((OR(tbal[[#This Row],[X]]=3,tbal[[#This Row],[X]]=5)),tbal[[#This Row],[DEUDOR]],0)</f>
        <v>0</v>
      </c>
      <c r="L1214" s="18">
        <f>IF((OR(tbal[[#This Row],[X]]=3,tbal[[#This Row],[X]]=4)),tbal[[#This Row],[ACREEDOR]],0)</f>
        <v>0</v>
      </c>
      <c r="M1214" s="16">
        <f>IF((OR(tbal[[#This Row],[X]]=0,tbal[[#This Row],[X]]=6)),tbal[[#This Row],[DEUDOR]],0)</f>
        <v>0</v>
      </c>
      <c r="N1214" s="18">
        <f>IF((OR(tbal[[#This Row],[X]]=0,tbal[[#This Row],[X]]=5)),tbal[[#This Row],[ACREEDOR]],0)</f>
        <v>0</v>
      </c>
    </row>
    <row r="1215" spans="1:14" hidden="1" x14ac:dyDescent="0.3">
      <c r="A1215" s="14">
        <f>+'PLAN DE CUENTAS'!A1215</f>
        <v>0</v>
      </c>
      <c r="B1215" s="13">
        <f>+'PLAN DE CUENTAS'!B1215</f>
        <v>0</v>
      </c>
      <c r="C1215" s="13">
        <f>+'PLAN DE CUENTAS'!C1215</f>
        <v>0</v>
      </c>
      <c r="D1215" t="str">
        <f>IF(tbal[[#This Row],[DEBE]]+tbal[[#This Row],[HABER]]=0,"","X")</f>
        <v/>
      </c>
      <c r="E1215" s="16">
        <f>SUMIF(tdiario[CUENTA],tbal[[#This Row],[CUENTA]],tdiario[DEBE])</f>
        <v>0</v>
      </c>
      <c r="F1215" s="17">
        <f>SUMIF(tdiario[CUENTA],tbal[[#This Row],[CUENTA]],tdiario[HABER])</f>
        <v>0</v>
      </c>
      <c r="G1215" s="16">
        <f>IF(tbal[[#This Row],[DEBE]]-tbal[[#This Row],[HABER]]&gt;0,tbal[[#This Row],[DEBE]]-tbal[[#This Row],[HABER]],0)</f>
        <v>0</v>
      </c>
      <c r="H1215" s="18">
        <f>IF(tbal[[#This Row],[HABER]]-tbal[[#This Row],[DEBE]]&gt;0,tbal[[#This Row],[HABER]]-tbal[[#This Row],[DEBE]],0)</f>
        <v>0</v>
      </c>
      <c r="I1215" s="16">
        <f>IF((OR(tbal[[#This Row],[X]]=1,tbal[[#This Row],[X]]=2)),tbal[[#This Row],[DEUDOR]],0)</f>
        <v>0</v>
      </c>
      <c r="J1215" s="18">
        <f>IF((OR(tbal[[#This Row],[X]]=2,tbal[[#This Row],[X]]=3)),tbal[[#This Row],[ACREEDOR]],0)</f>
        <v>0</v>
      </c>
      <c r="K1215" s="16">
        <f>IF((OR(tbal[[#This Row],[X]]=3,tbal[[#This Row],[X]]=5)),tbal[[#This Row],[DEUDOR]],0)</f>
        <v>0</v>
      </c>
      <c r="L1215" s="18">
        <f>IF((OR(tbal[[#This Row],[X]]=3,tbal[[#This Row],[X]]=4)),tbal[[#This Row],[ACREEDOR]],0)</f>
        <v>0</v>
      </c>
      <c r="M1215" s="16">
        <f>IF((OR(tbal[[#This Row],[X]]=0,tbal[[#This Row],[X]]=6)),tbal[[#This Row],[DEUDOR]],0)</f>
        <v>0</v>
      </c>
      <c r="N1215" s="18">
        <f>IF((OR(tbal[[#This Row],[X]]=0,tbal[[#This Row],[X]]=5)),tbal[[#This Row],[ACREEDOR]],0)</f>
        <v>0</v>
      </c>
    </row>
    <row r="1216" spans="1:14" hidden="1" x14ac:dyDescent="0.3">
      <c r="A1216" s="14">
        <f>+'PLAN DE CUENTAS'!A1216</f>
        <v>0</v>
      </c>
      <c r="B1216" s="13">
        <f>+'PLAN DE CUENTAS'!B1216</f>
        <v>0</v>
      </c>
      <c r="C1216" s="13">
        <f>+'PLAN DE CUENTAS'!C1216</f>
        <v>0</v>
      </c>
      <c r="D1216" t="str">
        <f>IF(tbal[[#This Row],[DEBE]]+tbal[[#This Row],[HABER]]=0,"","X")</f>
        <v/>
      </c>
      <c r="E1216" s="16">
        <f>SUMIF(tdiario[CUENTA],tbal[[#This Row],[CUENTA]],tdiario[DEBE])</f>
        <v>0</v>
      </c>
      <c r="F1216" s="17">
        <f>SUMIF(tdiario[CUENTA],tbal[[#This Row],[CUENTA]],tdiario[HABER])</f>
        <v>0</v>
      </c>
      <c r="G1216" s="16">
        <f>IF(tbal[[#This Row],[DEBE]]-tbal[[#This Row],[HABER]]&gt;0,tbal[[#This Row],[DEBE]]-tbal[[#This Row],[HABER]],0)</f>
        <v>0</v>
      </c>
      <c r="H1216" s="18">
        <f>IF(tbal[[#This Row],[HABER]]-tbal[[#This Row],[DEBE]]&gt;0,tbal[[#This Row],[HABER]]-tbal[[#This Row],[DEBE]],0)</f>
        <v>0</v>
      </c>
      <c r="I1216" s="16">
        <f>IF((OR(tbal[[#This Row],[X]]=1,tbal[[#This Row],[X]]=2)),tbal[[#This Row],[DEUDOR]],0)</f>
        <v>0</v>
      </c>
      <c r="J1216" s="18">
        <f>IF((OR(tbal[[#This Row],[X]]=2,tbal[[#This Row],[X]]=3)),tbal[[#This Row],[ACREEDOR]],0)</f>
        <v>0</v>
      </c>
      <c r="K1216" s="16">
        <f>IF((OR(tbal[[#This Row],[X]]=3,tbal[[#This Row],[X]]=5)),tbal[[#This Row],[DEUDOR]],0)</f>
        <v>0</v>
      </c>
      <c r="L1216" s="18">
        <f>IF((OR(tbal[[#This Row],[X]]=3,tbal[[#This Row],[X]]=4)),tbal[[#This Row],[ACREEDOR]],0)</f>
        <v>0</v>
      </c>
      <c r="M1216" s="16">
        <f>IF((OR(tbal[[#This Row],[X]]=0,tbal[[#This Row],[X]]=6)),tbal[[#This Row],[DEUDOR]],0)</f>
        <v>0</v>
      </c>
      <c r="N1216" s="18">
        <f>IF((OR(tbal[[#This Row],[X]]=0,tbal[[#This Row],[X]]=5)),tbal[[#This Row],[ACREEDOR]],0)</f>
        <v>0</v>
      </c>
    </row>
    <row r="1217" spans="1:14" hidden="1" x14ac:dyDescent="0.3">
      <c r="A1217" s="14">
        <f>+'PLAN DE CUENTAS'!A1217</f>
        <v>0</v>
      </c>
      <c r="B1217" s="13">
        <f>+'PLAN DE CUENTAS'!B1217</f>
        <v>0</v>
      </c>
      <c r="C1217" s="13">
        <f>+'PLAN DE CUENTAS'!C1217</f>
        <v>0</v>
      </c>
      <c r="D1217" t="str">
        <f>IF(tbal[[#This Row],[DEBE]]+tbal[[#This Row],[HABER]]=0,"","X")</f>
        <v/>
      </c>
      <c r="E1217" s="16">
        <f>SUMIF(tdiario[CUENTA],tbal[[#This Row],[CUENTA]],tdiario[DEBE])</f>
        <v>0</v>
      </c>
      <c r="F1217" s="17">
        <f>SUMIF(tdiario[CUENTA],tbal[[#This Row],[CUENTA]],tdiario[HABER])</f>
        <v>0</v>
      </c>
      <c r="G1217" s="16">
        <f>IF(tbal[[#This Row],[DEBE]]-tbal[[#This Row],[HABER]]&gt;0,tbal[[#This Row],[DEBE]]-tbal[[#This Row],[HABER]],0)</f>
        <v>0</v>
      </c>
      <c r="H1217" s="18">
        <f>IF(tbal[[#This Row],[HABER]]-tbal[[#This Row],[DEBE]]&gt;0,tbal[[#This Row],[HABER]]-tbal[[#This Row],[DEBE]],0)</f>
        <v>0</v>
      </c>
      <c r="I1217" s="16">
        <f>IF((OR(tbal[[#This Row],[X]]=1,tbal[[#This Row],[X]]=2)),tbal[[#This Row],[DEUDOR]],0)</f>
        <v>0</v>
      </c>
      <c r="J1217" s="18">
        <f>IF((OR(tbal[[#This Row],[X]]=2,tbal[[#This Row],[X]]=3)),tbal[[#This Row],[ACREEDOR]],0)</f>
        <v>0</v>
      </c>
      <c r="K1217" s="16">
        <f>IF((OR(tbal[[#This Row],[X]]=3,tbal[[#This Row],[X]]=5)),tbal[[#This Row],[DEUDOR]],0)</f>
        <v>0</v>
      </c>
      <c r="L1217" s="18">
        <f>IF((OR(tbal[[#This Row],[X]]=3,tbal[[#This Row],[X]]=4)),tbal[[#This Row],[ACREEDOR]],0)</f>
        <v>0</v>
      </c>
      <c r="M1217" s="16">
        <f>IF((OR(tbal[[#This Row],[X]]=0,tbal[[#This Row],[X]]=6)),tbal[[#This Row],[DEUDOR]],0)</f>
        <v>0</v>
      </c>
      <c r="N1217" s="18">
        <f>IF((OR(tbal[[#This Row],[X]]=0,tbal[[#This Row],[X]]=5)),tbal[[#This Row],[ACREEDOR]],0)</f>
        <v>0</v>
      </c>
    </row>
    <row r="1218" spans="1:14" hidden="1" x14ac:dyDescent="0.3">
      <c r="A1218" s="14">
        <f>+'PLAN DE CUENTAS'!A1218</f>
        <v>0</v>
      </c>
      <c r="B1218" s="13">
        <f>+'PLAN DE CUENTAS'!B1218</f>
        <v>0</v>
      </c>
      <c r="C1218" s="13">
        <f>+'PLAN DE CUENTAS'!C1218</f>
        <v>0</v>
      </c>
      <c r="D1218" t="str">
        <f>IF(tbal[[#This Row],[DEBE]]+tbal[[#This Row],[HABER]]=0,"","X")</f>
        <v/>
      </c>
      <c r="E1218" s="16">
        <f>SUMIF(tdiario[CUENTA],tbal[[#This Row],[CUENTA]],tdiario[DEBE])</f>
        <v>0</v>
      </c>
      <c r="F1218" s="17">
        <f>SUMIF(tdiario[CUENTA],tbal[[#This Row],[CUENTA]],tdiario[HABER])</f>
        <v>0</v>
      </c>
      <c r="G1218" s="16">
        <f>IF(tbal[[#This Row],[DEBE]]-tbal[[#This Row],[HABER]]&gt;0,tbal[[#This Row],[DEBE]]-tbal[[#This Row],[HABER]],0)</f>
        <v>0</v>
      </c>
      <c r="H1218" s="18">
        <f>IF(tbal[[#This Row],[HABER]]-tbal[[#This Row],[DEBE]]&gt;0,tbal[[#This Row],[HABER]]-tbal[[#This Row],[DEBE]],0)</f>
        <v>0</v>
      </c>
      <c r="I1218" s="16">
        <f>IF((OR(tbal[[#This Row],[X]]=1,tbal[[#This Row],[X]]=2)),tbal[[#This Row],[DEUDOR]],0)</f>
        <v>0</v>
      </c>
      <c r="J1218" s="18">
        <f>IF((OR(tbal[[#This Row],[X]]=2,tbal[[#This Row],[X]]=3)),tbal[[#This Row],[ACREEDOR]],0)</f>
        <v>0</v>
      </c>
      <c r="K1218" s="16">
        <f>IF((OR(tbal[[#This Row],[X]]=3,tbal[[#This Row],[X]]=5)),tbal[[#This Row],[DEUDOR]],0)</f>
        <v>0</v>
      </c>
      <c r="L1218" s="18">
        <f>IF((OR(tbal[[#This Row],[X]]=3,tbal[[#This Row],[X]]=4)),tbal[[#This Row],[ACREEDOR]],0)</f>
        <v>0</v>
      </c>
      <c r="M1218" s="16">
        <f>IF((OR(tbal[[#This Row],[X]]=0,tbal[[#This Row],[X]]=6)),tbal[[#This Row],[DEUDOR]],0)</f>
        <v>0</v>
      </c>
      <c r="N1218" s="18">
        <f>IF((OR(tbal[[#This Row],[X]]=0,tbal[[#This Row],[X]]=5)),tbal[[#This Row],[ACREEDOR]],0)</f>
        <v>0</v>
      </c>
    </row>
    <row r="1219" spans="1:14" hidden="1" x14ac:dyDescent="0.3">
      <c r="A1219" s="14">
        <f>+'PLAN DE CUENTAS'!A1219</f>
        <v>0</v>
      </c>
      <c r="B1219" s="13">
        <f>+'PLAN DE CUENTAS'!B1219</f>
        <v>0</v>
      </c>
      <c r="C1219" s="13">
        <f>+'PLAN DE CUENTAS'!C1219</f>
        <v>0</v>
      </c>
      <c r="D1219" t="str">
        <f>IF(tbal[[#This Row],[DEBE]]+tbal[[#This Row],[HABER]]=0,"","X")</f>
        <v/>
      </c>
      <c r="E1219" s="16">
        <f>SUMIF(tdiario[CUENTA],tbal[[#This Row],[CUENTA]],tdiario[DEBE])</f>
        <v>0</v>
      </c>
      <c r="F1219" s="17">
        <f>SUMIF(tdiario[CUENTA],tbal[[#This Row],[CUENTA]],tdiario[HABER])</f>
        <v>0</v>
      </c>
      <c r="G1219" s="16">
        <f>IF(tbal[[#This Row],[DEBE]]-tbal[[#This Row],[HABER]]&gt;0,tbal[[#This Row],[DEBE]]-tbal[[#This Row],[HABER]],0)</f>
        <v>0</v>
      </c>
      <c r="H1219" s="18">
        <f>IF(tbal[[#This Row],[HABER]]-tbal[[#This Row],[DEBE]]&gt;0,tbal[[#This Row],[HABER]]-tbal[[#This Row],[DEBE]],0)</f>
        <v>0</v>
      </c>
      <c r="I1219" s="16">
        <f>IF((OR(tbal[[#This Row],[X]]=1,tbal[[#This Row],[X]]=2)),tbal[[#This Row],[DEUDOR]],0)</f>
        <v>0</v>
      </c>
      <c r="J1219" s="18">
        <f>IF((OR(tbal[[#This Row],[X]]=2,tbal[[#This Row],[X]]=3)),tbal[[#This Row],[ACREEDOR]],0)</f>
        <v>0</v>
      </c>
      <c r="K1219" s="16">
        <f>IF((OR(tbal[[#This Row],[X]]=3,tbal[[#This Row],[X]]=5)),tbal[[#This Row],[DEUDOR]],0)</f>
        <v>0</v>
      </c>
      <c r="L1219" s="18">
        <f>IF((OR(tbal[[#This Row],[X]]=3,tbal[[#This Row],[X]]=4)),tbal[[#This Row],[ACREEDOR]],0)</f>
        <v>0</v>
      </c>
      <c r="M1219" s="16">
        <f>IF((OR(tbal[[#This Row],[X]]=0,tbal[[#This Row],[X]]=6)),tbal[[#This Row],[DEUDOR]],0)</f>
        <v>0</v>
      </c>
      <c r="N1219" s="18">
        <f>IF((OR(tbal[[#This Row],[X]]=0,tbal[[#This Row],[X]]=5)),tbal[[#This Row],[ACREEDOR]],0)</f>
        <v>0</v>
      </c>
    </row>
    <row r="1220" spans="1:14" hidden="1" x14ac:dyDescent="0.3">
      <c r="A1220" s="14">
        <f>+'PLAN DE CUENTAS'!A1220</f>
        <v>0</v>
      </c>
      <c r="B1220" s="13">
        <f>+'PLAN DE CUENTAS'!B1220</f>
        <v>0</v>
      </c>
      <c r="C1220" s="13">
        <f>+'PLAN DE CUENTAS'!C1220</f>
        <v>0</v>
      </c>
      <c r="D1220" t="str">
        <f>IF(tbal[[#This Row],[DEBE]]+tbal[[#This Row],[HABER]]=0,"","X")</f>
        <v/>
      </c>
      <c r="E1220" s="16">
        <f>SUMIF(tdiario[CUENTA],tbal[[#This Row],[CUENTA]],tdiario[DEBE])</f>
        <v>0</v>
      </c>
      <c r="F1220" s="17">
        <f>SUMIF(tdiario[CUENTA],tbal[[#This Row],[CUENTA]],tdiario[HABER])</f>
        <v>0</v>
      </c>
      <c r="G1220" s="16">
        <f>IF(tbal[[#This Row],[DEBE]]-tbal[[#This Row],[HABER]]&gt;0,tbal[[#This Row],[DEBE]]-tbal[[#This Row],[HABER]],0)</f>
        <v>0</v>
      </c>
      <c r="H1220" s="18">
        <f>IF(tbal[[#This Row],[HABER]]-tbal[[#This Row],[DEBE]]&gt;0,tbal[[#This Row],[HABER]]-tbal[[#This Row],[DEBE]],0)</f>
        <v>0</v>
      </c>
      <c r="I1220" s="16">
        <f>IF((OR(tbal[[#This Row],[X]]=1,tbal[[#This Row],[X]]=2)),tbal[[#This Row],[DEUDOR]],0)</f>
        <v>0</v>
      </c>
      <c r="J1220" s="18">
        <f>IF((OR(tbal[[#This Row],[X]]=2,tbal[[#This Row],[X]]=3)),tbal[[#This Row],[ACREEDOR]],0)</f>
        <v>0</v>
      </c>
      <c r="K1220" s="16">
        <f>IF((OR(tbal[[#This Row],[X]]=3,tbal[[#This Row],[X]]=5)),tbal[[#This Row],[DEUDOR]],0)</f>
        <v>0</v>
      </c>
      <c r="L1220" s="18">
        <f>IF((OR(tbal[[#This Row],[X]]=3,tbal[[#This Row],[X]]=4)),tbal[[#This Row],[ACREEDOR]],0)</f>
        <v>0</v>
      </c>
      <c r="M1220" s="16">
        <f>IF((OR(tbal[[#This Row],[X]]=0,tbal[[#This Row],[X]]=6)),tbal[[#This Row],[DEUDOR]],0)</f>
        <v>0</v>
      </c>
      <c r="N1220" s="18">
        <f>IF((OR(tbal[[#This Row],[X]]=0,tbal[[#This Row],[X]]=5)),tbal[[#This Row],[ACREEDOR]],0)</f>
        <v>0</v>
      </c>
    </row>
    <row r="1221" spans="1:14" hidden="1" x14ac:dyDescent="0.3">
      <c r="A1221" s="14">
        <f>+'PLAN DE CUENTAS'!A1221</f>
        <v>0</v>
      </c>
      <c r="B1221" s="13">
        <f>+'PLAN DE CUENTAS'!B1221</f>
        <v>0</v>
      </c>
      <c r="C1221" s="13">
        <f>+'PLAN DE CUENTAS'!C1221</f>
        <v>0</v>
      </c>
      <c r="D1221" t="str">
        <f>IF(tbal[[#This Row],[DEBE]]+tbal[[#This Row],[HABER]]=0,"","X")</f>
        <v/>
      </c>
      <c r="E1221" s="16">
        <f>SUMIF(tdiario[CUENTA],tbal[[#This Row],[CUENTA]],tdiario[DEBE])</f>
        <v>0</v>
      </c>
      <c r="F1221" s="17">
        <f>SUMIF(tdiario[CUENTA],tbal[[#This Row],[CUENTA]],tdiario[HABER])</f>
        <v>0</v>
      </c>
      <c r="G1221" s="16">
        <f>IF(tbal[[#This Row],[DEBE]]-tbal[[#This Row],[HABER]]&gt;0,tbal[[#This Row],[DEBE]]-tbal[[#This Row],[HABER]],0)</f>
        <v>0</v>
      </c>
      <c r="H1221" s="18">
        <f>IF(tbal[[#This Row],[HABER]]-tbal[[#This Row],[DEBE]]&gt;0,tbal[[#This Row],[HABER]]-tbal[[#This Row],[DEBE]],0)</f>
        <v>0</v>
      </c>
      <c r="I1221" s="16">
        <f>IF((OR(tbal[[#This Row],[X]]=1,tbal[[#This Row],[X]]=2)),tbal[[#This Row],[DEUDOR]],0)</f>
        <v>0</v>
      </c>
      <c r="J1221" s="18">
        <f>IF((OR(tbal[[#This Row],[X]]=2,tbal[[#This Row],[X]]=3)),tbal[[#This Row],[ACREEDOR]],0)</f>
        <v>0</v>
      </c>
      <c r="K1221" s="16">
        <f>IF((OR(tbal[[#This Row],[X]]=3,tbal[[#This Row],[X]]=5)),tbal[[#This Row],[DEUDOR]],0)</f>
        <v>0</v>
      </c>
      <c r="L1221" s="18">
        <f>IF((OR(tbal[[#This Row],[X]]=3,tbal[[#This Row],[X]]=4)),tbal[[#This Row],[ACREEDOR]],0)</f>
        <v>0</v>
      </c>
      <c r="M1221" s="16">
        <f>IF((OR(tbal[[#This Row],[X]]=0,tbal[[#This Row],[X]]=6)),tbal[[#This Row],[DEUDOR]],0)</f>
        <v>0</v>
      </c>
      <c r="N1221" s="18">
        <f>IF((OR(tbal[[#This Row],[X]]=0,tbal[[#This Row],[X]]=5)),tbal[[#This Row],[ACREEDOR]],0)</f>
        <v>0</v>
      </c>
    </row>
    <row r="1222" spans="1:14" hidden="1" x14ac:dyDescent="0.3">
      <c r="A1222" s="14">
        <f>+'PLAN DE CUENTAS'!A1222</f>
        <v>0</v>
      </c>
      <c r="B1222" s="13">
        <f>+'PLAN DE CUENTAS'!B1222</f>
        <v>0</v>
      </c>
      <c r="C1222" s="13">
        <f>+'PLAN DE CUENTAS'!C1222</f>
        <v>0</v>
      </c>
      <c r="D1222" t="str">
        <f>IF(tbal[[#This Row],[DEBE]]+tbal[[#This Row],[HABER]]=0,"","X")</f>
        <v/>
      </c>
      <c r="E1222" s="16">
        <f>SUMIF(tdiario[CUENTA],tbal[[#This Row],[CUENTA]],tdiario[DEBE])</f>
        <v>0</v>
      </c>
      <c r="F1222" s="17">
        <f>SUMIF(tdiario[CUENTA],tbal[[#This Row],[CUENTA]],tdiario[HABER])</f>
        <v>0</v>
      </c>
      <c r="G1222" s="16">
        <f>IF(tbal[[#This Row],[DEBE]]-tbal[[#This Row],[HABER]]&gt;0,tbal[[#This Row],[DEBE]]-tbal[[#This Row],[HABER]],0)</f>
        <v>0</v>
      </c>
      <c r="H1222" s="18">
        <f>IF(tbal[[#This Row],[HABER]]-tbal[[#This Row],[DEBE]]&gt;0,tbal[[#This Row],[HABER]]-tbal[[#This Row],[DEBE]],0)</f>
        <v>0</v>
      </c>
      <c r="I1222" s="16">
        <f>IF((OR(tbal[[#This Row],[X]]=1,tbal[[#This Row],[X]]=2)),tbal[[#This Row],[DEUDOR]],0)</f>
        <v>0</v>
      </c>
      <c r="J1222" s="18">
        <f>IF((OR(tbal[[#This Row],[X]]=2,tbal[[#This Row],[X]]=3)),tbal[[#This Row],[ACREEDOR]],0)</f>
        <v>0</v>
      </c>
      <c r="K1222" s="16">
        <f>IF((OR(tbal[[#This Row],[X]]=3,tbal[[#This Row],[X]]=5)),tbal[[#This Row],[DEUDOR]],0)</f>
        <v>0</v>
      </c>
      <c r="L1222" s="18">
        <f>IF((OR(tbal[[#This Row],[X]]=3,tbal[[#This Row],[X]]=4)),tbal[[#This Row],[ACREEDOR]],0)</f>
        <v>0</v>
      </c>
      <c r="M1222" s="16">
        <f>IF((OR(tbal[[#This Row],[X]]=0,tbal[[#This Row],[X]]=6)),tbal[[#This Row],[DEUDOR]],0)</f>
        <v>0</v>
      </c>
      <c r="N1222" s="18">
        <f>IF((OR(tbal[[#This Row],[X]]=0,tbal[[#This Row],[X]]=5)),tbal[[#This Row],[ACREEDOR]],0)</f>
        <v>0</v>
      </c>
    </row>
    <row r="1223" spans="1:14" hidden="1" x14ac:dyDescent="0.3">
      <c r="A1223" s="14">
        <f>+'PLAN DE CUENTAS'!A1223</f>
        <v>0</v>
      </c>
      <c r="B1223" s="13">
        <f>+'PLAN DE CUENTAS'!B1223</f>
        <v>0</v>
      </c>
      <c r="C1223" s="13">
        <f>+'PLAN DE CUENTAS'!C1223</f>
        <v>0</v>
      </c>
      <c r="D1223" t="str">
        <f>IF(tbal[[#This Row],[DEBE]]+tbal[[#This Row],[HABER]]=0,"","X")</f>
        <v/>
      </c>
      <c r="E1223" s="16">
        <f>SUMIF(tdiario[CUENTA],tbal[[#This Row],[CUENTA]],tdiario[DEBE])</f>
        <v>0</v>
      </c>
      <c r="F1223" s="17">
        <f>SUMIF(tdiario[CUENTA],tbal[[#This Row],[CUENTA]],tdiario[HABER])</f>
        <v>0</v>
      </c>
      <c r="G1223" s="16">
        <f>IF(tbal[[#This Row],[DEBE]]-tbal[[#This Row],[HABER]]&gt;0,tbal[[#This Row],[DEBE]]-tbal[[#This Row],[HABER]],0)</f>
        <v>0</v>
      </c>
      <c r="H1223" s="18">
        <f>IF(tbal[[#This Row],[HABER]]-tbal[[#This Row],[DEBE]]&gt;0,tbal[[#This Row],[HABER]]-tbal[[#This Row],[DEBE]],0)</f>
        <v>0</v>
      </c>
      <c r="I1223" s="16">
        <f>IF((OR(tbal[[#This Row],[X]]=1,tbal[[#This Row],[X]]=2)),tbal[[#This Row],[DEUDOR]],0)</f>
        <v>0</v>
      </c>
      <c r="J1223" s="18">
        <f>IF((OR(tbal[[#This Row],[X]]=2,tbal[[#This Row],[X]]=3)),tbal[[#This Row],[ACREEDOR]],0)</f>
        <v>0</v>
      </c>
      <c r="K1223" s="16">
        <f>IF((OR(tbal[[#This Row],[X]]=3,tbal[[#This Row],[X]]=5)),tbal[[#This Row],[DEUDOR]],0)</f>
        <v>0</v>
      </c>
      <c r="L1223" s="18">
        <f>IF((OR(tbal[[#This Row],[X]]=3,tbal[[#This Row],[X]]=4)),tbal[[#This Row],[ACREEDOR]],0)</f>
        <v>0</v>
      </c>
      <c r="M1223" s="16">
        <f>IF((OR(tbal[[#This Row],[X]]=0,tbal[[#This Row],[X]]=6)),tbal[[#This Row],[DEUDOR]],0)</f>
        <v>0</v>
      </c>
      <c r="N1223" s="18">
        <f>IF((OR(tbal[[#This Row],[X]]=0,tbal[[#This Row],[X]]=5)),tbal[[#This Row],[ACREEDOR]],0)</f>
        <v>0</v>
      </c>
    </row>
    <row r="1224" spans="1:14" hidden="1" x14ac:dyDescent="0.3">
      <c r="A1224" s="14">
        <f>+'PLAN DE CUENTAS'!A1224</f>
        <v>0</v>
      </c>
      <c r="B1224" s="13">
        <f>+'PLAN DE CUENTAS'!B1224</f>
        <v>0</v>
      </c>
      <c r="C1224" s="13">
        <f>+'PLAN DE CUENTAS'!C1224</f>
        <v>0</v>
      </c>
      <c r="D1224" t="str">
        <f>IF(tbal[[#This Row],[DEBE]]+tbal[[#This Row],[HABER]]=0,"","X")</f>
        <v/>
      </c>
      <c r="E1224" s="16">
        <f>SUMIF(tdiario[CUENTA],tbal[[#This Row],[CUENTA]],tdiario[DEBE])</f>
        <v>0</v>
      </c>
      <c r="F1224" s="17">
        <f>SUMIF(tdiario[CUENTA],tbal[[#This Row],[CUENTA]],tdiario[HABER])</f>
        <v>0</v>
      </c>
      <c r="G1224" s="16">
        <f>IF(tbal[[#This Row],[DEBE]]-tbal[[#This Row],[HABER]]&gt;0,tbal[[#This Row],[DEBE]]-tbal[[#This Row],[HABER]],0)</f>
        <v>0</v>
      </c>
      <c r="H1224" s="18">
        <f>IF(tbal[[#This Row],[HABER]]-tbal[[#This Row],[DEBE]]&gt;0,tbal[[#This Row],[HABER]]-tbal[[#This Row],[DEBE]],0)</f>
        <v>0</v>
      </c>
      <c r="I1224" s="16">
        <f>IF((OR(tbal[[#This Row],[X]]=1,tbal[[#This Row],[X]]=2)),tbal[[#This Row],[DEUDOR]],0)</f>
        <v>0</v>
      </c>
      <c r="J1224" s="18">
        <f>IF((OR(tbal[[#This Row],[X]]=2,tbal[[#This Row],[X]]=3)),tbal[[#This Row],[ACREEDOR]],0)</f>
        <v>0</v>
      </c>
      <c r="K1224" s="16">
        <f>IF((OR(tbal[[#This Row],[X]]=3,tbal[[#This Row],[X]]=5)),tbal[[#This Row],[DEUDOR]],0)</f>
        <v>0</v>
      </c>
      <c r="L1224" s="18">
        <f>IF((OR(tbal[[#This Row],[X]]=3,tbal[[#This Row],[X]]=4)),tbal[[#This Row],[ACREEDOR]],0)</f>
        <v>0</v>
      </c>
      <c r="M1224" s="16">
        <f>IF((OR(tbal[[#This Row],[X]]=0,tbal[[#This Row],[X]]=6)),tbal[[#This Row],[DEUDOR]],0)</f>
        <v>0</v>
      </c>
      <c r="N1224" s="18">
        <f>IF((OR(tbal[[#This Row],[X]]=0,tbal[[#This Row],[X]]=5)),tbal[[#This Row],[ACREEDOR]],0)</f>
        <v>0</v>
      </c>
    </row>
    <row r="1225" spans="1:14" hidden="1" x14ac:dyDescent="0.3">
      <c r="A1225" s="14">
        <f>+'PLAN DE CUENTAS'!A1225</f>
        <v>0</v>
      </c>
      <c r="B1225" s="13">
        <f>+'PLAN DE CUENTAS'!B1225</f>
        <v>0</v>
      </c>
      <c r="C1225" s="13">
        <f>+'PLAN DE CUENTAS'!C1225</f>
        <v>0</v>
      </c>
      <c r="D1225" t="str">
        <f>IF(tbal[[#This Row],[DEBE]]+tbal[[#This Row],[HABER]]=0,"","X")</f>
        <v/>
      </c>
      <c r="E1225" s="16">
        <f>SUMIF(tdiario[CUENTA],tbal[[#This Row],[CUENTA]],tdiario[DEBE])</f>
        <v>0</v>
      </c>
      <c r="F1225" s="17">
        <f>SUMIF(tdiario[CUENTA],tbal[[#This Row],[CUENTA]],tdiario[HABER])</f>
        <v>0</v>
      </c>
      <c r="G1225" s="16">
        <f>IF(tbal[[#This Row],[DEBE]]-tbal[[#This Row],[HABER]]&gt;0,tbal[[#This Row],[DEBE]]-tbal[[#This Row],[HABER]],0)</f>
        <v>0</v>
      </c>
      <c r="H1225" s="18">
        <f>IF(tbal[[#This Row],[HABER]]-tbal[[#This Row],[DEBE]]&gt;0,tbal[[#This Row],[HABER]]-tbal[[#This Row],[DEBE]],0)</f>
        <v>0</v>
      </c>
      <c r="I1225" s="16">
        <f>IF((OR(tbal[[#This Row],[X]]=1,tbal[[#This Row],[X]]=2)),tbal[[#This Row],[DEUDOR]],0)</f>
        <v>0</v>
      </c>
      <c r="J1225" s="18">
        <f>IF((OR(tbal[[#This Row],[X]]=2,tbal[[#This Row],[X]]=3)),tbal[[#This Row],[ACREEDOR]],0)</f>
        <v>0</v>
      </c>
      <c r="K1225" s="16">
        <f>IF((OR(tbal[[#This Row],[X]]=3,tbal[[#This Row],[X]]=5)),tbal[[#This Row],[DEUDOR]],0)</f>
        <v>0</v>
      </c>
      <c r="L1225" s="18">
        <f>IF((OR(tbal[[#This Row],[X]]=3,tbal[[#This Row],[X]]=4)),tbal[[#This Row],[ACREEDOR]],0)</f>
        <v>0</v>
      </c>
      <c r="M1225" s="16">
        <f>IF((OR(tbal[[#This Row],[X]]=0,tbal[[#This Row],[X]]=6)),tbal[[#This Row],[DEUDOR]],0)</f>
        <v>0</v>
      </c>
      <c r="N1225" s="18">
        <f>IF((OR(tbal[[#This Row],[X]]=0,tbal[[#This Row],[X]]=5)),tbal[[#This Row],[ACREEDOR]],0)</f>
        <v>0</v>
      </c>
    </row>
    <row r="1226" spans="1:14" hidden="1" x14ac:dyDescent="0.3">
      <c r="A1226" s="14">
        <f>+'PLAN DE CUENTAS'!A1226</f>
        <v>0</v>
      </c>
      <c r="B1226" s="13">
        <f>+'PLAN DE CUENTAS'!B1226</f>
        <v>0</v>
      </c>
      <c r="C1226" s="13">
        <f>+'PLAN DE CUENTAS'!C1226</f>
        <v>0</v>
      </c>
      <c r="D1226" t="str">
        <f>IF(tbal[[#This Row],[DEBE]]+tbal[[#This Row],[HABER]]=0,"","X")</f>
        <v/>
      </c>
      <c r="E1226" s="16">
        <f>SUMIF(tdiario[CUENTA],tbal[[#This Row],[CUENTA]],tdiario[DEBE])</f>
        <v>0</v>
      </c>
      <c r="F1226" s="17">
        <f>SUMIF(tdiario[CUENTA],tbal[[#This Row],[CUENTA]],tdiario[HABER])</f>
        <v>0</v>
      </c>
      <c r="G1226" s="16">
        <f>IF(tbal[[#This Row],[DEBE]]-tbal[[#This Row],[HABER]]&gt;0,tbal[[#This Row],[DEBE]]-tbal[[#This Row],[HABER]],0)</f>
        <v>0</v>
      </c>
      <c r="H1226" s="18">
        <f>IF(tbal[[#This Row],[HABER]]-tbal[[#This Row],[DEBE]]&gt;0,tbal[[#This Row],[HABER]]-tbal[[#This Row],[DEBE]],0)</f>
        <v>0</v>
      </c>
      <c r="I1226" s="16">
        <f>IF((OR(tbal[[#This Row],[X]]=1,tbal[[#This Row],[X]]=2)),tbal[[#This Row],[DEUDOR]],0)</f>
        <v>0</v>
      </c>
      <c r="J1226" s="18">
        <f>IF((OR(tbal[[#This Row],[X]]=2,tbal[[#This Row],[X]]=3)),tbal[[#This Row],[ACREEDOR]],0)</f>
        <v>0</v>
      </c>
      <c r="K1226" s="16">
        <f>IF((OR(tbal[[#This Row],[X]]=3,tbal[[#This Row],[X]]=5)),tbal[[#This Row],[DEUDOR]],0)</f>
        <v>0</v>
      </c>
      <c r="L1226" s="18">
        <f>IF((OR(tbal[[#This Row],[X]]=3,tbal[[#This Row],[X]]=4)),tbal[[#This Row],[ACREEDOR]],0)</f>
        <v>0</v>
      </c>
      <c r="M1226" s="16">
        <f>IF((OR(tbal[[#This Row],[X]]=0,tbal[[#This Row],[X]]=6)),tbal[[#This Row],[DEUDOR]],0)</f>
        <v>0</v>
      </c>
      <c r="N1226" s="18">
        <f>IF((OR(tbal[[#This Row],[X]]=0,tbal[[#This Row],[X]]=5)),tbal[[#This Row],[ACREEDOR]],0)</f>
        <v>0</v>
      </c>
    </row>
    <row r="1227" spans="1:14" hidden="1" x14ac:dyDescent="0.3">
      <c r="A1227" s="14">
        <f>+'PLAN DE CUENTAS'!A1227</f>
        <v>0</v>
      </c>
      <c r="B1227" s="13">
        <f>+'PLAN DE CUENTAS'!B1227</f>
        <v>0</v>
      </c>
      <c r="C1227" s="13">
        <f>+'PLAN DE CUENTAS'!C1227</f>
        <v>0</v>
      </c>
      <c r="D1227" t="str">
        <f>IF(tbal[[#This Row],[DEBE]]+tbal[[#This Row],[HABER]]=0,"","X")</f>
        <v/>
      </c>
      <c r="E1227" s="16">
        <f>SUMIF(tdiario[CUENTA],tbal[[#This Row],[CUENTA]],tdiario[DEBE])</f>
        <v>0</v>
      </c>
      <c r="F1227" s="17">
        <f>SUMIF(tdiario[CUENTA],tbal[[#This Row],[CUENTA]],tdiario[HABER])</f>
        <v>0</v>
      </c>
      <c r="G1227" s="16">
        <f>IF(tbal[[#This Row],[DEBE]]-tbal[[#This Row],[HABER]]&gt;0,tbal[[#This Row],[DEBE]]-tbal[[#This Row],[HABER]],0)</f>
        <v>0</v>
      </c>
      <c r="H1227" s="18">
        <f>IF(tbal[[#This Row],[HABER]]-tbal[[#This Row],[DEBE]]&gt;0,tbal[[#This Row],[HABER]]-tbal[[#This Row],[DEBE]],0)</f>
        <v>0</v>
      </c>
      <c r="I1227" s="16">
        <f>IF((OR(tbal[[#This Row],[X]]=1,tbal[[#This Row],[X]]=2)),tbal[[#This Row],[DEUDOR]],0)</f>
        <v>0</v>
      </c>
      <c r="J1227" s="18">
        <f>IF((OR(tbal[[#This Row],[X]]=2,tbal[[#This Row],[X]]=3)),tbal[[#This Row],[ACREEDOR]],0)</f>
        <v>0</v>
      </c>
      <c r="K1227" s="16">
        <f>IF((OR(tbal[[#This Row],[X]]=3,tbal[[#This Row],[X]]=5)),tbal[[#This Row],[DEUDOR]],0)</f>
        <v>0</v>
      </c>
      <c r="L1227" s="18">
        <f>IF((OR(tbal[[#This Row],[X]]=3,tbal[[#This Row],[X]]=4)),tbal[[#This Row],[ACREEDOR]],0)</f>
        <v>0</v>
      </c>
      <c r="M1227" s="16">
        <f>IF((OR(tbal[[#This Row],[X]]=0,tbal[[#This Row],[X]]=6)),tbal[[#This Row],[DEUDOR]],0)</f>
        <v>0</v>
      </c>
      <c r="N1227" s="18">
        <f>IF((OR(tbal[[#This Row],[X]]=0,tbal[[#This Row],[X]]=5)),tbal[[#This Row],[ACREEDOR]],0)</f>
        <v>0</v>
      </c>
    </row>
    <row r="1228" spans="1:14" hidden="1" x14ac:dyDescent="0.3">
      <c r="A1228" s="14">
        <f>+'PLAN DE CUENTAS'!A1228</f>
        <v>0</v>
      </c>
      <c r="B1228" s="13">
        <f>+'PLAN DE CUENTAS'!B1228</f>
        <v>0</v>
      </c>
      <c r="C1228" s="13">
        <f>+'PLAN DE CUENTAS'!C1228</f>
        <v>0</v>
      </c>
      <c r="D1228" t="str">
        <f>IF(tbal[[#This Row],[DEBE]]+tbal[[#This Row],[HABER]]=0,"","X")</f>
        <v/>
      </c>
      <c r="E1228" s="16">
        <f>SUMIF(tdiario[CUENTA],tbal[[#This Row],[CUENTA]],tdiario[DEBE])</f>
        <v>0</v>
      </c>
      <c r="F1228" s="17">
        <f>SUMIF(tdiario[CUENTA],tbal[[#This Row],[CUENTA]],tdiario[HABER])</f>
        <v>0</v>
      </c>
      <c r="G1228" s="16">
        <f>IF(tbal[[#This Row],[DEBE]]-tbal[[#This Row],[HABER]]&gt;0,tbal[[#This Row],[DEBE]]-tbal[[#This Row],[HABER]],0)</f>
        <v>0</v>
      </c>
      <c r="H1228" s="18">
        <f>IF(tbal[[#This Row],[HABER]]-tbal[[#This Row],[DEBE]]&gt;0,tbal[[#This Row],[HABER]]-tbal[[#This Row],[DEBE]],0)</f>
        <v>0</v>
      </c>
      <c r="I1228" s="16">
        <f>IF((OR(tbal[[#This Row],[X]]=1,tbal[[#This Row],[X]]=2)),tbal[[#This Row],[DEUDOR]],0)</f>
        <v>0</v>
      </c>
      <c r="J1228" s="18">
        <f>IF((OR(tbal[[#This Row],[X]]=2,tbal[[#This Row],[X]]=3)),tbal[[#This Row],[ACREEDOR]],0)</f>
        <v>0</v>
      </c>
      <c r="K1228" s="16">
        <f>IF((OR(tbal[[#This Row],[X]]=3,tbal[[#This Row],[X]]=5)),tbal[[#This Row],[DEUDOR]],0)</f>
        <v>0</v>
      </c>
      <c r="L1228" s="18">
        <f>IF((OR(tbal[[#This Row],[X]]=3,tbal[[#This Row],[X]]=4)),tbal[[#This Row],[ACREEDOR]],0)</f>
        <v>0</v>
      </c>
      <c r="M1228" s="16">
        <f>IF((OR(tbal[[#This Row],[X]]=0,tbal[[#This Row],[X]]=6)),tbal[[#This Row],[DEUDOR]],0)</f>
        <v>0</v>
      </c>
      <c r="N1228" s="18">
        <f>IF((OR(tbal[[#This Row],[X]]=0,tbal[[#This Row],[X]]=5)),tbal[[#This Row],[ACREEDOR]],0)</f>
        <v>0</v>
      </c>
    </row>
    <row r="1229" spans="1:14" hidden="1" x14ac:dyDescent="0.3">
      <c r="A1229" s="14">
        <f>+'PLAN DE CUENTAS'!A1229</f>
        <v>0</v>
      </c>
      <c r="B1229" s="13">
        <f>+'PLAN DE CUENTAS'!B1229</f>
        <v>0</v>
      </c>
      <c r="C1229" s="13">
        <f>+'PLAN DE CUENTAS'!C1229</f>
        <v>0</v>
      </c>
      <c r="D1229" t="str">
        <f>IF(tbal[[#This Row],[DEBE]]+tbal[[#This Row],[HABER]]=0,"","X")</f>
        <v/>
      </c>
      <c r="E1229" s="16">
        <f>SUMIF(tdiario[CUENTA],tbal[[#This Row],[CUENTA]],tdiario[DEBE])</f>
        <v>0</v>
      </c>
      <c r="F1229" s="17">
        <f>SUMIF(tdiario[CUENTA],tbal[[#This Row],[CUENTA]],tdiario[HABER])</f>
        <v>0</v>
      </c>
      <c r="G1229" s="16">
        <f>IF(tbal[[#This Row],[DEBE]]-tbal[[#This Row],[HABER]]&gt;0,tbal[[#This Row],[DEBE]]-tbal[[#This Row],[HABER]],0)</f>
        <v>0</v>
      </c>
      <c r="H1229" s="18">
        <f>IF(tbal[[#This Row],[HABER]]-tbal[[#This Row],[DEBE]]&gt;0,tbal[[#This Row],[HABER]]-tbal[[#This Row],[DEBE]],0)</f>
        <v>0</v>
      </c>
      <c r="I1229" s="16">
        <f>IF((OR(tbal[[#This Row],[X]]=1,tbal[[#This Row],[X]]=2)),tbal[[#This Row],[DEUDOR]],0)</f>
        <v>0</v>
      </c>
      <c r="J1229" s="18">
        <f>IF((OR(tbal[[#This Row],[X]]=2,tbal[[#This Row],[X]]=3)),tbal[[#This Row],[ACREEDOR]],0)</f>
        <v>0</v>
      </c>
      <c r="K1229" s="16">
        <f>IF((OR(tbal[[#This Row],[X]]=3,tbal[[#This Row],[X]]=5)),tbal[[#This Row],[DEUDOR]],0)</f>
        <v>0</v>
      </c>
      <c r="L1229" s="18">
        <f>IF((OR(tbal[[#This Row],[X]]=3,tbal[[#This Row],[X]]=4)),tbal[[#This Row],[ACREEDOR]],0)</f>
        <v>0</v>
      </c>
      <c r="M1229" s="16">
        <f>IF((OR(tbal[[#This Row],[X]]=0,tbal[[#This Row],[X]]=6)),tbal[[#This Row],[DEUDOR]],0)</f>
        <v>0</v>
      </c>
      <c r="N1229" s="18">
        <f>IF((OR(tbal[[#This Row],[X]]=0,tbal[[#This Row],[X]]=5)),tbal[[#This Row],[ACREEDOR]],0)</f>
        <v>0</v>
      </c>
    </row>
    <row r="1230" spans="1:14" hidden="1" x14ac:dyDescent="0.3">
      <c r="A1230" s="14">
        <f>+'PLAN DE CUENTAS'!A1230</f>
        <v>0</v>
      </c>
      <c r="B1230" s="13">
        <f>+'PLAN DE CUENTAS'!B1230</f>
        <v>0</v>
      </c>
      <c r="C1230" s="13">
        <f>+'PLAN DE CUENTAS'!C1230</f>
        <v>0</v>
      </c>
      <c r="D1230" t="str">
        <f>IF(tbal[[#This Row],[DEBE]]+tbal[[#This Row],[HABER]]=0,"","X")</f>
        <v/>
      </c>
      <c r="E1230" s="16">
        <f>SUMIF(tdiario[CUENTA],tbal[[#This Row],[CUENTA]],tdiario[DEBE])</f>
        <v>0</v>
      </c>
      <c r="F1230" s="17">
        <f>SUMIF(tdiario[CUENTA],tbal[[#This Row],[CUENTA]],tdiario[HABER])</f>
        <v>0</v>
      </c>
      <c r="G1230" s="16">
        <f>IF(tbal[[#This Row],[DEBE]]-tbal[[#This Row],[HABER]]&gt;0,tbal[[#This Row],[DEBE]]-tbal[[#This Row],[HABER]],0)</f>
        <v>0</v>
      </c>
      <c r="H1230" s="18">
        <f>IF(tbal[[#This Row],[HABER]]-tbal[[#This Row],[DEBE]]&gt;0,tbal[[#This Row],[HABER]]-tbal[[#This Row],[DEBE]],0)</f>
        <v>0</v>
      </c>
      <c r="I1230" s="16">
        <f>IF((OR(tbal[[#This Row],[X]]=1,tbal[[#This Row],[X]]=2)),tbal[[#This Row],[DEUDOR]],0)</f>
        <v>0</v>
      </c>
      <c r="J1230" s="18">
        <f>IF((OR(tbal[[#This Row],[X]]=2,tbal[[#This Row],[X]]=3)),tbal[[#This Row],[ACREEDOR]],0)</f>
        <v>0</v>
      </c>
      <c r="K1230" s="16">
        <f>IF((OR(tbal[[#This Row],[X]]=3,tbal[[#This Row],[X]]=5)),tbal[[#This Row],[DEUDOR]],0)</f>
        <v>0</v>
      </c>
      <c r="L1230" s="18">
        <f>IF((OR(tbal[[#This Row],[X]]=3,tbal[[#This Row],[X]]=4)),tbal[[#This Row],[ACREEDOR]],0)</f>
        <v>0</v>
      </c>
      <c r="M1230" s="16">
        <f>IF((OR(tbal[[#This Row],[X]]=0,tbal[[#This Row],[X]]=6)),tbal[[#This Row],[DEUDOR]],0)</f>
        <v>0</v>
      </c>
      <c r="N1230" s="18">
        <f>IF((OR(tbal[[#This Row],[X]]=0,tbal[[#This Row],[X]]=5)),tbal[[#This Row],[ACREEDOR]],0)</f>
        <v>0</v>
      </c>
    </row>
    <row r="1231" spans="1:14" hidden="1" x14ac:dyDescent="0.3">
      <c r="A1231" s="14">
        <f>+'PLAN DE CUENTAS'!A1231</f>
        <v>0</v>
      </c>
      <c r="B1231" s="13">
        <f>+'PLAN DE CUENTAS'!B1231</f>
        <v>0</v>
      </c>
      <c r="C1231" s="13">
        <f>+'PLAN DE CUENTAS'!C1231</f>
        <v>0</v>
      </c>
      <c r="D1231" t="str">
        <f>IF(tbal[[#This Row],[DEBE]]+tbal[[#This Row],[HABER]]=0,"","X")</f>
        <v/>
      </c>
      <c r="E1231" s="16">
        <f>SUMIF(tdiario[CUENTA],tbal[[#This Row],[CUENTA]],tdiario[DEBE])</f>
        <v>0</v>
      </c>
      <c r="F1231" s="17">
        <f>SUMIF(tdiario[CUENTA],tbal[[#This Row],[CUENTA]],tdiario[HABER])</f>
        <v>0</v>
      </c>
      <c r="G1231" s="16">
        <f>IF(tbal[[#This Row],[DEBE]]-tbal[[#This Row],[HABER]]&gt;0,tbal[[#This Row],[DEBE]]-tbal[[#This Row],[HABER]],0)</f>
        <v>0</v>
      </c>
      <c r="H1231" s="18">
        <f>IF(tbal[[#This Row],[HABER]]-tbal[[#This Row],[DEBE]]&gt;0,tbal[[#This Row],[HABER]]-tbal[[#This Row],[DEBE]],0)</f>
        <v>0</v>
      </c>
      <c r="I1231" s="16">
        <f>IF((OR(tbal[[#This Row],[X]]=1,tbal[[#This Row],[X]]=2)),tbal[[#This Row],[DEUDOR]],0)</f>
        <v>0</v>
      </c>
      <c r="J1231" s="18">
        <f>IF((OR(tbal[[#This Row],[X]]=2,tbal[[#This Row],[X]]=3)),tbal[[#This Row],[ACREEDOR]],0)</f>
        <v>0</v>
      </c>
      <c r="K1231" s="16">
        <f>IF((OR(tbal[[#This Row],[X]]=3,tbal[[#This Row],[X]]=5)),tbal[[#This Row],[DEUDOR]],0)</f>
        <v>0</v>
      </c>
      <c r="L1231" s="18">
        <f>IF((OR(tbal[[#This Row],[X]]=3,tbal[[#This Row],[X]]=4)),tbal[[#This Row],[ACREEDOR]],0)</f>
        <v>0</v>
      </c>
      <c r="M1231" s="16">
        <f>IF((OR(tbal[[#This Row],[X]]=0,tbal[[#This Row],[X]]=6)),tbal[[#This Row],[DEUDOR]],0)</f>
        <v>0</v>
      </c>
      <c r="N1231" s="18">
        <f>IF((OR(tbal[[#This Row],[X]]=0,tbal[[#This Row],[X]]=5)),tbal[[#This Row],[ACREEDOR]],0)</f>
        <v>0</v>
      </c>
    </row>
    <row r="1232" spans="1:14" hidden="1" x14ac:dyDescent="0.3">
      <c r="A1232" s="14">
        <f>+'PLAN DE CUENTAS'!A1232</f>
        <v>0</v>
      </c>
      <c r="B1232" s="13">
        <f>+'PLAN DE CUENTAS'!B1232</f>
        <v>0</v>
      </c>
      <c r="C1232" s="13">
        <f>+'PLAN DE CUENTAS'!C1232</f>
        <v>0</v>
      </c>
      <c r="D1232" t="str">
        <f>IF(tbal[[#This Row],[DEBE]]+tbal[[#This Row],[HABER]]=0,"","X")</f>
        <v/>
      </c>
      <c r="E1232" s="16">
        <f>SUMIF(tdiario[CUENTA],tbal[[#This Row],[CUENTA]],tdiario[DEBE])</f>
        <v>0</v>
      </c>
      <c r="F1232" s="17">
        <f>SUMIF(tdiario[CUENTA],tbal[[#This Row],[CUENTA]],tdiario[HABER])</f>
        <v>0</v>
      </c>
      <c r="G1232" s="16">
        <f>IF(tbal[[#This Row],[DEBE]]-tbal[[#This Row],[HABER]]&gt;0,tbal[[#This Row],[DEBE]]-tbal[[#This Row],[HABER]],0)</f>
        <v>0</v>
      </c>
      <c r="H1232" s="18">
        <f>IF(tbal[[#This Row],[HABER]]-tbal[[#This Row],[DEBE]]&gt;0,tbal[[#This Row],[HABER]]-tbal[[#This Row],[DEBE]],0)</f>
        <v>0</v>
      </c>
      <c r="I1232" s="16">
        <f>IF((OR(tbal[[#This Row],[X]]=1,tbal[[#This Row],[X]]=2)),tbal[[#This Row],[DEUDOR]],0)</f>
        <v>0</v>
      </c>
      <c r="J1232" s="18">
        <f>IF((OR(tbal[[#This Row],[X]]=2,tbal[[#This Row],[X]]=3)),tbal[[#This Row],[ACREEDOR]],0)</f>
        <v>0</v>
      </c>
      <c r="K1232" s="16">
        <f>IF((OR(tbal[[#This Row],[X]]=3,tbal[[#This Row],[X]]=5)),tbal[[#This Row],[DEUDOR]],0)</f>
        <v>0</v>
      </c>
      <c r="L1232" s="18">
        <f>IF((OR(tbal[[#This Row],[X]]=3,tbal[[#This Row],[X]]=4)),tbal[[#This Row],[ACREEDOR]],0)</f>
        <v>0</v>
      </c>
      <c r="M1232" s="16">
        <f>IF((OR(tbal[[#This Row],[X]]=0,tbal[[#This Row],[X]]=6)),tbal[[#This Row],[DEUDOR]],0)</f>
        <v>0</v>
      </c>
      <c r="N1232" s="18">
        <f>IF((OR(tbal[[#This Row],[X]]=0,tbal[[#This Row],[X]]=5)),tbal[[#This Row],[ACREEDOR]],0)</f>
        <v>0</v>
      </c>
    </row>
    <row r="1233" spans="1:14" hidden="1" x14ac:dyDescent="0.3">
      <c r="A1233" s="14">
        <f>+'PLAN DE CUENTAS'!A1233</f>
        <v>0</v>
      </c>
      <c r="B1233" s="13">
        <f>+'PLAN DE CUENTAS'!B1233</f>
        <v>0</v>
      </c>
      <c r="C1233" s="13">
        <f>+'PLAN DE CUENTAS'!C1233</f>
        <v>0</v>
      </c>
      <c r="D1233" t="str">
        <f>IF(tbal[[#This Row],[DEBE]]+tbal[[#This Row],[HABER]]=0,"","X")</f>
        <v/>
      </c>
      <c r="E1233" s="16">
        <f>SUMIF(tdiario[CUENTA],tbal[[#This Row],[CUENTA]],tdiario[DEBE])</f>
        <v>0</v>
      </c>
      <c r="F1233" s="17">
        <f>SUMIF(tdiario[CUENTA],tbal[[#This Row],[CUENTA]],tdiario[HABER])</f>
        <v>0</v>
      </c>
      <c r="G1233" s="16">
        <f>IF(tbal[[#This Row],[DEBE]]-tbal[[#This Row],[HABER]]&gt;0,tbal[[#This Row],[DEBE]]-tbal[[#This Row],[HABER]],0)</f>
        <v>0</v>
      </c>
      <c r="H1233" s="18">
        <f>IF(tbal[[#This Row],[HABER]]-tbal[[#This Row],[DEBE]]&gt;0,tbal[[#This Row],[HABER]]-tbal[[#This Row],[DEBE]],0)</f>
        <v>0</v>
      </c>
      <c r="I1233" s="16">
        <f>IF((OR(tbal[[#This Row],[X]]=1,tbal[[#This Row],[X]]=2)),tbal[[#This Row],[DEUDOR]],0)</f>
        <v>0</v>
      </c>
      <c r="J1233" s="18">
        <f>IF((OR(tbal[[#This Row],[X]]=2,tbal[[#This Row],[X]]=3)),tbal[[#This Row],[ACREEDOR]],0)</f>
        <v>0</v>
      </c>
      <c r="K1233" s="16">
        <f>IF((OR(tbal[[#This Row],[X]]=3,tbal[[#This Row],[X]]=5)),tbal[[#This Row],[DEUDOR]],0)</f>
        <v>0</v>
      </c>
      <c r="L1233" s="18">
        <f>IF((OR(tbal[[#This Row],[X]]=3,tbal[[#This Row],[X]]=4)),tbal[[#This Row],[ACREEDOR]],0)</f>
        <v>0</v>
      </c>
      <c r="M1233" s="16">
        <f>IF((OR(tbal[[#This Row],[X]]=0,tbal[[#This Row],[X]]=6)),tbal[[#This Row],[DEUDOR]],0)</f>
        <v>0</v>
      </c>
      <c r="N1233" s="18">
        <f>IF((OR(tbal[[#This Row],[X]]=0,tbal[[#This Row],[X]]=5)),tbal[[#This Row],[ACREEDOR]],0)</f>
        <v>0</v>
      </c>
    </row>
    <row r="1234" spans="1:14" hidden="1" x14ac:dyDescent="0.3">
      <c r="A1234" s="14">
        <f>+'PLAN DE CUENTAS'!A1234</f>
        <v>0</v>
      </c>
      <c r="B1234" s="13">
        <f>+'PLAN DE CUENTAS'!B1234</f>
        <v>0</v>
      </c>
      <c r="C1234" s="13">
        <f>+'PLAN DE CUENTAS'!C1234</f>
        <v>0</v>
      </c>
      <c r="D1234" t="str">
        <f>IF(tbal[[#This Row],[DEBE]]+tbal[[#This Row],[HABER]]=0,"","X")</f>
        <v/>
      </c>
      <c r="E1234" s="16">
        <f>SUMIF(tdiario[CUENTA],tbal[[#This Row],[CUENTA]],tdiario[DEBE])</f>
        <v>0</v>
      </c>
      <c r="F1234" s="17">
        <f>SUMIF(tdiario[CUENTA],tbal[[#This Row],[CUENTA]],tdiario[HABER])</f>
        <v>0</v>
      </c>
      <c r="G1234" s="16">
        <f>IF(tbal[[#This Row],[DEBE]]-tbal[[#This Row],[HABER]]&gt;0,tbal[[#This Row],[DEBE]]-tbal[[#This Row],[HABER]],0)</f>
        <v>0</v>
      </c>
      <c r="H1234" s="18">
        <f>IF(tbal[[#This Row],[HABER]]-tbal[[#This Row],[DEBE]]&gt;0,tbal[[#This Row],[HABER]]-tbal[[#This Row],[DEBE]],0)</f>
        <v>0</v>
      </c>
      <c r="I1234" s="16">
        <f>IF((OR(tbal[[#This Row],[X]]=1,tbal[[#This Row],[X]]=2)),tbal[[#This Row],[DEUDOR]],0)</f>
        <v>0</v>
      </c>
      <c r="J1234" s="18">
        <f>IF((OR(tbal[[#This Row],[X]]=2,tbal[[#This Row],[X]]=3)),tbal[[#This Row],[ACREEDOR]],0)</f>
        <v>0</v>
      </c>
      <c r="K1234" s="16">
        <f>IF((OR(tbal[[#This Row],[X]]=3,tbal[[#This Row],[X]]=5)),tbal[[#This Row],[DEUDOR]],0)</f>
        <v>0</v>
      </c>
      <c r="L1234" s="18">
        <f>IF((OR(tbal[[#This Row],[X]]=3,tbal[[#This Row],[X]]=4)),tbal[[#This Row],[ACREEDOR]],0)</f>
        <v>0</v>
      </c>
      <c r="M1234" s="16">
        <f>IF((OR(tbal[[#This Row],[X]]=0,tbal[[#This Row],[X]]=6)),tbal[[#This Row],[DEUDOR]],0)</f>
        <v>0</v>
      </c>
      <c r="N1234" s="18">
        <f>IF((OR(tbal[[#This Row],[X]]=0,tbal[[#This Row],[X]]=5)),tbal[[#This Row],[ACREEDOR]],0)</f>
        <v>0</v>
      </c>
    </row>
    <row r="1235" spans="1:14" hidden="1" x14ac:dyDescent="0.3">
      <c r="A1235" s="14">
        <f>+'PLAN DE CUENTAS'!A1235</f>
        <v>0</v>
      </c>
      <c r="B1235" s="13">
        <f>+'PLAN DE CUENTAS'!B1235</f>
        <v>0</v>
      </c>
      <c r="C1235" s="13">
        <f>+'PLAN DE CUENTAS'!C1235</f>
        <v>0</v>
      </c>
      <c r="D1235" t="str">
        <f>IF(tbal[[#This Row],[DEBE]]+tbal[[#This Row],[HABER]]=0,"","X")</f>
        <v/>
      </c>
      <c r="E1235" s="16">
        <f>SUMIF(tdiario[CUENTA],tbal[[#This Row],[CUENTA]],tdiario[DEBE])</f>
        <v>0</v>
      </c>
      <c r="F1235" s="17">
        <f>SUMIF(tdiario[CUENTA],tbal[[#This Row],[CUENTA]],tdiario[HABER])</f>
        <v>0</v>
      </c>
      <c r="G1235" s="16">
        <f>IF(tbal[[#This Row],[DEBE]]-tbal[[#This Row],[HABER]]&gt;0,tbal[[#This Row],[DEBE]]-tbal[[#This Row],[HABER]],0)</f>
        <v>0</v>
      </c>
      <c r="H1235" s="18">
        <f>IF(tbal[[#This Row],[HABER]]-tbal[[#This Row],[DEBE]]&gt;0,tbal[[#This Row],[HABER]]-tbal[[#This Row],[DEBE]],0)</f>
        <v>0</v>
      </c>
      <c r="I1235" s="16">
        <f>IF((OR(tbal[[#This Row],[X]]=1,tbal[[#This Row],[X]]=2)),tbal[[#This Row],[DEUDOR]],0)</f>
        <v>0</v>
      </c>
      <c r="J1235" s="18">
        <f>IF((OR(tbal[[#This Row],[X]]=2,tbal[[#This Row],[X]]=3)),tbal[[#This Row],[ACREEDOR]],0)</f>
        <v>0</v>
      </c>
      <c r="K1235" s="16">
        <f>IF((OR(tbal[[#This Row],[X]]=3,tbal[[#This Row],[X]]=5)),tbal[[#This Row],[DEUDOR]],0)</f>
        <v>0</v>
      </c>
      <c r="L1235" s="18">
        <f>IF((OR(tbal[[#This Row],[X]]=3,tbal[[#This Row],[X]]=4)),tbal[[#This Row],[ACREEDOR]],0)</f>
        <v>0</v>
      </c>
      <c r="M1235" s="16">
        <f>IF((OR(tbal[[#This Row],[X]]=0,tbal[[#This Row],[X]]=6)),tbal[[#This Row],[DEUDOR]],0)</f>
        <v>0</v>
      </c>
      <c r="N1235" s="18">
        <f>IF((OR(tbal[[#This Row],[X]]=0,tbal[[#This Row],[X]]=5)),tbal[[#This Row],[ACREEDOR]],0)</f>
        <v>0</v>
      </c>
    </row>
    <row r="1236" spans="1:14" hidden="1" x14ac:dyDescent="0.3">
      <c r="A1236" s="14">
        <f>+'PLAN DE CUENTAS'!A1236</f>
        <v>0</v>
      </c>
      <c r="B1236" s="13">
        <f>+'PLAN DE CUENTAS'!B1236</f>
        <v>0</v>
      </c>
      <c r="C1236" s="13">
        <f>+'PLAN DE CUENTAS'!C1236</f>
        <v>0</v>
      </c>
      <c r="D1236" t="str">
        <f>IF(tbal[[#This Row],[DEBE]]+tbal[[#This Row],[HABER]]=0,"","X")</f>
        <v/>
      </c>
      <c r="E1236" s="16">
        <f>SUMIF(tdiario[CUENTA],tbal[[#This Row],[CUENTA]],tdiario[DEBE])</f>
        <v>0</v>
      </c>
      <c r="F1236" s="17">
        <f>SUMIF(tdiario[CUENTA],tbal[[#This Row],[CUENTA]],tdiario[HABER])</f>
        <v>0</v>
      </c>
      <c r="G1236" s="16">
        <f>IF(tbal[[#This Row],[DEBE]]-tbal[[#This Row],[HABER]]&gt;0,tbal[[#This Row],[DEBE]]-tbal[[#This Row],[HABER]],0)</f>
        <v>0</v>
      </c>
      <c r="H1236" s="18">
        <f>IF(tbal[[#This Row],[HABER]]-tbal[[#This Row],[DEBE]]&gt;0,tbal[[#This Row],[HABER]]-tbal[[#This Row],[DEBE]],0)</f>
        <v>0</v>
      </c>
      <c r="I1236" s="16">
        <f>IF((OR(tbal[[#This Row],[X]]=1,tbal[[#This Row],[X]]=2)),tbal[[#This Row],[DEUDOR]],0)</f>
        <v>0</v>
      </c>
      <c r="J1236" s="18">
        <f>IF((OR(tbal[[#This Row],[X]]=2,tbal[[#This Row],[X]]=3)),tbal[[#This Row],[ACREEDOR]],0)</f>
        <v>0</v>
      </c>
      <c r="K1236" s="16">
        <f>IF((OR(tbal[[#This Row],[X]]=3,tbal[[#This Row],[X]]=5)),tbal[[#This Row],[DEUDOR]],0)</f>
        <v>0</v>
      </c>
      <c r="L1236" s="18">
        <f>IF((OR(tbal[[#This Row],[X]]=3,tbal[[#This Row],[X]]=4)),tbal[[#This Row],[ACREEDOR]],0)</f>
        <v>0</v>
      </c>
      <c r="M1236" s="16">
        <f>IF((OR(tbal[[#This Row],[X]]=0,tbal[[#This Row],[X]]=6)),tbal[[#This Row],[DEUDOR]],0)</f>
        <v>0</v>
      </c>
      <c r="N1236" s="18">
        <f>IF((OR(tbal[[#This Row],[X]]=0,tbal[[#This Row],[X]]=5)),tbal[[#This Row],[ACREEDOR]],0)</f>
        <v>0</v>
      </c>
    </row>
    <row r="1237" spans="1:14" hidden="1" x14ac:dyDescent="0.3">
      <c r="A1237" s="14">
        <f>+'PLAN DE CUENTAS'!A1237</f>
        <v>0</v>
      </c>
      <c r="B1237" s="13">
        <f>+'PLAN DE CUENTAS'!B1237</f>
        <v>0</v>
      </c>
      <c r="C1237" s="13">
        <f>+'PLAN DE CUENTAS'!C1237</f>
        <v>0</v>
      </c>
      <c r="D1237" t="str">
        <f>IF(tbal[[#This Row],[DEBE]]+tbal[[#This Row],[HABER]]=0,"","X")</f>
        <v/>
      </c>
      <c r="E1237" s="16">
        <f>SUMIF(tdiario[CUENTA],tbal[[#This Row],[CUENTA]],tdiario[DEBE])</f>
        <v>0</v>
      </c>
      <c r="F1237" s="17">
        <f>SUMIF(tdiario[CUENTA],tbal[[#This Row],[CUENTA]],tdiario[HABER])</f>
        <v>0</v>
      </c>
      <c r="G1237" s="16">
        <f>IF(tbal[[#This Row],[DEBE]]-tbal[[#This Row],[HABER]]&gt;0,tbal[[#This Row],[DEBE]]-tbal[[#This Row],[HABER]],0)</f>
        <v>0</v>
      </c>
      <c r="H1237" s="18">
        <f>IF(tbal[[#This Row],[HABER]]-tbal[[#This Row],[DEBE]]&gt;0,tbal[[#This Row],[HABER]]-tbal[[#This Row],[DEBE]],0)</f>
        <v>0</v>
      </c>
      <c r="I1237" s="16">
        <f>IF((OR(tbal[[#This Row],[X]]=1,tbal[[#This Row],[X]]=2)),tbal[[#This Row],[DEUDOR]],0)</f>
        <v>0</v>
      </c>
      <c r="J1237" s="18">
        <f>IF((OR(tbal[[#This Row],[X]]=2,tbal[[#This Row],[X]]=3)),tbal[[#This Row],[ACREEDOR]],0)</f>
        <v>0</v>
      </c>
      <c r="K1237" s="16">
        <f>IF((OR(tbal[[#This Row],[X]]=3,tbal[[#This Row],[X]]=5)),tbal[[#This Row],[DEUDOR]],0)</f>
        <v>0</v>
      </c>
      <c r="L1237" s="18">
        <f>IF((OR(tbal[[#This Row],[X]]=3,tbal[[#This Row],[X]]=4)),tbal[[#This Row],[ACREEDOR]],0)</f>
        <v>0</v>
      </c>
      <c r="M1237" s="16">
        <f>IF((OR(tbal[[#This Row],[X]]=0,tbal[[#This Row],[X]]=6)),tbal[[#This Row],[DEUDOR]],0)</f>
        <v>0</v>
      </c>
      <c r="N1237" s="18">
        <f>IF((OR(tbal[[#This Row],[X]]=0,tbal[[#This Row],[X]]=5)),tbal[[#This Row],[ACREEDOR]],0)</f>
        <v>0</v>
      </c>
    </row>
    <row r="1238" spans="1:14" hidden="1" x14ac:dyDescent="0.3">
      <c r="A1238" s="14">
        <f>+'PLAN DE CUENTAS'!A1238</f>
        <v>0</v>
      </c>
      <c r="B1238" s="13">
        <f>+'PLAN DE CUENTAS'!B1238</f>
        <v>0</v>
      </c>
      <c r="C1238" s="13">
        <f>+'PLAN DE CUENTAS'!C1238</f>
        <v>0</v>
      </c>
      <c r="D1238" t="str">
        <f>IF(tbal[[#This Row],[DEBE]]+tbal[[#This Row],[HABER]]=0,"","X")</f>
        <v/>
      </c>
      <c r="E1238" s="16">
        <f>SUMIF(tdiario[CUENTA],tbal[[#This Row],[CUENTA]],tdiario[DEBE])</f>
        <v>0</v>
      </c>
      <c r="F1238" s="17">
        <f>SUMIF(tdiario[CUENTA],tbal[[#This Row],[CUENTA]],tdiario[HABER])</f>
        <v>0</v>
      </c>
      <c r="G1238" s="16">
        <f>IF(tbal[[#This Row],[DEBE]]-tbal[[#This Row],[HABER]]&gt;0,tbal[[#This Row],[DEBE]]-tbal[[#This Row],[HABER]],0)</f>
        <v>0</v>
      </c>
      <c r="H1238" s="18">
        <f>IF(tbal[[#This Row],[HABER]]-tbal[[#This Row],[DEBE]]&gt;0,tbal[[#This Row],[HABER]]-tbal[[#This Row],[DEBE]],0)</f>
        <v>0</v>
      </c>
      <c r="I1238" s="16">
        <f>IF((OR(tbal[[#This Row],[X]]=1,tbal[[#This Row],[X]]=2)),tbal[[#This Row],[DEUDOR]],0)</f>
        <v>0</v>
      </c>
      <c r="J1238" s="18">
        <f>IF((OR(tbal[[#This Row],[X]]=2,tbal[[#This Row],[X]]=3)),tbal[[#This Row],[ACREEDOR]],0)</f>
        <v>0</v>
      </c>
      <c r="K1238" s="16">
        <f>IF((OR(tbal[[#This Row],[X]]=3,tbal[[#This Row],[X]]=5)),tbal[[#This Row],[DEUDOR]],0)</f>
        <v>0</v>
      </c>
      <c r="L1238" s="18">
        <f>IF((OR(tbal[[#This Row],[X]]=3,tbal[[#This Row],[X]]=4)),tbal[[#This Row],[ACREEDOR]],0)</f>
        <v>0</v>
      </c>
      <c r="M1238" s="16">
        <f>IF((OR(tbal[[#This Row],[X]]=0,tbal[[#This Row],[X]]=6)),tbal[[#This Row],[DEUDOR]],0)</f>
        <v>0</v>
      </c>
      <c r="N1238" s="18">
        <f>IF((OR(tbal[[#This Row],[X]]=0,tbal[[#This Row],[X]]=5)),tbal[[#This Row],[ACREEDOR]],0)</f>
        <v>0</v>
      </c>
    </row>
    <row r="1239" spans="1:14" hidden="1" x14ac:dyDescent="0.3">
      <c r="A1239" s="14">
        <f>+'PLAN DE CUENTAS'!A1239</f>
        <v>0</v>
      </c>
      <c r="B1239" s="13">
        <f>+'PLAN DE CUENTAS'!B1239</f>
        <v>0</v>
      </c>
      <c r="C1239" s="13">
        <f>+'PLAN DE CUENTAS'!C1239</f>
        <v>0</v>
      </c>
      <c r="D1239" t="str">
        <f>IF(tbal[[#This Row],[DEBE]]+tbal[[#This Row],[HABER]]=0,"","X")</f>
        <v/>
      </c>
      <c r="E1239" s="16">
        <f>SUMIF(tdiario[CUENTA],tbal[[#This Row],[CUENTA]],tdiario[DEBE])</f>
        <v>0</v>
      </c>
      <c r="F1239" s="17">
        <f>SUMIF(tdiario[CUENTA],tbal[[#This Row],[CUENTA]],tdiario[HABER])</f>
        <v>0</v>
      </c>
      <c r="G1239" s="16">
        <f>IF(tbal[[#This Row],[DEBE]]-tbal[[#This Row],[HABER]]&gt;0,tbal[[#This Row],[DEBE]]-tbal[[#This Row],[HABER]],0)</f>
        <v>0</v>
      </c>
      <c r="H1239" s="18">
        <f>IF(tbal[[#This Row],[HABER]]-tbal[[#This Row],[DEBE]]&gt;0,tbal[[#This Row],[HABER]]-tbal[[#This Row],[DEBE]],0)</f>
        <v>0</v>
      </c>
      <c r="I1239" s="16">
        <f>IF((OR(tbal[[#This Row],[X]]=1,tbal[[#This Row],[X]]=2)),tbal[[#This Row],[DEUDOR]],0)</f>
        <v>0</v>
      </c>
      <c r="J1239" s="18">
        <f>IF((OR(tbal[[#This Row],[X]]=2,tbal[[#This Row],[X]]=3)),tbal[[#This Row],[ACREEDOR]],0)</f>
        <v>0</v>
      </c>
      <c r="K1239" s="16">
        <f>IF((OR(tbal[[#This Row],[X]]=3,tbal[[#This Row],[X]]=5)),tbal[[#This Row],[DEUDOR]],0)</f>
        <v>0</v>
      </c>
      <c r="L1239" s="18">
        <f>IF((OR(tbal[[#This Row],[X]]=3,tbal[[#This Row],[X]]=4)),tbal[[#This Row],[ACREEDOR]],0)</f>
        <v>0</v>
      </c>
      <c r="M1239" s="16">
        <f>IF((OR(tbal[[#This Row],[X]]=0,tbal[[#This Row],[X]]=6)),tbal[[#This Row],[DEUDOR]],0)</f>
        <v>0</v>
      </c>
      <c r="N1239" s="18">
        <f>IF((OR(tbal[[#This Row],[X]]=0,tbal[[#This Row],[X]]=5)),tbal[[#This Row],[ACREEDOR]],0)</f>
        <v>0</v>
      </c>
    </row>
    <row r="1240" spans="1:14" hidden="1" x14ac:dyDescent="0.3">
      <c r="A1240" s="14">
        <f>+'PLAN DE CUENTAS'!A1240</f>
        <v>0</v>
      </c>
      <c r="B1240" s="13">
        <f>+'PLAN DE CUENTAS'!B1240</f>
        <v>0</v>
      </c>
      <c r="C1240" s="13">
        <f>+'PLAN DE CUENTAS'!C1240</f>
        <v>0</v>
      </c>
      <c r="D1240" t="str">
        <f>IF(tbal[[#This Row],[DEBE]]+tbal[[#This Row],[HABER]]=0,"","X")</f>
        <v/>
      </c>
      <c r="E1240" s="16">
        <f>SUMIF(tdiario[CUENTA],tbal[[#This Row],[CUENTA]],tdiario[DEBE])</f>
        <v>0</v>
      </c>
      <c r="F1240" s="17">
        <f>SUMIF(tdiario[CUENTA],tbal[[#This Row],[CUENTA]],tdiario[HABER])</f>
        <v>0</v>
      </c>
      <c r="G1240" s="16">
        <f>IF(tbal[[#This Row],[DEBE]]-tbal[[#This Row],[HABER]]&gt;0,tbal[[#This Row],[DEBE]]-tbal[[#This Row],[HABER]],0)</f>
        <v>0</v>
      </c>
      <c r="H1240" s="18">
        <f>IF(tbal[[#This Row],[HABER]]-tbal[[#This Row],[DEBE]]&gt;0,tbal[[#This Row],[HABER]]-tbal[[#This Row],[DEBE]],0)</f>
        <v>0</v>
      </c>
      <c r="I1240" s="16">
        <f>IF((OR(tbal[[#This Row],[X]]=1,tbal[[#This Row],[X]]=2)),tbal[[#This Row],[DEUDOR]],0)</f>
        <v>0</v>
      </c>
      <c r="J1240" s="18">
        <f>IF((OR(tbal[[#This Row],[X]]=2,tbal[[#This Row],[X]]=3)),tbal[[#This Row],[ACREEDOR]],0)</f>
        <v>0</v>
      </c>
      <c r="K1240" s="16">
        <f>IF((OR(tbal[[#This Row],[X]]=3,tbal[[#This Row],[X]]=5)),tbal[[#This Row],[DEUDOR]],0)</f>
        <v>0</v>
      </c>
      <c r="L1240" s="18">
        <f>IF((OR(tbal[[#This Row],[X]]=3,tbal[[#This Row],[X]]=4)),tbal[[#This Row],[ACREEDOR]],0)</f>
        <v>0</v>
      </c>
      <c r="M1240" s="16">
        <f>IF((OR(tbal[[#This Row],[X]]=0,tbal[[#This Row],[X]]=6)),tbal[[#This Row],[DEUDOR]],0)</f>
        <v>0</v>
      </c>
      <c r="N1240" s="18">
        <f>IF((OR(tbal[[#This Row],[X]]=0,tbal[[#This Row],[X]]=5)),tbal[[#This Row],[ACREEDOR]],0)</f>
        <v>0</v>
      </c>
    </row>
    <row r="1241" spans="1:14" hidden="1" x14ac:dyDescent="0.3">
      <c r="A1241" s="14">
        <f>+'PLAN DE CUENTAS'!A1241</f>
        <v>0</v>
      </c>
      <c r="B1241" s="13">
        <f>+'PLAN DE CUENTAS'!B1241</f>
        <v>0</v>
      </c>
      <c r="C1241" s="13">
        <f>+'PLAN DE CUENTAS'!C1241</f>
        <v>0</v>
      </c>
      <c r="D1241" t="str">
        <f>IF(tbal[[#This Row],[DEBE]]+tbal[[#This Row],[HABER]]=0,"","X")</f>
        <v/>
      </c>
      <c r="E1241" s="16">
        <f>SUMIF(tdiario[CUENTA],tbal[[#This Row],[CUENTA]],tdiario[DEBE])</f>
        <v>0</v>
      </c>
      <c r="F1241" s="17">
        <f>SUMIF(tdiario[CUENTA],tbal[[#This Row],[CUENTA]],tdiario[HABER])</f>
        <v>0</v>
      </c>
      <c r="G1241" s="16">
        <f>IF(tbal[[#This Row],[DEBE]]-tbal[[#This Row],[HABER]]&gt;0,tbal[[#This Row],[DEBE]]-tbal[[#This Row],[HABER]],0)</f>
        <v>0</v>
      </c>
      <c r="H1241" s="18">
        <f>IF(tbal[[#This Row],[HABER]]-tbal[[#This Row],[DEBE]]&gt;0,tbal[[#This Row],[HABER]]-tbal[[#This Row],[DEBE]],0)</f>
        <v>0</v>
      </c>
      <c r="I1241" s="16">
        <f>IF((OR(tbal[[#This Row],[X]]=1,tbal[[#This Row],[X]]=2)),tbal[[#This Row],[DEUDOR]],0)</f>
        <v>0</v>
      </c>
      <c r="J1241" s="18">
        <f>IF((OR(tbal[[#This Row],[X]]=2,tbal[[#This Row],[X]]=3)),tbal[[#This Row],[ACREEDOR]],0)</f>
        <v>0</v>
      </c>
      <c r="K1241" s="16">
        <f>IF((OR(tbal[[#This Row],[X]]=3,tbal[[#This Row],[X]]=5)),tbal[[#This Row],[DEUDOR]],0)</f>
        <v>0</v>
      </c>
      <c r="L1241" s="18">
        <f>IF((OR(tbal[[#This Row],[X]]=3,tbal[[#This Row],[X]]=4)),tbal[[#This Row],[ACREEDOR]],0)</f>
        <v>0</v>
      </c>
      <c r="M1241" s="16">
        <f>IF((OR(tbal[[#This Row],[X]]=0,tbal[[#This Row],[X]]=6)),tbal[[#This Row],[DEUDOR]],0)</f>
        <v>0</v>
      </c>
      <c r="N1241" s="18">
        <f>IF((OR(tbal[[#This Row],[X]]=0,tbal[[#This Row],[X]]=5)),tbal[[#This Row],[ACREEDOR]],0)</f>
        <v>0</v>
      </c>
    </row>
    <row r="1242" spans="1:14" hidden="1" x14ac:dyDescent="0.3">
      <c r="A1242" s="14">
        <f>+'PLAN DE CUENTAS'!A1242</f>
        <v>0</v>
      </c>
      <c r="B1242" s="13">
        <f>+'PLAN DE CUENTAS'!B1242</f>
        <v>0</v>
      </c>
      <c r="C1242" s="13">
        <f>+'PLAN DE CUENTAS'!C1242</f>
        <v>0</v>
      </c>
      <c r="D1242" t="str">
        <f>IF(tbal[[#This Row],[DEBE]]+tbal[[#This Row],[HABER]]=0,"","X")</f>
        <v/>
      </c>
      <c r="E1242" s="16">
        <f>SUMIF(tdiario[CUENTA],tbal[[#This Row],[CUENTA]],tdiario[DEBE])</f>
        <v>0</v>
      </c>
      <c r="F1242" s="17">
        <f>SUMIF(tdiario[CUENTA],tbal[[#This Row],[CUENTA]],tdiario[HABER])</f>
        <v>0</v>
      </c>
      <c r="G1242" s="16">
        <f>IF(tbal[[#This Row],[DEBE]]-tbal[[#This Row],[HABER]]&gt;0,tbal[[#This Row],[DEBE]]-tbal[[#This Row],[HABER]],0)</f>
        <v>0</v>
      </c>
      <c r="H1242" s="18">
        <f>IF(tbal[[#This Row],[HABER]]-tbal[[#This Row],[DEBE]]&gt;0,tbal[[#This Row],[HABER]]-tbal[[#This Row],[DEBE]],0)</f>
        <v>0</v>
      </c>
      <c r="I1242" s="16">
        <f>IF((OR(tbal[[#This Row],[X]]=1,tbal[[#This Row],[X]]=2)),tbal[[#This Row],[DEUDOR]],0)</f>
        <v>0</v>
      </c>
      <c r="J1242" s="18">
        <f>IF((OR(tbal[[#This Row],[X]]=2,tbal[[#This Row],[X]]=3)),tbal[[#This Row],[ACREEDOR]],0)</f>
        <v>0</v>
      </c>
      <c r="K1242" s="16">
        <f>IF((OR(tbal[[#This Row],[X]]=3,tbal[[#This Row],[X]]=5)),tbal[[#This Row],[DEUDOR]],0)</f>
        <v>0</v>
      </c>
      <c r="L1242" s="18">
        <f>IF((OR(tbal[[#This Row],[X]]=3,tbal[[#This Row],[X]]=4)),tbal[[#This Row],[ACREEDOR]],0)</f>
        <v>0</v>
      </c>
      <c r="M1242" s="16">
        <f>IF((OR(tbal[[#This Row],[X]]=0,tbal[[#This Row],[X]]=6)),tbal[[#This Row],[DEUDOR]],0)</f>
        <v>0</v>
      </c>
      <c r="N1242" s="18">
        <f>IF((OR(tbal[[#This Row],[X]]=0,tbal[[#This Row],[X]]=5)),tbal[[#This Row],[ACREEDOR]],0)</f>
        <v>0</v>
      </c>
    </row>
    <row r="1243" spans="1:14" hidden="1" x14ac:dyDescent="0.3">
      <c r="A1243" s="14">
        <f>+'PLAN DE CUENTAS'!A1243</f>
        <v>0</v>
      </c>
      <c r="B1243" s="13">
        <f>+'PLAN DE CUENTAS'!B1243</f>
        <v>0</v>
      </c>
      <c r="C1243" s="13">
        <f>+'PLAN DE CUENTAS'!C1243</f>
        <v>0</v>
      </c>
      <c r="D1243" t="str">
        <f>IF(tbal[[#This Row],[DEBE]]+tbal[[#This Row],[HABER]]=0,"","X")</f>
        <v/>
      </c>
      <c r="E1243" s="16">
        <f>SUMIF(tdiario[CUENTA],tbal[[#This Row],[CUENTA]],tdiario[DEBE])</f>
        <v>0</v>
      </c>
      <c r="F1243" s="17">
        <f>SUMIF(tdiario[CUENTA],tbal[[#This Row],[CUENTA]],tdiario[HABER])</f>
        <v>0</v>
      </c>
      <c r="G1243" s="16">
        <f>IF(tbal[[#This Row],[DEBE]]-tbal[[#This Row],[HABER]]&gt;0,tbal[[#This Row],[DEBE]]-tbal[[#This Row],[HABER]],0)</f>
        <v>0</v>
      </c>
      <c r="H1243" s="18">
        <f>IF(tbal[[#This Row],[HABER]]-tbal[[#This Row],[DEBE]]&gt;0,tbal[[#This Row],[HABER]]-tbal[[#This Row],[DEBE]],0)</f>
        <v>0</v>
      </c>
      <c r="I1243" s="16">
        <f>IF((OR(tbal[[#This Row],[X]]=1,tbal[[#This Row],[X]]=2)),tbal[[#This Row],[DEUDOR]],0)</f>
        <v>0</v>
      </c>
      <c r="J1243" s="18">
        <f>IF((OR(tbal[[#This Row],[X]]=2,tbal[[#This Row],[X]]=3)),tbal[[#This Row],[ACREEDOR]],0)</f>
        <v>0</v>
      </c>
      <c r="K1243" s="16">
        <f>IF((OR(tbal[[#This Row],[X]]=3,tbal[[#This Row],[X]]=5)),tbal[[#This Row],[DEUDOR]],0)</f>
        <v>0</v>
      </c>
      <c r="L1243" s="18">
        <f>IF((OR(tbal[[#This Row],[X]]=3,tbal[[#This Row],[X]]=4)),tbal[[#This Row],[ACREEDOR]],0)</f>
        <v>0</v>
      </c>
      <c r="M1243" s="16">
        <f>IF((OR(tbal[[#This Row],[X]]=0,tbal[[#This Row],[X]]=6)),tbal[[#This Row],[DEUDOR]],0)</f>
        <v>0</v>
      </c>
      <c r="N1243" s="18">
        <f>IF((OR(tbal[[#This Row],[X]]=0,tbal[[#This Row],[X]]=5)),tbal[[#This Row],[ACREEDOR]],0)</f>
        <v>0</v>
      </c>
    </row>
    <row r="1244" spans="1:14" hidden="1" x14ac:dyDescent="0.3">
      <c r="A1244" s="14">
        <f>+'PLAN DE CUENTAS'!A1244</f>
        <v>0</v>
      </c>
      <c r="B1244" s="13">
        <f>+'PLAN DE CUENTAS'!B1244</f>
        <v>0</v>
      </c>
      <c r="C1244" s="13">
        <f>+'PLAN DE CUENTAS'!C1244</f>
        <v>0</v>
      </c>
      <c r="D1244" t="str">
        <f>IF(tbal[[#This Row],[DEBE]]+tbal[[#This Row],[HABER]]=0,"","X")</f>
        <v/>
      </c>
      <c r="E1244" s="16">
        <f>SUMIF(tdiario[CUENTA],tbal[[#This Row],[CUENTA]],tdiario[DEBE])</f>
        <v>0</v>
      </c>
      <c r="F1244" s="17">
        <f>SUMIF(tdiario[CUENTA],tbal[[#This Row],[CUENTA]],tdiario[HABER])</f>
        <v>0</v>
      </c>
      <c r="G1244" s="16">
        <f>IF(tbal[[#This Row],[DEBE]]-tbal[[#This Row],[HABER]]&gt;0,tbal[[#This Row],[DEBE]]-tbal[[#This Row],[HABER]],0)</f>
        <v>0</v>
      </c>
      <c r="H1244" s="18">
        <f>IF(tbal[[#This Row],[HABER]]-tbal[[#This Row],[DEBE]]&gt;0,tbal[[#This Row],[HABER]]-tbal[[#This Row],[DEBE]],0)</f>
        <v>0</v>
      </c>
      <c r="I1244" s="16">
        <f>IF((OR(tbal[[#This Row],[X]]=1,tbal[[#This Row],[X]]=2)),tbal[[#This Row],[DEUDOR]],0)</f>
        <v>0</v>
      </c>
      <c r="J1244" s="18">
        <f>IF((OR(tbal[[#This Row],[X]]=2,tbal[[#This Row],[X]]=3)),tbal[[#This Row],[ACREEDOR]],0)</f>
        <v>0</v>
      </c>
      <c r="K1244" s="16">
        <f>IF((OR(tbal[[#This Row],[X]]=3,tbal[[#This Row],[X]]=5)),tbal[[#This Row],[DEUDOR]],0)</f>
        <v>0</v>
      </c>
      <c r="L1244" s="18">
        <f>IF((OR(tbal[[#This Row],[X]]=3,tbal[[#This Row],[X]]=4)),tbal[[#This Row],[ACREEDOR]],0)</f>
        <v>0</v>
      </c>
      <c r="M1244" s="16">
        <f>IF((OR(tbal[[#This Row],[X]]=0,tbal[[#This Row],[X]]=6)),tbal[[#This Row],[DEUDOR]],0)</f>
        <v>0</v>
      </c>
      <c r="N1244" s="18">
        <f>IF((OR(tbal[[#This Row],[X]]=0,tbal[[#This Row],[X]]=5)),tbal[[#This Row],[ACREEDOR]],0)</f>
        <v>0</v>
      </c>
    </row>
    <row r="1245" spans="1:14" hidden="1" x14ac:dyDescent="0.3">
      <c r="A1245" s="14">
        <f>+'PLAN DE CUENTAS'!A1245</f>
        <v>0</v>
      </c>
      <c r="B1245" s="13">
        <f>+'PLAN DE CUENTAS'!B1245</f>
        <v>0</v>
      </c>
      <c r="C1245" s="13">
        <f>+'PLAN DE CUENTAS'!C1245</f>
        <v>0</v>
      </c>
      <c r="D1245" t="str">
        <f>IF(tbal[[#This Row],[DEBE]]+tbal[[#This Row],[HABER]]=0,"","X")</f>
        <v/>
      </c>
      <c r="E1245" s="16">
        <f>SUMIF(tdiario[CUENTA],tbal[[#This Row],[CUENTA]],tdiario[DEBE])</f>
        <v>0</v>
      </c>
      <c r="F1245" s="17">
        <f>SUMIF(tdiario[CUENTA],tbal[[#This Row],[CUENTA]],tdiario[HABER])</f>
        <v>0</v>
      </c>
      <c r="G1245" s="16">
        <f>IF(tbal[[#This Row],[DEBE]]-tbal[[#This Row],[HABER]]&gt;0,tbal[[#This Row],[DEBE]]-tbal[[#This Row],[HABER]],0)</f>
        <v>0</v>
      </c>
      <c r="H1245" s="18">
        <f>IF(tbal[[#This Row],[HABER]]-tbal[[#This Row],[DEBE]]&gt;0,tbal[[#This Row],[HABER]]-tbal[[#This Row],[DEBE]],0)</f>
        <v>0</v>
      </c>
      <c r="I1245" s="16">
        <f>IF((OR(tbal[[#This Row],[X]]=1,tbal[[#This Row],[X]]=2)),tbal[[#This Row],[DEUDOR]],0)</f>
        <v>0</v>
      </c>
      <c r="J1245" s="18">
        <f>IF((OR(tbal[[#This Row],[X]]=2,tbal[[#This Row],[X]]=3)),tbal[[#This Row],[ACREEDOR]],0)</f>
        <v>0</v>
      </c>
      <c r="K1245" s="16">
        <f>IF((OR(tbal[[#This Row],[X]]=3,tbal[[#This Row],[X]]=5)),tbal[[#This Row],[DEUDOR]],0)</f>
        <v>0</v>
      </c>
      <c r="L1245" s="18">
        <f>IF((OR(tbal[[#This Row],[X]]=3,tbal[[#This Row],[X]]=4)),tbal[[#This Row],[ACREEDOR]],0)</f>
        <v>0</v>
      </c>
      <c r="M1245" s="16">
        <f>IF((OR(tbal[[#This Row],[X]]=0,tbal[[#This Row],[X]]=6)),tbal[[#This Row],[DEUDOR]],0)</f>
        <v>0</v>
      </c>
      <c r="N1245" s="18">
        <f>IF((OR(tbal[[#This Row],[X]]=0,tbal[[#This Row],[X]]=5)),tbal[[#This Row],[ACREEDOR]],0)</f>
        <v>0</v>
      </c>
    </row>
    <row r="1246" spans="1:14" hidden="1" x14ac:dyDescent="0.3">
      <c r="A1246" s="14">
        <f>+'PLAN DE CUENTAS'!A1246</f>
        <v>0</v>
      </c>
      <c r="B1246" s="13">
        <f>+'PLAN DE CUENTAS'!B1246</f>
        <v>0</v>
      </c>
      <c r="C1246" s="13">
        <f>+'PLAN DE CUENTAS'!C1246</f>
        <v>0</v>
      </c>
      <c r="D1246" t="str">
        <f>IF(tbal[[#This Row],[DEBE]]+tbal[[#This Row],[HABER]]=0,"","X")</f>
        <v/>
      </c>
      <c r="E1246" s="16">
        <f>SUMIF(tdiario[CUENTA],tbal[[#This Row],[CUENTA]],tdiario[DEBE])</f>
        <v>0</v>
      </c>
      <c r="F1246" s="17">
        <f>SUMIF(tdiario[CUENTA],tbal[[#This Row],[CUENTA]],tdiario[HABER])</f>
        <v>0</v>
      </c>
      <c r="G1246" s="16">
        <f>IF(tbal[[#This Row],[DEBE]]-tbal[[#This Row],[HABER]]&gt;0,tbal[[#This Row],[DEBE]]-tbal[[#This Row],[HABER]],0)</f>
        <v>0</v>
      </c>
      <c r="H1246" s="18">
        <f>IF(tbal[[#This Row],[HABER]]-tbal[[#This Row],[DEBE]]&gt;0,tbal[[#This Row],[HABER]]-tbal[[#This Row],[DEBE]],0)</f>
        <v>0</v>
      </c>
      <c r="I1246" s="16">
        <f>IF((OR(tbal[[#This Row],[X]]=1,tbal[[#This Row],[X]]=2)),tbal[[#This Row],[DEUDOR]],0)</f>
        <v>0</v>
      </c>
      <c r="J1246" s="18">
        <f>IF((OR(tbal[[#This Row],[X]]=2,tbal[[#This Row],[X]]=3)),tbal[[#This Row],[ACREEDOR]],0)</f>
        <v>0</v>
      </c>
      <c r="K1246" s="16">
        <f>IF((OR(tbal[[#This Row],[X]]=3,tbal[[#This Row],[X]]=5)),tbal[[#This Row],[DEUDOR]],0)</f>
        <v>0</v>
      </c>
      <c r="L1246" s="18">
        <f>IF((OR(tbal[[#This Row],[X]]=3,tbal[[#This Row],[X]]=4)),tbal[[#This Row],[ACREEDOR]],0)</f>
        <v>0</v>
      </c>
      <c r="M1246" s="16">
        <f>IF((OR(tbal[[#This Row],[X]]=0,tbal[[#This Row],[X]]=6)),tbal[[#This Row],[DEUDOR]],0)</f>
        <v>0</v>
      </c>
      <c r="N1246" s="18">
        <f>IF((OR(tbal[[#This Row],[X]]=0,tbal[[#This Row],[X]]=5)),tbal[[#This Row],[ACREEDOR]],0)</f>
        <v>0</v>
      </c>
    </row>
    <row r="1247" spans="1:14" hidden="1" x14ac:dyDescent="0.3">
      <c r="A1247" s="14">
        <f>+'PLAN DE CUENTAS'!A1247</f>
        <v>0</v>
      </c>
      <c r="B1247" s="13">
        <f>+'PLAN DE CUENTAS'!B1247</f>
        <v>0</v>
      </c>
      <c r="C1247" s="13">
        <f>+'PLAN DE CUENTAS'!C1247</f>
        <v>0</v>
      </c>
      <c r="D1247" t="str">
        <f>IF(tbal[[#This Row],[DEBE]]+tbal[[#This Row],[HABER]]=0,"","X")</f>
        <v/>
      </c>
      <c r="E1247" s="16">
        <f>SUMIF(tdiario[CUENTA],tbal[[#This Row],[CUENTA]],tdiario[DEBE])</f>
        <v>0</v>
      </c>
      <c r="F1247" s="17">
        <f>SUMIF(tdiario[CUENTA],tbal[[#This Row],[CUENTA]],tdiario[HABER])</f>
        <v>0</v>
      </c>
      <c r="G1247" s="16">
        <f>IF(tbal[[#This Row],[DEBE]]-tbal[[#This Row],[HABER]]&gt;0,tbal[[#This Row],[DEBE]]-tbal[[#This Row],[HABER]],0)</f>
        <v>0</v>
      </c>
      <c r="H1247" s="18">
        <f>IF(tbal[[#This Row],[HABER]]-tbal[[#This Row],[DEBE]]&gt;0,tbal[[#This Row],[HABER]]-tbal[[#This Row],[DEBE]],0)</f>
        <v>0</v>
      </c>
      <c r="I1247" s="16">
        <f>IF((OR(tbal[[#This Row],[X]]=1,tbal[[#This Row],[X]]=2)),tbal[[#This Row],[DEUDOR]],0)</f>
        <v>0</v>
      </c>
      <c r="J1247" s="18">
        <f>IF((OR(tbal[[#This Row],[X]]=2,tbal[[#This Row],[X]]=3)),tbal[[#This Row],[ACREEDOR]],0)</f>
        <v>0</v>
      </c>
      <c r="K1247" s="16">
        <f>IF((OR(tbal[[#This Row],[X]]=3,tbal[[#This Row],[X]]=5)),tbal[[#This Row],[DEUDOR]],0)</f>
        <v>0</v>
      </c>
      <c r="L1247" s="18">
        <f>IF((OR(tbal[[#This Row],[X]]=3,tbal[[#This Row],[X]]=4)),tbal[[#This Row],[ACREEDOR]],0)</f>
        <v>0</v>
      </c>
      <c r="M1247" s="16">
        <f>IF((OR(tbal[[#This Row],[X]]=0,tbal[[#This Row],[X]]=6)),tbal[[#This Row],[DEUDOR]],0)</f>
        <v>0</v>
      </c>
      <c r="N1247" s="18">
        <f>IF((OR(tbal[[#This Row],[X]]=0,tbal[[#This Row],[X]]=5)),tbal[[#This Row],[ACREEDOR]],0)</f>
        <v>0</v>
      </c>
    </row>
    <row r="1248" spans="1:14" hidden="1" x14ac:dyDescent="0.3">
      <c r="A1248" s="14">
        <f>+'PLAN DE CUENTAS'!A1248</f>
        <v>0</v>
      </c>
      <c r="B1248" s="13">
        <f>+'PLAN DE CUENTAS'!B1248</f>
        <v>0</v>
      </c>
      <c r="C1248" s="13">
        <f>+'PLAN DE CUENTAS'!C1248</f>
        <v>0</v>
      </c>
      <c r="D1248" t="str">
        <f>IF(tbal[[#This Row],[DEBE]]+tbal[[#This Row],[HABER]]=0,"","X")</f>
        <v/>
      </c>
      <c r="E1248" s="16">
        <f>SUMIF(tdiario[CUENTA],tbal[[#This Row],[CUENTA]],tdiario[DEBE])</f>
        <v>0</v>
      </c>
      <c r="F1248" s="17">
        <f>SUMIF(tdiario[CUENTA],tbal[[#This Row],[CUENTA]],tdiario[HABER])</f>
        <v>0</v>
      </c>
      <c r="G1248" s="16">
        <f>IF(tbal[[#This Row],[DEBE]]-tbal[[#This Row],[HABER]]&gt;0,tbal[[#This Row],[DEBE]]-tbal[[#This Row],[HABER]],0)</f>
        <v>0</v>
      </c>
      <c r="H1248" s="18">
        <f>IF(tbal[[#This Row],[HABER]]-tbal[[#This Row],[DEBE]]&gt;0,tbal[[#This Row],[HABER]]-tbal[[#This Row],[DEBE]],0)</f>
        <v>0</v>
      </c>
      <c r="I1248" s="16">
        <f>IF((OR(tbal[[#This Row],[X]]=1,tbal[[#This Row],[X]]=2)),tbal[[#This Row],[DEUDOR]],0)</f>
        <v>0</v>
      </c>
      <c r="J1248" s="18">
        <f>IF((OR(tbal[[#This Row],[X]]=2,tbal[[#This Row],[X]]=3)),tbal[[#This Row],[ACREEDOR]],0)</f>
        <v>0</v>
      </c>
      <c r="K1248" s="16">
        <f>IF((OR(tbal[[#This Row],[X]]=3,tbal[[#This Row],[X]]=5)),tbal[[#This Row],[DEUDOR]],0)</f>
        <v>0</v>
      </c>
      <c r="L1248" s="18">
        <f>IF((OR(tbal[[#This Row],[X]]=3,tbal[[#This Row],[X]]=4)),tbal[[#This Row],[ACREEDOR]],0)</f>
        <v>0</v>
      </c>
      <c r="M1248" s="16">
        <f>IF((OR(tbal[[#This Row],[X]]=0,tbal[[#This Row],[X]]=6)),tbal[[#This Row],[DEUDOR]],0)</f>
        <v>0</v>
      </c>
      <c r="N1248" s="18">
        <f>IF((OR(tbal[[#This Row],[X]]=0,tbal[[#This Row],[X]]=5)),tbal[[#This Row],[ACREEDOR]],0)</f>
        <v>0</v>
      </c>
    </row>
    <row r="1249" spans="1:14" hidden="1" x14ac:dyDescent="0.3">
      <c r="A1249" s="14">
        <f>+'PLAN DE CUENTAS'!A1249</f>
        <v>0</v>
      </c>
      <c r="B1249" s="13">
        <f>+'PLAN DE CUENTAS'!B1249</f>
        <v>0</v>
      </c>
      <c r="C1249" s="13">
        <f>+'PLAN DE CUENTAS'!C1249</f>
        <v>0</v>
      </c>
      <c r="D1249" t="str">
        <f>IF(tbal[[#This Row],[DEBE]]+tbal[[#This Row],[HABER]]=0,"","X")</f>
        <v/>
      </c>
      <c r="E1249" s="16">
        <f>SUMIF(tdiario[CUENTA],tbal[[#This Row],[CUENTA]],tdiario[DEBE])</f>
        <v>0</v>
      </c>
      <c r="F1249" s="17">
        <f>SUMIF(tdiario[CUENTA],tbal[[#This Row],[CUENTA]],tdiario[HABER])</f>
        <v>0</v>
      </c>
      <c r="G1249" s="16">
        <f>IF(tbal[[#This Row],[DEBE]]-tbal[[#This Row],[HABER]]&gt;0,tbal[[#This Row],[DEBE]]-tbal[[#This Row],[HABER]],0)</f>
        <v>0</v>
      </c>
      <c r="H1249" s="18">
        <f>IF(tbal[[#This Row],[HABER]]-tbal[[#This Row],[DEBE]]&gt;0,tbal[[#This Row],[HABER]]-tbal[[#This Row],[DEBE]],0)</f>
        <v>0</v>
      </c>
      <c r="I1249" s="16">
        <f>IF((OR(tbal[[#This Row],[X]]=1,tbal[[#This Row],[X]]=2)),tbal[[#This Row],[DEUDOR]],0)</f>
        <v>0</v>
      </c>
      <c r="J1249" s="18">
        <f>IF((OR(tbal[[#This Row],[X]]=2,tbal[[#This Row],[X]]=3)),tbal[[#This Row],[ACREEDOR]],0)</f>
        <v>0</v>
      </c>
      <c r="K1249" s="16">
        <f>IF((OR(tbal[[#This Row],[X]]=3,tbal[[#This Row],[X]]=5)),tbal[[#This Row],[DEUDOR]],0)</f>
        <v>0</v>
      </c>
      <c r="L1249" s="18">
        <f>IF((OR(tbal[[#This Row],[X]]=3,tbal[[#This Row],[X]]=4)),tbal[[#This Row],[ACREEDOR]],0)</f>
        <v>0</v>
      </c>
      <c r="M1249" s="16">
        <f>IF((OR(tbal[[#This Row],[X]]=0,tbal[[#This Row],[X]]=6)),tbal[[#This Row],[DEUDOR]],0)</f>
        <v>0</v>
      </c>
      <c r="N1249" s="18">
        <f>IF((OR(tbal[[#This Row],[X]]=0,tbal[[#This Row],[X]]=5)),tbal[[#This Row],[ACREEDOR]],0)</f>
        <v>0</v>
      </c>
    </row>
    <row r="1250" spans="1:14" hidden="1" x14ac:dyDescent="0.3">
      <c r="A1250" s="14">
        <f>+'PLAN DE CUENTAS'!A1250</f>
        <v>0</v>
      </c>
      <c r="B1250" s="13">
        <f>+'PLAN DE CUENTAS'!B1250</f>
        <v>0</v>
      </c>
      <c r="C1250" s="13">
        <f>+'PLAN DE CUENTAS'!C1250</f>
        <v>0</v>
      </c>
      <c r="D1250" t="str">
        <f>IF(tbal[[#This Row],[DEBE]]+tbal[[#This Row],[HABER]]=0,"","X")</f>
        <v/>
      </c>
      <c r="E1250" s="16">
        <f>SUMIF(tdiario[CUENTA],tbal[[#This Row],[CUENTA]],tdiario[DEBE])</f>
        <v>0</v>
      </c>
      <c r="F1250" s="17">
        <f>SUMIF(tdiario[CUENTA],tbal[[#This Row],[CUENTA]],tdiario[HABER])</f>
        <v>0</v>
      </c>
      <c r="G1250" s="16">
        <f>IF(tbal[[#This Row],[DEBE]]-tbal[[#This Row],[HABER]]&gt;0,tbal[[#This Row],[DEBE]]-tbal[[#This Row],[HABER]],0)</f>
        <v>0</v>
      </c>
      <c r="H1250" s="18">
        <f>IF(tbal[[#This Row],[HABER]]-tbal[[#This Row],[DEBE]]&gt;0,tbal[[#This Row],[HABER]]-tbal[[#This Row],[DEBE]],0)</f>
        <v>0</v>
      </c>
      <c r="I1250" s="16">
        <f>IF((OR(tbal[[#This Row],[X]]=1,tbal[[#This Row],[X]]=2)),tbal[[#This Row],[DEUDOR]],0)</f>
        <v>0</v>
      </c>
      <c r="J1250" s="18">
        <f>IF((OR(tbal[[#This Row],[X]]=2,tbal[[#This Row],[X]]=3)),tbal[[#This Row],[ACREEDOR]],0)</f>
        <v>0</v>
      </c>
      <c r="K1250" s="16">
        <f>IF((OR(tbal[[#This Row],[X]]=3,tbal[[#This Row],[X]]=5)),tbal[[#This Row],[DEUDOR]],0)</f>
        <v>0</v>
      </c>
      <c r="L1250" s="18">
        <f>IF((OR(tbal[[#This Row],[X]]=3,tbal[[#This Row],[X]]=4)),tbal[[#This Row],[ACREEDOR]],0)</f>
        <v>0</v>
      </c>
      <c r="M1250" s="16">
        <f>IF((OR(tbal[[#This Row],[X]]=0,tbal[[#This Row],[X]]=6)),tbal[[#This Row],[DEUDOR]],0)</f>
        <v>0</v>
      </c>
      <c r="N1250" s="18">
        <f>IF((OR(tbal[[#This Row],[X]]=0,tbal[[#This Row],[X]]=5)),tbal[[#This Row],[ACREEDOR]],0)</f>
        <v>0</v>
      </c>
    </row>
    <row r="1251" spans="1:14" hidden="1" x14ac:dyDescent="0.3">
      <c r="A1251" s="14">
        <f>+'PLAN DE CUENTAS'!A1251</f>
        <v>0</v>
      </c>
      <c r="B1251" s="13">
        <f>+'PLAN DE CUENTAS'!B1251</f>
        <v>0</v>
      </c>
      <c r="C1251" s="13">
        <f>+'PLAN DE CUENTAS'!C1251</f>
        <v>0</v>
      </c>
      <c r="D1251" t="str">
        <f>IF(tbal[[#This Row],[DEBE]]+tbal[[#This Row],[HABER]]=0,"","X")</f>
        <v/>
      </c>
      <c r="E1251" s="16">
        <f>SUMIF(tdiario[CUENTA],tbal[[#This Row],[CUENTA]],tdiario[DEBE])</f>
        <v>0</v>
      </c>
      <c r="F1251" s="17">
        <f>SUMIF(tdiario[CUENTA],tbal[[#This Row],[CUENTA]],tdiario[HABER])</f>
        <v>0</v>
      </c>
      <c r="G1251" s="16">
        <f>IF(tbal[[#This Row],[DEBE]]-tbal[[#This Row],[HABER]]&gt;0,tbal[[#This Row],[DEBE]]-tbal[[#This Row],[HABER]],0)</f>
        <v>0</v>
      </c>
      <c r="H1251" s="18">
        <f>IF(tbal[[#This Row],[HABER]]-tbal[[#This Row],[DEBE]]&gt;0,tbal[[#This Row],[HABER]]-tbal[[#This Row],[DEBE]],0)</f>
        <v>0</v>
      </c>
      <c r="I1251" s="16">
        <f>IF((OR(tbal[[#This Row],[X]]=1,tbal[[#This Row],[X]]=2)),tbal[[#This Row],[DEUDOR]],0)</f>
        <v>0</v>
      </c>
      <c r="J1251" s="18">
        <f>IF((OR(tbal[[#This Row],[X]]=2,tbal[[#This Row],[X]]=3)),tbal[[#This Row],[ACREEDOR]],0)</f>
        <v>0</v>
      </c>
      <c r="K1251" s="16">
        <f>IF((OR(tbal[[#This Row],[X]]=3,tbal[[#This Row],[X]]=5)),tbal[[#This Row],[DEUDOR]],0)</f>
        <v>0</v>
      </c>
      <c r="L1251" s="18">
        <f>IF((OR(tbal[[#This Row],[X]]=3,tbal[[#This Row],[X]]=4)),tbal[[#This Row],[ACREEDOR]],0)</f>
        <v>0</v>
      </c>
      <c r="M1251" s="16">
        <f>IF((OR(tbal[[#This Row],[X]]=0,tbal[[#This Row],[X]]=6)),tbal[[#This Row],[DEUDOR]],0)</f>
        <v>0</v>
      </c>
      <c r="N1251" s="18">
        <f>IF((OR(tbal[[#This Row],[X]]=0,tbal[[#This Row],[X]]=5)),tbal[[#This Row],[ACREEDOR]],0)</f>
        <v>0</v>
      </c>
    </row>
    <row r="1252" spans="1:14" hidden="1" x14ac:dyDescent="0.3">
      <c r="A1252" s="14">
        <f>+'PLAN DE CUENTAS'!A1252</f>
        <v>0</v>
      </c>
      <c r="B1252" s="13">
        <f>+'PLAN DE CUENTAS'!B1252</f>
        <v>0</v>
      </c>
      <c r="C1252" s="13">
        <f>+'PLAN DE CUENTAS'!C1252</f>
        <v>0</v>
      </c>
      <c r="D1252" t="str">
        <f>IF(tbal[[#This Row],[DEBE]]+tbal[[#This Row],[HABER]]=0,"","X")</f>
        <v/>
      </c>
      <c r="E1252" s="16">
        <f>SUMIF(tdiario[CUENTA],tbal[[#This Row],[CUENTA]],tdiario[DEBE])</f>
        <v>0</v>
      </c>
      <c r="F1252" s="17">
        <f>SUMIF(tdiario[CUENTA],tbal[[#This Row],[CUENTA]],tdiario[HABER])</f>
        <v>0</v>
      </c>
      <c r="G1252" s="16">
        <f>IF(tbal[[#This Row],[DEBE]]-tbal[[#This Row],[HABER]]&gt;0,tbal[[#This Row],[DEBE]]-tbal[[#This Row],[HABER]],0)</f>
        <v>0</v>
      </c>
      <c r="H1252" s="18">
        <f>IF(tbal[[#This Row],[HABER]]-tbal[[#This Row],[DEBE]]&gt;0,tbal[[#This Row],[HABER]]-tbal[[#This Row],[DEBE]],0)</f>
        <v>0</v>
      </c>
      <c r="I1252" s="16">
        <f>IF((OR(tbal[[#This Row],[X]]=1,tbal[[#This Row],[X]]=2)),tbal[[#This Row],[DEUDOR]],0)</f>
        <v>0</v>
      </c>
      <c r="J1252" s="18">
        <f>IF((OR(tbal[[#This Row],[X]]=2,tbal[[#This Row],[X]]=3)),tbal[[#This Row],[ACREEDOR]],0)</f>
        <v>0</v>
      </c>
      <c r="K1252" s="16">
        <f>IF((OR(tbal[[#This Row],[X]]=3,tbal[[#This Row],[X]]=5)),tbal[[#This Row],[DEUDOR]],0)</f>
        <v>0</v>
      </c>
      <c r="L1252" s="18">
        <f>IF((OR(tbal[[#This Row],[X]]=3,tbal[[#This Row],[X]]=4)),tbal[[#This Row],[ACREEDOR]],0)</f>
        <v>0</v>
      </c>
      <c r="M1252" s="16">
        <f>IF((OR(tbal[[#This Row],[X]]=0,tbal[[#This Row],[X]]=6)),tbal[[#This Row],[DEUDOR]],0)</f>
        <v>0</v>
      </c>
      <c r="N1252" s="18">
        <f>IF((OR(tbal[[#This Row],[X]]=0,tbal[[#This Row],[X]]=5)),tbal[[#This Row],[ACREEDOR]],0)</f>
        <v>0</v>
      </c>
    </row>
    <row r="1253" spans="1:14" hidden="1" x14ac:dyDescent="0.3">
      <c r="A1253" s="14">
        <f>+'PLAN DE CUENTAS'!A1253</f>
        <v>0</v>
      </c>
      <c r="B1253" s="13">
        <f>+'PLAN DE CUENTAS'!B1253</f>
        <v>0</v>
      </c>
      <c r="C1253" s="13">
        <f>+'PLAN DE CUENTAS'!C1253</f>
        <v>0</v>
      </c>
      <c r="D1253" t="str">
        <f>IF(tbal[[#This Row],[DEBE]]+tbal[[#This Row],[HABER]]=0,"","X")</f>
        <v/>
      </c>
      <c r="E1253" s="16">
        <f>SUMIF(tdiario[CUENTA],tbal[[#This Row],[CUENTA]],tdiario[DEBE])</f>
        <v>0</v>
      </c>
      <c r="F1253" s="17">
        <f>SUMIF(tdiario[CUENTA],tbal[[#This Row],[CUENTA]],tdiario[HABER])</f>
        <v>0</v>
      </c>
      <c r="G1253" s="16">
        <f>IF(tbal[[#This Row],[DEBE]]-tbal[[#This Row],[HABER]]&gt;0,tbal[[#This Row],[DEBE]]-tbal[[#This Row],[HABER]],0)</f>
        <v>0</v>
      </c>
      <c r="H1253" s="18">
        <f>IF(tbal[[#This Row],[HABER]]-tbal[[#This Row],[DEBE]]&gt;0,tbal[[#This Row],[HABER]]-tbal[[#This Row],[DEBE]],0)</f>
        <v>0</v>
      </c>
      <c r="I1253" s="16">
        <f>IF((OR(tbal[[#This Row],[X]]=1,tbal[[#This Row],[X]]=2)),tbal[[#This Row],[DEUDOR]],0)</f>
        <v>0</v>
      </c>
      <c r="J1253" s="18">
        <f>IF((OR(tbal[[#This Row],[X]]=2,tbal[[#This Row],[X]]=3)),tbal[[#This Row],[ACREEDOR]],0)</f>
        <v>0</v>
      </c>
      <c r="K1253" s="16">
        <f>IF((OR(tbal[[#This Row],[X]]=3,tbal[[#This Row],[X]]=5)),tbal[[#This Row],[DEUDOR]],0)</f>
        <v>0</v>
      </c>
      <c r="L1253" s="18">
        <f>IF((OR(tbal[[#This Row],[X]]=3,tbal[[#This Row],[X]]=4)),tbal[[#This Row],[ACREEDOR]],0)</f>
        <v>0</v>
      </c>
      <c r="M1253" s="16">
        <f>IF((OR(tbal[[#This Row],[X]]=0,tbal[[#This Row],[X]]=6)),tbal[[#This Row],[DEUDOR]],0)</f>
        <v>0</v>
      </c>
      <c r="N1253" s="18">
        <f>IF((OR(tbal[[#This Row],[X]]=0,tbal[[#This Row],[X]]=5)),tbal[[#This Row],[ACREEDOR]],0)</f>
        <v>0</v>
      </c>
    </row>
    <row r="1254" spans="1:14" hidden="1" x14ac:dyDescent="0.3">
      <c r="A1254" s="14">
        <f>+'PLAN DE CUENTAS'!A1254</f>
        <v>0</v>
      </c>
      <c r="B1254" s="13">
        <f>+'PLAN DE CUENTAS'!B1254</f>
        <v>0</v>
      </c>
      <c r="C1254" s="13">
        <f>+'PLAN DE CUENTAS'!C1254</f>
        <v>0</v>
      </c>
      <c r="D1254" t="str">
        <f>IF(tbal[[#This Row],[DEBE]]+tbal[[#This Row],[HABER]]=0,"","X")</f>
        <v/>
      </c>
      <c r="E1254" s="16">
        <f>SUMIF(tdiario[CUENTA],tbal[[#This Row],[CUENTA]],tdiario[DEBE])</f>
        <v>0</v>
      </c>
      <c r="F1254" s="17">
        <f>SUMIF(tdiario[CUENTA],tbal[[#This Row],[CUENTA]],tdiario[HABER])</f>
        <v>0</v>
      </c>
      <c r="G1254" s="16">
        <f>IF(tbal[[#This Row],[DEBE]]-tbal[[#This Row],[HABER]]&gt;0,tbal[[#This Row],[DEBE]]-tbal[[#This Row],[HABER]],0)</f>
        <v>0</v>
      </c>
      <c r="H1254" s="18">
        <f>IF(tbal[[#This Row],[HABER]]-tbal[[#This Row],[DEBE]]&gt;0,tbal[[#This Row],[HABER]]-tbal[[#This Row],[DEBE]],0)</f>
        <v>0</v>
      </c>
      <c r="I1254" s="16">
        <f>IF((OR(tbal[[#This Row],[X]]=1,tbal[[#This Row],[X]]=2)),tbal[[#This Row],[DEUDOR]],0)</f>
        <v>0</v>
      </c>
      <c r="J1254" s="18">
        <f>IF((OR(tbal[[#This Row],[X]]=2,tbal[[#This Row],[X]]=3)),tbal[[#This Row],[ACREEDOR]],0)</f>
        <v>0</v>
      </c>
      <c r="K1254" s="16">
        <f>IF((OR(tbal[[#This Row],[X]]=3,tbal[[#This Row],[X]]=5)),tbal[[#This Row],[DEUDOR]],0)</f>
        <v>0</v>
      </c>
      <c r="L1254" s="18">
        <f>IF((OR(tbal[[#This Row],[X]]=3,tbal[[#This Row],[X]]=4)),tbal[[#This Row],[ACREEDOR]],0)</f>
        <v>0</v>
      </c>
      <c r="M1254" s="16">
        <f>IF((OR(tbal[[#This Row],[X]]=0,tbal[[#This Row],[X]]=6)),tbal[[#This Row],[DEUDOR]],0)</f>
        <v>0</v>
      </c>
      <c r="N1254" s="18">
        <f>IF((OR(tbal[[#This Row],[X]]=0,tbal[[#This Row],[X]]=5)),tbal[[#This Row],[ACREEDOR]],0)</f>
        <v>0</v>
      </c>
    </row>
    <row r="1255" spans="1:14" hidden="1" x14ac:dyDescent="0.3">
      <c r="A1255" s="14">
        <f>+'PLAN DE CUENTAS'!A1255</f>
        <v>0</v>
      </c>
      <c r="B1255" s="13">
        <f>+'PLAN DE CUENTAS'!B1255</f>
        <v>0</v>
      </c>
      <c r="C1255" s="13">
        <f>+'PLAN DE CUENTAS'!C1255</f>
        <v>0</v>
      </c>
      <c r="D1255" t="str">
        <f>IF(tbal[[#This Row],[DEBE]]+tbal[[#This Row],[HABER]]=0,"","X")</f>
        <v/>
      </c>
      <c r="E1255" s="16">
        <f>SUMIF(tdiario[CUENTA],tbal[[#This Row],[CUENTA]],tdiario[DEBE])</f>
        <v>0</v>
      </c>
      <c r="F1255" s="17">
        <f>SUMIF(tdiario[CUENTA],tbal[[#This Row],[CUENTA]],tdiario[HABER])</f>
        <v>0</v>
      </c>
      <c r="G1255" s="16">
        <f>IF(tbal[[#This Row],[DEBE]]-tbal[[#This Row],[HABER]]&gt;0,tbal[[#This Row],[DEBE]]-tbal[[#This Row],[HABER]],0)</f>
        <v>0</v>
      </c>
      <c r="H1255" s="18">
        <f>IF(tbal[[#This Row],[HABER]]-tbal[[#This Row],[DEBE]]&gt;0,tbal[[#This Row],[HABER]]-tbal[[#This Row],[DEBE]],0)</f>
        <v>0</v>
      </c>
      <c r="I1255" s="16">
        <f>IF((OR(tbal[[#This Row],[X]]=1,tbal[[#This Row],[X]]=2)),tbal[[#This Row],[DEUDOR]],0)</f>
        <v>0</v>
      </c>
      <c r="J1255" s="18">
        <f>IF((OR(tbal[[#This Row],[X]]=2,tbal[[#This Row],[X]]=3)),tbal[[#This Row],[ACREEDOR]],0)</f>
        <v>0</v>
      </c>
      <c r="K1255" s="16">
        <f>IF((OR(tbal[[#This Row],[X]]=3,tbal[[#This Row],[X]]=5)),tbal[[#This Row],[DEUDOR]],0)</f>
        <v>0</v>
      </c>
      <c r="L1255" s="18">
        <f>IF((OR(tbal[[#This Row],[X]]=3,tbal[[#This Row],[X]]=4)),tbal[[#This Row],[ACREEDOR]],0)</f>
        <v>0</v>
      </c>
      <c r="M1255" s="16">
        <f>IF((OR(tbal[[#This Row],[X]]=0,tbal[[#This Row],[X]]=6)),tbal[[#This Row],[DEUDOR]],0)</f>
        <v>0</v>
      </c>
      <c r="N1255" s="18">
        <f>IF((OR(tbal[[#This Row],[X]]=0,tbal[[#This Row],[X]]=5)),tbal[[#This Row],[ACREEDOR]],0)</f>
        <v>0</v>
      </c>
    </row>
    <row r="1256" spans="1:14" hidden="1" x14ac:dyDescent="0.3">
      <c r="A1256" s="14">
        <f>+'PLAN DE CUENTAS'!A1256</f>
        <v>0</v>
      </c>
      <c r="B1256" s="13">
        <f>+'PLAN DE CUENTAS'!B1256</f>
        <v>0</v>
      </c>
      <c r="C1256" s="13">
        <f>+'PLAN DE CUENTAS'!C1256</f>
        <v>0</v>
      </c>
      <c r="D1256" t="str">
        <f>IF(tbal[[#This Row],[DEBE]]+tbal[[#This Row],[HABER]]=0,"","X")</f>
        <v/>
      </c>
      <c r="E1256" s="16">
        <f>SUMIF(tdiario[CUENTA],tbal[[#This Row],[CUENTA]],tdiario[DEBE])</f>
        <v>0</v>
      </c>
      <c r="F1256" s="17">
        <f>SUMIF(tdiario[CUENTA],tbal[[#This Row],[CUENTA]],tdiario[HABER])</f>
        <v>0</v>
      </c>
      <c r="G1256" s="16">
        <f>IF(tbal[[#This Row],[DEBE]]-tbal[[#This Row],[HABER]]&gt;0,tbal[[#This Row],[DEBE]]-tbal[[#This Row],[HABER]],0)</f>
        <v>0</v>
      </c>
      <c r="H1256" s="18">
        <f>IF(tbal[[#This Row],[HABER]]-tbal[[#This Row],[DEBE]]&gt;0,tbal[[#This Row],[HABER]]-tbal[[#This Row],[DEBE]],0)</f>
        <v>0</v>
      </c>
      <c r="I1256" s="16">
        <f>IF((OR(tbal[[#This Row],[X]]=1,tbal[[#This Row],[X]]=2)),tbal[[#This Row],[DEUDOR]],0)</f>
        <v>0</v>
      </c>
      <c r="J1256" s="18">
        <f>IF((OR(tbal[[#This Row],[X]]=2,tbal[[#This Row],[X]]=3)),tbal[[#This Row],[ACREEDOR]],0)</f>
        <v>0</v>
      </c>
      <c r="K1256" s="16">
        <f>IF((OR(tbal[[#This Row],[X]]=3,tbal[[#This Row],[X]]=5)),tbal[[#This Row],[DEUDOR]],0)</f>
        <v>0</v>
      </c>
      <c r="L1256" s="18">
        <f>IF((OR(tbal[[#This Row],[X]]=3,tbal[[#This Row],[X]]=4)),tbal[[#This Row],[ACREEDOR]],0)</f>
        <v>0</v>
      </c>
      <c r="M1256" s="16">
        <f>IF((OR(tbal[[#This Row],[X]]=0,tbal[[#This Row],[X]]=6)),tbal[[#This Row],[DEUDOR]],0)</f>
        <v>0</v>
      </c>
      <c r="N1256" s="18">
        <f>IF((OR(tbal[[#This Row],[X]]=0,tbal[[#This Row],[X]]=5)),tbal[[#This Row],[ACREEDOR]],0)</f>
        <v>0</v>
      </c>
    </row>
    <row r="1257" spans="1:14" hidden="1" x14ac:dyDescent="0.3">
      <c r="A1257" s="14">
        <f>+'PLAN DE CUENTAS'!A1257</f>
        <v>0</v>
      </c>
      <c r="B1257" s="13">
        <f>+'PLAN DE CUENTAS'!B1257</f>
        <v>0</v>
      </c>
      <c r="C1257" s="13">
        <f>+'PLAN DE CUENTAS'!C1257</f>
        <v>0</v>
      </c>
      <c r="D1257" t="str">
        <f>IF(tbal[[#This Row],[DEBE]]+tbal[[#This Row],[HABER]]=0,"","X")</f>
        <v/>
      </c>
      <c r="E1257" s="16">
        <f>SUMIF(tdiario[CUENTA],tbal[[#This Row],[CUENTA]],tdiario[DEBE])</f>
        <v>0</v>
      </c>
      <c r="F1257" s="17">
        <f>SUMIF(tdiario[CUENTA],tbal[[#This Row],[CUENTA]],tdiario[HABER])</f>
        <v>0</v>
      </c>
      <c r="G1257" s="16">
        <f>IF(tbal[[#This Row],[DEBE]]-tbal[[#This Row],[HABER]]&gt;0,tbal[[#This Row],[DEBE]]-tbal[[#This Row],[HABER]],0)</f>
        <v>0</v>
      </c>
      <c r="H1257" s="18">
        <f>IF(tbal[[#This Row],[HABER]]-tbal[[#This Row],[DEBE]]&gt;0,tbal[[#This Row],[HABER]]-tbal[[#This Row],[DEBE]],0)</f>
        <v>0</v>
      </c>
      <c r="I1257" s="16">
        <f>IF((OR(tbal[[#This Row],[X]]=1,tbal[[#This Row],[X]]=2)),tbal[[#This Row],[DEUDOR]],0)</f>
        <v>0</v>
      </c>
      <c r="J1257" s="18">
        <f>IF((OR(tbal[[#This Row],[X]]=2,tbal[[#This Row],[X]]=3)),tbal[[#This Row],[ACREEDOR]],0)</f>
        <v>0</v>
      </c>
      <c r="K1257" s="16">
        <f>IF((OR(tbal[[#This Row],[X]]=3,tbal[[#This Row],[X]]=5)),tbal[[#This Row],[DEUDOR]],0)</f>
        <v>0</v>
      </c>
      <c r="L1257" s="18">
        <f>IF((OR(tbal[[#This Row],[X]]=3,tbal[[#This Row],[X]]=4)),tbal[[#This Row],[ACREEDOR]],0)</f>
        <v>0</v>
      </c>
      <c r="M1257" s="16">
        <f>IF((OR(tbal[[#This Row],[X]]=0,tbal[[#This Row],[X]]=6)),tbal[[#This Row],[DEUDOR]],0)</f>
        <v>0</v>
      </c>
      <c r="N1257" s="18">
        <f>IF((OR(tbal[[#This Row],[X]]=0,tbal[[#This Row],[X]]=5)),tbal[[#This Row],[ACREEDOR]],0)</f>
        <v>0</v>
      </c>
    </row>
    <row r="1258" spans="1:14" hidden="1" x14ac:dyDescent="0.3">
      <c r="A1258" s="14">
        <f>+'PLAN DE CUENTAS'!A1258</f>
        <v>0</v>
      </c>
      <c r="B1258" s="13">
        <f>+'PLAN DE CUENTAS'!B1258</f>
        <v>0</v>
      </c>
      <c r="C1258" s="13">
        <f>+'PLAN DE CUENTAS'!C1258</f>
        <v>0</v>
      </c>
      <c r="D1258" t="str">
        <f>IF(tbal[[#This Row],[DEBE]]+tbal[[#This Row],[HABER]]=0,"","X")</f>
        <v/>
      </c>
      <c r="E1258" s="16">
        <f>SUMIF(tdiario[CUENTA],tbal[[#This Row],[CUENTA]],tdiario[DEBE])</f>
        <v>0</v>
      </c>
      <c r="F1258" s="17">
        <f>SUMIF(tdiario[CUENTA],tbal[[#This Row],[CUENTA]],tdiario[HABER])</f>
        <v>0</v>
      </c>
      <c r="G1258" s="16">
        <f>IF(tbal[[#This Row],[DEBE]]-tbal[[#This Row],[HABER]]&gt;0,tbal[[#This Row],[DEBE]]-tbal[[#This Row],[HABER]],0)</f>
        <v>0</v>
      </c>
      <c r="H1258" s="18">
        <f>IF(tbal[[#This Row],[HABER]]-tbal[[#This Row],[DEBE]]&gt;0,tbal[[#This Row],[HABER]]-tbal[[#This Row],[DEBE]],0)</f>
        <v>0</v>
      </c>
      <c r="I1258" s="16">
        <f>IF((OR(tbal[[#This Row],[X]]=1,tbal[[#This Row],[X]]=2)),tbal[[#This Row],[DEUDOR]],0)</f>
        <v>0</v>
      </c>
      <c r="J1258" s="18">
        <f>IF((OR(tbal[[#This Row],[X]]=2,tbal[[#This Row],[X]]=3)),tbal[[#This Row],[ACREEDOR]],0)</f>
        <v>0</v>
      </c>
      <c r="K1258" s="16">
        <f>IF((OR(tbal[[#This Row],[X]]=3,tbal[[#This Row],[X]]=5)),tbal[[#This Row],[DEUDOR]],0)</f>
        <v>0</v>
      </c>
      <c r="L1258" s="18">
        <f>IF((OR(tbal[[#This Row],[X]]=3,tbal[[#This Row],[X]]=4)),tbal[[#This Row],[ACREEDOR]],0)</f>
        <v>0</v>
      </c>
      <c r="M1258" s="16">
        <f>IF((OR(tbal[[#This Row],[X]]=0,tbal[[#This Row],[X]]=6)),tbal[[#This Row],[DEUDOR]],0)</f>
        <v>0</v>
      </c>
      <c r="N1258" s="18">
        <f>IF((OR(tbal[[#This Row],[X]]=0,tbal[[#This Row],[X]]=5)),tbal[[#This Row],[ACREEDOR]],0)</f>
        <v>0</v>
      </c>
    </row>
    <row r="1259" spans="1:14" hidden="1" x14ac:dyDescent="0.3">
      <c r="A1259" s="14">
        <f>+'PLAN DE CUENTAS'!A1259</f>
        <v>0</v>
      </c>
      <c r="B1259" s="13">
        <f>+'PLAN DE CUENTAS'!B1259</f>
        <v>0</v>
      </c>
      <c r="C1259" s="13">
        <f>+'PLAN DE CUENTAS'!C1259</f>
        <v>0</v>
      </c>
      <c r="D1259" t="str">
        <f>IF(tbal[[#This Row],[DEBE]]+tbal[[#This Row],[HABER]]=0,"","X")</f>
        <v/>
      </c>
      <c r="E1259" s="16">
        <f>SUMIF(tdiario[CUENTA],tbal[[#This Row],[CUENTA]],tdiario[DEBE])</f>
        <v>0</v>
      </c>
      <c r="F1259" s="17">
        <f>SUMIF(tdiario[CUENTA],tbal[[#This Row],[CUENTA]],tdiario[HABER])</f>
        <v>0</v>
      </c>
      <c r="G1259" s="16">
        <f>IF(tbal[[#This Row],[DEBE]]-tbal[[#This Row],[HABER]]&gt;0,tbal[[#This Row],[DEBE]]-tbal[[#This Row],[HABER]],0)</f>
        <v>0</v>
      </c>
      <c r="H1259" s="18">
        <f>IF(tbal[[#This Row],[HABER]]-tbal[[#This Row],[DEBE]]&gt;0,tbal[[#This Row],[HABER]]-tbal[[#This Row],[DEBE]],0)</f>
        <v>0</v>
      </c>
      <c r="I1259" s="16">
        <f>IF((OR(tbal[[#This Row],[X]]=1,tbal[[#This Row],[X]]=2)),tbal[[#This Row],[DEUDOR]],0)</f>
        <v>0</v>
      </c>
      <c r="J1259" s="18">
        <f>IF((OR(tbal[[#This Row],[X]]=2,tbal[[#This Row],[X]]=3)),tbal[[#This Row],[ACREEDOR]],0)</f>
        <v>0</v>
      </c>
      <c r="K1259" s="16">
        <f>IF((OR(tbal[[#This Row],[X]]=3,tbal[[#This Row],[X]]=5)),tbal[[#This Row],[DEUDOR]],0)</f>
        <v>0</v>
      </c>
      <c r="L1259" s="18">
        <f>IF((OR(tbal[[#This Row],[X]]=3,tbal[[#This Row],[X]]=4)),tbal[[#This Row],[ACREEDOR]],0)</f>
        <v>0</v>
      </c>
      <c r="M1259" s="16">
        <f>IF((OR(tbal[[#This Row],[X]]=0,tbal[[#This Row],[X]]=6)),tbal[[#This Row],[DEUDOR]],0)</f>
        <v>0</v>
      </c>
      <c r="N1259" s="18">
        <f>IF((OR(tbal[[#This Row],[X]]=0,tbal[[#This Row],[X]]=5)),tbal[[#This Row],[ACREEDOR]],0)</f>
        <v>0</v>
      </c>
    </row>
    <row r="1260" spans="1:14" hidden="1" x14ac:dyDescent="0.3">
      <c r="A1260" s="14">
        <f>+'PLAN DE CUENTAS'!A1260</f>
        <v>0</v>
      </c>
      <c r="B1260" s="13">
        <f>+'PLAN DE CUENTAS'!B1260</f>
        <v>0</v>
      </c>
      <c r="C1260" s="13">
        <f>+'PLAN DE CUENTAS'!C1260</f>
        <v>0</v>
      </c>
      <c r="D1260" t="str">
        <f>IF(tbal[[#This Row],[DEBE]]+tbal[[#This Row],[HABER]]=0,"","X")</f>
        <v/>
      </c>
      <c r="E1260" s="16">
        <f>SUMIF(tdiario[CUENTA],tbal[[#This Row],[CUENTA]],tdiario[DEBE])</f>
        <v>0</v>
      </c>
      <c r="F1260" s="17">
        <f>SUMIF(tdiario[CUENTA],tbal[[#This Row],[CUENTA]],tdiario[HABER])</f>
        <v>0</v>
      </c>
      <c r="G1260" s="16">
        <f>IF(tbal[[#This Row],[DEBE]]-tbal[[#This Row],[HABER]]&gt;0,tbal[[#This Row],[DEBE]]-tbal[[#This Row],[HABER]],0)</f>
        <v>0</v>
      </c>
      <c r="H1260" s="18">
        <f>IF(tbal[[#This Row],[HABER]]-tbal[[#This Row],[DEBE]]&gt;0,tbal[[#This Row],[HABER]]-tbal[[#This Row],[DEBE]],0)</f>
        <v>0</v>
      </c>
      <c r="I1260" s="16">
        <f>IF((OR(tbal[[#This Row],[X]]=1,tbal[[#This Row],[X]]=2)),tbal[[#This Row],[DEUDOR]],0)</f>
        <v>0</v>
      </c>
      <c r="J1260" s="18">
        <f>IF((OR(tbal[[#This Row],[X]]=2,tbal[[#This Row],[X]]=3)),tbal[[#This Row],[ACREEDOR]],0)</f>
        <v>0</v>
      </c>
      <c r="K1260" s="16">
        <f>IF((OR(tbal[[#This Row],[X]]=3,tbal[[#This Row],[X]]=5)),tbal[[#This Row],[DEUDOR]],0)</f>
        <v>0</v>
      </c>
      <c r="L1260" s="18">
        <f>IF((OR(tbal[[#This Row],[X]]=3,tbal[[#This Row],[X]]=4)),tbal[[#This Row],[ACREEDOR]],0)</f>
        <v>0</v>
      </c>
      <c r="M1260" s="16">
        <f>IF((OR(tbal[[#This Row],[X]]=0,tbal[[#This Row],[X]]=6)),tbal[[#This Row],[DEUDOR]],0)</f>
        <v>0</v>
      </c>
      <c r="N1260" s="18">
        <f>IF((OR(tbal[[#This Row],[X]]=0,tbal[[#This Row],[X]]=5)),tbal[[#This Row],[ACREEDOR]],0)</f>
        <v>0</v>
      </c>
    </row>
    <row r="1261" spans="1:14" hidden="1" x14ac:dyDescent="0.3">
      <c r="A1261" s="14">
        <f>+'PLAN DE CUENTAS'!A1261</f>
        <v>0</v>
      </c>
      <c r="B1261" s="13">
        <f>+'PLAN DE CUENTAS'!B1261</f>
        <v>0</v>
      </c>
      <c r="C1261" s="13">
        <f>+'PLAN DE CUENTAS'!C1261</f>
        <v>0</v>
      </c>
      <c r="D1261" t="str">
        <f>IF(tbal[[#This Row],[DEBE]]+tbal[[#This Row],[HABER]]=0,"","X")</f>
        <v/>
      </c>
      <c r="E1261" s="16">
        <f>SUMIF(tdiario[CUENTA],tbal[[#This Row],[CUENTA]],tdiario[DEBE])</f>
        <v>0</v>
      </c>
      <c r="F1261" s="17">
        <f>SUMIF(tdiario[CUENTA],tbal[[#This Row],[CUENTA]],tdiario[HABER])</f>
        <v>0</v>
      </c>
      <c r="G1261" s="16">
        <f>IF(tbal[[#This Row],[DEBE]]-tbal[[#This Row],[HABER]]&gt;0,tbal[[#This Row],[DEBE]]-tbal[[#This Row],[HABER]],0)</f>
        <v>0</v>
      </c>
      <c r="H1261" s="18">
        <f>IF(tbal[[#This Row],[HABER]]-tbal[[#This Row],[DEBE]]&gt;0,tbal[[#This Row],[HABER]]-tbal[[#This Row],[DEBE]],0)</f>
        <v>0</v>
      </c>
      <c r="I1261" s="16">
        <f>IF((OR(tbal[[#This Row],[X]]=1,tbal[[#This Row],[X]]=2)),tbal[[#This Row],[DEUDOR]],0)</f>
        <v>0</v>
      </c>
      <c r="J1261" s="18">
        <f>IF((OR(tbal[[#This Row],[X]]=2,tbal[[#This Row],[X]]=3)),tbal[[#This Row],[ACREEDOR]],0)</f>
        <v>0</v>
      </c>
      <c r="K1261" s="16">
        <f>IF((OR(tbal[[#This Row],[X]]=3,tbal[[#This Row],[X]]=5)),tbal[[#This Row],[DEUDOR]],0)</f>
        <v>0</v>
      </c>
      <c r="L1261" s="18">
        <f>IF((OR(tbal[[#This Row],[X]]=3,tbal[[#This Row],[X]]=4)),tbal[[#This Row],[ACREEDOR]],0)</f>
        <v>0</v>
      </c>
      <c r="M1261" s="16">
        <f>IF((OR(tbal[[#This Row],[X]]=0,tbal[[#This Row],[X]]=6)),tbal[[#This Row],[DEUDOR]],0)</f>
        <v>0</v>
      </c>
      <c r="N1261" s="18">
        <f>IF((OR(tbal[[#This Row],[X]]=0,tbal[[#This Row],[X]]=5)),tbal[[#This Row],[ACREEDOR]],0)</f>
        <v>0</v>
      </c>
    </row>
    <row r="1262" spans="1:14" hidden="1" x14ac:dyDescent="0.3">
      <c r="A1262" s="14">
        <f>+'PLAN DE CUENTAS'!A1262</f>
        <v>0</v>
      </c>
      <c r="B1262" s="13">
        <f>+'PLAN DE CUENTAS'!B1262</f>
        <v>0</v>
      </c>
      <c r="C1262" s="13">
        <f>+'PLAN DE CUENTAS'!C1262</f>
        <v>0</v>
      </c>
      <c r="D1262" t="str">
        <f>IF(tbal[[#This Row],[DEBE]]+tbal[[#This Row],[HABER]]=0,"","X")</f>
        <v/>
      </c>
      <c r="E1262" s="16">
        <f>SUMIF(tdiario[CUENTA],tbal[[#This Row],[CUENTA]],tdiario[DEBE])</f>
        <v>0</v>
      </c>
      <c r="F1262" s="17">
        <f>SUMIF(tdiario[CUENTA],tbal[[#This Row],[CUENTA]],tdiario[HABER])</f>
        <v>0</v>
      </c>
      <c r="G1262" s="16">
        <f>IF(tbal[[#This Row],[DEBE]]-tbal[[#This Row],[HABER]]&gt;0,tbal[[#This Row],[DEBE]]-tbal[[#This Row],[HABER]],0)</f>
        <v>0</v>
      </c>
      <c r="H1262" s="18">
        <f>IF(tbal[[#This Row],[HABER]]-tbal[[#This Row],[DEBE]]&gt;0,tbal[[#This Row],[HABER]]-tbal[[#This Row],[DEBE]],0)</f>
        <v>0</v>
      </c>
      <c r="I1262" s="16">
        <f>IF((OR(tbal[[#This Row],[X]]=1,tbal[[#This Row],[X]]=2)),tbal[[#This Row],[DEUDOR]],0)</f>
        <v>0</v>
      </c>
      <c r="J1262" s="18">
        <f>IF((OR(tbal[[#This Row],[X]]=2,tbal[[#This Row],[X]]=3)),tbal[[#This Row],[ACREEDOR]],0)</f>
        <v>0</v>
      </c>
      <c r="K1262" s="16">
        <f>IF((OR(tbal[[#This Row],[X]]=3,tbal[[#This Row],[X]]=5)),tbal[[#This Row],[DEUDOR]],0)</f>
        <v>0</v>
      </c>
      <c r="L1262" s="18">
        <f>IF((OR(tbal[[#This Row],[X]]=3,tbal[[#This Row],[X]]=4)),tbal[[#This Row],[ACREEDOR]],0)</f>
        <v>0</v>
      </c>
      <c r="M1262" s="16">
        <f>IF((OR(tbal[[#This Row],[X]]=0,tbal[[#This Row],[X]]=6)),tbal[[#This Row],[DEUDOR]],0)</f>
        <v>0</v>
      </c>
      <c r="N1262" s="18">
        <f>IF((OR(tbal[[#This Row],[X]]=0,tbal[[#This Row],[X]]=5)),tbal[[#This Row],[ACREEDOR]],0)</f>
        <v>0</v>
      </c>
    </row>
    <row r="1263" spans="1:14" hidden="1" x14ac:dyDescent="0.3">
      <c r="A1263" s="14">
        <f>+'PLAN DE CUENTAS'!A1263</f>
        <v>0</v>
      </c>
      <c r="B1263" s="13">
        <f>+'PLAN DE CUENTAS'!B1263</f>
        <v>0</v>
      </c>
      <c r="C1263" s="13">
        <f>+'PLAN DE CUENTAS'!C1263</f>
        <v>0</v>
      </c>
      <c r="D1263" t="str">
        <f>IF(tbal[[#This Row],[DEBE]]+tbal[[#This Row],[HABER]]=0,"","X")</f>
        <v/>
      </c>
      <c r="E1263" s="16">
        <f>SUMIF(tdiario[CUENTA],tbal[[#This Row],[CUENTA]],tdiario[DEBE])</f>
        <v>0</v>
      </c>
      <c r="F1263" s="17">
        <f>SUMIF(tdiario[CUENTA],tbal[[#This Row],[CUENTA]],tdiario[HABER])</f>
        <v>0</v>
      </c>
      <c r="G1263" s="16">
        <f>IF(tbal[[#This Row],[DEBE]]-tbal[[#This Row],[HABER]]&gt;0,tbal[[#This Row],[DEBE]]-tbal[[#This Row],[HABER]],0)</f>
        <v>0</v>
      </c>
      <c r="H1263" s="18">
        <f>IF(tbal[[#This Row],[HABER]]-tbal[[#This Row],[DEBE]]&gt;0,tbal[[#This Row],[HABER]]-tbal[[#This Row],[DEBE]],0)</f>
        <v>0</v>
      </c>
      <c r="I1263" s="16">
        <f>IF((OR(tbal[[#This Row],[X]]=1,tbal[[#This Row],[X]]=2)),tbal[[#This Row],[DEUDOR]],0)</f>
        <v>0</v>
      </c>
      <c r="J1263" s="18">
        <f>IF((OR(tbal[[#This Row],[X]]=2,tbal[[#This Row],[X]]=3)),tbal[[#This Row],[ACREEDOR]],0)</f>
        <v>0</v>
      </c>
      <c r="K1263" s="16">
        <f>IF((OR(tbal[[#This Row],[X]]=3,tbal[[#This Row],[X]]=5)),tbal[[#This Row],[DEUDOR]],0)</f>
        <v>0</v>
      </c>
      <c r="L1263" s="18">
        <f>IF((OR(tbal[[#This Row],[X]]=3,tbal[[#This Row],[X]]=4)),tbal[[#This Row],[ACREEDOR]],0)</f>
        <v>0</v>
      </c>
      <c r="M1263" s="16">
        <f>IF((OR(tbal[[#This Row],[X]]=0,tbal[[#This Row],[X]]=6)),tbal[[#This Row],[DEUDOR]],0)</f>
        <v>0</v>
      </c>
      <c r="N1263" s="18">
        <f>IF((OR(tbal[[#This Row],[X]]=0,tbal[[#This Row],[X]]=5)),tbal[[#This Row],[ACREEDOR]],0)</f>
        <v>0</v>
      </c>
    </row>
    <row r="1264" spans="1:14" hidden="1" x14ac:dyDescent="0.3">
      <c r="A1264" s="14">
        <f>+'PLAN DE CUENTAS'!A1264</f>
        <v>0</v>
      </c>
      <c r="B1264" s="13">
        <f>+'PLAN DE CUENTAS'!B1264</f>
        <v>0</v>
      </c>
      <c r="C1264" s="13">
        <f>+'PLAN DE CUENTAS'!C1264</f>
        <v>0</v>
      </c>
      <c r="D1264" t="str">
        <f>IF(tbal[[#This Row],[DEBE]]+tbal[[#This Row],[HABER]]=0,"","X")</f>
        <v/>
      </c>
      <c r="E1264" s="16">
        <f>SUMIF(tdiario[CUENTA],tbal[[#This Row],[CUENTA]],tdiario[DEBE])</f>
        <v>0</v>
      </c>
      <c r="F1264" s="17">
        <f>SUMIF(tdiario[CUENTA],tbal[[#This Row],[CUENTA]],tdiario[HABER])</f>
        <v>0</v>
      </c>
      <c r="G1264" s="16">
        <f>IF(tbal[[#This Row],[DEBE]]-tbal[[#This Row],[HABER]]&gt;0,tbal[[#This Row],[DEBE]]-tbal[[#This Row],[HABER]],0)</f>
        <v>0</v>
      </c>
      <c r="H1264" s="18">
        <f>IF(tbal[[#This Row],[HABER]]-tbal[[#This Row],[DEBE]]&gt;0,tbal[[#This Row],[HABER]]-tbal[[#This Row],[DEBE]],0)</f>
        <v>0</v>
      </c>
      <c r="I1264" s="16">
        <f>IF((OR(tbal[[#This Row],[X]]=1,tbal[[#This Row],[X]]=2)),tbal[[#This Row],[DEUDOR]],0)</f>
        <v>0</v>
      </c>
      <c r="J1264" s="18">
        <f>IF((OR(tbal[[#This Row],[X]]=2,tbal[[#This Row],[X]]=3)),tbal[[#This Row],[ACREEDOR]],0)</f>
        <v>0</v>
      </c>
      <c r="K1264" s="16">
        <f>IF((OR(tbal[[#This Row],[X]]=3,tbal[[#This Row],[X]]=5)),tbal[[#This Row],[DEUDOR]],0)</f>
        <v>0</v>
      </c>
      <c r="L1264" s="18">
        <f>IF((OR(tbal[[#This Row],[X]]=3,tbal[[#This Row],[X]]=4)),tbal[[#This Row],[ACREEDOR]],0)</f>
        <v>0</v>
      </c>
      <c r="M1264" s="16">
        <f>IF((OR(tbal[[#This Row],[X]]=0,tbal[[#This Row],[X]]=6)),tbal[[#This Row],[DEUDOR]],0)</f>
        <v>0</v>
      </c>
      <c r="N1264" s="18">
        <f>IF((OR(tbal[[#This Row],[X]]=0,tbal[[#This Row],[X]]=5)),tbal[[#This Row],[ACREEDOR]],0)</f>
        <v>0</v>
      </c>
    </row>
    <row r="1265" spans="1:14" hidden="1" x14ac:dyDescent="0.3">
      <c r="A1265" s="14">
        <f>+'PLAN DE CUENTAS'!A1265</f>
        <v>0</v>
      </c>
      <c r="B1265" s="13">
        <f>+'PLAN DE CUENTAS'!B1265</f>
        <v>0</v>
      </c>
      <c r="C1265" s="13">
        <f>+'PLAN DE CUENTAS'!C1265</f>
        <v>0</v>
      </c>
      <c r="D1265" t="str">
        <f>IF(tbal[[#This Row],[DEBE]]+tbal[[#This Row],[HABER]]=0,"","X")</f>
        <v/>
      </c>
      <c r="E1265" s="16">
        <f>SUMIF(tdiario[CUENTA],tbal[[#This Row],[CUENTA]],tdiario[DEBE])</f>
        <v>0</v>
      </c>
      <c r="F1265" s="17">
        <f>SUMIF(tdiario[CUENTA],tbal[[#This Row],[CUENTA]],tdiario[HABER])</f>
        <v>0</v>
      </c>
      <c r="G1265" s="16">
        <f>IF(tbal[[#This Row],[DEBE]]-tbal[[#This Row],[HABER]]&gt;0,tbal[[#This Row],[DEBE]]-tbal[[#This Row],[HABER]],0)</f>
        <v>0</v>
      </c>
      <c r="H1265" s="18">
        <f>IF(tbal[[#This Row],[HABER]]-tbal[[#This Row],[DEBE]]&gt;0,tbal[[#This Row],[HABER]]-tbal[[#This Row],[DEBE]],0)</f>
        <v>0</v>
      </c>
      <c r="I1265" s="16">
        <f>IF((OR(tbal[[#This Row],[X]]=1,tbal[[#This Row],[X]]=2)),tbal[[#This Row],[DEUDOR]],0)</f>
        <v>0</v>
      </c>
      <c r="J1265" s="18">
        <f>IF((OR(tbal[[#This Row],[X]]=2,tbal[[#This Row],[X]]=3)),tbal[[#This Row],[ACREEDOR]],0)</f>
        <v>0</v>
      </c>
      <c r="K1265" s="16">
        <f>IF((OR(tbal[[#This Row],[X]]=3,tbal[[#This Row],[X]]=5)),tbal[[#This Row],[DEUDOR]],0)</f>
        <v>0</v>
      </c>
      <c r="L1265" s="18">
        <f>IF((OR(tbal[[#This Row],[X]]=3,tbal[[#This Row],[X]]=4)),tbal[[#This Row],[ACREEDOR]],0)</f>
        <v>0</v>
      </c>
      <c r="M1265" s="16">
        <f>IF((OR(tbal[[#This Row],[X]]=0,tbal[[#This Row],[X]]=6)),tbal[[#This Row],[DEUDOR]],0)</f>
        <v>0</v>
      </c>
      <c r="N1265" s="18">
        <f>IF((OR(tbal[[#This Row],[X]]=0,tbal[[#This Row],[X]]=5)),tbal[[#This Row],[ACREEDOR]],0)</f>
        <v>0</v>
      </c>
    </row>
    <row r="1266" spans="1:14" hidden="1" x14ac:dyDescent="0.3">
      <c r="A1266" s="14">
        <f>+'PLAN DE CUENTAS'!A1266</f>
        <v>0</v>
      </c>
      <c r="B1266" s="13">
        <f>+'PLAN DE CUENTAS'!B1266</f>
        <v>0</v>
      </c>
      <c r="C1266" s="13">
        <f>+'PLAN DE CUENTAS'!C1266</f>
        <v>0</v>
      </c>
      <c r="D1266" t="str">
        <f>IF(tbal[[#This Row],[DEBE]]+tbal[[#This Row],[HABER]]=0,"","X")</f>
        <v/>
      </c>
      <c r="E1266" s="16">
        <f>SUMIF(tdiario[CUENTA],tbal[[#This Row],[CUENTA]],tdiario[DEBE])</f>
        <v>0</v>
      </c>
      <c r="F1266" s="17">
        <f>SUMIF(tdiario[CUENTA],tbal[[#This Row],[CUENTA]],tdiario[HABER])</f>
        <v>0</v>
      </c>
      <c r="G1266" s="16">
        <f>IF(tbal[[#This Row],[DEBE]]-tbal[[#This Row],[HABER]]&gt;0,tbal[[#This Row],[DEBE]]-tbal[[#This Row],[HABER]],0)</f>
        <v>0</v>
      </c>
      <c r="H1266" s="18">
        <f>IF(tbal[[#This Row],[HABER]]-tbal[[#This Row],[DEBE]]&gt;0,tbal[[#This Row],[HABER]]-tbal[[#This Row],[DEBE]],0)</f>
        <v>0</v>
      </c>
      <c r="I1266" s="16">
        <f>IF((OR(tbal[[#This Row],[X]]=1,tbal[[#This Row],[X]]=2)),tbal[[#This Row],[DEUDOR]],0)</f>
        <v>0</v>
      </c>
      <c r="J1266" s="18">
        <f>IF((OR(tbal[[#This Row],[X]]=2,tbal[[#This Row],[X]]=3)),tbal[[#This Row],[ACREEDOR]],0)</f>
        <v>0</v>
      </c>
      <c r="K1266" s="16">
        <f>IF((OR(tbal[[#This Row],[X]]=3,tbal[[#This Row],[X]]=5)),tbal[[#This Row],[DEUDOR]],0)</f>
        <v>0</v>
      </c>
      <c r="L1266" s="18">
        <f>IF((OR(tbal[[#This Row],[X]]=3,tbal[[#This Row],[X]]=4)),tbal[[#This Row],[ACREEDOR]],0)</f>
        <v>0</v>
      </c>
      <c r="M1266" s="16">
        <f>IF((OR(tbal[[#This Row],[X]]=0,tbal[[#This Row],[X]]=6)),tbal[[#This Row],[DEUDOR]],0)</f>
        <v>0</v>
      </c>
      <c r="N1266" s="18">
        <f>IF((OR(tbal[[#This Row],[X]]=0,tbal[[#This Row],[X]]=5)),tbal[[#This Row],[ACREEDOR]],0)</f>
        <v>0</v>
      </c>
    </row>
    <row r="1267" spans="1:14" hidden="1" x14ac:dyDescent="0.3">
      <c r="A1267" s="14">
        <f>+'PLAN DE CUENTAS'!A1267</f>
        <v>0</v>
      </c>
      <c r="B1267" s="13">
        <f>+'PLAN DE CUENTAS'!B1267</f>
        <v>0</v>
      </c>
      <c r="C1267" s="13">
        <f>+'PLAN DE CUENTAS'!C1267</f>
        <v>0</v>
      </c>
      <c r="D1267" t="str">
        <f>IF(tbal[[#This Row],[DEBE]]+tbal[[#This Row],[HABER]]=0,"","X")</f>
        <v/>
      </c>
      <c r="E1267" s="16">
        <f>SUMIF(tdiario[CUENTA],tbal[[#This Row],[CUENTA]],tdiario[DEBE])</f>
        <v>0</v>
      </c>
      <c r="F1267" s="17">
        <f>SUMIF(tdiario[CUENTA],tbal[[#This Row],[CUENTA]],tdiario[HABER])</f>
        <v>0</v>
      </c>
      <c r="G1267" s="16">
        <f>IF(tbal[[#This Row],[DEBE]]-tbal[[#This Row],[HABER]]&gt;0,tbal[[#This Row],[DEBE]]-tbal[[#This Row],[HABER]],0)</f>
        <v>0</v>
      </c>
      <c r="H1267" s="18">
        <f>IF(tbal[[#This Row],[HABER]]-tbal[[#This Row],[DEBE]]&gt;0,tbal[[#This Row],[HABER]]-tbal[[#This Row],[DEBE]],0)</f>
        <v>0</v>
      </c>
      <c r="I1267" s="16">
        <f>IF((OR(tbal[[#This Row],[X]]=1,tbal[[#This Row],[X]]=2)),tbal[[#This Row],[DEUDOR]],0)</f>
        <v>0</v>
      </c>
      <c r="J1267" s="18">
        <f>IF((OR(tbal[[#This Row],[X]]=2,tbal[[#This Row],[X]]=3)),tbal[[#This Row],[ACREEDOR]],0)</f>
        <v>0</v>
      </c>
      <c r="K1267" s="16">
        <f>IF((OR(tbal[[#This Row],[X]]=3,tbal[[#This Row],[X]]=5)),tbal[[#This Row],[DEUDOR]],0)</f>
        <v>0</v>
      </c>
      <c r="L1267" s="18">
        <f>IF((OR(tbal[[#This Row],[X]]=3,tbal[[#This Row],[X]]=4)),tbal[[#This Row],[ACREEDOR]],0)</f>
        <v>0</v>
      </c>
      <c r="M1267" s="16">
        <f>IF((OR(tbal[[#This Row],[X]]=0,tbal[[#This Row],[X]]=6)),tbal[[#This Row],[DEUDOR]],0)</f>
        <v>0</v>
      </c>
      <c r="N1267" s="18">
        <f>IF((OR(tbal[[#This Row],[X]]=0,tbal[[#This Row],[X]]=5)),tbal[[#This Row],[ACREEDOR]],0)</f>
        <v>0</v>
      </c>
    </row>
    <row r="1268" spans="1:14" hidden="1" x14ac:dyDescent="0.3">
      <c r="A1268" s="14">
        <f>+'PLAN DE CUENTAS'!A1268</f>
        <v>0</v>
      </c>
      <c r="B1268" s="13">
        <f>+'PLAN DE CUENTAS'!B1268</f>
        <v>0</v>
      </c>
      <c r="C1268" s="13">
        <f>+'PLAN DE CUENTAS'!C1268</f>
        <v>0</v>
      </c>
      <c r="D1268" t="str">
        <f>IF(tbal[[#This Row],[DEBE]]+tbal[[#This Row],[HABER]]=0,"","X")</f>
        <v/>
      </c>
      <c r="E1268" s="16">
        <f>SUMIF(tdiario[CUENTA],tbal[[#This Row],[CUENTA]],tdiario[DEBE])</f>
        <v>0</v>
      </c>
      <c r="F1268" s="17">
        <f>SUMIF(tdiario[CUENTA],tbal[[#This Row],[CUENTA]],tdiario[HABER])</f>
        <v>0</v>
      </c>
      <c r="G1268" s="16">
        <f>IF(tbal[[#This Row],[DEBE]]-tbal[[#This Row],[HABER]]&gt;0,tbal[[#This Row],[DEBE]]-tbal[[#This Row],[HABER]],0)</f>
        <v>0</v>
      </c>
      <c r="H1268" s="18">
        <f>IF(tbal[[#This Row],[HABER]]-tbal[[#This Row],[DEBE]]&gt;0,tbal[[#This Row],[HABER]]-tbal[[#This Row],[DEBE]],0)</f>
        <v>0</v>
      </c>
      <c r="I1268" s="16">
        <f>IF((OR(tbal[[#This Row],[X]]=1,tbal[[#This Row],[X]]=2)),tbal[[#This Row],[DEUDOR]],0)</f>
        <v>0</v>
      </c>
      <c r="J1268" s="18">
        <f>IF((OR(tbal[[#This Row],[X]]=2,tbal[[#This Row],[X]]=3)),tbal[[#This Row],[ACREEDOR]],0)</f>
        <v>0</v>
      </c>
      <c r="K1268" s="16">
        <f>IF((OR(tbal[[#This Row],[X]]=3,tbal[[#This Row],[X]]=5)),tbal[[#This Row],[DEUDOR]],0)</f>
        <v>0</v>
      </c>
      <c r="L1268" s="18">
        <f>IF((OR(tbal[[#This Row],[X]]=3,tbal[[#This Row],[X]]=4)),tbal[[#This Row],[ACREEDOR]],0)</f>
        <v>0</v>
      </c>
      <c r="M1268" s="16">
        <f>IF((OR(tbal[[#This Row],[X]]=0,tbal[[#This Row],[X]]=6)),tbal[[#This Row],[DEUDOR]],0)</f>
        <v>0</v>
      </c>
      <c r="N1268" s="18">
        <f>IF((OR(tbal[[#This Row],[X]]=0,tbal[[#This Row],[X]]=5)),tbal[[#This Row],[ACREEDOR]],0)</f>
        <v>0</v>
      </c>
    </row>
    <row r="1269" spans="1:14" hidden="1" x14ac:dyDescent="0.3">
      <c r="A1269" s="14">
        <f>+'PLAN DE CUENTAS'!A1269</f>
        <v>0</v>
      </c>
      <c r="B1269" s="13">
        <f>+'PLAN DE CUENTAS'!B1269</f>
        <v>0</v>
      </c>
      <c r="C1269" s="13">
        <f>+'PLAN DE CUENTAS'!C1269</f>
        <v>0</v>
      </c>
      <c r="D1269" t="str">
        <f>IF(tbal[[#This Row],[DEBE]]+tbal[[#This Row],[HABER]]=0,"","X")</f>
        <v/>
      </c>
      <c r="E1269" s="16">
        <f>SUMIF(tdiario[CUENTA],tbal[[#This Row],[CUENTA]],tdiario[DEBE])</f>
        <v>0</v>
      </c>
      <c r="F1269" s="17">
        <f>SUMIF(tdiario[CUENTA],tbal[[#This Row],[CUENTA]],tdiario[HABER])</f>
        <v>0</v>
      </c>
      <c r="G1269" s="16">
        <f>IF(tbal[[#This Row],[DEBE]]-tbal[[#This Row],[HABER]]&gt;0,tbal[[#This Row],[DEBE]]-tbal[[#This Row],[HABER]],0)</f>
        <v>0</v>
      </c>
      <c r="H1269" s="18">
        <f>IF(tbal[[#This Row],[HABER]]-tbal[[#This Row],[DEBE]]&gt;0,tbal[[#This Row],[HABER]]-tbal[[#This Row],[DEBE]],0)</f>
        <v>0</v>
      </c>
      <c r="I1269" s="16">
        <f>IF((OR(tbal[[#This Row],[X]]=1,tbal[[#This Row],[X]]=2)),tbal[[#This Row],[DEUDOR]],0)</f>
        <v>0</v>
      </c>
      <c r="J1269" s="18">
        <f>IF((OR(tbal[[#This Row],[X]]=2,tbal[[#This Row],[X]]=3)),tbal[[#This Row],[ACREEDOR]],0)</f>
        <v>0</v>
      </c>
      <c r="K1269" s="16">
        <f>IF((OR(tbal[[#This Row],[X]]=3,tbal[[#This Row],[X]]=5)),tbal[[#This Row],[DEUDOR]],0)</f>
        <v>0</v>
      </c>
      <c r="L1269" s="18">
        <f>IF((OR(tbal[[#This Row],[X]]=3,tbal[[#This Row],[X]]=4)),tbal[[#This Row],[ACREEDOR]],0)</f>
        <v>0</v>
      </c>
      <c r="M1269" s="16">
        <f>IF((OR(tbal[[#This Row],[X]]=0,tbal[[#This Row],[X]]=6)),tbal[[#This Row],[DEUDOR]],0)</f>
        <v>0</v>
      </c>
      <c r="N1269" s="18">
        <f>IF((OR(tbal[[#This Row],[X]]=0,tbal[[#This Row],[X]]=5)),tbal[[#This Row],[ACREEDOR]],0)</f>
        <v>0</v>
      </c>
    </row>
    <row r="1270" spans="1:14" hidden="1" x14ac:dyDescent="0.3">
      <c r="A1270" s="14">
        <f>+'PLAN DE CUENTAS'!A1270</f>
        <v>0</v>
      </c>
      <c r="B1270" s="13">
        <f>+'PLAN DE CUENTAS'!B1270</f>
        <v>0</v>
      </c>
      <c r="C1270" s="13">
        <f>+'PLAN DE CUENTAS'!C1270</f>
        <v>0</v>
      </c>
      <c r="D1270" t="str">
        <f>IF(tbal[[#This Row],[DEBE]]+tbal[[#This Row],[HABER]]=0,"","X")</f>
        <v/>
      </c>
      <c r="E1270" s="16">
        <f>SUMIF(tdiario[CUENTA],tbal[[#This Row],[CUENTA]],tdiario[DEBE])</f>
        <v>0</v>
      </c>
      <c r="F1270" s="17">
        <f>SUMIF(tdiario[CUENTA],tbal[[#This Row],[CUENTA]],tdiario[HABER])</f>
        <v>0</v>
      </c>
      <c r="G1270" s="16">
        <f>IF(tbal[[#This Row],[DEBE]]-tbal[[#This Row],[HABER]]&gt;0,tbal[[#This Row],[DEBE]]-tbal[[#This Row],[HABER]],0)</f>
        <v>0</v>
      </c>
      <c r="H1270" s="18">
        <f>IF(tbal[[#This Row],[HABER]]-tbal[[#This Row],[DEBE]]&gt;0,tbal[[#This Row],[HABER]]-tbal[[#This Row],[DEBE]],0)</f>
        <v>0</v>
      </c>
      <c r="I1270" s="16">
        <f>IF((OR(tbal[[#This Row],[X]]=1,tbal[[#This Row],[X]]=2)),tbal[[#This Row],[DEUDOR]],0)</f>
        <v>0</v>
      </c>
      <c r="J1270" s="18">
        <f>IF((OR(tbal[[#This Row],[X]]=2,tbal[[#This Row],[X]]=3)),tbal[[#This Row],[ACREEDOR]],0)</f>
        <v>0</v>
      </c>
      <c r="K1270" s="16">
        <f>IF((OR(tbal[[#This Row],[X]]=3,tbal[[#This Row],[X]]=5)),tbal[[#This Row],[DEUDOR]],0)</f>
        <v>0</v>
      </c>
      <c r="L1270" s="18">
        <f>IF((OR(tbal[[#This Row],[X]]=3,tbal[[#This Row],[X]]=4)),tbal[[#This Row],[ACREEDOR]],0)</f>
        <v>0</v>
      </c>
      <c r="M1270" s="16">
        <f>IF((OR(tbal[[#This Row],[X]]=0,tbal[[#This Row],[X]]=6)),tbal[[#This Row],[DEUDOR]],0)</f>
        <v>0</v>
      </c>
      <c r="N1270" s="18">
        <f>IF((OR(tbal[[#This Row],[X]]=0,tbal[[#This Row],[X]]=5)),tbal[[#This Row],[ACREEDOR]],0)</f>
        <v>0</v>
      </c>
    </row>
    <row r="1271" spans="1:14" hidden="1" x14ac:dyDescent="0.3">
      <c r="A1271" s="14">
        <f>+'PLAN DE CUENTAS'!A1271</f>
        <v>0</v>
      </c>
      <c r="B1271" s="13">
        <f>+'PLAN DE CUENTAS'!B1271</f>
        <v>0</v>
      </c>
      <c r="C1271" s="13">
        <f>+'PLAN DE CUENTAS'!C1271</f>
        <v>0</v>
      </c>
      <c r="D1271" t="str">
        <f>IF(tbal[[#This Row],[DEBE]]+tbal[[#This Row],[HABER]]=0,"","X")</f>
        <v/>
      </c>
      <c r="E1271" s="16">
        <f>SUMIF(tdiario[CUENTA],tbal[[#This Row],[CUENTA]],tdiario[DEBE])</f>
        <v>0</v>
      </c>
      <c r="F1271" s="17">
        <f>SUMIF(tdiario[CUENTA],tbal[[#This Row],[CUENTA]],tdiario[HABER])</f>
        <v>0</v>
      </c>
      <c r="G1271" s="16">
        <f>IF(tbal[[#This Row],[DEBE]]-tbal[[#This Row],[HABER]]&gt;0,tbal[[#This Row],[DEBE]]-tbal[[#This Row],[HABER]],0)</f>
        <v>0</v>
      </c>
      <c r="H1271" s="18">
        <f>IF(tbal[[#This Row],[HABER]]-tbal[[#This Row],[DEBE]]&gt;0,tbal[[#This Row],[HABER]]-tbal[[#This Row],[DEBE]],0)</f>
        <v>0</v>
      </c>
      <c r="I1271" s="16">
        <f>IF((OR(tbal[[#This Row],[X]]=1,tbal[[#This Row],[X]]=2)),tbal[[#This Row],[DEUDOR]],0)</f>
        <v>0</v>
      </c>
      <c r="J1271" s="18">
        <f>IF((OR(tbal[[#This Row],[X]]=2,tbal[[#This Row],[X]]=3)),tbal[[#This Row],[ACREEDOR]],0)</f>
        <v>0</v>
      </c>
      <c r="K1271" s="16">
        <f>IF((OR(tbal[[#This Row],[X]]=3,tbal[[#This Row],[X]]=5)),tbal[[#This Row],[DEUDOR]],0)</f>
        <v>0</v>
      </c>
      <c r="L1271" s="18">
        <f>IF((OR(tbal[[#This Row],[X]]=3,tbal[[#This Row],[X]]=4)),tbal[[#This Row],[ACREEDOR]],0)</f>
        <v>0</v>
      </c>
      <c r="M1271" s="16">
        <f>IF((OR(tbal[[#This Row],[X]]=0,tbal[[#This Row],[X]]=6)),tbal[[#This Row],[DEUDOR]],0)</f>
        <v>0</v>
      </c>
      <c r="N1271" s="18">
        <f>IF((OR(tbal[[#This Row],[X]]=0,tbal[[#This Row],[X]]=5)),tbal[[#This Row],[ACREEDOR]],0)</f>
        <v>0</v>
      </c>
    </row>
    <row r="1272" spans="1:14" hidden="1" x14ac:dyDescent="0.3">
      <c r="A1272" s="14">
        <f>+'PLAN DE CUENTAS'!A1272</f>
        <v>0</v>
      </c>
      <c r="B1272" s="13">
        <f>+'PLAN DE CUENTAS'!B1272</f>
        <v>0</v>
      </c>
      <c r="C1272" s="13">
        <f>+'PLAN DE CUENTAS'!C1272</f>
        <v>0</v>
      </c>
      <c r="D1272" t="str">
        <f>IF(tbal[[#This Row],[DEBE]]+tbal[[#This Row],[HABER]]=0,"","X")</f>
        <v/>
      </c>
      <c r="E1272" s="16">
        <f>SUMIF(tdiario[CUENTA],tbal[[#This Row],[CUENTA]],tdiario[DEBE])</f>
        <v>0</v>
      </c>
      <c r="F1272" s="17">
        <f>SUMIF(tdiario[CUENTA],tbal[[#This Row],[CUENTA]],tdiario[HABER])</f>
        <v>0</v>
      </c>
      <c r="G1272" s="16">
        <f>IF(tbal[[#This Row],[DEBE]]-tbal[[#This Row],[HABER]]&gt;0,tbal[[#This Row],[DEBE]]-tbal[[#This Row],[HABER]],0)</f>
        <v>0</v>
      </c>
      <c r="H1272" s="18">
        <f>IF(tbal[[#This Row],[HABER]]-tbal[[#This Row],[DEBE]]&gt;0,tbal[[#This Row],[HABER]]-tbal[[#This Row],[DEBE]],0)</f>
        <v>0</v>
      </c>
      <c r="I1272" s="16">
        <f>IF((OR(tbal[[#This Row],[X]]=1,tbal[[#This Row],[X]]=2)),tbal[[#This Row],[DEUDOR]],0)</f>
        <v>0</v>
      </c>
      <c r="J1272" s="18">
        <f>IF((OR(tbal[[#This Row],[X]]=2,tbal[[#This Row],[X]]=3)),tbal[[#This Row],[ACREEDOR]],0)</f>
        <v>0</v>
      </c>
      <c r="K1272" s="16">
        <f>IF((OR(tbal[[#This Row],[X]]=3,tbal[[#This Row],[X]]=5)),tbal[[#This Row],[DEUDOR]],0)</f>
        <v>0</v>
      </c>
      <c r="L1272" s="18">
        <f>IF((OR(tbal[[#This Row],[X]]=3,tbal[[#This Row],[X]]=4)),tbal[[#This Row],[ACREEDOR]],0)</f>
        <v>0</v>
      </c>
      <c r="M1272" s="16">
        <f>IF((OR(tbal[[#This Row],[X]]=0,tbal[[#This Row],[X]]=6)),tbal[[#This Row],[DEUDOR]],0)</f>
        <v>0</v>
      </c>
      <c r="N1272" s="18">
        <f>IF((OR(tbal[[#This Row],[X]]=0,tbal[[#This Row],[X]]=5)),tbal[[#This Row],[ACREEDOR]],0)</f>
        <v>0</v>
      </c>
    </row>
    <row r="1273" spans="1:14" hidden="1" x14ac:dyDescent="0.3">
      <c r="A1273" s="14">
        <f>+'PLAN DE CUENTAS'!A1273</f>
        <v>0</v>
      </c>
      <c r="B1273" s="13">
        <f>+'PLAN DE CUENTAS'!B1273</f>
        <v>0</v>
      </c>
      <c r="C1273" s="13">
        <f>+'PLAN DE CUENTAS'!C1273</f>
        <v>0</v>
      </c>
      <c r="D1273" t="str">
        <f>IF(tbal[[#This Row],[DEBE]]+tbal[[#This Row],[HABER]]=0,"","X")</f>
        <v/>
      </c>
      <c r="E1273" s="16">
        <f>SUMIF(tdiario[CUENTA],tbal[[#This Row],[CUENTA]],tdiario[DEBE])</f>
        <v>0</v>
      </c>
      <c r="F1273" s="17">
        <f>SUMIF(tdiario[CUENTA],tbal[[#This Row],[CUENTA]],tdiario[HABER])</f>
        <v>0</v>
      </c>
      <c r="G1273" s="16">
        <f>IF(tbal[[#This Row],[DEBE]]-tbal[[#This Row],[HABER]]&gt;0,tbal[[#This Row],[DEBE]]-tbal[[#This Row],[HABER]],0)</f>
        <v>0</v>
      </c>
      <c r="H1273" s="18">
        <f>IF(tbal[[#This Row],[HABER]]-tbal[[#This Row],[DEBE]]&gt;0,tbal[[#This Row],[HABER]]-tbal[[#This Row],[DEBE]],0)</f>
        <v>0</v>
      </c>
      <c r="I1273" s="16">
        <f>IF((OR(tbal[[#This Row],[X]]=1,tbal[[#This Row],[X]]=2)),tbal[[#This Row],[DEUDOR]],0)</f>
        <v>0</v>
      </c>
      <c r="J1273" s="18">
        <f>IF((OR(tbal[[#This Row],[X]]=2,tbal[[#This Row],[X]]=3)),tbal[[#This Row],[ACREEDOR]],0)</f>
        <v>0</v>
      </c>
      <c r="K1273" s="16">
        <f>IF((OR(tbal[[#This Row],[X]]=3,tbal[[#This Row],[X]]=5)),tbal[[#This Row],[DEUDOR]],0)</f>
        <v>0</v>
      </c>
      <c r="L1273" s="18">
        <f>IF((OR(tbal[[#This Row],[X]]=3,tbal[[#This Row],[X]]=4)),tbal[[#This Row],[ACREEDOR]],0)</f>
        <v>0</v>
      </c>
      <c r="M1273" s="16">
        <f>IF((OR(tbal[[#This Row],[X]]=0,tbal[[#This Row],[X]]=6)),tbal[[#This Row],[DEUDOR]],0)</f>
        <v>0</v>
      </c>
      <c r="N1273" s="18">
        <f>IF((OR(tbal[[#This Row],[X]]=0,tbal[[#This Row],[X]]=5)),tbal[[#This Row],[ACREEDOR]],0)</f>
        <v>0</v>
      </c>
    </row>
    <row r="1274" spans="1:14" hidden="1" x14ac:dyDescent="0.3">
      <c r="A1274" s="14">
        <f>+'PLAN DE CUENTAS'!A1274</f>
        <v>0</v>
      </c>
      <c r="B1274" s="13">
        <f>+'PLAN DE CUENTAS'!B1274</f>
        <v>0</v>
      </c>
      <c r="C1274" s="13">
        <f>+'PLAN DE CUENTAS'!C1274</f>
        <v>0</v>
      </c>
      <c r="D1274" t="str">
        <f>IF(tbal[[#This Row],[DEBE]]+tbal[[#This Row],[HABER]]=0,"","X")</f>
        <v/>
      </c>
      <c r="E1274" s="16">
        <f>SUMIF(tdiario[CUENTA],tbal[[#This Row],[CUENTA]],tdiario[DEBE])</f>
        <v>0</v>
      </c>
      <c r="F1274" s="17">
        <f>SUMIF(tdiario[CUENTA],tbal[[#This Row],[CUENTA]],tdiario[HABER])</f>
        <v>0</v>
      </c>
      <c r="G1274" s="16">
        <f>IF(tbal[[#This Row],[DEBE]]-tbal[[#This Row],[HABER]]&gt;0,tbal[[#This Row],[DEBE]]-tbal[[#This Row],[HABER]],0)</f>
        <v>0</v>
      </c>
      <c r="H1274" s="18">
        <f>IF(tbal[[#This Row],[HABER]]-tbal[[#This Row],[DEBE]]&gt;0,tbal[[#This Row],[HABER]]-tbal[[#This Row],[DEBE]],0)</f>
        <v>0</v>
      </c>
      <c r="I1274" s="16">
        <f>IF((OR(tbal[[#This Row],[X]]=1,tbal[[#This Row],[X]]=2)),tbal[[#This Row],[DEUDOR]],0)</f>
        <v>0</v>
      </c>
      <c r="J1274" s="18">
        <f>IF((OR(tbal[[#This Row],[X]]=2,tbal[[#This Row],[X]]=3)),tbal[[#This Row],[ACREEDOR]],0)</f>
        <v>0</v>
      </c>
      <c r="K1274" s="16">
        <f>IF((OR(tbal[[#This Row],[X]]=3,tbal[[#This Row],[X]]=5)),tbal[[#This Row],[DEUDOR]],0)</f>
        <v>0</v>
      </c>
      <c r="L1274" s="18">
        <f>IF((OR(tbal[[#This Row],[X]]=3,tbal[[#This Row],[X]]=4)),tbal[[#This Row],[ACREEDOR]],0)</f>
        <v>0</v>
      </c>
      <c r="M1274" s="16">
        <f>IF((OR(tbal[[#This Row],[X]]=0,tbal[[#This Row],[X]]=6)),tbal[[#This Row],[DEUDOR]],0)</f>
        <v>0</v>
      </c>
      <c r="N1274" s="18">
        <f>IF((OR(tbal[[#This Row],[X]]=0,tbal[[#This Row],[X]]=5)),tbal[[#This Row],[ACREEDOR]],0)</f>
        <v>0</v>
      </c>
    </row>
    <row r="1275" spans="1:14" hidden="1" x14ac:dyDescent="0.3">
      <c r="A1275" s="14">
        <f>+'PLAN DE CUENTAS'!A1275</f>
        <v>0</v>
      </c>
      <c r="B1275" s="13">
        <f>+'PLAN DE CUENTAS'!B1275</f>
        <v>0</v>
      </c>
      <c r="C1275" s="13">
        <f>+'PLAN DE CUENTAS'!C1275</f>
        <v>0</v>
      </c>
      <c r="D1275" t="str">
        <f>IF(tbal[[#This Row],[DEBE]]+tbal[[#This Row],[HABER]]=0,"","X")</f>
        <v/>
      </c>
      <c r="E1275" s="16">
        <f>SUMIF(tdiario[CUENTA],tbal[[#This Row],[CUENTA]],tdiario[DEBE])</f>
        <v>0</v>
      </c>
      <c r="F1275" s="17">
        <f>SUMIF(tdiario[CUENTA],tbal[[#This Row],[CUENTA]],tdiario[HABER])</f>
        <v>0</v>
      </c>
      <c r="G1275" s="16">
        <f>IF(tbal[[#This Row],[DEBE]]-tbal[[#This Row],[HABER]]&gt;0,tbal[[#This Row],[DEBE]]-tbal[[#This Row],[HABER]],0)</f>
        <v>0</v>
      </c>
      <c r="H1275" s="18">
        <f>IF(tbal[[#This Row],[HABER]]-tbal[[#This Row],[DEBE]]&gt;0,tbal[[#This Row],[HABER]]-tbal[[#This Row],[DEBE]],0)</f>
        <v>0</v>
      </c>
      <c r="I1275" s="16">
        <f>IF((OR(tbal[[#This Row],[X]]=1,tbal[[#This Row],[X]]=2)),tbal[[#This Row],[DEUDOR]],0)</f>
        <v>0</v>
      </c>
      <c r="J1275" s="18">
        <f>IF((OR(tbal[[#This Row],[X]]=2,tbal[[#This Row],[X]]=3)),tbal[[#This Row],[ACREEDOR]],0)</f>
        <v>0</v>
      </c>
      <c r="K1275" s="16">
        <f>IF((OR(tbal[[#This Row],[X]]=3,tbal[[#This Row],[X]]=5)),tbal[[#This Row],[DEUDOR]],0)</f>
        <v>0</v>
      </c>
      <c r="L1275" s="18">
        <f>IF((OR(tbal[[#This Row],[X]]=3,tbal[[#This Row],[X]]=4)),tbal[[#This Row],[ACREEDOR]],0)</f>
        <v>0</v>
      </c>
      <c r="M1275" s="16">
        <f>IF((OR(tbal[[#This Row],[X]]=0,tbal[[#This Row],[X]]=6)),tbal[[#This Row],[DEUDOR]],0)</f>
        <v>0</v>
      </c>
      <c r="N1275" s="18">
        <f>IF((OR(tbal[[#This Row],[X]]=0,tbal[[#This Row],[X]]=5)),tbal[[#This Row],[ACREEDOR]],0)</f>
        <v>0</v>
      </c>
    </row>
    <row r="1276" spans="1:14" hidden="1" x14ac:dyDescent="0.3">
      <c r="A1276" s="14">
        <f>+'PLAN DE CUENTAS'!A1276</f>
        <v>0</v>
      </c>
      <c r="B1276" s="13">
        <f>+'PLAN DE CUENTAS'!B1276</f>
        <v>0</v>
      </c>
      <c r="C1276" s="13">
        <f>+'PLAN DE CUENTAS'!C1276</f>
        <v>0</v>
      </c>
      <c r="D1276" t="str">
        <f>IF(tbal[[#This Row],[DEBE]]+tbal[[#This Row],[HABER]]=0,"","X")</f>
        <v/>
      </c>
      <c r="E1276" s="16">
        <f>SUMIF(tdiario[CUENTA],tbal[[#This Row],[CUENTA]],tdiario[DEBE])</f>
        <v>0</v>
      </c>
      <c r="F1276" s="17">
        <f>SUMIF(tdiario[CUENTA],tbal[[#This Row],[CUENTA]],tdiario[HABER])</f>
        <v>0</v>
      </c>
      <c r="G1276" s="16">
        <f>IF(tbal[[#This Row],[DEBE]]-tbal[[#This Row],[HABER]]&gt;0,tbal[[#This Row],[DEBE]]-tbal[[#This Row],[HABER]],0)</f>
        <v>0</v>
      </c>
      <c r="H1276" s="18">
        <f>IF(tbal[[#This Row],[HABER]]-tbal[[#This Row],[DEBE]]&gt;0,tbal[[#This Row],[HABER]]-tbal[[#This Row],[DEBE]],0)</f>
        <v>0</v>
      </c>
      <c r="I1276" s="16">
        <f>IF((OR(tbal[[#This Row],[X]]=1,tbal[[#This Row],[X]]=2)),tbal[[#This Row],[DEUDOR]],0)</f>
        <v>0</v>
      </c>
      <c r="J1276" s="18">
        <f>IF((OR(tbal[[#This Row],[X]]=2,tbal[[#This Row],[X]]=3)),tbal[[#This Row],[ACREEDOR]],0)</f>
        <v>0</v>
      </c>
      <c r="K1276" s="16">
        <f>IF((OR(tbal[[#This Row],[X]]=3,tbal[[#This Row],[X]]=5)),tbal[[#This Row],[DEUDOR]],0)</f>
        <v>0</v>
      </c>
      <c r="L1276" s="18">
        <f>IF((OR(tbal[[#This Row],[X]]=3,tbal[[#This Row],[X]]=4)),tbal[[#This Row],[ACREEDOR]],0)</f>
        <v>0</v>
      </c>
      <c r="M1276" s="16">
        <f>IF((OR(tbal[[#This Row],[X]]=0,tbal[[#This Row],[X]]=6)),tbal[[#This Row],[DEUDOR]],0)</f>
        <v>0</v>
      </c>
      <c r="N1276" s="18">
        <f>IF((OR(tbal[[#This Row],[X]]=0,tbal[[#This Row],[X]]=5)),tbal[[#This Row],[ACREEDOR]],0)</f>
        <v>0</v>
      </c>
    </row>
    <row r="1277" spans="1:14" hidden="1" x14ac:dyDescent="0.3">
      <c r="A1277" s="14">
        <f>+'PLAN DE CUENTAS'!A1277</f>
        <v>0</v>
      </c>
      <c r="B1277" s="13">
        <f>+'PLAN DE CUENTAS'!B1277</f>
        <v>0</v>
      </c>
      <c r="C1277" s="13">
        <f>+'PLAN DE CUENTAS'!C1277</f>
        <v>0</v>
      </c>
      <c r="D1277" t="str">
        <f>IF(tbal[[#This Row],[DEBE]]+tbal[[#This Row],[HABER]]=0,"","X")</f>
        <v/>
      </c>
      <c r="E1277" s="16">
        <f>SUMIF(tdiario[CUENTA],tbal[[#This Row],[CUENTA]],tdiario[DEBE])</f>
        <v>0</v>
      </c>
      <c r="F1277" s="17">
        <f>SUMIF(tdiario[CUENTA],tbal[[#This Row],[CUENTA]],tdiario[HABER])</f>
        <v>0</v>
      </c>
      <c r="G1277" s="16">
        <f>IF(tbal[[#This Row],[DEBE]]-tbal[[#This Row],[HABER]]&gt;0,tbal[[#This Row],[DEBE]]-tbal[[#This Row],[HABER]],0)</f>
        <v>0</v>
      </c>
      <c r="H1277" s="18">
        <f>IF(tbal[[#This Row],[HABER]]-tbal[[#This Row],[DEBE]]&gt;0,tbal[[#This Row],[HABER]]-tbal[[#This Row],[DEBE]],0)</f>
        <v>0</v>
      </c>
      <c r="I1277" s="16">
        <f>IF((OR(tbal[[#This Row],[X]]=1,tbal[[#This Row],[X]]=2)),tbal[[#This Row],[DEUDOR]],0)</f>
        <v>0</v>
      </c>
      <c r="J1277" s="18">
        <f>IF((OR(tbal[[#This Row],[X]]=2,tbal[[#This Row],[X]]=3)),tbal[[#This Row],[ACREEDOR]],0)</f>
        <v>0</v>
      </c>
      <c r="K1277" s="16">
        <f>IF((OR(tbal[[#This Row],[X]]=3,tbal[[#This Row],[X]]=5)),tbal[[#This Row],[DEUDOR]],0)</f>
        <v>0</v>
      </c>
      <c r="L1277" s="18">
        <f>IF((OR(tbal[[#This Row],[X]]=3,tbal[[#This Row],[X]]=4)),tbal[[#This Row],[ACREEDOR]],0)</f>
        <v>0</v>
      </c>
      <c r="M1277" s="16">
        <f>IF((OR(tbal[[#This Row],[X]]=0,tbal[[#This Row],[X]]=6)),tbal[[#This Row],[DEUDOR]],0)</f>
        <v>0</v>
      </c>
      <c r="N1277" s="18">
        <f>IF((OR(tbal[[#This Row],[X]]=0,tbal[[#This Row],[X]]=5)),tbal[[#This Row],[ACREEDOR]],0)</f>
        <v>0</v>
      </c>
    </row>
    <row r="1278" spans="1:14" hidden="1" x14ac:dyDescent="0.3">
      <c r="A1278" s="14">
        <f>+'PLAN DE CUENTAS'!A1278</f>
        <v>0</v>
      </c>
      <c r="B1278" s="13">
        <f>+'PLAN DE CUENTAS'!B1278</f>
        <v>0</v>
      </c>
      <c r="C1278" s="13">
        <f>+'PLAN DE CUENTAS'!C1278</f>
        <v>0</v>
      </c>
      <c r="D1278" t="str">
        <f>IF(tbal[[#This Row],[DEBE]]+tbal[[#This Row],[HABER]]=0,"","X")</f>
        <v/>
      </c>
      <c r="E1278" s="16">
        <f>SUMIF(tdiario[CUENTA],tbal[[#This Row],[CUENTA]],tdiario[DEBE])</f>
        <v>0</v>
      </c>
      <c r="F1278" s="17">
        <f>SUMIF(tdiario[CUENTA],tbal[[#This Row],[CUENTA]],tdiario[HABER])</f>
        <v>0</v>
      </c>
      <c r="G1278" s="16">
        <f>IF(tbal[[#This Row],[DEBE]]-tbal[[#This Row],[HABER]]&gt;0,tbal[[#This Row],[DEBE]]-tbal[[#This Row],[HABER]],0)</f>
        <v>0</v>
      </c>
      <c r="H1278" s="18">
        <f>IF(tbal[[#This Row],[HABER]]-tbal[[#This Row],[DEBE]]&gt;0,tbal[[#This Row],[HABER]]-tbal[[#This Row],[DEBE]],0)</f>
        <v>0</v>
      </c>
      <c r="I1278" s="16">
        <f>IF((OR(tbal[[#This Row],[X]]=1,tbal[[#This Row],[X]]=2)),tbal[[#This Row],[DEUDOR]],0)</f>
        <v>0</v>
      </c>
      <c r="J1278" s="18">
        <f>IF((OR(tbal[[#This Row],[X]]=2,tbal[[#This Row],[X]]=3)),tbal[[#This Row],[ACREEDOR]],0)</f>
        <v>0</v>
      </c>
      <c r="K1278" s="16">
        <f>IF((OR(tbal[[#This Row],[X]]=3,tbal[[#This Row],[X]]=5)),tbal[[#This Row],[DEUDOR]],0)</f>
        <v>0</v>
      </c>
      <c r="L1278" s="18">
        <f>IF((OR(tbal[[#This Row],[X]]=3,tbal[[#This Row],[X]]=4)),tbal[[#This Row],[ACREEDOR]],0)</f>
        <v>0</v>
      </c>
      <c r="M1278" s="16">
        <f>IF((OR(tbal[[#This Row],[X]]=0,tbal[[#This Row],[X]]=6)),tbal[[#This Row],[DEUDOR]],0)</f>
        <v>0</v>
      </c>
      <c r="N1278" s="18">
        <f>IF((OR(tbal[[#This Row],[X]]=0,tbal[[#This Row],[X]]=5)),tbal[[#This Row],[ACREEDOR]],0)</f>
        <v>0</v>
      </c>
    </row>
    <row r="1279" spans="1:14" hidden="1" x14ac:dyDescent="0.3">
      <c r="A1279" s="14">
        <f>+'PLAN DE CUENTAS'!A1279</f>
        <v>0</v>
      </c>
      <c r="B1279" s="13">
        <f>+'PLAN DE CUENTAS'!B1279</f>
        <v>0</v>
      </c>
      <c r="C1279" s="13">
        <f>+'PLAN DE CUENTAS'!C1279</f>
        <v>0</v>
      </c>
      <c r="D1279" t="str">
        <f>IF(tbal[[#This Row],[DEBE]]+tbal[[#This Row],[HABER]]=0,"","X")</f>
        <v/>
      </c>
      <c r="E1279" s="16">
        <f>SUMIF(tdiario[CUENTA],tbal[[#This Row],[CUENTA]],tdiario[DEBE])</f>
        <v>0</v>
      </c>
      <c r="F1279" s="17">
        <f>SUMIF(tdiario[CUENTA],tbal[[#This Row],[CUENTA]],tdiario[HABER])</f>
        <v>0</v>
      </c>
      <c r="G1279" s="16">
        <f>IF(tbal[[#This Row],[DEBE]]-tbal[[#This Row],[HABER]]&gt;0,tbal[[#This Row],[DEBE]]-tbal[[#This Row],[HABER]],0)</f>
        <v>0</v>
      </c>
      <c r="H1279" s="18">
        <f>IF(tbal[[#This Row],[HABER]]-tbal[[#This Row],[DEBE]]&gt;0,tbal[[#This Row],[HABER]]-tbal[[#This Row],[DEBE]],0)</f>
        <v>0</v>
      </c>
      <c r="I1279" s="16">
        <f>IF((OR(tbal[[#This Row],[X]]=1,tbal[[#This Row],[X]]=2)),tbal[[#This Row],[DEUDOR]],0)</f>
        <v>0</v>
      </c>
      <c r="J1279" s="18">
        <f>IF((OR(tbal[[#This Row],[X]]=2,tbal[[#This Row],[X]]=3)),tbal[[#This Row],[ACREEDOR]],0)</f>
        <v>0</v>
      </c>
      <c r="K1279" s="16">
        <f>IF((OR(tbal[[#This Row],[X]]=3,tbal[[#This Row],[X]]=5)),tbal[[#This Row],[DEUDOR]],0)</f>
        <v>0</v>
      </c>
      <c r="L1279" s="18">
        <f>IF((OR(tbal[[#This Row],[X]]=3,tbal[[#This Row],[X]]=4)),tbal[[#This Row],[ACREEDOR]],0)</f>
        <v>0</v>
      </c>
      <c r="M1279" s="16">
        <f>IF((OR(tbal[[#This Row],[X]]=0,tbal[[#This Row],[X]]=6)),tbal[[#This Row],[DEUDOR]],0)</f>
        <v>0</v>
      </c>
      <c r="N1279" s="18">
        <f>IF((OR(tbal[[#This Row],[X]]=0,tbal[[#This Row],[X]]=5)),tbal[[#This Row],[ACREEDOR]],0)</f>
        <v>0</v>
      </c>
    </row>
    <row r="1280" spans="1:14" hidden="1" x14ac:dyDescent="0.3">
      <c r="A1280" s="14">
        <f>+'PLAN DE CUENTAS'!A1280</f>
        <v>0</v>
      </c>
      <c r="B1280" s="13">
        <f>+'PLAN DE CUENTAS'!B1280</f>
        <v>0</v>
      </c>
      <c r="C1280" s="13">
        <f>+'PLAN DE CUENTAS'!C1280</f>
        <v>0</v>
      </c>
      <c r="D1280" t="str">
        <f>IF(tbal[[#This Row],[DEBE]]+tbal[[#This Row],[HABER]]=0,"","X")</f>
        <v/>
      </c>
      <c r="E1280" s="16">
        <f>SUMIF(tdiario[CUENTA],tbal[[#This Row],[CUENTA]],tdiario[DEBE])</f>
        <v>0</v>
      </c>
      <c r="F1280" s="17">
        <f>SUMIF(tdiario[CUENTA],tbal[[#This Row],[CUENTA]],tdiario[HABER])</f>
        <v>0</v>
      </c>
      <c r="G1280" s="16">
        <f>IF(tbal[[#This Row],[DEBE]]-tbal[[#This Row],[HABER]]&gt;0,tbal[[#This Row],[DEBE]]-tbal[[#This Row],[HABER]],0)</f>
        <v>0</v>
      </c>
      <c r="H1280" s="18">
        <f>IF(tbal[[#This Row],[HABER]]-tbal[[#This Row],[DEBE]]&gt;0,tbal[[#This Row],[HABER]]-tbal[[#This Row],[DEBE]],0)</f>
        <v>0</v>
      </c>
      <c r="I1280" s="16">
        <f>IF((OR(tbal[[#This Row],[X]]=1,tbal[[#This Row],[X]]=2)),tbal[[#This Row],[DEUDOR]],0)</f>
        <v>0</v>
      </c>
      <c r="J1280" s="18">
        <f>IF((OR(tbal[[#This Row],[X]]=2,tbal[[#This Row],[X]]=3)),tbal[[#This Row],[ACREEDOR]],0)</f>
        <v>0</v>
      </c>
      <c r="K1280" s="16">
        <f>IF((OR(tbal[[#This Row],[X]]=3,tbal[[#This Row],[X]]=5)),tbal[[#This Row],[DEUDOR]],0)</f>
        <v>0</v>
      </c>
      <c r="L1280" s="18">
        <f>IF((OR(tbal[[#This Row],[X]]=3,tbal[[#This Row],[X]]=4)),tbal[[#This Row],[ACREEDOR]],0)</f>
        <v>0</v>
      </c>
      <c r="M1280" s="16">
        <f>IF((OR(tbal[[#This Row],[X]]=0,tbal[[#This Row],[X]]=6)),tbal[[#This Row],[DEUDOR]],0)</f>
        <v>0</v>
      </c>
      <c r="N1280" s="18">
        <f>IF((OR(tbal[[#This Row],[X]]=0,tbal[[#This Row],[X]]=5)),tbal[[#This Row],[ACREEDOR]],0)</f>
        <v>0</v>
      </c>
    </row>
    <row r="1281" spans="1:14" hidden="1" x14ac:dyDescent="0.3">
      <c r="A1281" s="14">
        <f>+'PLAN DE CUENTAS'!A1281</f>
        <v>0</v>
      </c>
      <c r="B1281" s="13">
        <f>+'PLAN DE CUENTAS'!B1281</f>
        <v>0</v>
      </c>
      <c r="C1281" s="13">
        <f>+'PLAN DE CUENTAS'!C1281</f>
        <v>0</v>
      </c>
      <c r="D1281" t="str">
        <f>IF(tbal[[#This Row],[DEBE]]+tbal[[#This Row],[HABER]]=0,"","X")</f>
        <v/>
      </c>
      <c r="E1281" s="16">
        <f>SUMIF(tdiario[CUENTA],tbal[[#This Row],[CUENTA]],tdiario[DEBE])</f>
        <v>0</v>
      </c>
      <c r="F1281" s="17">
        <f>SUMIF(tdiario[CUENTA],tbal[[#This Row],[CUENTA]],tdiario[HABER])</f>
        <v>0</v>
      </c>
      <c r="G1281" s="16">
        <f>IF(tbal[[#This Row],[DEBE]]-tbal[[#This Row],[HABER]]&gt;0,tbal[[#This Row],[DEBE]]-tbal[[#This Row],[HABER]],0)</f>
        <v>0</v>
      </c>
      <c r="H1281" s="18">
        <f>IF(tbal[[#This Row],[HABER]]-tbal[[#This Row],[DEBE]]&gt;0,tbal[[#This Row],[HABER]]-tbal[[#This Row],[DEBE]],0)</f>
        <v>0</v>
      </c>
      <c r="I1281" s="16">
        <f>IF((OR(tbal[[#This Row],[X]]=1,tbal[[#This Row],[X]]=2)),tbal[[#This Row],[DEUDOR]],0)</f>
        <v>0</v>
      </c>
      <c r="J1281" s="18">
        <f>IF((OR(tbal[[#This Row],[X]]=2,tbal[[#This Row],[X]]=3)),tbal[[#This Row],[ACREEDOR]],0)</f>
        <v>0</v>
      </c>
      <c r="K1281" s="16">
        <f>IF((OR(tbal[[#This Row],[X]]=3,tbal[[#This Row],[X]]=5)),tbal[[#This Row],[DEUDOR]],0)</f>
        <v>0</v>
      </c>
      <c r="L1281" s="18">
        <f>IF((OR(tbal[[#This Row],[X]]=3,tbal[[#This Row],[X]]=4)),tbal[[#This Row],[ACREEDOR]],0)</f>
        <v>0</v>
      </c>
      <c r="M1281" s="16">
        <f>IF((OR(tbal[[#This Row],[X]]=0,tbal[[#This Row],[X]]=6)),tbal[[#This Row],[DEUDOR]],0)</f>
        <v>0</v>
      </c>
      <c r="N1281" s="18">
        <f>IF((OR(tbal[[#This Row],[X]]=0,tbal[[#This Row],[X]]=5)),tbal[[#This Row],[ACREEDOR]],0)</f>
        <v>0</v>
      </c>
    </row>
    <row r="1282" spans="1:14" hidden="1" x14ac:dyDescent="0.3">
      <c r="A1282" s="14">
        <f>+'PLAN DE CUENTAS'!A1282</f>
        <v>0</v>
      </c>
      <c r="B1282" s="13">
        <f>+'PLAN DE CUENTAS'!B1282</f>
        <v>0</v>
      </c>
      <c r="C1282" s="13">
        <f>+'PLAN DE CUENTAS'!C1282</f>
        <v>0</v>
      </c>
      <c r="D1282" t="str">
        <f>IF(tbal[[#This Row],[DEBE]]+tbal[[#This Row],[HABER]]=0,"","X")</f>
        <v/>
      </c>
      <c r="E1282" s="16">
        <f>SUMIF(tdiario[CUENTA],tbal[[#This Row],[CUENTA]],tdiario[DEBE])</f>
        <v>0</v>
      </c>
      <c r="F1282" s="17">
        <f>SUMIF(tdiario[CUENTA],tbal[[#This Row],[CUENTA]],tdiario[HABER])</f>
        <v>0</v>
      </c>
      <c r="G1282" s="16">
        <f>IF(tbal[[#This Row],[DEBE]]-tbal[[#This Row],[HABER]]&gt;0,tbal[[#This Row],[DEBE]]-tbal[[#This Row],[HABER]],0)</f>
        <v>0</v>
      </c>
      <c r="H1282" s="18">
        <f>IF(tbal[[#This Row],[HABER]]-tbal[[#This Row],[DEBE]]&gt;0,tbal[[#This Row],[HABER]]-tbal[[#This Row],[DEBE]],0)</f>
        <v>0</v>
      </c>
      <c r="I1282" s="16">
        <f>IF((OR(tbal[[#This Row],[X]]=1,tbal[[#This Row],[X]]=2)),tbal[[#This Row],[DEUDOR]],0)</f>
        <v>0</v>
      </c>
      <c r="J1282" s="18">
        <f>IF((OR(tbal[[#This Row],[X]]=2,tbal[[#This Row],[X]]=3)),tbal[[#This Row],[ACREEDOR]],0)</f>
        <v>0</v>
      </c>
      <c r="K1282" s="16">
        <f>IF((OR(tbal[[#This Row],[X]]=3,tbal[[#This Row],[X]]=5)),tbal[[#This Row],[DEUDOR]],0)</f>
        <v>0</v>
      </c>
      <c r="L1282" s="18">
        <f>IF((OR(tbal[[#This Row],[X]]=3,tbal[[#This Row],[X]]=4)),tbal[[#This Row],[ACREEDOR]],0)</f>
        <v>0</v>
      </c>
      <c r="M1282" s="16">
        <f>IF((OR(tbal[[#This Row],[X]]=0,tbal[[#This Row],[X]]=6)),tbal[[#This Row],[DEUDOR]],0)</f>
        <v>0</v>
      </c>
      <c r="N1282" s="18">
        <f>IF((OR(tbal[[#This Row],[X]]=0,tbal[[#This Row],[X]]=5)),tbal[[#This Row],[ACREEDOR]],0)</f>
        <v>0</v>
      </c>
    </row>
    <row r="1283" spans="1:14" hidden="1" x14ac:dyDescent="0.3">
      <c r="A1283" s="14">
        <f>+'PLAN DE CUENTAS'!A1283</f>
        <v>0</v>
      </c>
      <c r="B1283" s="13">
        <f>+'PLAN DE CUENTAS'!B1283</f>
        <v>0</v>
      </c>
      <c r="C1283" s="13">
        <f>+'PLAN DE CUENTAS'!C1283</f>
        <v>0</v>
      </c>
      <c r="D1283" t="str">
        <f>IF(tbal[[#This Row],[DEBE]]+tbal[[#This Row],[HABER]]=0,"","X")</f>
        <v/>
      </c>
      <c r="E1283" s="16">
        <f>SUMIF(tdiario[CUENTA],tbal[[#This Row],[CUENTA]],tdiario[DEBE])</f>
        <v>0</v>
      </c>
      <c r="F1283" s="17">
        <f>SUMIF(tdiario[CUENTA],tbal[[#This Row],[CUENTA]],tdiario[HABER])</f>
        <v>0</v>
      </c>
      <c r="G1283" s="16">
        <f>IF(tbal[[#This Row],[DEBE]]-tbal[[#This Row],[HABER]]&gt;0,tbal[[#This Row],[DEBE]]-tbal[[#This Row],[HABER]],0)</f>
        <v>0</v>
      </c>
      <c r="H1283" s="18">
        <f>IF(tbal[[#This Row],[HABER]]-tbal[[#This Row],[DEBE]]&gt;0,tbal[[#This Row],[HABER]]-tbal[[#This Row],[DEBE]],0)</f>
        <v>0</v>
      </c>
      <c r="I1283" s="16">
        <f>IF((OR(tbal[[#This Row],[X]]=1,tbal[[#This Row],[X]]=2)),tbal[[#This Row],[DEUDOR]],0)</f>
        <v>0</v>
      </c>
      <c r="J1283" s="18">
        <f>IF((OR(tbal[[#This Row],[X]]=2,tbal[[#This Row],[X]]=3)),tbal[[#This Row],[ACREEDOR]],0)</f>
        <v>0</v>
      </c>
      <c r="K1283" s="16">
        <f>IF((OR(tbal[[#This Row],[X]]=3,tbal[[#This Row],[X]]=5)),tbal[[#This Row],[DEUDOR]],0)</f>
        <v>0</v>
      </c>
      <c r="L1283" s="18">
        <f>IF((OR(tbal[[#This Row],[X]]=3,tbal[[#This Row],[X]]=4)),tbal[[#This Row],[ACREEDOR]],0)</f>
        <v>0</v>
      </c>
      <c r="M1283" s="16">
        <f>IF((OR(tbal[[#This Row],[X]]=0,tbal[[#This Row],[X]]=6)),tbal[[#This Row],[DEUDOR]],0)</f>
        <v>0</v>
      </c>
      <c r="N1283" s="18">
        <f>IF((OR(tbal[[#This Row],[X]]=0,tbal[[#This Row],[X]]=5)),tbal[[#This Row],[ACREEDOR]],0)</f>
        <v>0</v>
      </c>
    </row>
    <row r="1284" spans="1:14" hidden="1" x14ac:dyDescent="0.3">
      <c r="A1284" s="14">
        <f>+'PLAN DE CUENTAS'!A1284</f>
        <v>0</v>
      </c>
      <c r="B1284" s="13">
        <f>+'PLAN DE CUENTAS'!B1284</f>
        <v>0</v>
      </c>
      <c r="C1284" s="13">
        <f>+'PLAN DE CUENTAS'!C1284</f>
        <v>0</v>
      </c>
      <c r="D1284" t="str">
        <f>IF(tbal[[#This Row],[DEBE]]+tbal[[#This Row],[HABER]]=0,"","X")</f>
        <v/>
      </c>
      <c r="E1284" s="16">
        <f>SUMIF(tdiario[CUENTA],tbal[[#This Row],[CUENTA]],tdiario[DEBE])</f>
        <v>0</v>
      </c>
      <c r="F1284" s="17">
        <f>SUMIF(tdiario[CUENTA],tbal[[#This Row],[CUENTA]],tdiario[HABER])</f>
        <v>0</v>
      </c>
      <c r="G1284" s="16">
        <f>IF(tbal[[#This Row],[DEBE]]-tbal[[#This Row],[HABER]]&gt;0,tbal[[#This Row],[DEBE]]-tbal[[#This Row],[HABER]],0)</f>
        <v>0</v>
      </c>
      <c r="H1284" s="18">
        <f>IF(tbal[[#This Row],[HABER]]-tbal[[#This Row],[DEBE]]&gt;0,tbal[[#This Row],[HABER]]-tbal[[#This Row],[DEBE]],0)</f>
        <v>0</v>
      </c>
      <c r="I1284" s="16">
        <f>IF((OR(tbal[[#This Row],[X]]=1,tbal[[#This Row],[X]]=2)),tbal[[#This Row],[DEUDOR]],0)</f>
        <v>0</v>
      </c>
      <c r="J1284" s="18">
        <f>IF((OR(tbal[[#This Row],[X]]=2,tbal[[#This Row],[X]]=3)),tbal[[#This Row],[ACREEDOR]],0)</f>
        <v>0</v>
      </c>
      <c r="K1284" s="16">
        <f>IF((OR(tbal[[#This Row],[X]]=3,tbal[[#This Row],[X]]=5)),tbal[[#This Row],[DEUDOR]],0)</f>
        <v>0</v>
      </c>
      <c r="L1284" s="18">
        <f>IF((OR(tbal[[#This Row],[X]]=3,tbal[[#This Row],[X]]=4)),tbal[[#This Row],[ACREEDOR]],0)</f>
        <v>0</v>
      </c>
      <c r="M1284" s="16">
        <f>IF((OR(tbal[[#This Row],[X]]=0,tbal[[#This Row],[X]]=6)),tbal[[#This Row],[DEUDOR]],0)</f>
        <v>0</v>
      </c>
      <c r="N1284" s="18">
        <f>IF((OR(tbal[[#This Row],[X]]=0,tbal[[#This Row],[X]]=5)),tbal[[#This Row],[ACREEDOR]],0)</f>
        <v>0</v>
      </c>
    </row>
    <row r="1285" spans="1:14" hidden="1" x14ac:dyDescent="0.3">
      <c r="A1285" s="14">
        <f>+'PLAN DE CUENTAS'!A1285</f>
        <v>0</v>
      </c>
      <c r="B1285" s="13">
        <f>+'PLAN DE CUENTAS'!B1285</f>
        <v>0</v>
      </c>
      <c r="C1285" s="13">
        <f>+'PLAN DE CUENTAS'!C1285</f>
        <v>0</v>
      </c>
      <c r="D1285" t="str">
        <f>IF(tbal[[#This Row],[DEBE]]+tbal[[#This Row],[HABER]]=0,"","X")</f>
        <v/>
      </c>
      <c r="E1285" s="16">
        <f>SUMIF(tdiario[CUENTA],tbal[[#This Row],[CUENTA]],tdiario[DEBE])</f>
        <v>0</v>
      </c>
      <c r="F1285" s="17">
        <f>SUMIF(tdiario[CUENTA],tbal[[#This Row],[CUENTA]],tdiario[HABER])</f>
        <v>0</v>
      </c>
      <c r="G1285" s="16">
        <f>IF(tbal[[#This Row],[DEBE]]-tbal[[#This Row],[HABER]]&gt;0,tbal[[#This Row],[DEBE]]-tbal[[#This Row],[HABER]],0)</f>
        <v>0</v>
      </c>
      <c r="H1285" s="18">
        <f>IF(tbal[[#This Row],[HABER]]-tbal[[#This Row],[DEBE]]&gt;0,tbal[[#This Row],[HABER]]-tbal[[#This Row],[DEBE]],0)</f>
        <v>0</v>
      </c>
      <c r="I1285" s="16">
        <f>IF((OR(tbal[[#This Row],[X]]=1,tbal[[#This Row],[X]]=2)),tbal[[#This Row],[DEUDOR]],0)</f>
        <v>0</v>
      </c>
      <c r="J1285" s="18">
        <f>IF((OR(tbal[[#This Row],[X]]=2,tbal[[#This Row],[X]]=3)),tbal[[#This Row],[ACREEDOR]],0)</f>
        <v>0</v>
      </c>
      <c r="K1285" s="16">
        <f>IF((OR(tbal[[#This Row],[X]]=3,tbal[[#This Row],[X]]=5)),tbal[[#This Row],[DEUDOR]],0)</f>
        <v>0</v>
      </c>
      <c r="L1285" s="18">
        <f>IF((OR(tbal[[#This Row],[X]]=3,tbal[[#This Row],[X]]=4)),tbal[[#This Row],[ACREEDOR]],0)</f>
        <v>0</v>
      </c>
      <c r="M1285" s="16">
        <f>IF((OR(tbal[[#This Row],[X]]=0,tbal[[#This Row],[X]]=6)),tbal[[#This Row],[DEUDOR]],0)</f>
        <v>0</v>
      </c>
      <c r="N1285" s="18">
        <f>IF((OR(tbal[[#This Row],[X]]=0,tbal[[#This Row],[X]]=5)),tbal[[#This Row],[ACREEDOR]],0)</f>
        <v>0</v>
      </c>
    </row>
    <row r="1286" spans="1:14" hidden="1" x14ac:dyDescent="0.3">
      <c r="A1286" s="14">
        <f>+'PLAN DE CUENTAS'!A1286</f>
        <v>0</v>
      </c>
      <c r="B1286" s="13">
        <f>+'PLAN DE CUENTAS'!B1286</f>
        <v>0</v>
      </c>
      <c r="C1286" s="13">
        <f>+'PLAN DE CUENTAS'!C1286</f>
        <v>0</v>
      </c>
      <c r="D1286" t="str">
        <f>IF(tbal[[#This Row],[DEBE]]+tbal[[#This Row],[HABER]]=0,"","X")</f>
        <v/>
      </c>
      <c r="E1286" s="16">
        <f>SUMIF(tdiario[CUENTA],tbal[[#This Row],[CUENTA]],tdiario[DEBE])</f>
        <v>0</v>
      </c>
      <c r="F1286" s="17">
        <f>SUMIF(tdiario[CUENTA],tbal[[#This Row],[CUENTA]],tdiario[HABER])</f>
        <v>0</v>
      </c>
      <c r="G1286" s="16">
        <f>IF(tbal[[#This Row],[DEBE]]-tbal[[#This Row],[HABER]]&gt;0,tbal[[#This Row],[DEBE]]-tbal[[#This Row],[HABER]],0)</f>
        <v>0</v>
      </c>
      <c r="H1286" s="18">
        <f>IF(tbal[[#This Row],[HABER]]-tbal[[#This Row],[DEBE]]&gt;0,tbal[[#This Row],[HABER]]-tbal[[#This Row],[DEBE]],0)</f>
        <v>0</v>
      </c>
      <c r="I1286" s="16">
        <f>IF((OR(tbal[[#This Row],[X]]=1,tbal[[#This Row],[X]]=2)),tbal[[#This Row],[DEUDOR]],0)</f>
        <v>0</v>
      </c>
      <c r="J1286" s="18">
        <f>IF((OR(tbal[[#This Row],[X]]=2,tbal[[#This Row],[X]]=3)),tbal[[#This Row],[ACREEDOR]],0)</f>
        <v>0</v>
      </c>
      <c r="K1286" s="16">
        <f>IF((OR(tbal[[#This Row],[X]]=3,tbal[[#This Row],[X]]=5)),tbal[[#This Row],[DEUDOR]],0)</f>
        <v>0</v>
      </c>
      <c r="L1286" s="18">
        <f>IF((OR(tbal[[#This Row],[X]]=3,tbal[[#This Row],[X]]=4)),tbal[[#This Row],[ACREEDOR]],0)</f>
        <v>0</v>
      </c>
      <c r="M1286" s="16">
        <f>IF((OR(tbal[[#This Row],[X]]=0,tbal[[#This Row],[X]]=6)),tbal[[#This Row],[DEUDOR]],0)</f>
        <v>0</v>
      </c>
      <c r="N1286" s="18">
        <f>IF((OR(tbal[[#This Row],[X]]=0,tbal[[#This Row],[X]]=5)),tbal[[#This Row],[ACREEDOR]],0)</f>
        <v>0</v>
      </c>
    </row>
    <row r="1287" spans="1:14" hidden="1" x14ac:dyDescent="0.3">
      <c r="A1287" s="14">
        <f>+'PLAN DE CUENTAS'!A1287</f>
        <v>0</v>
      </c>
      <c r="B1287" s="13">
        <f>+'PLAN DE CUENTAS'!B1287</f>
        <v>0</v>
      </c>
      <c r="C1287" s="13">
        <f>+'PLAN DE CUENTAS'!C1287</f>
        <v>0</v>
      </c>
      <c r="D1287" t="str">
        <f>IF(tbal[[#This Row],[DEBE]]+tbal[[#This Row],[HABER]]=0,"","X")</f>
        <v/>
      </c>
      <c r="E1287" s="16">
        <f>SUMIF(tdiario[CUENTA],tbal[[#This Row],[CUENTA]],tdiario[DEBE])</f>
        <v>0</v>
      </c>
      <c r="F1287" s="17">
        <f>SUMIF(tdiario[CUENTA],tbal[[#This Row],[CUENTA]],tdiario[HABER])</f>
        <v>0</v>
      </c>
      <c r="G1287" s="16">
        <f>IF(tbal[[#This Row],[DEBE]]-tbal[[#This Row],[HABER]]&gt;0,tbal[[#This Row],[DEBE]]-tbal[[#This Row],[HABER]],0)</f>
        <v>0</v>
      </c>
      <c r="H1287" s="18">
        <f>IF(tbal[[#This Row],[HABER]]-tbal[[#This Row],[DEBE]]&gt;0,tbal[[#This Row],[HABER]]-tbal[[#This Row],[DEBE]],0)</f>
        <v>0</v>
      </c>
      <c r="I1287" s="16">
        <f>IF((OR(tbal[[#This Row],[X]]=1,tbal[[#This Row],[X]]=2)),tbal[[#This Row],[DEUDOR]],0)</f>
        <v>0</v>
      </c>
      <c r="J1287" s="18">
        <f>IF((OR(tbal[[#This Row],[X]]=2,tbal[[#This Row],[X]]=3)),tbal[[#This Row],[ACREEDOR]],0)</f>
        <v>0</v>
      </c>
      <c r="K1287" s="16">
        <f>IF((OR(tbal[[#This Row],[X]]=3,tbal[[#This Row],[X]]=5)),tbal[[#This Row],[DEUDOR]],0)</f>
        <v>0</v>
      </c>
      <c r="L1287" s="18">
        <f>IF((OR(tbal[[#This Row],[X]]=3,tbal[[#This Row],[X]]=4)),tbal[[#This Row],[ACREEDOR]],0)</f>
        <v>0</v>
      </c>
      <c r="M1287" s="16">
        <f>IF((OR(tbal[[#This Row],[X]]=0,tbal[[#This Row],[X]]=6)),tbal[[#This Row],[DEUDOR]],0)</f>
        <v>0</v>
      </c>
      <c r="N1287" s="18">
        <f>IF((OR(tbal[[#This Row],[X]]=0,tbal[[#This Row],[X]]=5)),tbal[[#This Row],[ACREEDOR]],0)</f>
        <v>0</v>
      </c>
    </row>
    <row r="1288" spans="1:14" hidden="1" x14ac:dyDescent="0.3">
      <c r="A1288" s="14">
        <f>+'PLAN DE CUENTAS'!A1288</f>
        <v>0</v>
      </c>
      <c r="B1288" s="13">
        <f>+'PLAN DE CUENTAS'!B1288</f>
        <v>0</v>
      </c>
      <c r="C1288" s="13">
        <f>+'PLAN DE CUENTAS'!C1288</f>
        <v>0</v>
      </c>
      <c r="D1288" t="str">
        <f>IF(tbal[[#This Row],[DEBE]]+tbal[[#This Row],[HABER]]=0,"","X")</f>
        <v/>
      </c>
      <c r="E1288" s="16">
        <f>SUMIF(tdiario[CUENTA],tbal[[#This Row],[CUENTA]],tdiario[DEBE])</f>
        <v>0</v>
      </c>
      <c r="F1288" s="17">
        <f>SUMIF(tdiario[CUENTA],tbal[[#This Row],[CUENTA]],tdiario[HABER])</f>
        <v>0</v>
      </c>
      <c r="G1288" s="16">
        <f>IF(tbal[[#This Row],[DEBE]]-tbal[[#This Row],[HABER]]&gt;0,tbal[[#This Row],[DEBE]]-tbal[[#This Row],[HABER]],0)</f>
        <v>0</v>
      </c>
      <c r="H1288" s="18">
        <f>IF(tbal[[#This Row],[HABER]]-tbal[[#This Row],[DEBE]]&gt;0,tbal[[#This Row],[HABER]]-tbal[[#This Row],[DEBE]],0)</f>
        <v>0</v>
      </c>
      <c r="I1288" s="16">
        <f>IF((OR(tbal[[#This Row],[X]]=1,tbal[[#This Row],[X]]=2)),tbal[[#This Row],[DEUDOR]],0)</f>
        <v>0</v>
      </c>
      <c r="J1288" s="18">
        <f>IF((OR(tbal[[#This Row],[X]]=2,tbal[[#This Row],[X]]=3)),tbal[[#This Row],[ACREEDOR]],0)</f>
        <v>0</v>
      </c>
      <c r="K1288" s="16">
        <f>IF((OR(tbal[[#This Row],[X]]=3,tbal[[#This Row],[X]]=5)),tbal[[#This Row],[DEUDOR]],0)</f>
        <v>0</v>
      </c>
      <c r="L1288" s="18">
        <f>IF((OR(tbal[[#This Row],[X]]=3,tbal[[#This Row],[X]]=4)),tbal[[#This Row],[ACREEDOR]],0)</f>
        <v>0</v>
      </c>
      <c r="M1288" s="16">
        <f>IF((OR(tbal[[#This Row],[X]]=0,tbal[[#This Row],[X]]=6)),tbal[[#This Row],[DEUDOR]],0)</f>
        <v>0</v>
      </c>
      <c r="N1288" s="18">
        <f>IF((OR(tbal[[#This Row],[X]]=0,tbal[[#This Row],[X]]=5)),tbal[[#This Row],[ACREEDOR]],0)</f>
        <v>0</v>
      </c>
    </row>
    <row r="1289" spans="1:14" hidden="1" x14ac:dyDescent="0.3">
      <c r="A1289" s="14">
        <f>+'PLAN DE CUENTAS'!A1289</f>
        <v>0</v>
      </c>
      <c r="B1289" s="13">
        <f>+'PLAN DE CUENTAS'!B1289</f>
        <v>0</v>
      </c>
      <c r="C1289" s="13">
        <f>+'PLAN DE CUENTAS'!C1289</f>
        <v>0</v>
      </c>
      <c r="D1289" t="str">
        <f>IF(tbal[[#This Row],[DEBE]]+tbal[[#This Row],[HABER]]=0,"","X")</f>
        <v/>
      </c>
      <c r="E1289" s="16">
        <f>SUMIF(tdiario[CUENTA],tbal[[#This Row],[CUENTA]],tdiario[DEBE])</f>
        <v>0</v>
      </c>
      <c r="F1289" s="17">
        <f>SUMIF(tdiario[CUENTA],tbal[[#This Row],[CUENTA]],tdiario[HABER])</f>
        <v>0</v>
      </c>
      <c r="G1289" s="16">
        <f>IF(tbal[[#This Row],[DEBE]]-tbal[[#This Row],[HABER]]&gt;0,tbal[[#This Row],[DEBE]]-tbal[[#This Row],[HABER]],0)</f>
        <v>0</v>
      </c>
      <c r="H1289" s="18">
        <f>IF(tbal[[#This Row],[HABER]]-tbal[[#This Row],[DEBE]]&gt;0,tbal[[#This Row],[HABER]]-tbal[[#This Row],[DEBE]],0)</f>
        <v>0</v>
      </c>
      <c r="I1289" s="16">
        <f>IF((OR(tbal[[#This Row],[X]]=1,tbal[[#This Row],[X]]=2)),tbal[[#This Row],[DEUDOR]],0)</f>
        <v>0</v>
      </c>
      <c r="J1289" s="18">
        <f>IF((OR(tbal[[#This Row],[X]]=2,tbal[[#This Row],[X]]=3)),tbal[[#This Row],[ACREEDOR]],0)</f>
        <v>0</v>
      </c>
      <c r="K1289" s="16">
        <f>IF((OR(tbal[[#This Row],[X]]=3,tbal[[#This Row],[X]]=5)),tbal[[#This Row],[DEUDOR]],0)</f>
        <v>0</v>
      </c>
      <c r="L1289" s="18">
        <f>IF((OR(tbal[[#This Row],[X]]=3,tbal[[#This Row],[X]]=4)),tbal[[#This Row],[ACREEDOR]],0)</f>
        <v>0</v>
      </c>
      <c r="M1289" s="16">
        <f>IF((OR(tbal[[#This Row],[X]]=0,tbal[[#This Row],[X]]=6)),tbal[[#This Row],[DEUDOR]],0)</f>
        <v>0</v>
      </c>
      <c r="N1289" s="18">
        <f>IF((OR(tbal[[#This Row],[X]]=0,tbal[[#This Row],[X]]=5)),tbal[[#This Row],[ACREEDOR]],0)</f>
        <v>0</v>
      </c>
    </row>
    <row r="1290" spans="1:14" hidden="1" x14ac:dyDescent="0.3">
      <c r="A1290" s="14">
        <f>+'PLAN DE CUENTAS'!A1290</f>
        <v>0</v>
      </c>
      <c r="B1290" s="13">
        <f>+'PLAN DE CUENTAS'!B1290</f>
        <v>0</v>
      </c>
      <c r="C1290" s="13">
        <f>+'PLAN DE CUENTAS'!C1290</f>
        <v>0</v>
      </c>
      <c r="D1290" t="str">
        <f>IF(tbal[[#This Row],[DEBE]]+tbal[[#This Row],[HABER]]=0,"","X")</f>
        <v/>
      </c>
      <c r="E1290" s="16">
        <f>SUMIF(tdiario[CUENTA],tbal[[#This Row],[CUENTA]],tdiario[DEBE])</f>
        <v>0</v>
      </c>
      <c r="F1290" s="17">
        <f>SUMIF(tdiario[CUENTA],tbal[[#This Row],[CUENTA]],tdiario[HABER])</f>
        <v>0</v>
      </c>
      <c r="G1290" s="16">
        <f>IF(tbal[[#This Row],[DEBE]]-tbal[[#This Row],[HABER]]&gt;0,tbal[[#This Row],[DEBE]]-tbal[[#This Row],[HABER]],0)</f>
        <v>0</v>
      </c>
      <c r="H1290" s="18">
        <f>IF(tbal[[#This Row],[HABER]]-tbal[[#This Row],[DEBE]]&gt;0,tbal[[#This Row],[HABER]]-tbal[[#This Row],[DEBE]],0)</f>
        <v>0</v>
      </c>
      <c r="I1290" s="16">
        <f>IF((OR(tbal[[#This Row],[X]]=1,tbal[[#This Row],[X]]=2)),tbal[[#This Row],[DEUDOR]],0)</f>
        <v>0</v>
      </c>
      <c r="J1290" s="18">
        <f>IF((OR(tbal[[#This Row],[X]]=2,tbal[[#This Row],[X]]=3)),tbal[[#This Row],[ACREEDOR]],0)</f>
        <v>0</v>
      </c>
      <c r="K1290" s="16">
        <f>IF((OR(tbal[[#This Row],[X]]=3,tbal[[#This Row],[X]]=5)),tbal[[#This Row],[DEUDOR]],0)</f>
        <v>0</v>
      </c>
      <c r="L1290" s="18">
        <f>IF((OR(tbal[[#This Row],[X]]=3,tbal[[#This Row],[X]]=4)),tbal[[#This Row],[ACREEDOR]],0)</f>
        <v>0</v>
      </c>
      <c r="M1290" s="16">
        <f>IF((OR(tbal[[#This Row],[X]]=0,tbal[[#This Row],[X]]=6)),tbal[[#This Row],[DEUDOR]],0)</f>
        <v>0</v>
      </c>
      <c r="N1290" s="18">
        <f>IF((OR(tbal[[#This Row],[X]]=0,tbal[[#This Row],[X]]=5)),tbal[[#This Row],[ACREEDOR]],0)</f>
        <v>0</v>
      </c>
    </row>
    <row r="1291" spans="1:14" hidden="1" x14ac:dyDescent="0.3">
      <c r="A1291" s="14">
        <f>+'PLAN DE CUENTAS'!A1291</f>
        <v>0</v>
      </c>
      <c r="B1291" s="13">
        <f>+'PLAN DE CUENTAS'!B1291</f>
        <v>0</v>
      </c>
      <c r="C1291" s="13">
        <f>+'PLAN DE CUENTAS'!C1291</f>
        <v>0</v>
      </c>
      <c r="D1291" t="str">
        <f>IF(tbal[[#This Row],[DEBE]]+tbal[[#This Row],[HABER]]=0,"","X")</f>
        <v/>
      </c>
      <c r="E1291" s="16">
        <f>SUMIF(tdiario[CUENTA],tbal[[#This Row],[CUENTA]],tdiario[DEBE])</f>
        <v>0</v>
      </c>
      <c r="F1291" s="17">
        <f>SUMIF(tdiario[CUENTA],tbal[[#This Row],[CUENTA]],tdiario[HABER])</f>
        <v>0</v>
      </c>
      <c r="G1291" s="16">
        <f>IF(tbal[[#This Row],[DEBE]]-tbal[[#This Row],[HABER]]&gt;0,tbal[[#This Row],[DEBE]]-tbal[[#This Row],[HABER]],0)</f>
        <v>0</v>
      </c>
      <c r="H1291" s="18">
        <f>IF(tbal[[#This Row],[HABER]]-tbal[[#This Row],[DEBE]]&gt;0,tbal[[#This Row],[HABER]]-tbal[[#This Row],[DEBE]],0)</f>
        <v>0</v>
      </c>
      <c r="I1291" s="16">
        <f>IF((OR(tbal[[#This Row],[X]]=1,tbal[[#This Row],[X]]=2)),tbal[[#This Row],[DEUDOR]],0)</f>
        <v>0</v>
      </c>
      <c r="J1291" s="18">
        <f>IF((OR(tbal[[#This Row],[X]]=2,tbal[[#This Row],[X]]=3)),tbal[[#This Row],[ACREEDOR]],0)</f>
        <v>0</v>
      </c>
      <c r="K1291" s="16">
        <f>IF((OR(tbal[[#This Row],[X]]=3,tbal[[#This Row],[X]]=5)),tbal[[#This Row],[DEUDOR]],0)</f>
        <v>0</v>
      </c>
      <c r="L1291" s="18">
        <f>IF((OR(tbal[[#This Row],[X]]=3,tbal[[#This Row],[X]]=4)),tbal[[#This Row],[ACREEDOR]],0)</f>
        <v>0</v>
      </c>
      <c r="M1291" s="16">
        <f>IF((OR(tbal[[#This Row],[X]]=0,tbal[[#This Row],[X]]=6)),tbal[[#This Row],[DEUDOR]],0)</f>
        <v>0</v>
      </c>
      <c r="N1291" s="18">
        <f>IF((OR(tbal[[#This Row],[X]]=0,tbal[[#This Row],[X]]=5)),tbal[[#This Row],[ACREEDOR]],0)</f>
        <v>0</v>
      </c>
    </row>
    <row r="1292" spans="1:14" hidden="1" x14ac:dyDescent="0.3">
      <c r="A1292" s="14">
        <f>+'PLAN DE CUENTAS'!A1292</f>
        <v>0</v>
      </c>
      <c r="B1292" s="13">
        <f>+'PLAN DE CUENTAS'!B1292</f>
        <v>0</v>
      </c>
      <c r="C1292" s="13">
        <f>+'PLAN DE CUENTAS'!C1292</f>
        <v>0</v>
      </c>
      <c r="D1292" t="str">
        <f>IF(tbal[[#This Row],[DEBE]]+tbal[[#This Row],[HABER]]=0,"","X")</f>
        <v/>
      </c>
      <c r="E1292" s="16">
        <f>SUMIF(tdiario[CUENTA],tbal[[#This Row],[CUENTA]],tdiario[DEBE])</f>
        <v>0</v>
      </c>
      <c r="F1292" s="17">
        <f>SUMIF(tdiario[CUENTA],tbal[[#This Row],[CUENTA]],tdiario[HABER])</f>
        <v>0</v>
      </c>
      <c r="G1292" s="16">
        <f>IF(tbal[[#This Row],[DEBE]]-tbal[[#This Row],[HABER]]&gt;0,tbal[[#This Row],[DEBE]]-tbal[[#This Row],[HABER]],0)</f>
        <v>0</v>
      </c>
      <c r="H1292" s="18">
        <f>IF(tbal[[#This Row],[HABER]]-tbal[[#This Row],[DEBE]]&gt;0,tbal[[#This Row],[HABER]]-tbal[[#This Row],[DEBE]],0)</f>
        <v>0</v>
      </c>
      <c r="I1292" s="16">
        <f>IF((OR(tbal[[#This Row],[X]]=1,tbal[[#This Row],[X]]=2)),tbal[[#This Row],[DEUDOR]],0)</f>
        <v>0</v>
      </c>
      <c r="J1292" s="18">
        <f>IF((OR(tbal[[#This Row],[X]]=2,tbal[[#This Row],[X]]=3)),tbal[[#This Row],[ACREEDOR]],0)</f>
        <v>0</v>
      </c>
      <c r="K1292" s="16">
        <f>IF((OR(tbal[[#This Row],[X]]=3,tbal[[#This Row],[X]]=5)),tbal[[#This Row],[DEUDOR]],0)</f>
        <v>0</v>
      </c>
      <c r="L1292" s="18">
        <f>IF((OR(tbal[[#This Row],[X]]=3,tbal[[#This Row],[X]]=4)),tbal[[#This Row],[ACREEDOR]],0)</f>
        <v>0</v>
      </c>
      <c r="M1292" s="16">
        <f>IF((OR(tbal[[#This Row],[X]]=0,tbal[[#This Row],[X]]=6)),tbal[[#This Row],[DEUDOR]],0)</f>
        <v>0</v>
      </c>
      <c r="N1292" s="18">
        <f>IF((OR(tbal[[#This Row],[X]]=0,tbal[[#This Row],[X]]=5)),tbal[[#This Row],[ACREEDOR]],0)</f>
        <v>0</v>
      </c>
    </row>
    <row r="1293" spans="1:14" hidden="1" x14ac:dyDescent="0.3">
      <c r="A1293" s="14">
        <f>+'PLAN DE CUENTAS'!A1293</f>
        <v>0</v>
      </c>
      <c r="B1293" s="13">
        <f>+'PLAN DE CUENTAS'!B1293</f>
        <v>0</v>
      </c>
      <c r="C1293" s="13">
        <f>+'PLAN DE CUENTAS'!C1293</f>
        <v>0</v>
      </c>
      <c r="D1293" t="str">
        <f>IF(tbal[[#This Row],[DEBE]]+tbal[[#This Row],[HABER]]=0,"","X")</f>
        <v/>
      </c>
      <c r="E1293" s="16">
        <f>SUMIF(tdiario[CUENTA],tbal[[#This Row],[CUENTA]],tdiario[DEBE])</f>
        <v>0</v>
      </c>
      <c r="F1293" s="17">
        <f>SUMIF(tdiario[CUENTA],tbal[[#This Row],[CUENTA]],tdiario[HABER])</f>
        <v>0</v>
      </c>
      <c r="G1293" s="16">
        <f>IF(tbal[[#This Row],[DEBE]]-tbal[[#This Row],[HABER]]&gt;0,tbal[[#This Row],[DEBE]]-tbal[[#This Row],[HABER]],0)</f>
        <v>0</v>
      </c>
      <c r="H1293" s="18">
        <f>IF(tbal[[#This Row],[HABER]]-tbal[[#This Row],[DEBE]]&gt;0,tbal[[#This Row],[HABER]]-tbal[[#This Row],[DEBE]],0)</f>
        <v>0</v>
      </c>
      <c r="I1293" s="16">
        <f>IF((OR(tbal[[#This Row],[X]]=1,tbal[[#This Row],[X]]=2)),tbal[[#This Row],[DEUDOR]],0)</f>
        <v>0</v>
      </c>
      <c r="J1293" s="18">
        <f>IF((OR(tbal[[#This Row],[X]]=2,tbal[[#This Row],[X]]=3)),tbal[[#This Row],[ACREEDOR]],0)</f>
        <v>0</v>
      </c>
      <c r="K1293" s="16">
        <f>IF((OR(tbal[[#This Row],[X]]=3,tbal[[#This Row],[X]]=5)),tbal[[#This Row],[DEUDOR]],0)</f>
        <v>0</v>
      </c>
      <c r="L1293" s="18">
        <f>IF((OR(tbal[[#This Row],[X]]=3,tbal[[#This Row],[X]]=4)),tbal[[#This Row],[ACREEDOR]],0)</f>
        <v>0</v>
      </c>
      <c r="M1293" s="16">
        <f>IF((OR(tbal[[#This Row],[X]]=0,tbal[[#This Row],[X]]=6)),tbal[[#This Row],[DEUDOR]],0)</f>
        <v>0</v>
      </c>
      <c r="N1293" s="18">
        <f>IF((OR(tbal[[#This Row],[X]]=0,tbal[[#This Row],[X]]=5)),tbal[[#This Row],[ACREEDOR]],0)</f>
        <v>0</v>
      </c>
    </row>
    <row r="1294" spans="1:14" hidden="1" x14ac:dyDescent="0.3">
      <c r="A1294" s="14">
        <f>+'PLAN DE CUENTAS'!A1294</f>
        <v>0</v>
      </c>
      <c r="B1294" s="13">
        <f>+'PLAN DE CUENTAS'!B1294</f>
        <v>0</v>
      </c>
      <c r="C1294" s="13">
        <f>+'PLAN DE CUENTAS'!C1294</f>
        <v>0</v>
      </c>
      <c r="D1294" t="str">
        <f>IF(tbal[[#This Row],[DEBE]]+tbal[[#This Row],[HABER]]=0,"","X")</f>
        <v/>
      </c>
      <c r="E1294" s="16">
        <f>SUMIF(tdiario[CUENTA],tbal[[#This Row],[CUENTA]],tdiario[DEBE])</f>
        <v>0</v>
      </c>
      <c r="F1294" s="17">
        <f>SUMIF(tdiario[CUENTA],tbal[[#This Row],[CUENTA]],tdiario[HABER])</f>
        <v>0</v>
      </c>
      <c r="G1294" s="16">
        <f>IF(tbal[[#This Row],[DEBE]]-tbal[[#This Row],[HABER]]&gt;0,tbal[[#This Row],[DEBE]]-tbal[[#This Row],[HABER]],0)</f>
        <v>0</v>
      </c>
      <c r="H1294" s="18">
        <f>IF(tbal[[#This Row],[HABER]]-tbal[[#This Row],[DEBE]]&gt;0,tbal[[#This Row],[HABER]]-tbal[[#This Row],[DEBE]],0)</f>
        <v>0</v>
      </c>
      <c r="I1294" s="16">
        <f>IF((OR(tbal[[#This Row],[X]]=1,tbal[[#This Row],[X]]=2)),tbal[[#This Row],[DEUDOR]],0)</f>
        <v>0</v>
      </c>
      <c r="J1294" s="18">
        <f>IF((OR(tbal[[#This Row],[X]]=2,tbal[[#This Row],[X]]=3)),tbal[[#This Row],[ACREEDOR]],0)</f>
        <v>0</v>
      </c>
      <c r="K1294" s="16">
        <f>IF((OR(tbal[[#This Row],[X]]=3,tbal[[#This Row],[X]]=5)),tbal[[#This Row],[DEUDOR]],0)</f>
        <v>0</v>
      </c>
      <c r="L1294" s="18">
        <f>IF((OR(tbal[[#This Row],[X]]=3,tbal[[#This Row],[X]]=4)),tbal[[#This Row],[ACREEDOR]],0)</f>
        <v>0</v>
      </c>
      <c r="M1294" s="16">
        <f>IF((OR(tbal[[#This Row],[X]]=0,tbal[[#This Row],[X]]=6)),tbal[[#This Row],[DEUDOR]],0)</f>
        <v>0</v>
      </c>
      <c r="N1294" s="18">
        <f>IF((OR(tbal[[#This Row],[X]]=0,tbal[[#This Row],[X]]=5)),tbal[[#This Row],[ACREEDOR]],0)</f>
        <v>0</v>
      </c>
    </row>
    <row r="1295" spans="1:14" hidden="1" x14ac:dyDescent="0.3">
      <c r="A1295" s="14">
        <f>+'PLAN DE CUENTAS'!A1295</f>
        <v>0</v>
      </c>
      <c r="B1295" s="13">
        <f>+'PLAN DE CUENTAS'!B1295</f>
        <v>0</v>
      </c>
      <c r="C1295" s="13">
        <f>+'PLAN DE CUENTAS'!C1295</f>
        <v>0</v>
      </c>
      <c r="D1295" t="str">
        <f>IF(tbal[[#This Row],[DEBE]]+tbal[[#This Row],[HABER]]=0,"","X")</f>
        <v/>
      </c>
      <c r="E1295" s="16">
        <f>SUMIF(tdiario[CUENTA],tbal[[#This Row],[CUENTA]],tdiario[DEBE])</f>
        <v>0</v>
      </c>
      <c r="F1295" s="17">
        <f>SUMIF(tdiario[CUENTA],tbal[[#This Row],[CUENTA]],tdiario[HABER])</f>
        <v>0</v>
      </c>
      <c r="G1295" s="16">
        <f>IF(tbal[[#This Row],[DEBE]]-tbal[[#This Row],[HABER]]&gt;0,tbal[[#This Row],[DEBE]]-tbal[[#This Row],[HABER]],0)</f>
        <v>0</v>
      </c>
      <c r="H1295" s="18">
        <f>IF(tbal[[#This Row],[HABER]]-tbal[[#This Row],[DEBE]]&gt;0,tbal[[#This Row],[HABER]]-tbal[[#This Row],[DEBE]],0)</f>
        <v>0</v>
      </c>
      <c r="I1295" s="16">
        <f>IF((OR(tbal[[#This Row],[X]]=1,tbal[[#This Row],[X]]=2)),tbal[[#This Row],[DEUDOR]],0)</f>
        <v>0</v>
      </c>
      <c r="J1295" s="18">
        <f>IF((OR(tbal[[#This Row],[X]]=2,tbal[[#This Row],[X]]=3)),tbal[[#This Row],[ACREEDOR]],0)</f>
        <v>0</v>
      </c>
      <c r="K1295" s="16">
        <f>IF((OR(tbal[[#This Row],[X]]=3,tbal[[#This Row],[X]]=5)),tbal[[#This Row],[DEUDOR]],0)</f>
        <v>0</v>
      </c>
      <c r="L1295" s="18">
        <f>IF((OR(tbal[[#This Row],[X]]=3,tbal[[#This Row],[X]]=4)),tbal[[#This Row],[ACREEDOR]],0)</f>
        <v>0</v>
      </c>
      <c r="M1295" s="16">
        <f>IF((OR(tbal[[#This Row],[X]]=0,tbal[[#This Row],[X]]=6)),tbal[[#This Row],[DEUDOR]],0)</f>
        <v>0</v>
      </c>
      <c r="N1295" s="18">
        <f>IF((OR(tbal[[#This Row],[X]]=0,tbal[[#This Row],[X]]=5)),tbal[[#This Row],[ACREEDOR]],0)</f>
        <v>0</v>
      </c>
    </row>
    <row r="1296" spans="1:14" hidden="1" x14ac:dyDescent="0.3">
      <c r="A1296" s="14">
        <f>+'PLAN DE CUENTAS'!A1296</f>
        <v>0</v>
      </c>
      <c r="B1296" s="13">
        <f>+'PLAN DE CUENTAS'!B1296</f>
        <v>0</v>
      </c>
      <c r="C1296" s="13">
        <f>+'PLAN DE CUENTAS'!C1296</f>
        <v>0</v>
      </c>
      <c r="D1296" t="str">
        <f>IF(tbal[[#This Row],[DEBE]]+tbal[[#This Row],[HABER]]=0,"","X")</f>
        <v/>
      </c>
      <c r="E1296" s="16">
        <f>SUMIF(tdiario[CUENTA],tbal[[#This Row],[CUENTA]],tdiario[DEBE])</f>
        <v>0</v>
      </c>
      <c r="F1296" s="17">
        <f>SUMIF(tdiario[CUENTA],tbal[[#This Row],[CUENTA]],tdiario[HABER])</f>
        <v>0</v>
      </c>
      <c r="G1296" s="16">
        <f>IF(tbal[[#This Row],[DEBE]]-tbal[[#This Row],[HABER]]&gt;0,tbal[[#This Row],[DEBE]]-tbal[[#This Row],[HABER]],0)</f>
        <v>0</v>
      </c>
      <c r="H1296" s="18">
        <f>IF(tbal[[#This Row],[HABER]]-tbal[[#This Row],[DEBE]]&gt;0,tbal[[#This Row],[HABER]]-tbal[[#This Row],[DEBE]],0)</f>
        <v>0</v>
      </c>
      <c r="I1296" s="16">
        <f>IF((OR(tbal[[#This Row],[X]]=1,tbal[[#This Row],[X]]=2)),tbal[[#This Row],[DEUDOR]],0)</f>
        <v>0</v>
      </c>
      <c r="J1296" s="18">
        <f>IF((OR(tbal[[#This Row],[X]]=2,tbal[[#This Row],[X]]=3)),tbal[[#This Row],[ACREEDOR]],0)</f>
        <v>0</v>
      </c>
      <c r="K1296" s="16">
        <f>IF((OR(tbal[[#This Row],[X]]=3,tbal[[#This Row],[X]]=5)),tbal[[#This Row],[DEUDOR]],0)</f>
        <v>0</v>
      </c>
      <c r="L1296" s="18">
        <f>IF((OR(tbal[[#This Row],[X]]=3,tbal[[#This Row],[X]]=4)),tbal[[#This Row],[ACREEDOR]],0)</f>
        <v>0</v>
      </c>
      <c r="M1296" s="16">
        <f>IF((OR(tbal[[#This Row],[X]]=0,tbal[[#This Row],[X]]=6)),tbal[[#This Row],[DEUDOR]],0)</f>
        <v>0</v>
      </c>
      <c r="N1296" s="18">
        <f>IF((OR(tbal[[#This Row],[X]]=0,tbal[[#This Row],[X]]=5)),tbal[[#This Row],[ACREEDOR]],0)</f>
        <v>0</v>
      </c>
    </row>
    <row r="1297" spans="1:14" hidden="1" x14ac:dyDescent="0.3">
      <c r="A1297" s="14">
        <f>+'PLAN DE CUENTAS'!A1297</f>
        <v>0</v>
      </c>
      <c r="B1297" s="13">
        <f>+'PLAN DE CUENTAS'!B1297</f>
        <v>0</v>
      </c>
      <c r="C1297" s="13">
        <f>+'PLAN DE CUENTAS'!C1297</f>
        <v>0</v>
      </c>
      <c r="D1297" t="str">
        <f>IF(tbal[[#This Row],[DEBE]]+tbal[[#This Row],[HABER]]=0,"","X")</f>
        <v/>
      </c>
      <c r="E1297" s="16">
        <f>SUMIF(tdiario[CUENTA],tbal[[#This Row],[CUENTA]],tdiario[DEBE])</f>
        <v>0</v>
      </c>
      <c r="F1297" s="17">
        <f>SUMIF(tdiario[CUENTA],tbal[[#This Row],[CUENTA]],tdiario[HABER])</f>
        <v>0</v>
      </c>
      <c r="G1297" s="16">
        <f>IF(tbal[[#This Row],[DEBE]]-tbal[[#This Row],[HABER]]&gt;0,tbal[[#This Row],[DEBE]]-tbal[[#This Row],[HABER]],0)</f>
        <v>0</v>
      </c>
      <c r="H1297" s="18">
        <f>IF(tbal[[#This Row],[HABER]]-tbal[[#This Row],[DEBE]]&gt;0,tbal[[#This Row],[HABER]]-tbal[[#This Row],[DEBE]],0)</f>
        <v>0</v>
      </c>
      <c r="I1297" s="16">
        <f>IF((OR(tbal[[#This Row],[X]]=1,tbal[[#This Row],[X]]=2)),tbal[[#This Row],[DEUDOR]],0)</f>
        <v>0</v>
      </c>
      <c r="J1297" s="18">
        <f>IF((OR(tbal[[#This Row],[X]]=2,tbal[[#This Row],[X]]=3)),tbal[[#This Row],[ACREEDOR]],0)</f>
        <v>0</v>
      </c>
      <c r="K1297" s="16">
        <f>IF((OR(tbal[[#This Row],[X]]=3,tbal[[#This Row],[X]]=5)),tbal[[#This Row],[DEUDOR]],0)</f>
        <v>0</v>
      </c>
      <c r="L1297" s="18">
        <f>IF((OR(tbal[[#This Row],[X]]=3,tbal[[#This Row],[X]]=4)),tbal[[#This Row],[ACREEDOR]],0)</f>
        <v>0</v>
      </c>
      <c r="M1297" s="16">
        <f>IF((OR(tbal[[#This Row],[X]]=0,tbal[[#This Row],[X]]=6)),tbal[[#This Row],[DEUDOR]],0)</f>
        <v>0</v>
      </c>
      <c r="N1297" s="18">
        <f>IF((OR(tbal[[#This Row],[X]]=0,tbal[[#This Row],[X]]=5)),tbal[[#This Row],[ACREEDOR]],0)</f>
        <v>0</v>
      </c>
    </row>
    <row r="1298" spans="1:14" hidden="1" x14ac:dyDescent="0.3">
      <c r="A1298" s="14">
        <f>+'PLAN DE CUENTAS'!A1298</f>
        <v>0</v>
      </c>
      <c r="B1298" s="13">
        <f>+'PLAN DE CUENTAS'!B1298</f>
        <v>0</v>
      </c>
      <c r="C1298" s="13">
        <f>+'PLAN DE CUENTAS'!C1298</f>
        <v>0</v>
      </c>
      <c r="D1298" t="str">
        <f>IF(tbal[[#This Row],[DEBE]]+tbal[[#This Row],[HABER]]=0,"","X")</f>
        <v/>
      </c>
      <c r="E1298" s="16">
        <f>SUMIF(tdiario[CUENTA],tbal[[#This Row],[CUENTA]],tdiario[DEBE])</f>
        <v>0</v>
      </c>
      <c r="F1298" s="17">
        <f>SUMIF(tdiario[CUENTA],tbal[[#This Row],[CUENTA]],tdiario[HABER])</f>
        <v>0</v>
      </c>
      <c r="G1298" s="16">
        <f>IF(tbal[[#This Row],[DEBE]]-tbal[[#This Row],[HABER]]&gt;0,tbal[[#This Row],[DEBE]]-tbal[[#This Row],[HABER]],0)</f>
        <v>0</v>
      </c>
      <c r="H1298" s="18">
        <f>IF(tbal[[#This Row],[HABER]]-tbal[[#This Row],[DEBE]]&gt;0,tbal[[#This Row],[HABER]]-tbal[[#This Row],[DEBE]],0)</f>
        <v>0</v>
      </c>
      <c r="I1298" s="16">
        <f>IF((OR(tbal[[#This Row],[X]]=1,tbal[[#This Row],[X]]=2)),tbal[[#This Row],[DEUDOR]],0)</f>
        <v>0</v>
      </c>
      <c r="J1298" s="18">
        <f>IF((OR(tbal[[#This Row],[X]]=2,tbal[[#This Row],[X]]=3)),tbal[[#This Row],[ACREEDOR]],0)</f>
        <v>0</v>
      </c>
      <c r="K1298" s="16">
        <f>IF((OR(tbal[[#This Row],[X]]=3,tbal[[#This Row],[X]]=5)),tbal[[#This Row],[DEUDOR]],0)</f>
        <v>0</v>
      </c>
      <c r="L1298" s="18">
        <f>IF((OR(tbal[[#This Row],[X]]=3,tbal[[#This Row],[X]]=4)),tbal[[#This Row],[ACREEDOR]],0)</f>
        <v>0</v>
      </c>
      <c r="M1298" s="16">
        <f>IF((OR(tbal[[#This Row],[X]]=0,tbal[[#This Row],[X]]=6)),tbal[[#This Row],[DEUDOR]],0)</f>
        <v>0</v>
      </c>
      <c r="N1298" s="18">
        <f>IF((OR(tbal[[#This Row],[X]]=0,tbal[[#This Row],[X]]=5)),tbal[[#This Row],[ACREEDOR]],0)</f>
        <v>0</v>
      </c>
    </row>
    <row r="1299" spans="1:14" hidden="1" x14ac:dyDescent="0.3">
      <c r="A1299" s="14">
        <f>+'PLAN DE CUENTAS'!A1299</f>
        <v>0</v>
      </c>
      <c r="B1299" s="13">
        <f>+'PLAN DE CUENTAS'!B1299</f>
        <v>0</v>
      </c>
      <c r="C1299" s="13">
        <f>+'PLAN DE CUENTAS'!C1299</f>
        <v>0</v>
      </c>
      <c r="D1299" t="str">
        <f>IF(tbal[[#This Row],[DEBE]]+tbal[[#This Row],[HABER]]=0,"","X")</f>
        <v/>
      </c>
      <c r="E1299" s="16">
        <f>SUMIF(tdiario[CUENTA],tbal[[#This Row],[CUENTA]],tdiario[DEBE])</f>
        <v>0</v>
      </c>
      <c r="F1299" s="17">
        <f>SUMIF(tdiario[CUENTA],tbal[[#This Row],[CUENTA]],tdiario[HABER])</f>
        <v>0</v>
      </c>
      <c r="G1299" s="16">
        <f>IF(tbal[[#This Row],[DEBE]]-tbal[[#This Row],[HABER]]&gt;0,tbal[[#This Row],[DEBE]]-tbal[[#This Row],[HABER]],0)</f>
        <v>0</v>
      </c>
      <c r="H1299" s="18">
        <f>IF(tbal[[#This Row],[HABER]]-tbal[[#This Row],[DEBE]]&gt;0,tbal[[#This Row],[HABER]]-tbal[[#This Row],[DEBE]],0)</f>
        <v>0</v>
      </c>
      <c r="I1299" s="16">
        <f>IF((OR(tbal[[#This Row],[X]]=1,tbal[[#This Row],[X]]=2)),tbal[[#This Row],[DEUDOR]],0)</f>
        <v>0</v>
      </c>
      <c r="J1299" s="18">
        <f>IF((OR(tbal[[#This Row],[X]]=2,tbal[[#This Row],[X]]=3)),tbal[[#This Row],[ACREEDOR]],0)</f>
        <v>0</v>
      </c>
      <c r="K1299" s="16">
        <f>IF((OR(tbal[[#This Row],[X]]=3,tbal[[#This Row],[X]]=5)),tbal[[#This Row],[DEUDOR]],0)</f>
        <v>0</v>
      </c>
      <c r="L1299" s="18">
        <f>IF((OR(tbal[[#This Row],[X]]=3,tbal[[#This Row],[X]]=4)),tbal[[#This Row],[ACREEDOR]],0)</f>
        <v>0</v>
      </c>
      <c r="M1299" s="16">
        <f>IF((OR(tbal[[#This Row],[X]]=0,tbal[[#This Row],[X]]=6)),tbal[[#This Row],[DEUDOR]],0)</f>
        <v>0</v>
      </c>
      <c r="N1299" s="18">
        <f>IF((OR(tbal[[#This Row],[X]]=0,tbal[[#This Row],[X]]=5)),tbal[[#This Row],[ACREEDOR]],0)</f>
        <v>0</v>
      </c>
    </row>
    <row r="1300" spans="1:14" hidden="1" x14ac:dyDescent="0.3">
      <c r="A1300" s="14">
        <f>+'PLAN DE CUENTAS'!A1300</f>
        <v>0</v>
      </c>
      <c r="B1300" s="13">
        <f>+'PLAN DE CUENTAS'!B1300</f>
        <v>0</v>
      </c>
      <c r="C1300" s="13">
        <f>+'PLAN DE CUENTAS'!C1300</f>
        <v>0</v>
      </c>
      <c r="D1300" t="str">
        <f>IF(tbal[[#This Row],[DEBE]]+tbal[[#This Row],[HABER]]=0,"","X")</f>
        <v/>
      </c>
      <c r="E1300" s="16">
        <f>SUMIF(tdiario[CUENTA],tbal[[#This Row],[CUENTA]],tdiario[DEBE])</f>
        <v>0</v>
      </c>
      <c r="F1300" s="17">
        <f>SUMIF(tdiario[CUENTA],tbal[[#This Row],[CUENTA]],tdiario[HABER])</f>
        <v>0</v>
      </c>
      <c r="G1300" s="16">
        <f>IF(tbal[[#This Row],[DEBE]]-tbal[[#This Row],[HABER]]&gt;0,tbal[[#This Row],[DEBE]]-tbal[[#This Row],[HABER]],0)</f>
        <v>0</v>
      </c>
      <c r="H1300" s="18">
        <f>IF(tbal[[#This Row],[HABER]]-tbal[[#This Row],[DEBE]]&gt;0,tbal[[#This Row],[HABER]]-tbal[[#This Row],[DEBE]],0)</f>
        <v>0</v>
      </c>
      <c r="I1300" s="16">
        <f>IF((OR(tbal[[#This Row],[X]]=1,tbal[[#This Row],[X]]=2)),tbal[[#This Row],[DEUDOR]],0)</f>
        <v>0</v>
      </c>
      <c r="J1300" s="18">
        <f>IF((OR(tbal[[#This Row],[X]]=2,tbal[[#This Row],[X]]=3)),tbal[[#This Row],[ACREEDOR]],0)</f>
        <v>0</v>
      </c>
      <c r="K1300" s="16">
        <f>IF((OR(tbal[[#This Row],[X]]=3,tbal[[#This Row],[X]]=5)),tbal[[#This Row],[DEUDOR]],0)</f>
        <v>0</v>
      </c>
      <c r="L1300" s="18">
        <f>IF((OR(tbal[[#This Row],[X]]=3,tbal[[#This Row],[X]]=4)),tbal[[#This Row],[ACREEDOR]],0)</f>
        <v>0</v>
      </c>
      <c r="M1300" s="16">
        <f>IF((OR(tbal[[#This Row],[X]]=0,tbal[[#This Row],[X]]=6)),tbal[[#This Row],[DEUDOR]],0)</f>
        <v>0</v>
      </c>
      <c r="N1300" s="18">
        <f>IF((OR(tbal[[#This Row],[X]]=0,tbal[[#This Row],[X]]=5)),tbal[[#This Row],[ACREEDOR]],0)</f>
        <v>0</v>
      </c>
    </row>
    <row r="1301" spans="1:14" hidden="1" x14ac:dyDescent="0.3">
      <c r="A1301" s="14">
        <f>+'PLAN DE CUENTAS'!A1301</f>
        <v>0</v>
      </c>
      <c r="B1301" s="13">
        <f>+'PLAN DE CUENTAS'!B1301</f>
        <v>0</v>
      </c>
      <c r="C1301" s="13">
        <f>+'PLAN DE CUENTAS'!C1301</f>
        <v>0</v>
      </c>
      <c r="D1301" t="str">
        <f>IF(tbal[[#This Row],[DEBE]]+tbal[[#This Row],[HABER]]=0,"","X")</f>
        <v/>
      </c>
      <c r="E1301" s="16">
        <f>SUMIF(tdiario[CUENTA],tbal[[#This Row],[CUENTA]],tdiario[DEBE])</f>
        <v>0</v>
      </c>
      <c r="F1301" s="17">
        <f>SUMIF(tdiario[CUENTA],tbal[[#This Row],[CUENTA]],tdiario[HABER])</f>
        <v>0</v>
      </c>
      <c r="G1301" s="16">
        <f>IF(tbal[[#This Row],[DEBE]]-tbal[[#This Row],[HABER]]&gt;0,tbal[[#This Row],[DEBE]]-tbal[[#This Row],[HABER]],0)</f>
        <v>0</v>
      </c>
      <c r="H1301" s="18">
        <f>IF(tbal[[#This Row],[HABER]]-tbal[[#This Row],[DEBE]]&gt;0,tbal[[#This Row],[HABER]]-tbal[[#This Row],[DEBE]],0)</f>
        <v>0</v>
      </c>
      <c r="I1301" s="16">
        <f>IF((OR(tbal[[#This Row],[X]]=1,tbal[[#This Row],[X]]=2)),tbal[[#This Row],[DEUDOR]],0)</f>
        <v>0</v>
      </c>
      <c r="J1301" s="18">
        <f>IF((OR(tbal[[#This Row],[X]]=2,tbal[[#This Row],[X]]=3)),tbal[[#This Row],[ACREEDOR]],0)</f>
        <v>0</v>
      </c>
      <c r="K1301" s="16">
        <f>IF((OR(tbal[[#This Row],[X]]=3,tbal[[#This Row],[X]]=5)),tbal[[#This Row],[DEUDOR]],0)</f>
        <v>0</v>
      </c>
      <c r="L1301" s="18">
        <f>IF((OR(tbal[[#This Row],[X]]=3,tbal[[#This Row],[X]]=4)),tbal[[#This Row],[ACREEDOR]],0)</f>
        <v>0</v>
      </c>
      <c r="M1301" s="16">
        <f>IF((OR(tbal[[#This Row],[X]]=0,tbal[[#This Row],[X]]=6)),tbal[[#This Row],[DEUDOR]],0)</f>
        <v>0</v>
      </c>
      <c r="N1301" s="18">
        <f>IF((OR(tbal[[#This Row],[X]]=0,tbal[[#This Row],[X]]=5)),tbal[[#This Row],[ACREEDOR]],0)</f>
        <v>0</v>
      </c>
    </row>
    <row r="1302" spans="1:14" hidden="1" x14ac:dyDescent="0.3">
      <c r="A1302" s="14">
        <f>+'PLAN DE CUENTAS'!A1302</f>
        <v>0</v>
      </c>
      <c r="B1302" s="13">
        <f>+'PLAN DE CUENTAS'!B1302</f>
        <v>0</v>
      </c>
      <c r="C1302" s="13">
        <f>+'PLAN DE CUENTAS'!C1302</f>
        <v>0</v>
      </c>
      <c r="D1302" t="str">
        <f>IF(tbal[[#This Row],[DEBE]]+tbal[[#This Row],[HABER]]=0,"","X")</f>
        <v/>
      </c>
      <c r="E1302" s="16">
        <f>SUMIF(tdiario[CUENTA],tbal[[#This Row],[CUENTA]],tdiario[DEBE])</f>
        <v>0</v>
      </c>
      <c r="F1302" s="17">
        <f>SUMIF(tdiario[CUENTA],tbal[[#This Row],[CUENTA]],tdiario[HABER])</f>
        <v>0</v>
      </c>
      <c r="G1302" s="16">
        <f>IF(tbal[[#This Row],[DEBE]]-tbal[[#This Row],[HABER]]&gt;0,tbal[[#This Row],[DEBE]]-tbal[[#This Row],[HABER]],0)</f>
        <v>0</v>
      </c>
      <c r="H1302" s="18">
        <f>IF(tbal[[#This Row],[HABER]]-tbal[[#This Row],[DEBE]]&gt;0,tbal[[#This Row],[HABER]]-tbal[[#This Row],[DEBE]],0)</f>
        <v>0</v>
      </c>
      <c r="I1302" s="16">
        <f>IF((OR(tbal[[#This Row],[X]]=1,tbal[[#This Row],[X]]=2)),tbal[[#This Row],[DEUDOR]],0)</f>
        <v>0</v>
      </c>
      <c r="J1302" s="18">
        <f>IF((OR(tbal[[#This Row],[X]]=2,tbal[[#This Row],[X]]=3)),tbal[[#This Row],[ACREEDOR]],0)</f>
        <v>0</v>
      </c>
      <c r="K1302" s="16">
        <f>IF((OR(tbal[[#This Row],[X]]=3,tbal[[#This Row],[X]]=5)),tbal[[#This Row],[DEUDOR]],0)</f>
        <v>0</v>
      </c>
      <c r="L1302" s="18">
        <f>IF((OR(tbal[[#This Row],[X]]=3,tbal[[#This Row],[X]]=4)),tbal[[#This Row],[ACREEDOR]],0)</f>
        <v>0</v>
      </c>
      <c r="M1302" s="16">
        <f>IF((OR(tbal[[#This Row],[X]]=0,tbal[[#This Row],[X]]=6)),tbal[[#This Row],[DEUDOR]],0)</f>
        <v>0</v>
      </c>
      <c r="N1302" s="18">
        <f>IF((OR(tbal[[#This Row],[X]]=0,tbal[[#This Row],[X]]=5)),tbal[[#This Row],[ACREEDOR]],0)</f>
        <v>0</v>
      </c>
    </row>
    <row r="1303" spans="1:14" hidden="1" x14ac:dyDescent="0.3">
      <c r="A1303" s="14">
        <f>+'PLAN DE CUENTAS'!A1303</f>
        <v>0</v>
      </c>
      <c r="B1303" s="13">
        <f>+'PLAN DE CUENTAS'!B1303</f>
        <v>0</v>
      </c>
      <c r="C1303" s="13">
        <f>+'PLAN DE CUENTAS'!C1303</f>
        <v>0</v>
      </c>
      <c r="D1303" t="str">
        <f>IF(tbal[[#This Row],[DEBE]]+tbal[[#This Row],[HABER]]=0,"","X")</f>
        <v/>
      </c>
      <c r="E1303" s="16">
        <f>SUMIF(tdiario[CUENTA],tbal[[#This Row],[CUENTA]],tdiario[DEBE])</f>
        <v>0</v>
      </c>
      <c r="F1303" s="17">
        <f>SUMIF(tdiario[CUENTA],tbal[[#This Row],[CUENTA]],tdiario[HABER])</f>
        <v>0</v>
      </c>
      <c r="G1303" s="16">
        <f>IF(tbal[[#This Row],[DEBE]]-tbal[[#This Row],[HABER]]&gt;0,tbal[[#This Row],[DEBE]]-tbal[[#This Row],[HABER]],0)</f>
        <v>0</v>
      </c>
      <c r="H1303" s="18">
        <f>IF(tbal[[#This Row],[HABER]]-tbal[[#This Row],[DEBE]]&gt;0,tbal[[#This Row],[HABER]]-tbal[[#This Row],[DEBE]],0)</f>
        <v>0</v>
      </c>
      <c r="I1303" s="16">
        <f>IF((OR(tbal[[#This Row],[X]]=1,tbal[[#This Row],[X]]=2)),tbal[[#This Row],[DEUDOR]],0)</f>
        <v>0</v>
      </c>
      <c r="J1303" s="18">
        <f>IF((OR(tbal[[#This Row],[X]]=2,tbal[[#This Row],[X]]=3)),tbal[[#This Row],[ACREEDOR]],0)</f>
        <v>0</v>
      </c>
      <c r="K1303" s="16">
        <f>IF((OR(tbal[[#This Row],[X]]=3,tbal[[#This Row],[X]]=5)),tbal[[#This Row],[DEUDOR]],0)</f>
        <v>0</v>
      </c>
      <c r="L1303" s="18">
        <f>IF((OR(tbal[[#This Row],[X]]=3,tbal[[#This Row],[X]]=4)),tbal[[#This Row],[ACREEDOR]],0)</f>
        <v>0</v>
      </c>
      <c r="M1303" s="16">
        <f>IF((OR(tbal[[#This Row],[X]]=0,tbal[[#This Row],[X]]=6)),tbal[[#This Row],[DEUDOR]],0)</f>
        <v>0</v>
      </c>
      <c r="N1303" s="18">
        <f>IF((OR(tbal[[#This Row],[X]]=0,tbal[[#This Row],[X]]=5)),tbal[[#This Row],[ACREEDOR]],0)</f>
        <v>0</v>
      </c>
    </row>
    <row r="1304" spans="1:14" hidden="1" x14ac:dyDescent="0.3">
      <c r="A1304" s="14">
        <f>+'PLAN DE CUENTAS'!A1304</f>
        <v>0</v>
      </c>
      <c r="B1304" s="13">
        <f>+'PLAN DE CUENTAS'!B1304</f>
        <v>0</v>
      </c>
      <c r="C1304" s="13">
        <f>+'PLAN DE CUENTAS'!C1304</f>
        <v>0</v>
      </c>
      <c r="D1304" t="str">
        <f>IF(tbal[[#This Row],[DEBE]]+tbal[[#This Row],[HABER]]=0,"","X")</f>
        <v/>
      </c>
      <c r="E1304" s="16">
        <f>SUMIF(tdiario[CUENTA],tbal[[#This Row],[CUENTA]],tdiario[DEBE])</f>
        <v>0</v>
      </c>
      <c r="F1304" s="17">
        <f>SUMIF(tdiario[CUENTA],tbal[[#This Row],[CUENTA]],tdiario[HABER])</f>
        <v>0</v>
      </c>
      <c r="G1304" s="16">
        <f>IF(tbal[[#This Row],[DEBE]]-tbal[[#This Row],[HABER]]&gt;0,tbal[[#This Row],[DEBE]]-tbal[[#This Row],[HABER]],0)</f>
        <v>0</v>
      </c>
      <c r="H1304" s="18">
        <f>IF(tbal[[#This Row],[HABER]]-tbal[[#This Row],[DEBE]]&gt;0,tbal[[#This Row],[HABER]]-tbal[[#This Row],[DEBE]],0)</f>
        <v>0</v>
      </c>
      <c r="I1304" s="16">
        <f>IF((OR(tbal[[#This Row],[X]]=1,tbal[[#This Row],[X]]=2)),tbal[[#This Row],[DEUDOR]],0)</f>
        <v>0</v>
      </c>
      <c r="J1304" s="18">
        <f>IF((OR(tbal[[#This Row],[X]]=2,tbal[[#This Row],[X]]=3)),tbal[[#This Row],[ACREEDOR]],0)</f>
        <v>0</v>
      </c>
      <c r="K1304" s="16">
        <f>IF((OR(tbal[[#This Row],[X]]=3,tbal[[#This Row],[X]]=5)),tbal[[#This Row],[DEUDOR]],0)</f>
        <v>0</v>
      </c>
      <c r="L1304" s="18">
        <f>IF((OR(tbal[[#This Row],[X]]=3,tbal[[#This Row],[X]]=4)),tbal[[#This Row],[ACREEDOR]],0)</f>
        <v>0</v>
      </c>
      <c r="M1304" s="16">
        <f>IF((OR(tbal[[#This Row],[X]]=0,tbal[[#This Row],[X]]=6)),tbal[[#This Row],[DEUDOR]],0)</f>
        <v>0</v>
      </c>
      <c r="N1304" s="18">
        <f>IF((OR(tbal[[#This Row],[X]]=0,tbal[[#This Row],[X]]=5)),tbal[[#This Row],[ACREEDOR]],0)</f>
        <v>0</v>
      </c>
    </row>
    <row r="1305" spans="1:14" hidden="1" x14ac:dyDescent="0.3">
      <c r="A1305" s="14">
        <f>+'PLAN DE CUENTAS'!A1305</f>
        <v>0</v>
      </c>
      <c r="B1305" s="13">
        <f>+'PLAN DE CUENTAS'!B1305</f>
        <v>0</v>
      </c>
      <c r="C1305" s="13">
        <f>+'PLAN DE CUENTAS'!C1305</f>
        <v>0</v>
      </c>
      <c r="D1305" t="str">
        <f>IF(tbal[[#This Row],[DEBE]]+tbal[[#This Row],[HABER]]=0,"","X")</f>
        <v/>
      </c>
      <c r="E1305" s="16">
        <f>SUMIF(tdiario[CUENTA],tbal[[#This Row],[CUENTA]],tdiario[DEBE])</f>
        <v>0</v>
      </c>
      <c r="F1305" s="17">
        <f>SUMIF(tdiario[CUENTA],tbal[[#This Row],[CUENTA]],tdiario[HABER])</f>
        <v>0</v>
      </c>
      <c r="G1305" s="16">
        <f>IF(tbal[[#This Row],[DEBE]]-tbal[[#This Row],[HABER]]&gt;0,tbal[[#This Row],[DEBE]]-tbal[[#This Row],[HABER]],0)</f>
        <v>0</v>
      </c>
      <c r="H1305" s="18">
        <f>IF(tbal[[#This Row],[HABER]]-tbal[[#This Row],[DEBE]]&gt;0,tbal[[#This Row],[HABER]]-tbal[[#This Row],[DEBE]],0)</f>
        <v>0</v>
      </c>
      <c r="I1305" s="16">
        <f>IF((OR(tbal[[#This Row],[X]]=1,tbal[[#This Row],[X]]=2)),tbal[[#This Row],[DEUDOR]],0)</f>
        <v>0</v>
      </c>
      <c r="J1305" s="18">
        <f>IF((OR(tbal[[#This Row],[X]]=2,tbal[[#This Row],[X]]=3)),tbal[[#This Row],[ACREEDOR]],0)</f>
        <v>0</v>
      </c>
      <c r="K1305" s="16">
        <f>IF((OR(tbal[[#This Row],[X]]=3,tbal[[#This Row],[X]]=5)),tbal[[#This Row],[DEUDOR]],0)</f>
        <v>0</v>
      </c>
      <c r="L1305" s="18">
        <f>IF((OR(tbal[[#This Row],[X]]=3,tbal[[#This Row],[X]]=4)),tbal[[#This Row],[ACREEDOR]],0)</f>
        <v>0</v>
      </c>
      <c r="M1305" s="16">
        <f>IF((OR(tbal[[#This Row],[X]]=0,tbal[[#This Row],[X]]=6)),tbal[[#This Row],[DEUDOR]],0)</f>
        <v>0</v>
      </c>
      <c r="N1305" s="18">
        <f>IF((OR(tbal[[#This Row],[X]]=0,tbal[[#This Row],[X]]=5)),tbal[[#This Row],[ACREEDOR]],0)</f>
        <v>0</v>
      </c>
    </row>
    <row r="1306" spans="1:14" hidden="1" x14ac:dyDescent="0.3">
      <c r="A1306" s="14">
        <f>+'PLAN DE CUENTAS'!A1306</f>
        <v>0</v>
      </c>
      <c r="B1306" s="13">
        <f>+'PLAN DE CUENTAS'!B1306</f>
        <v>0</v>
      </c>
      <c r="C1306" s="13">
        <f>+'PLAN DE CUENTAS'!C1306</f>
        <v>0</v>
      </c>
      <c r="D1306" t="str">
        <f>IF(tbal[[#This Row],[DEBE]]+tbal[[#This Row],[HABER]]=0,"","X")</f>
        <v/>
      </c>
      <c r="E1306" s="16">
        <f>SUMIF(tdiario[CUENTA],tbal[[#This Row],[CUENTA]],tdiario[DEBE])</f>
        <v>0</v>
      </c>
      <c r="F1306" s="17">
        <f>SUMIF(tdiario[CUENTA],tbal[[#This Row],[CUENTA]],tdiario[HABER])</f>
        <v>0</v>
      </c>
      <c r="G1306" s="16">
        <f>IF(tbal[[#This Row],[DEBE]]-tbal[[#This Row],[HABER]]&gt;0,tbal[[#This Row],[DEBE]]-tbal[[#This Row],[HABER]],0)</f>
        <v>0</v>
      </c>
      <c r="H1306" s="18">
        <f>IF(tbal[[#This Row],[HABER]]-tbal[[#This Row],[DEBE]]&gt;0,tbal[[#This Row],[HABER]]-tbal[[#This Row],[DEBE]],0)</f>
        <v>0</v>
      </c>
      <c r="I1306" s="16">
        <f>IF((OR(tbal[[#This Row],[X]]=1,tbal[[#This Row],[X]]=2)),tbal[[#This Row],[DEUDOR]],0)</f>
        <v>0</v>
      </c>
      <c r="J1306" s="18">
        <f>IF((OR(tbal[[#This Row],[X]]=2,tbal[[#This Row],[X]]=3)),tbal[[#This Row],[ACREEDOR]],0)</f>
        <v>0</v>
      </c>
      <c r="K1306" s="16">
        <f>IF((OR(tbal[[#This Row],[X]]=3,tbal[[#This Row],[X]]=5)),tbal[[#This Row],[DEUDOR]],0)</f>
        <v>0</v>
      </c>
      <c r="L1306" s="18">
        <f>IF((OR(tbal[[#This Row],[X]]=3,tbal[[#This Row],[X]]=4)),tbal[[#This Row],[ACREEDOR]],0)</f>
        <v>0</v>
      </c>
      <c r="M1306" s="16">
        <f>IF((OR(tbal[[#This Row],[X]]=0,tbal[[#This Row],[X]]=6)),tbal[[#This Row],[DEUDOR]],0)</f>
        <v>0</v>
      </c>
      <c r="N1306" s="18">
        <f>IF((OR(tbal[[#This Row],[X]]=0,tbal[[#This Row],[X]]=5)),tbal[[#This Row],[ACREEDOR]],0)</f>
        <v>0</v>
      </c>
    </row>
    <row r="1307" spans="1:14" hidden="1" x14ac:dyDescent="0.3">
      <c r="A1307" s="14">
        <f>+'PLAN DE CUENTAS'!A1307</f>
        <v>0</v>
      </c>
      <c r="B1307" s="13">
        <f>+'PLAN DE CUENTAS'!B1307</f>
        <v>0</v>
      </c>
      <c r="C1307" s="13">
        <f>+'PLAN DE CUENTAS'!C1307</f>
        <v>0</v>
      </c>
      <c r="D1307" t="str">
        <f>IF(tbal[[#This Row],[DEBE]]+tbal[[#This Row],[HABER]]=0,"","X")</f>
        <v/>
      </c>
      <c r="E1307" s="16">
        <f>SUMIF(tdiario[CUENTA],tbal[[#This Row],[CUENTA]],tdiario[DEBE])</f>
        <v>0</v>
      </c>
      <c r="F1307" s="17">
        <f>SUMIF(tdiario[CUENTA],tbal[[#This Row],[CUENTA]],tdiario[HABER])</f>
        <v>0</v>
      </c>
      <c r="G1307" s="16">
        <f>IF(tbal[[#This Row],[DEBE]]-tbal[[#This Row],[HABER]]&gt;0,tbal[[#This Row],[DEBE]]-tbal[[#This Row],[HABER]],0)</f>
        <v>0</v>
      </c>
      <c r="H1307" s="18">
        <f>IF(tbal[[#This Row],[HABER]]-tbal[[#This Row],[DEBE]]&gt;0,tbal[[#This Row],[HABER]]-tbal[[#This Row],[DEBE]],0)</f>
        <v>0</v>
      </c>
      <c r="I1307" s="16">
        <f>IF((OR(tbal[[#This Row],[X]]=1,tbal[[#This Row],[X]]=2)),tbal[[#This Row],[DEUDOR]],0)</f>
        <v>0</v>
      </c>
      <c r="J1307" s="18">
        <f>IF((OR(tbal[[#This Row],[X]]=2,tbal[[#This Row],[X]]=3)),tbal[[#This Row],[ACREEDOR]],0)</f>
        <v>0</v>
      </c>
      <c r="K1307" s="16">
        <f>IF((OR(tbal[[#This Row],[X]]=3,tbal[[#This Row],[X]]=5)),tbal[[#This Row],[DEUDOR]],0)</f>
        <v>0</v>
      </c>
      <c r="L1307" s="18">
        <f>IF((OR(tbal[[#This Row],[X]]=3,tbal[[#This Row],[X]]=4)),tbal[[#This Row],[ACREEDOR]],0)</f>
        <v>0</v>
      </c>
      <c r="M1307" s="16">
        <f>IF((OR(tbal[[#This Row],[X]]=0,tbal[[#This Row],[X]]=6)),tbal[[#This Row],[DEUDOR]],0)</f>
        <v>0</v>
      </c>
      <c r="N1307" s="18">
        <f>IF((OR(tbal[[#This Row],[X]]=0,tbal[[#This Row],[X]]=5)),tbal[[#This Row],[ACREEDOR]],0)</f>
        <v>0</v>
      </c>
    </row>
    <row r="1308" spans="1:14" hidden="1" x14ac:dyDescent="0.3">
      <c r="A1308" s="14">
        <f>+'PLAN DE CUENTAS'!A1308</f>
        <v>0</v>
      </c>
      <c r="B1308" s="13">
        <f>+'PLAN DE CUENTAS'!B1308</f>
        <v>0</v>
      </c>
      <c r="C1308" s="13">
        <f>+'PLAN DE CUENTAS'!C1308</f>
        <v>0</v>
      </c>
      <c r="D1308" t="str">
        <f>IF(tbal[[#This Row],[DEBE]]+tbal[[#This Row],[HABER]]=0,"","X")</f>
        <v/>
      </c>
      <c r="E1308" s="16">
        <f>SUMIF(tdiario[CUENTA],tbal[[#This Row],[CUENTA]],tdiario[DEBE])</f>
        <v>0</v>
      </c>
      <c r="F1308" s="17">
        <f>SUMIF(tdiario[CUENTA],tbal[[#This Row],[CUENTA]],tdiario[HABER])</f>
        <v>0</v>
      </c>
      <c r="G1308" s="16">
        <f>IF(tbal[[#This Row],[DEBE]]-tbal[[#This Row],[HABER]]&gt;0,tbal[[#This Row],[DEBE]]-tbal[[#This Row],[HABER]],0)</f>
        <v>0</v>
      </c>
      <c r="H1308" s="18">
        <f>IF(tbal[[#This Row],[HABER]]-tbal[[#This Row],[DEBE]]&gt;0,tbal[[#This Row],[HABER]]-tbal[[#This Row],[DEBE]],0)</f>
        <v>0</v>
      </c>
      <c r="I1308" s="16">
        <f>IF((OR(tbal[[#This Row],[X]]=1,tbal[[#This Row],[X]]=2)),tbal[[#This Row],[DEUDOR]],0)</f>
        <v>0</v>
      </c>
      <c r="J1308" s="18">
        <f>IF((OR(tbal[[#This Row],[X]]=2,tbal[[#This Row],[X]]=3)),tbal[[#This Row],[ACREEDOR]],0)</f>
        <v>0</v>
      </c>
      <c r="K1308" s="16">
        <f>IF((OR(tbal[[#This Row],[X]]=3,tbal[[#This Row],[X]]=5)),tbal[[#This Row],[DEUDOR]],0)</f>
        <v>0</v>
      </c>
      <c r="L1308" s="18">
        <f>IF((OR(tbal[[#This Row],[X]]=3,tbal[[#This Row],[X]]=4)),tbal[[#This Row],[ACREEDOR]],0)</f>
        <v>0</v>
      </c>
      <c r="M1308" s="16">
        <f>IF((OR(tbal[[#This Row],[X]]=0,tbal[[#This Row],[X]]=6)),tbal[[#This Row],[DEUDOR]],0)</f>
        <v>0</v>
      </c>
      <c r="N1308" s="18">
        <f>IF((OR(tbal[[#This Row],[X]]=0,tbal[[#This Row],[X]]=5)),tbal[[#This Row],[ACREEDOR]],0)</f>
        <v>0</v>
      </c>
    </row>
    <row r="1309" spans="1:14" hidden="1" x14ac:dyDescent="0.3">
      <c r="A1309" s="14">
        <f>+'PLAN DE CUENTAS'!A1309</f>
        <v>0</v>
      </c>
      <c r="B1309" s="13">
        <f>+'PLAN DE CUENTAS'!B1309</f>
        <v>0</v>
      </c>
      <c r="C1309" s="13">
        <f>+'PLAN DE CUENTAS'!C1309</f>
        <v>0</v>
      </c>
      <c r="D1309" t="str">
        <f>IF(tbal[[#This Row],[DEBE]]+tbal[[#This Row],[HABER]]=0,"","X")</f>
        <v/>
      </c>
      <c r="E1309" s="16">
        <f>SUMIF(tdiario[CUENTA],tbal[[#This Row],[CUENTA]],tdiario[DEBE])</f>
        <v>0</v>
      </c>
      <c r="F1309" s="17">
        <f>SUMIF(tdiario[CUENTA],tbal[[#This Row],[CUENTA]],tdiario[HABER])</f>
        <v>0</v>
      </c>
      <c r="G1309" s="16">
        <f>IF(tbal[[#This Row],[DEBE]]-tbal[[#This Row],[HABER]]&gt;0,tbal[[#This Row],[DEBE]]-tbal[[#This Row],[HABER]],0)</f>
        <v>0</v>
      </c>
      <c r="H1309" s="18">
        <f>IF(tbal[[#This Row],[HABER]]-tbal[[#This Row],[DEBE]]&gt;0,tbal[[#This Row],[HABER]]-tbal[[#This Row],[DEBE]],0)</f>
        <v>0</v>
      </c>
      <c r="I1309" s="16">
        <f>IF((OR(tbal[[#This Row],[X]]=1,tbal[[#This Row],[X]]=2)),tbal[[#This Row],[DEUDOR]],0)</f>
        <v>0</v>
      </c>
      <c r="J1309" s="18">
        <f>IF((OR(tbal[[#This Row],[X]]=2,tbal[[#This Row],[X]]=3)),tbal[[#This Row],[ACREEDOR]],0)</f>
        <v>0</v>
      </c>
      <c r="K1309" s="16">
        <f>IF((OR(tbal[[#This Row],[X]]=3,tbal[[#This Row],[X]]=5)),tbal[[#This Row],[DEUDOR]],0)</f>
        <v>0</v>
      </c>
      <c r="L1309" s="18">
        <f>IF((OR(tbal[[#This Row],[X]]=3,tbal[[#This Row],[X]]=4)),tbal[[#This Row],[ACREEDOR]],0)</f>
        <v>0</v>
      </c>
      <c r="M1309" s="16">
        <f>IF((OR(tbal[[#This Row],[X]]=0,tbal[[#This Row],[X]]=6)),tbal[[#This Row],[DEUDOR]],0)</f>
        <v>0</v>
      </c>
      <c r="N1309" s="18">
        <f>IF((OR(tbal[[#This Row],[X]]=0,tbal[[#This Row],[X]]=5)),tbal[[#This Row],[ACREEDOR]],0)</f>
        <v>0</v>
      </c>
    </row>
    <row r="1310" spans="1:14" hidden="1" x14ac:dyDescent="0.3">
      <c r="A1310" s="14">
        <f>+'PLAN DE CUENTAS'!A1310</f>
        <v>0</v>
      </c>
      <c r="B1310" s="13">
        <f>+'PLAN DE CUENTAS'!B1310</f>
        <v>0</v>
      </c>
      <c r="C1310" s="13">
        <f>+'PLAN DE CUENTAS'!C1310</f>
        <v>0</v>
      </c>
      <c r="D1310" t="str">
        <f>IF(tbal[[#This Row],[DEBE]]+tbal[[#This Row],[HABER]]=0,"","X")</f>
        <v/>
      </c>
      <c r="E1310" s="16">
        <f>SUMIF(tdiario[CUENTA],tbal[[#This Row],[CUENTA]],tdiario[DEBE])</f>
        <v>0</v>
      </c>
      <c r="F1310" s="17">
        <f>SUMIF(tdiario[CUENTA],tbal[[#This Row],[CUENTA]],tdiario[HABER])</f>
        <v>0</v>
      </c>
      <c r="G1310" s="16">
        <f>IF(tbal[[#This Row],[DEBE]]-tbal[[#This Row],[HABER]]&gt;0,tbal[[#This Row],[DEBE]]-tbal[[#This Row],[HABER]],0)</f>
        <v>0</v>
      </c>
      <c r="H1310" s="18">
        <f>IF(tbal[[#This Row],[HABER]]-tbal[[#This Row],[DEBE]]&gt;0,tbal[[#This Row],[HABER]]-tbal[[#This Row],[DEBE]],0)</f>
        <v>0</v>
      </c>
      <c r="I1310" s="16">
        <f>IF((OR(tbal[[#This Row],[X]]=1,tbal[[#This Row],[X]]=2)),tbal[[#This Row],[DEUDOR]],0)</f>
        <v>0</v>
      </c>
      <c r="J1310" s="18">
        <f>IF((OR(tbal[[#This Row],[X]]=2,tbal[[#This Row],[X]]=3)),tbal[[#This Row],[ACREEDOR]],0)</f>
        <v>0</v>
      </c>
      <c r="K1310" s="16">
        <f>IF((OR(tbal[[#This Row],[X]]=3,tbal[[#This Row],[X]]=5)),tbal[[#This Row],[DEUDOR]],0)</f>
        <v>0</v>
      </c>
      <c r="L1310" s="18">
        <f>IF((OR(tbal[[#This Row],[X]]=3,tbal[[#This Row],[X]]=4)),tbal[[#This Row],[ACREEDOR]],0)</f>
        <v>0</v>
      </c>
      <c r="M1310" s="16">
        <f>IF((OR(tbal[[#This Row],[X]]=0,tbal[[#This Row],[X]]=6)),tbal[[#This Row],[DEUDOR]],0)</f>
        <v>0</v>
      </c>
      <c r="N1310" s="18">
        <f>IF((OR(tbal[[#This Row],[X]]=0,tbal[[#This Row],[X]]=5)),tbal[[#This Row],[ACREEDOR]],0)</f>
        <v>0</v>
      </c>
    </row>
    <row r="1311" spans="1:14" hidden="1" x14ac:dyDescent="0.3">
      <c r="A1311" s="14">
        <f>+'PLAN DE CUENTAS'!A1311</f>
        <v>0</v>
      </c>
      <c r="B1311" s="13">
        <f>+'PLAN DE CUENTAS'!B1311</f>
        <v>0</v>
      </c>
      <c r="C1311" s="13">
        <f>+'PLAN DE CUENTAS'!C1311</f>
        <v>0</v>
      </c>
      <c r="D1311" t="str">
        <f>IF(tbal[[#This Row],[DEBE]]+tbal[[#This Row],[HABER]]=0,"","X")</f>
        <v/>
      </c>
      <c r="E1311" s="16">
        <f>SUMIF(tdiario[CUENTA],tbal[[#This Row],[CUENTA]],tdiario[DEBE])</f>
        <v>0</v>
      </c>
      <c r="F1311" s="17">
        <f>SUMIF(tdiario[CUENTA],tbal[[#This Row],[CUENTA]],tdiario[HABER])</f>
        <v>0</v>
      </c>
      <c r="G1311" s="16">
        <f>IF(tbal[[#This Row],[DEBE]]-tbal[[#This Row],[HABER]]&gt;0,tbal[[#This Row],[DEBE]]-tbal[[#This Row],[HABER]],0)</f>
        <v>0</v>
      </c>
      <c r="H1311" s="18">
        <f>IF(tbal[[#This Row],[HABER]]-tbal[[#This Row],[DEBE]]&gt;0,tbal[[#This Row],[HABER]]-tbal[[#This Row],[DEBE]],0)</f>
        <v>0</v>
      </c>
      <c r="I1311" s="16">
        <f>IF((OR(tbal[[#This Row],[X]]=1,tbal[[#This Row],[X]]=2)),tbal[[#This Row],[DEUDOR]],0)</f>
        <v>0</v>
      </c>
      <c r="J1311" s="18">
        <f>IF((OR(tbal[[#This Row],[X]]=2,tbal[[#This Row],[X]]=3)),tbal[[#This Row],[ACREEDOR]],0)</f>
        <v>0</v>
      </c>
      <c r="K1311" s="16">
        <f>IF((OR(tbal[[#This Row],[X]]=3,tbal[[#This Row],[X]]=5)),tbal[[#This Row],[DEUDOR]],0)</f>
        <v>0</v>
      </c>
      <c r="L1311" s="18">
        <f>IF((OR(tbal[[#This Row],[X]]=3,tbal[[#This Row],[X]]=4)),tbal[[#This Row],[ACREEDOR]],0)</f>
        <v>0</v>
      </c>
      <c r="M1311" s="16">
        <f>IF((OR(tbal[[#This Row],[X]]=0,tbal[[#This Row],[X]]=6)),tbal[[#This Row],[DEUDOR]],0)</f>
        <v>0</v>
      </c>
      <c r="N1311" s="18">
        <f>IF((OR(tbal[[#This Row],[X]]=0,tbal[[#This Row],[X]]=5)),tbal[[#This Row],[ACREEDOR]],0)</f>
        <v>0</v>
      </c>
    </row>
    <row r="1312" spans="1:14" hidden="1" x14ac:dyDescent="0.3">
      <c r="A1312" s="14">
        <f>+'PLAN DE CUENTAS'!A1312</f>
        <v>0</v>
      </c>
      <c r="B1312" s="13">
        <f>+'PLAN DE CUENTAS'!B1312</f>
        <v>0</v>
      </c>
      <c r="C1312" s="13">
        <f>+'PLAN DE CUENTAS'!C1312</f>
        <v>0</v>
      </c>
      <c r="D1312" t="str">
        <f>IF(tbal[[#This Row],[DEBE]]+tbal[[#This Row],[HABER]]=0,"","X")</f>
        <v/>
      </c>
      <c r="E1312" s="16">
        <f>SUMIF(tdiario[CUENTA],tbal[[#This Row],[CUENTA]],tdiario[DEBE])</f>
        <v>0</v>
      </c>
      <c r="F1312" s="17">
        <f>SUMIF(tdiario[CUENTA],tbal[[#This Row],[CUENTA]],tdiario[HABER])</f>
        <v>0</v>
      </c>
      <c r="G1312" s="16">
        <f>IF(tbal[[#This Row],[DEBE]]-tbal[[#This Row],[HABER]]&gt;0,tbal[[#This Row],[DEBE]]-tbal[[#This Row],[HABER]],0)</f>
        <v>0</v>
      </c>
      <c r="H1312" s="18">
        <f>IF(tbal[[#This Row],[HABER]]-tbal[[#This Row],[DEBE]]&gt;0,tbal[[#This Row],[HABER]]-tbal[[#This Row],[DEBE]],0)</f>
        <v>0</v>
      </c>
      <c r="I1312" s="16">
        <f>IF((OR(tbal[[#This Row],[X]]=1,tbal[[#This Row],[X]]=2)),tbal[[#This Row],[DEUDOR]],0)</f>
        <v>0</v>
      </c>
      <c r="J1312" s="18">
        <f>IF((OR(tbal[[#This Row],[X]]=2,tbal[[#This Row],[X]]=3)),tbal[[#This Row],[ACREEDOR]],0)</f>
        <v>0</v>
      </c>
      <c r="K1312" s="16">
        <f>IF((OR(tbal[[#This Row],[X]]=3,tbal[[#This Row],[X]]=5)),tbal[[#This Row],[DEUDOR]],0)</f>
        <v>0</v>
      </c>
      <c r="L1312" s="18">
        <f>IF((OR(tbal[[#This Row],[X]]=3,tbal[[#This Row],[X]]=4)),tbal[[#This Row],[ACREEDOR]],0)</f>
        <v>0</v>
      </c>
      <c r="M1312" s="16">
        <f>IF((OR(tbal[[#This Row],[X]]=0,tbal[[#This Row],[X]]=6)),tbal[[#This Row],[DEUDOR]],0)</f>
        <v>0</v>
      </c>
      <c r="N1312" s="18">
        <f>IF((OR(tbal[[#This Row],[X]]=0,tbal[[#This Row],[X]]=5)),tbal[[#This Row],[ACREEDOR]],0)</f>
        <v>0</v>
      </c>
    </row>
    <row r="1313" spans="1:14" hidden="1" x14ac:dyDescent="0.3">
      <c r="A1313" s="14">
        <f>+'PLAN DE CUENTAS'!A1313</f>
        <v>0</v>
      </c>
      <c r="B1313" s="13">
        <f>+'PLAN DE CUENTAS'!B1313</f>
        <v>0</v>
      </c>
      <c r="C1313" s="13">
        <f>+'PLAN DE CUENTAS'!C1313</f>
        <v>0</v>
      </c>
      <c r="D1313" t="str">
        <f>IF(tbal[[#This Row],[DEBE]]+tbal[[#This Row],[HABER]]=0,"","X")</f>
        <v/>
      </c>
      <c r="E1313" s="16">
        <f>SUMIF(tdiario[CUENTA],tbal[[#This Row],[CUENTA]],tdiario[DEBE])</f>
        <v>0</v>
      </c>
      <c r="F1313" s="17">
        <f>SUMIF(tdiario[CUENTA],tbal[[#This Row],[CUENTA]],tdiario[HABER])</f>
        <v>0</v>
      </c>
      <c r="G1313" s="16">
        <f>IF(tbal[[#This Row],[DEBE]]-tbal[[#This Row],[HABER]]&gt;0,tbal[[#This Row],[DEBE]]-tbal[[#This Row],[HABER]],0)</f>
        <v>0</v>
      </c>
      <c r="H1313" s="18">
        <f>IF(tbal[[#This Row],[HABER]]-tbal[[#This Row],[DEBE]]&gt;0,tbal[[#This Row],[HABER]]-tbal[[#This Row],[DEBE]],0)</f>
        <v>0</v>
      </c>
      <c r="I1313" s="16">
        <f>IF((OR(tbal[[#This Row],[X]]=1,tbal[[#This Row],[X]]=2)),tbal[[#This Row],[DEUDOR]],0)</f>
        <v>0</v>
      </c>
      <c r="J1313" s="18">
        <f>IF((OR(tbal[[#This Row],[X]]=2,tbal[[#This Row],[X]]=3)),tbal[[#This Row],[ACREEDOR]],0)</f>
        <v>0</v>
      </c>
      <c r="K1313" s="16">
        <f>IF((OR(tbal[[#This Row],[X]]=3,tbal[[#This Row],[X]]=5)),tbal[[#This Row],[DEUDOR]],0)</f>
        <v>0</v>
      </c>
      <c r="L1313" s="18">
        <f>IF((OR(tbal[[#This Row],[X]]=3,tbal[[#This Row],[X]]=4)),tbal[[#This Row],[ACREEDOR]],0)</f>
        <v>0</v>
      </c>
      <c r="M1313" s="16">
        <f>IF((OR(tbal[[#This Row],[X]]=0,tbal[[#This Row],[X]]=6)),tbal[[#This Row],[DEUDOR]],0)</f>
        <v>0</v>
      </c>
      <c r="N1313" s="18">
        <f>IF((OR(tbal[[#This Row],[X]]=0,tbal[[#This Row],[X]]=5)),tbal[[#This Row],[ACREEDOR]],0)</f>
        <v>0</v>
      </c>
    </row>
    <row r="1314" spans="1:14" hidden="1" x14ac:dyDescent="0.3">
      <c r="A1314" s="14">
        <f>+'PLAN DE CUENTAS'!A1314</f>
        <v>0</v>
      </c>
      <c r="B1314" s="13">
        <f>+'PLAN DE CUENTAS'!B1314</f>
        <v>0</v>
      </c>
      <c r="C1314" s="13">
        <f>+'PLAN DE CUENTAS'!C1314</f>
        <v>0</v>
      </c>
      <c r="D1314" t="str">
        <f>IF(tbal[[#This Row],[DEBE]]+tbal[[#This Row],[HABER]]=0,"","X")</f>
        <v/>
      </c>
      <c r="E1314" s="16">
        <f>SUMIF(tdiario[CUENTA],tbal[[#This Row],[CUENTA]],tdiario[DEBE])</f>
        <v>0</v>
      </c>
      <c r="F1314" s="17">
        <f>SUMIF(tdiario[CUENTA],tbal[[#This Row],[CUENTA]],tdiario[HABER])</f>
        <v>0</v>
      </c>
      <c r="G1314" s="16">
        <f>IF(tbal[[#This Row],[DEBE]]-tbal[[#This Row],[HABER]]&gt;0,tbal[[#This Row],[DEBE]]-tbal[[#This Row],[HABER]],0)</f>
        <v>0</v>
      </c>
      <c r="H1314" s="18">
        <f>IF(tbal[[#This Row],[HABER]]-tbal[[#This Row],[DEBE]]&gt;0,tbal[[#This Row],[HABER]]-tbal[[#This Row],[DEBE]],0)</f>
        <v>0</v>
      </c>
      <c r="I1314" s="16">
        <f>IF((OR(tbal[[#This Row],[X]]=1,tbal[[#This Row],[X]]=2)),tbal[[#This Row],[DEUDOR]],0)</f>
        <v>0</v>
      </c>
      <c r="J1314" s="18">
        <f>IF((OR(tbal[[#This Row],[X]]=2,tbal[[#This Row],[X]]=3)),tbal[[#This Row],[ACREEDOR]],0)</f>
        <v>0</v>
      </c>
      <c r="K1314" s="16">
        <f>IF((OR(tbal[[#This Row],[X]]=3,tbal[[#This Row],[X]]=5)),tbal[[#This Row],[DEUDOR]],0)</f>
        <v>0</v>
      </c>
      <c r="L1314" s="18">
        <f>IF((OR(tbal[[#This Row],[X]]=3,tbal[[#This Row],[X]]=4)),tbal[[#This Row],[ACREEDOR]],0)</f>
        <v>0</v>
      </c>
      <c r="M1314" s="16">
        <f>IF((OR(tbal[[#This Row],[X]]=0,tbal[[#This Row],[X]]=6)),tbal[[#This Row],[DEUDOR]],0)</f>
        <v>0</v>
      </c>
      <c r="N1314" s="18">
        <f>IF((OR(tbal[[#This Row],[X]]=0,tbal[[#This Row],[X]]=5)),tbal[[#This Row],[ACREEDOR]],0)</f>
        <v>0</v>
      </c>
    </row>
    <row r="1315" spans="1:14" hidden="1" x14ac:dyDescent="0.3">
      <c r="A1315" s="14">
        <f>+'PLAN DE CUENTAS'!A1315</f>
        <v>0</v>
      </c>
      <c r="B1315" s="13">
        <f>+'PLAN DE CUENTAS'!B1315</f>
        <v>0</v>
      </c>
      <c r="C1315" s="13">
        <f>+'PLAN DE CUENTAS'!C1315</f>
        <v>0</v>
      </c>
      <c r="D1315" t="str">
        <f>IF(tbal[[#This Row],[DEBE]]+tbal[[#This Row],[HABER]]=0,"","X")</f>
        <v/>
      </c>
      <c r="E1315" s="16">
        <f>SUMIF(tdiario[CUENTA],tbal[[#This Row],[CUENTA]],tdiario[DEBE])</f>
        <v>0</v>
      </c>
      <c r="F1315" s="17">
        <f>SUMIF(tdiario[CUENTA],tbal[[#This Row],[CUENTA]],tdiario[HABER])</f>
        <v>0</v>
      </c>
      <c r="G1315" s="16">
        <f>IF(tbal[[#This Row],[DEBE]]-tbal[[#This Row],[HABER]]&gt;0,tbal[[#This Row],[DEBE]]-tbal[[#This Row],[HABER]],0)</f>
        <v>0</v>
      </c>
      <c r="H1315" s="18">
        <f>IF(tbal[[#This Row],[HABER]]-tbal[[#This Row],[DEBE]]&gt;0,tbal[[#This Row],[HABER]]-tbal[[#This Row],[DEBE]],0)</f>
        <v>0</v>
      </c>
      <c r="I1315" s="16">
        <f>IF((OR(tbal[[#This Row],[X]]=1,tbal[[#This Row],[X]]=2)),tbal[[#This Row],[DEUDOR]],0)</f>
        <v>0</v>
      </c>
      <c r="J1315" s="18">
        <f>IF((OR(tbal[[#This Row],[X]]=2,tbal[[#This Row],[X]]=3)),tbal[[#This Row],[ACREEDOR]],0)</f>
        <v>0</v>
      </c>
      <c r="K1315" s="16">
        <f>IF((OR(tbal[[#This Row],[X]]=3,tbal[[#This Row],[X]]=5)),tbal[[#This Row],[DEUDOR]],0)</f>
        <v>0</v>
      </c>
      <c r="L1315" s="18">
        <f>IF((OR(tbal[[#This Row],[X]]=3,tbal[[#This Row],[X]]=4)),tbal[[#This Row],[ACREEDOR]],0)</f>
        <v>0</v>
      </c>
      <c r="M1315" s="16">
        <f>IF((OR(tbal[[#This Row],[X]]=0,tbal[[#This Row],[X]]=6)),tbal[[#This Row],[DEUDOR]],0)</f>
        <v>0</v>
      </c>
      <c r="N1315" s="18">
        <f>IF((OR(tbal[[#This Row],[X]]=0,tbal[[#This Row],[X]]=5)),tbal[[#This Row],[ACREEDOR]],0)</f>
        <v>0</v>
      </c>
    </row>
    <row r="1316" spans="1:14" hidden="1" x14ac:dyDescent="0.3">
      <c r="A1316" s="14">
        <f>+'PLAN DE CUENTAS'!A1316</f>
        <v>0</v>
      </c>
      <c r="B1316" s="13">
        <f>+'PLAN DE CUENTAS'!B1316</f>
        <v>0</v>
      </c>
      <c r="C1316" s="13">
        <f>+'PLAN DE CUENTAS'!C1316</f>
        <v>0</v>
      </c>
      <c r="D1316" t="str">
        <f>IF(tbal[[#This Row],[DEBE]]+tbal[[#This Row],[HABER]]=0,"","X")</f>
        <v/>
      </c>
      <c r="E1316" s="16">
        <f>SUMIF(tdiario[CUENTA],tbal[[#This Row],[CUENTA]],tdiario[DEBE])</f>
        <v>0</v>
      </c>
      <c r="F1316" s="17">
        <f>SUMIF(tdiario[CUENTA],tbal[[#This Row],[CUENTA]],tdiario[HABER])</f>
        <v>0</v>
      </c>
      <c r="G1316" s="16">
        <f>IF(tbal[[#This Row],[DEBE]]-tbal[[#This Row],[HABER]]&gt;0,tbal[[#This Row],[DEBE]]-tbal[[#This Row],[HABER]],0)</f>
        <v>0</v>
      </c>
      <c r="H1316" s="18">
        <f>IF(tbal[[#This Row],[HABER]]-tbal[[#This Row],[DEBE]]&gt;0,tbal[[#This Row],[HABER]]-tbal[[#This Row],[DEBE]],0)</f>
        <v>0</v>
      </c>
      <c r="I1316" s="16">
        <f>IF((OR(tbal[[#This Row],[X]]=1,tbal[[#This Row],[X]]=2)),tbal[[#This Row],[DEUDOR]],0)</f>
        <v>0</v>
      </c>
      <c r="J1316" s="18">
        <f>IF((OR(tbal[[#This Row],[X]]=2,tbal[[#This Row],[X]]=3)),tbal[[#This Row],[ACREEDOR]],0)</f>
        <v>0</v>
      </c>
      <c r="K1316" s="16">
        <f>IF((OR(tbal[[#This Row],[X]]=3,tbal[[#This Row],[X]]=5)),tbal[[#This Row],[DEUDOR]],0)</f>
        <v>0</v>
      </c>
      <c r="L1316" s="18">
        <f>IF((OR(tbal[[#This Row],[X]]=3,tbal[[#This Row],[X]]=4)),tbal[[#This Row],[ACREEDOR]],0)</f>
        <v>0</v>
      </c>
      <c r="M1316" s="16">
        <f>IF((OR(tbal[[#This Row],[X]]=0,tbal[[#This Row],[X]]=6)),tbal[[#This Row],[DEUDOR]],0)</f>
        <v>0</v>
      </c>
      <c r="N1316" s="18">
        <f>IF((OR(tbal[[#This Row],[X]]=0,tbal[[#This Row],[X]]=5)),tbal[[#This Row],[ACREEDOR]],0)</f>
        <v>0</v>
      </c>
    </row>
    <row r="1317" spans="1:14" hidden="1" x14ac:dyDescent="0.3">
      <c r="A1317" s="14">
        <f>+'PLAN DE CUENTAS'!A1317</f>
        <v>0</v>
      </c>
      <c r="B1317" s="13">
        <f>+'PLAN DE CUENTAS'!B1317</f>
        <v>0</v>
      </c>
      <c r="C1317" s="13">
        <f>+'PLAN DE CUENTAS'!C1317</f>
        <v>0</v>
      </c>
      <c r="D1317" t="str">
        <f>IF(tbal[[#This Row],[DEBE]]+tbal[[#This Row],[HABER]]=0,"","X")</f>
        <v/>
      </c>
      <c r="E1317" s="16">
        <f>SUMIF(tdiario[CUENTA],tbal[[#This Row],[CUENTA]],tdiario[DEBE])</f>
        <v>0</v>
      </c>
      <c r="F1317" s="17">
        <f>SUMIF(tdiario[CUENTA],tbal[[#This Row],[CUENTA]],tdiario[HABER])</f>
        <v>0</v>
      </c>
      <c r="G1317" s="16">
        <f>IF(tbal[[#This Row],[DEBE]]-tbal[[#This Row],[HABER]]&gt;0,tbal[[#This Row],[DEBE]]-tbal[[#This Row],[HABER]],0)</f>
        <v>0</v>
      </c>
      <c r="H1317" s="18">
        <f>IF(tbal[[#This Row],[HABER]]-tbal[[#This Row],[DEBE]]&gt;0,tbal[[#This Row],[HABER]]-tbal[[#This Row],[DEBE]],0)</f>
        <v>0</v>
      </c>
      <c r="I1317" s="16">
        <f>IF((OR(tbal[[#This Row],[X]]=1,tbal[[#This Row],[X]]=2)),tbal[[#This Row],[DEUDOR]],0)</f>
        <v>0</v>
      </c>
      <c r="J1317" s="18">
        <f>IF((OR(tbal[[#This Row],[X]]=2,tbal[[#This Row],[X]]=3)),tbal[[#This Row],[ACREEDOR]],0)</f>
        <v>0</v>
      </c>
      <c r="K1317" s="16">
        <f>IF((OR(tbal[[#This Row],[X]]=3,tbal[[#This Row],[X]]=5)),tbal[[#This Row],[DEUDOR]],0)</f>
        <v>0</v>
      </c>
      <c r="L1317" s="18">
        <f>IF((OR(tbal[[#This Row],[X]]=3,tbal[[#This Row],[X]]=4)),tbal[[#This Row],[ACREEDOR]],0)</f>
        <v>0</v>
      </c>
      <c r="M1317" s="16">
        <f>IF((OR(tbal[[#This Row],[X]]=0,tbal[[#This Row],[X]]=6)),tbal[[#This Row],[DEUDOR]],0)</f>
        <v>0</v>
      </c>
      <c r="N1317" s="18">
        <f>IF((OR(tbal[[#This Row],[X]]=0,tbal[[#This Row],[X]]=5)),tbal[[#This Row],[ACREEDOR]],0)</f>
        <v>0</v>
      </c>
    </row>
    <row r="1318" spans="1:14" hidden="1" x14ac:dyDescent="0.3">
      <c r="A1318" s="14">
        <f>+'PLAN DE CUENTAS'!A1318</f>
        <v>0</v>
      </c>
      <c r="B1318" s="13">
        <f>+'PLAN DE CUENTAS'!B1318</f>
        <v>0</v>
      </c>
      <c r="C1318" s="13">
        <f>+'PLAN DE CUENTAS'!C1318</f>
        <v>0</v>
      </c>
      <c r="D1318" t="str">
        <f>IF(tbal[[#This Row],[DEBE]]+tbal[[#This Row],[HABER]]=0,"","X")</f>
        <v/>
      </c>
      <c r="E1318" s="16">
        <f>SUMIF(tdiario[CUENTA],tbal[[#This Row],[CUENTA]],tdiario[DEBE])</f>
        <v>0</v>
      </c>
      <c r="F1318" s="17">
        <f>SUMIF(tdiario[CUENTA],tbal[[#This Row],[CUENTA]],tdiario[HABER])</f>
        <v>0</v>
      </c>
      <c r="G1318" s="16">
        <f>IF(tbal[[#This Row],[DEBE]]-tbal[[#This Row],[HABER]]&gt;0,tbal[[#This Row],[DEBE]]-tbal[[#This Row],[HABER]],0)</f>
        <v>0</v>
      </c>
      <c r="H1318" s="18">
        <f>IF(tbal[[#This Row],[HABER]]-tbal[[#This Row],[DEBE]]&gt;0,tbal[[#This Row],[HABER]]-tbal[[#This Row],[DEBE]],0)</f>
        <v>0</v>
      </c>
      <c r="I1318" s="16">
        <f>IF((OR(tbal[[#This Row],[X]]=1,tbal[[#This Row],[X]]=2)),tbal[[#This Row],[DEUDOR]],0)</f>
        <v>0</v>
      </c>
      <c r="J1318" s="18">
        <f>IF((OR(tbal[[#This Row],[X]]=2,tbal[[#This Row],[X]]=3)),tbal[[#This Row],[ACREEDOR]],0)</f>
        <v>0</v>
      </c>
      <c r="K1318" s="16">
        <f>IF((OR(tbal[[#This Row],[X]]=3,tbal[[#This Row],[X]]=5)),tbal[[#This Row],[DEUDOR]],0)</f>
        <v>0</v>
      </c>
      <c r="L1318" s="18">
        <f>IF((OR(tbal[[#This Row],[X]]=3,tbal[[#This Row],[X]]=4)),tbal[[#This Row],[ACREEDOR]],0)</f>
        <v>0</v>
      </c>
      <c r="M1318" s="16">
        <f>IF((OR(tbal[[#This Row],[X]]=0,tbal[[#This Row],[X]]=6)),tbal[[#This Row],[DEUDOR]],0)</f>
        <v>0</v>
      </c>
      <c r="N1318" s="18">
        <f>IF((OR(tbal[[#This Row],[X]]=0,tbal[[#This Row],[X]]=5)),tbal[[#This Row],[ACREEDOR]],0)</f>
        <v>0</v>
      </c>
    </row>
    <row r="1319" spans="1:14" hidden="1" x14ac:dyDescent="0.3">
      <c r="A1319" s="14">
        <f>+'PLAN DE CUENTAS'!A1319</f>
        <v>0</v>
      </c>
      <c r="B1319" s="13">
        <f>+'PLAN DE CUENTAS'!B1319</f>
        <v>0</v>
      </c>
      <c r="C1319" s="13">
        <f>+'PLAN DE CUENTAS'!C1319</f>
        <v>0</v>
      </c>
      <c r="D1319" t="str">
        <f>IF(tbal[[#This Row],[DEBE]]+tbal[[#This Row],[HABER]]=0,"","X")</f>
        <v/>
      </c>
      <c r="E1319" s="16">
        <f>SUMIF(tdiario[CUENTA],tbal[[#This Row],[CUENTA]],tdiario[DEBE])</f>
        <v>0</v>
      </c>
      <c r="F1319" s="17">
        <f>SUMIF(tdiario[CUENTA],tbal[[#This Row],[CUENTA]],tdiario[HABER])</f>
        <v>0</v>
      </c>
      <c r="G1319" s="16">
        <f>IF(tbal[[#This Row],[DEBE]]-tbal[[#This Row],[HABER]]&gt;0,tbal[[#This Row],[DEBE]]-tbal[[#This Row],[HABER]],0)</f>
        <v>0</v>
      </c>
      <c r="H1319" s="18">
        <f>IF(tbal[[#This Row],[HABER]]-tbal[[#This Row],[DEBE]]&gt;0,tbal[[#This Row],[HABER]]-tbal[[#This Row],[DEBE]],0)</f>
        <v>0</v>
      </c>
      <c r="I1319" s="16">
        <f>IF((OR(tbal[[#This Row],[X]]=1,tbal[[#This Row],[X]]=2)),tbal[[#This Row],[DEUDOR]],0)</f>
        <v>0</v>
      </c>
      <c r="J1319" s="18">
        <f>IF((OR(tbal[[#This Row],[X]]=2,tbal[[#This Row],[X]]=3)),tbal[[#This Row],[ACREEDOR]],0)</f>
        <v>0</v>
      </c>
      <c r="K1319" s="16">
        <f>IF((OR(tbal[[#This Row],[X]]=3,tbal[[#This Row],[X]]=5)),tbal[[#This Row],[DEUDOR]],0)</f>
        <v>0</v>
      </c>
      <c r="L1319" s="18">
        <f>IF((OR(tbal[[#This Row],[X]]=3,tbal[[#This Row],[X]]=4)),tbal[[#This Row],[ACREEDOR]],0)</f>
        <v>0</v>
      </c>
      <c r="M1319" s="16">
        <f>IF((OR(tbal[[#This Row],[X]]=0,tbal[[#This Row],[X]]=6)),tbal[[#This Row],[DEUDOR]],0)</f>
        <v>0</v>
      </c>
      <c r="N1319" s="18">
        <f>IF((OR(tbal[[#This Row],[X]]=0,tbal[[#This Row],[X]]=5)),tbal[[#This Row],[ACREEDOR]],0)</f>
        <v>0</v>
      </c>
    </row>
    <row r="1320" spans="1:14" hidden="1" x14ac:dyDescent="0.3">
      <c r="A1320" s="14">
        <f>+'PLAN DE CUENTAS'!A1320</f>
        <v>0</v>
      </c>
      <c r="B1320" s="13">
        <f>+'PLAN DE CUENTAS'!B1320</f>
        <v>0</v>
      </c>
      <c r="C1320" s="13">
        <f>+'PLAN DE CUENTAS'!C1320</f>
        <v>0</v>
      </c>
      <c r="D1320" t="str">
        <f>IF(tbal[[#This Row],[DEBE]]+tbal[[#This Row],[HABER]]=0,"","X")</f>
        <v/>
      </c>
      <c r="E1320" s="16">
        <f>SUMIF(tdiario[CUENTA],tbal[[#This Row],[CUENTA]],tdiario[DEBE])</f>
        <v>0</v>
      </c>
      <c r="F1320" s="17">
        <f>SUMIF(tdiario[CUENTA],tbal[[#This Row],[CUENTA]],tdiario[HABER])</f>
        <v>0</v>
      </c>
      <c r="G1320" s="16">
        <f>IF(tbal[[#This Row],[DEBE]]-tbal[[#This Row],[HABER]]&gt;0,tbal[[#This Row],[DEBE]]-tbal[[#This Row],[HABER]],0)</f>
        <v>0</v>
      </c>
      <c r="H1320" s="18">
        <f>IF(tbal[[#This Row],[HABER]]-tbal[[#This Row],[DEBE]]&gt;0,tbal[[#This Row],[HABER]]-tbal[[#This Row],[DEBE]],0)</f>
        <v>0</v>
      </c>
      <c r="I1320" s="16">
        <f>IF((OR(tbal[[#This Row],[X]]=1,tbal[[#This Row],[X]]=2)),tbal[[#This Row],[DEUDOR]],0)</f>
        <v>0</v>
      </c>
      <c r="J1320" s="18">
        <f>IF((OR(tbal[[#This Row],[X]]=2,tbal[[#This Row],[X]]=3)),tbal[[#This Row],[ACREEDOR]],0)</f>
        <v>0</v>
      </c>
      <c r="K1320" s="16">
        <f>IF((OR(tbal[[#This Row],[X]]=3,tbal[[#This Row],[X]]=5)),tbal[[#This Row],[DEUDOR]],0)</f>
        <v>0</v>
      </c>
      <c r="L1320" s="18">
        <f>IF((OR(tbal[[#This Row],[X]]=3,tbal[[#This Row],[X]]=4)),tbal[[#This Row],[ACREEDOR]],0)</f>
        <v>0</v>
      </c>
      <c r="M1320" s="16">
        <f>IF((OR(tbal[[#This Row],[X]]=0,tbal[[#This Row],[X]]=6)),tbal[[#This Row],[DEUDOR]],0)</f>
        <v>0</v>
      </c>
      <c r="N1320" s="18">
        <f>IF((OR(tbal[[#This Row],[X]]=0,tbal[[#This Row],[X]]=5)),tbal[[#This Row],[ACREEDOR]],0)</f>
        <v>0</v>
      </c>
    </row>
    <row r="1321" spans="1:14" hidden="1" x14ac:dyDescent="0.3">
      <c r="A1321" s="14">
        <f>+'PLAN DE CUENTAS'!A1321</f>
        <v>0</v>
      </c>
      <c r="B1321" s="13">
        <f>+'PLAN DE CUENTAS'!B1321</f>
        <v>0</v>
      </c>
      <c r="C1321" s="13">
        <f>+'PLAN DE CUENTAS'!C1321</f>
        <v>0</v>
      </c>
      <c r="D1321" t="str">
        <f>IF(tbal[[#This Row],[DEBE]]+tbal[[#This Row],[HABER]]=0,"","X")</f>
        <v/>
      </c>
      <c r="E1321" s="16">
        <f>SUMIF(tdiario[CUENTA],tbal[[#This Row],[CUENTA]],tdiario[DEBE])</f>
        <v>0</v>
      </c>
      <c r="F1321" s="17">
        <f>SUMIF(tdiario[CUENTA],tbal[[#This Row],[CUENTA]],tdiario[HABER])</f>
        <v>0</v>
      </c>
      <c r="G1321" s="16">
        <f>IF(tbal[[#This Row],[DEBE]]-tbal[[#This Row],[HABER]]&gt;0,tbal[[#This Row],[DEBE]]-tbal[[#This Row],[HABER]],0)</f>
        <v>0</v>
      </c>
      <c r="H1321" s="18">
        <f>IF(tbal[[#This Row],[HABER]]-tbal[[#This Row],[DEBE]]&gt;0,tbal[[#This Row],[HABER]]-tbal[[#This Row],[DEBE]],0)</f>
        <v>0</v>
      </c>
      <c r="I1321" s="16">
        <f>IF((OR(tbal[[#This Row],[X]]=1,tbal[[#This Row],[X]]=2)),tbal[[#This Row],[DEUDOR]],0)</f>
        <v>0</v>
      </c>
      <c r="J1321" s="18">
        <f>IF((OR(tbal[[#This Row],[X]]=2,tbal[[#This Row],[X]]=3)),tbal[[#This Row],[ACREEDOR]],0)</f>
        <v>0</v>
      </c>
      <c r="K1321" s="16">
        <f>IF((OR(tbal[[#This Row],[X]]=3,tbal[[#This Row],[X]]=5)),tbal[[#This Row],[DEUDOR]],0)</f>
        <v>0</v>
      </c>
      <c r="L1321" s="18">
        <f>IF((OR(tbal[[#This Row],[X]]=3,tbal[[#This Row],[X]]=4)),tbal[[#This Row],[ACREEDOR]],0)</f>
        <v>0</v>
      </c>
      <c r="M1321" s="16">
        <f>IF((OR(tbal[[#This Row],[X]]=0,tbal[[#This Row],[X]]=6)),tbal[[#This Row],[DEUDOR]],0)</f>
        <v>0</v>
      </c>
      <c r="N1321" s="18">
        <f>IF((OR(tbal[[#This Row],[X]]=0,tbal[[#This Row],[X]]=5)),tbal[[#This Row],[ACREEDOR]],0)</f>
        <v>0</v>
      </c>
    </row>
    <row r="1322" spans="1:14" hidden="1" x14ac:dyDescent="0.3">
      <c r="A1322" s="14">
        <f>+'PLAN DE CUENTAS'!A1322</f>
        <v>0</v>
      </c>
      <c r="B1322" s="13">
        <f>+'PLAN DE CUENTAS'!B1322</f>
        <v>0</v>
      </c>
      <c r="C1322" s="13">
        <f>+'PLAN DE CUENTAS'!C1322</f>
        <v>0</v>
      </c>
      <c r="D1322" t="str">
        <f>IF(tbal[[#This Row],[DEBE]]+tbal[[#This Row],[HABER]]=0,"","X")</f>
        <v/>
      </c>
      <c r="E1322" s="16">
        <f>SUMIF(tdiario[CUENTA],tbal[[#This Row],[CUENTA]],tdiario[DEBE])</f>
        <v>0</v>
      </c>
      <c r="F1322" s="17">
        <f>SUMIF(tdiario[CUENTA],tbal[[#This Row],[CUENTA]],tdiario[HABER])</f>
        <v>0</v>
      </c>
      <c r="G1322" s="16">
        <f>IF(tbal[[#This Row],[DEBE]]-tbal[[#This Row],[HABER]]&gt;0,tbal[[#This Row],[DEBE]]-tbal[[#This Row],[HABER]],0)</f>
        <v>0</v>
      </c>
      <c r="H1322" s="18">
        <f>IF(tbal[[#This Row],[HABER]]-tbal[[#This Row],[DEBE]]&gt;0,tbal[[#This Row],[HABER]]-tbal[[#This Row],[DEBE]],0)</f>
        <v>0</v>
      </c>
      <c r="I1322" s="16">
        <f>IF((OR(tbal[[#This Row],[X]]=1,tbal[[#This Row],[X]]=2)),tbal[[#This Row],[DEUDOR]],0)</f>
        <v>0</v>
      </c>
      <c r="J1322" s="18">
        <f>IF((OR(tbal[[#This Row],[X]]=2,tbal[[#This Row],[X]]=3)),tbal[[#This Row],[ACREEDOR]],0)</f>
        <v>0</v>
      </c>
      <c r="K1322" s="16">
        <f>IF((OR(tbal[[#This Row],[X]]=3,tbal[[#This Row],[X]]=5)),tbal[[#This Row],[DEUDOR]],0)</f>
        <v>0</v>
      </c>
      <c r="L1322" s="18">
        <f>IF((OR(tbal[[#This Row],[X]]=3,tbal[[#This Row],[X]]=4)),tbal[[#This Row],[ACREEDOR]],0)</f>
        <v>0</v>
      </c>
      <c r="M1322" s="16">
        <f>IF((OR(tbal[[#This Row],[X]]=0,tbal[[#This Row],[X]]=6)),tbal[[#This Row],[DEUDOR]],0)</f>
        <v>0</v>
      </c>
      <c r="N1322" s="18">
        <f>IF((OR(tbal[[#This Row],[X]]=0,tbal[[#This Row],[X]]=5)),tbal[[#This Row],[ACREEDOR]],0)</f>
        <v>0</v>
      </c>
    </row>
    <row r="1323" spans="1:14" hidden="1" x14ac:dyDescent="0.3">
      <c r="A1323" s="14">
        <f>+'PLAN DE CUENTAS'!A1323</f>
        <v>0</v>
      </c>
      <c r="B1323" s="13">
        <f>+'PLAN DE CUENTAS'!B1323</f>
        <v>0</v>
      </c>
      <c r="C1323" s="13">
        <f>+'PLAN DE CUENTAS'!C1323</f>
        <v>0</v>
      </c>
      <c r="D1323" t="str">
        <f>IF(tbal[[#This Row],[DEBE]]+tbal[[#This Row],[HABER]]=0,"","X")</f>
        <v/>
      </c>
      <c r="E1323" s="16">
        <f>SUMIF(tdiario[CUENTA],tbal[[#This Row],[CUENTA]],tdiario[DEBE])</f>
        <v>0</v>
      </c>
      <c r="F1323" s="17">
        <f>SUMIF(tdiario[CUENTA],tbal[[#This Row],[CUENTA]],tdiario[HABER])</f>
        <v>0</v>
      </c>
      <c r="G1323" s="16">
        <f>IF(tbal[[#This Row],[DEBE]]-tbal[[#This Row],[HABER]]&gt;0,tbal[[#This Row],[DEBE]]-tbal[[#This Row],[HABER]],0)</f>
        <v>0</v>
      </c>
      <c r="H1323" s="18">
        <f>IF(tbal[[#This Row],[HABER]]-tbal[[#This Row],[DEBE]]&gt;0,tbal[[#This Row],[HABER]]-tbal[[#This Row],[DEBE]],0)</f>
        <v>0</v>
      </c>
      <c r="I1323" s="16">
        <f>IF((OR(tbal[[#This Row],[X]]=1,tbal[[#This Row],[X]]=2)),tbal[[#This Row],[DEUDOR]],0)</f>
        <v>0</v>
      </c>
      <c r="J1323" s="18">
        <f>IF((OR(tbal[[#This Row],[X]]=2,tbal[[#This Row],[X]]=3)),tbal[[#This Row],[ACREEDOR]],0)</f>
        <v>0</v>
      </c>
      <c r="K1323" s="16">
        <f>IF((OR(tbal[[#This Row],[X]]=3,tbal[[#This Row],[X]]=5)),tbal[[#This Row],[DEUDOR]],0)</f>
        <v>0</v>
      </c>
      <c r="L1323" s="18">
        <f>IF((OR(tbal[[#This Row],[X]]=3,tbal[[#This Row],[X]]=4)),tbal[[#This Row],[ACREEDOR]],0)</f>
        <v>0</v>
      </c>
      <c r="M1323" s="16">
        <f>IF((OR(tbal[[#This Row],[X]]=0,tbal[[#This Row],[X]]=6)),tbal[[#This Row],[DEUDOR]],0)</f>
        <v>0</v>
      </c>
      <c r="N1323" s="18">
        <f>IF((OR(tbal[[#This Row],[X]]=0,tbal[[#This Row],[X]]=5)),tbal[[#This Row],[ACREEDOR]],0)</f>
        <v>0</v>
      </c>
    </row>
    <row r="1324" spans="1:14" hidden="1" x14ac:dyDescent="0.3">
      <c r="A1324" s="14">
        <f>+'PLAN DE CUENTAS'!A1324</f>
        <v>0</v>
      </c>
      <c r="B1324" s="13">
        <f>+'PLAN DE CUENTAS'!B1324</f>
        <v>0</v>
      </c>
      <c r="C1324" s="13">
        <f>+'PLAN DE CUENTAS'!C1324</f>
        <v>0</v>
      </c>
      <c r="D1324" t="str">
        <f>IF(tbal[[#This Row],[DEBE]]+tbal[[#This Row],[HABER]]=0,"","X")</f>
        <v/>
      </c>
      <c r="E1324" s="16">
        <f>SUMIF(tdiario[CUENTA],tbal[[#This Row],[CUENTA]],tdiario[DEBE])</f>
        <v>0</v>
      </c>
      <c r="F1324" s="17">
        <f>SUMIF(tdiario[CUENTA],tbal[[#This Row],[CUENTA]],tdiario[HABER])</f>
        <v>0</v>
      </c>
      <c r="G1324" s="16">
        <f>IF(tbal[[#This Row],[DEBE]]-tbal[[#This Row],[HABER]]&gt;0,tbal[[#This Row],[DEBE]]-tbal[[#This Row],[HABER]],0)</f>
        <v>0</v>
      </c>
      <c r="H1324" s="18">
        <f>IF(tbal[[#This Row],[HABER]]-tbal[[#This Row],[DEBE]]&gt;0,tbal[[#This Row],[HABER]]-tbal[[#This Row],[DEBE]],0)</f>
        <v>0</v>
      </c>
      <c r="I1324" s="16">
        <f>IF((OR(tbal[[#This Row],[X]]=1,tbal[[#This Row],[X]]=2)),tbal[[#This Row],[DEUDOR]],0)</f>
        <v>0</v>
      </c>
      <c r="J1324" s="18">
        <f>IF((OR(tbal[[#This Row],[X]]=2,tbal[[#This Row],[X]]=3)),tbal[[#This Row],[ACREEDOR]],0)</f>
        <v>0</v>
      </c>
      <c r="K1324" s="16">
        <f>IF((OR(tbal[[#This Row],[X]]=3,tbal[[#This Row],[X]]=5)),tbal[[#This Row],[DEUDOR]],0)</f>
        <v>0</v>
      </c>
      <c r="L1324" s="18">
        <f>IF((OR(tbal[[#This Row],[X]]=3,tbal[[#This Row],[X]]=4)),tbal[[#This Row],[ACREEDOR]],0)</f>
        <v>0</v>
      </c>
      <c r="M1324" s="16">
        <f>IF((OR(tbal[[#This Row],[X]]=0,tbal[[#This Row],[X]]=6)),tbal[[#This Row],[DEUDOR]],0)</f>
        <v>0</v>
      </c>
      <c r="N1324" s="18">
        <f>IF((OR(tbal[[#This Row],[X]]=0,tbal[[#This Row],[X]]=5)),tbal[[#This Row],[ACREEDOR]],0)</f>
        <v>0</v>
      </c>
    </row>
    <row r="1325" spans="1:14" hidden="1" x14ac:dyDescent="0.3">
      <c r="A1325" s="14">
        <f>+'PLAN DE CUENTAS'!A1325</f>
        <v>0</v>
      </c>
      <c r="B1325" s="13">
        <f>+'PLAN DE CUENTAS'!B1325</f>
        <v>0</v>
      </c>
      <c r="C1325" s="13">
        <f>+'PLAN DE CUENTAS'!C1325</f>
        <v>0</v>
      </c>
      <c r="D1325" t="str">
        <f>IF(tbal[[#This Row],[DEBE]]+tbal[[#This Row],[HABER]]=0,"","X")</f>
        <v/>
      </c>
      <c r="E1325" s="16">
        <f>SUMIF(tdiario[CUENTA],tbal[[#This Row],[CUENTA]],tdiario[DEBE])</f>
        <v>0</v>
      </c>
      <c r="F1325" s="17">
        <f>SUMIF(tdiario[CUENTA],tbal[[#This Row],[CUENTA]],tdiario[HABER])</f>
        <v>0</v>
      </c>
      <c r="G1325" s="16">
        <f>IF(tbal[[#This Row],[DEBE]]-tbal[[#This Row],[HABER]]&gt;0,tbal[[#This Row],[DEBE]]-tbal[[#This Row],[HABER]],0)</f>
        <v>0</v>
      </c>
      <c r="H1325" s="18">
        <f>IF(tbal[[#This Row],[HABER]]-tbal[[#This Row],[DEBE]]&gt;0,tbal[[#This Row],[HABER]]-tbal[[#This Row],[DEBE]],0)</f>
        <v>0</v>
      </c>
      <c r="I1325" s="16">
        <f>IF((OR(tbal[[#This Row],[X]]=1,tbal[[#This Row],[X]]=2)),tbal[[#This Row],[DEUDOR]],0)</f>
        <v>0</v>
      </c>
      <c r="J1325" s="18">
        <f>IF((OR(tbal[[#This Row],[X]]=2,tbal[[#This Row],[X]]=3)),tbal[[#This Row],[ACREEDOR]],0)</f>
        <v>0</v>
      </c>
      <c r="K1325" s="16">
        <f>IF((OR(tbal[[#This Row],[X]]=3,tbal[[#This Row],[X]]=5)),tbal[[#This Row],[DEUDOR]],0)</f>
        <v>0</v>
      </c>
      <c r="L1325" s="18">
        <f>IF((OR(tbal[[#This Row],[X]]=3,tbal[[#This Row],[X]]=4)),tbal[[#This Row],[ACREEDOR]],0)</f>
        <v>0</v>
      </c>
      <c r="M1325" s="16">
        <f>IF((OR(tbal[[#This Row],[X]]=0,tbal[[#This Row],[X]]=6)),tbal[[#This Row],[DEUDOR]],0)</f>
        <v>0</v>
      </c>
      <c r="N1325" s="18">
        <f>IF((OR(tbal[[#This Row],[X]]=0,tbal[[#This Row],[X]]=5)),tbal[[#This Row],[ACREEDOR]],0)</f>
        <v>0</v>
      </c>
    </row>
    <row r="1326" spans="1:14" hidden="1" x14ac:dyDescent="0.3">
      <c r="A1326" s="14">
        <f>+'PLAN DE CUENTAS'!A1326</f>
        <v>0</v>
      </c>
      <c r="B1326" s="13">
        <f>+'PLAN DE CUENTAS'!B1326</f>
        <v>0</v>
      </c>
      <c r="C1326" s="13">
        <f>+'PLAN DE CUENTAS'!C1326</f>
        <v>0</v>
      </c>
      <c r="D1326" t="str">
        <f>IF(tbal[[#This Row],[DEBE]]+tbal[[#This Row],[HABER]]=0,"","X")</f>
        <v/>
      </c>
      <c r="E1326" s="16">
        <f>SUMIF(tdiario[CUENTA],tbal[[#This Row],[CUENTA]],tdiario[DEBE])</f>
        <v>0</v>
      </c>
      <c r="F1326" s="17">
        <f>SUMIF(tdiario[CUENTA],tbal[[#This Row],[CUENTA]],tdiario[HABER])</f>
        <v>0</v>
      </c>
      <c r="G1326" s="16">
        <f>IF(tbal[[#This Row],[DEBE]]-tbal[[#This Row],[HABER]]&gt;0,tbal[[#This Row],[DEBE]]-tbal[[#This Row],[HABER]],0)</f>
        <v>0</v>
      </c>
      <c r="H1326" s="18">
        <f>IF(tbal[[#This Row],[HABER]]-tbal[[#This Row],[DEBE]]&gt;0,tbal[[#This Row],[HABER]]-tbal[[#This Row],[DEBE]],0)</f>
        <v>0</v>
      </c>
      <c r="I1326" s="16">
        <f>IF((OR(tbal[[#This Row],[X]]=1,tbal[[#This Row],[X]]=2)),tbal[[#This Row],[DEUDOR]],0)</f>
        <v>0</v>
      </c>
      <c r="J1326" s="18">
        <f>IF((OR(tbal[[#This Row],[X]]=2,tbal[[#This Row],[X]]=3)),tbal[[#This Row],[ACREEDOR]],0)</f>
        <v>0</v>
      </c>
      <c r="K1326" s="16">
        <f>IF((OR(tbal[[#This Row],[X]]=3,tbal[[#This Row],[X]]=5)),tbal[[#This Row],[DEUDOR]],0)</f>
        <v>0</v>
      </c>
      <c r="L1326" s="18">
        <f>IF((OR(tbal[[#This Row],[X]]=3,tbal[[#This Row],[X]]=4)),tbal[[#This Row],[ACREEDOR]],0)</f>
        <v>0</v>
      </c>
      <c r="M1326" s="16">
        <f>IF((OR(tbal[[#This Row],[X]]=0,tbal[[#This Row],[X]]=6)),tbal[[#This Row],[DEUDOR]],0)</f>
        <v>0</v>
      </c>
      <c r="N1326" s="18">
        <f>IF((OR(tbal[[#This Row],[X]]=0,tbal[[#This Row],[X]]=5)),tbal[[#This Row],[ACREEDOR]],0)</f>
        <v>0</v>
      </c>
    </row>
    <row r="1327" spans="1:14" hidden="1" x14ac:dyDescent="0.3">
      <c r="A1327" s="14">
        <f>+'PLAN DE CUENTAS'!A1327</f>
        <v>0</v>
      </c>
      <c r="B1327" s="13">
        <f>+'PLAN DE CUENTAS'!B1327</f>
        <v>0</v>
      </c>
      <c r="C1327" s="13">
        <f>+'PLAN DE CUENTAS'!C1327</f>
        <v>0</v>
      </c>
      <c r="D1327" t="str">
        <f>IF(tbal[[#This Row],[DEBE]]+tbal[[#This Row],[HABER]]=0,"","X")</f>
        <v/>
      </c>
      <c r="E1327" s="16">
        <f>SUMIF(tdiario[CUENTA],tbal[[#This Row],[CUENTA]],tdiario[DEBE])</f>
        <v>0</v>
      </c>
      <c r="F1327" s="17">
        <f>SUMIF(tdiario[CUENTA],tbal[[#This Row],[CUENTA]],tdiario[HABER])</f>
        <v>0</v>
      </c>
      <c r="G1327" s="16">
        <f>IF(tbal[[#This Row],[DEBE]]-tbal[[#This Row],[HABER]]&gt;0,tbal[[#This Row],[DEBE]]-tbal[[#This Row],[HABER]],0)</f>
        <v>0</v>
      </c>
      <c r="H1327" s="18">
        <f>IF(tbal[[#This Row],[HABER]]-tbal[[#This Row],[DEBE]]&gt;0,tbal[[#This Row],[HABER]]-tbal[[#This Row],[DEBE]],0)</f>
        <v>0</v>
      </c>
      <c r="I1327" s="16">
        <f>IF((OR(tbal[[#This Row],[X]]=1,tbal[[#This Row],[X]]=2)),tbal[[#This Row],[DEUDOR]],0)</f>
        <v>0</v>
      </c>
      <c r="J1327" s="18">
        <f>IF((OR(tbal[[#This Row],[X]]=2,tbal[[#This Row],[X]]=3)),tbal[[#This Row],[ACREEDOR]],0)</f>
        <v>0</v>
      </c>
      <c r="K1327" s="16">
        <f>IF((OR(tbal[[#This Row],[X]]=3,tbal[[#This Row],[X]]=5)),tbal[[#This Row],[DEUDOR]],0)</f>
        <v>0</v>
      </c>
      <c r="L1327" s="18">
        <f>IF((OR(tbal[[#This Row],[X]]=3,tbal[[#This Row],[X]]=4)),tbal[[#This Row],[ACREEDOR]],0)</f>
        <v>0</v>
      </c>
      <c r="M1327" s="16">
        <f>IF((OR(tbal[[#This Row],[X]]=0,tbal[[#This Row],[X]]=6)),tbal[[#This Row],[DEUDOR]],0)</f>
        <v>0</v>
      </c>
      <c r="N1327" s="18">
        <f>IF((OR(tbal[[#This Row],[X]]=0,tbal[[#This Row],[X]]=5)),tbal[[#This Row],[ACREEDOR]],0)</f>
        <v>0</v>
      </c>
    </row>
    <row r="1328" spans="1:14" hidden="1" x14ac:dyDescent="0.3">
      <c r="A1328" s="14">
        <f>+'PLAN DE CUENTAS'!A1328</f>
        <v>0</v>
      </c>
      <c r="B1328" s="13">
        <f>+'PLAN DE CUENTAS'!B1328</f>
        <v>0</v>
      </c>
      <c r="C1328" s="13">
        <f>+'PLAN DE CUENTAS'!C1328</f>
        <v>0</v>
      </c>
      <c r="D1328" t="str">
        <f>IF(tbal[[#This Row],[DEBE]]+tbal[[#This Row],[HABER]]=0,"","X")</f>
        <v/>
      </c>
      <c r="E1328" s="16">
        <f>SUMIF(tdiario[CUENTA],tbal[[#This Row],[CUENTA]],tdiario[DEBE])</f>
        <v>0</v>
      </c>
      <c r="F1328" s="17">
        <f>SUMIF(tdiario[CUENTA],tbal[[#This Row],[CUENTA]],tdiario[HABER])</f>
        <v>0</v>
      </c>
      <c r="G1328" s="16">
        <f>IF(tbal[[#This Row],[DEBE]]-tbal[[#This Row],[HABER]]&gt;0,tbal[[#This Row],[DEBE]]-tbal[[#This Row],[HABER]],0)</f>
        <v>0</v>
      </c>
      <c r="H1328" s="18">
        <f>IF(tbal[[#This Row],[HABER]]-tbal[[#This Row],[DEBE]]&gt;0,tbal[[#This Row],[HABER]]-tbal[[#This Row],[DEBE]],0)</f>
        <v>0</v>
      </c>
      <c r="I1328" s="16">
        <f>IF((OR(tbal[[#This Row],[X]]=1,tbal[[#This Row],[X]]=2)),tbal[[#This Row],[DEUDOR]],0)</f>
        <v>0</v>
      </c>
      <c r="J1328" s="18">
        <f>IF((OR(tbal[[#This Row],[X]]=2,tbal[[#This Row],[X]]=3)),tbal[[#This Row],[ACREEDOR]],0)</f>
        <v>0</v>
      </c>
      <c r="K1328" s="16">
        <f>IF((OR(tbal[[#This Row],[X]]=3,tbal[[#This Row],[X]]=5)),tbal[[#This Row],[DEUDOR]],0)</f>
        <v>0</v>
      </c>
      <c r="L1328" s="18">
        <f>IF((OR(tbal[[#This Row],[X]]=3,tbal[[#This Row],[X]]=4)),tbal[[#This Row],[ACREEDOR]],0)</f>
        <v>0</v>
      </c>
      <c r="M1328" s="16">
        <f>IF((OR(tbal[[#This Row],[X]]=0,tbal[[#This Row],[X]]=6)),tbal[[#This Row],[DEUDOR]],0)</f>
        <v>0</v>
      </c>
      <c r="N1328" s="18">
        <f>IF((OR(tbal[[#This Row],[X]]=0,tbal[[#This Row],[X]]=5)),tbal[[#This Row],[ACREEDOR]],0)</f>
        <v>0</v>
      </c>
    </row>
    <row r="1329" spans="1:14" hidden="1" x14ac:dyDescent="0.3">
      <c r="A1329" s="14">
        <f>+'PLAN DE CUENTAS'!A1329</f>
        <v>0</v>
      </c>
      <c r="B1329" s="13">
        <f>+'PLAN DE CUENTAS'!B1329</f>
        <v>0</v>
      </c>
      <c r="C1329" s="13">
        <f>+'PLAN DE CUENTAS'!C1329</f>
        <v>0</v>
      </c>
      <c r="D1329" t="str">
        <f>IF(tbal[[#This Row],[DEBE]]+tbal[[#This Row],[HABER]]=0,"","X")</f>
        <v/>
      </c>
      <c r="E1329" s="16">
        <f>SUMIF(tdiario[CUENTA],tbal[[#This Row],[CUENTA]],tdiario[DEBE])</f>
        <v>0</v>
      </c>
      <c r="F1329" s="17">
        <f>SUMIF(tdiario[CUENTA],tbal[[#This Row],[CUENTA]],tdiario[HABER])</f>
        <v>0</v>
      </c>
      <c r="G1329" s="16">
        <f>IF(tbal[[#This Row],[DEBE]]-tbal[[#This Row],[HABER]]&gt;0,tbal[[#This Row],[DEBE]]-tbal[[#This Row],[HABER]],0)</f>
        <v>0</v>
      </c>
      <c r="H1329" s="18">
        <f>IF(tbal[[#This Row],[HABER]]-tbal[[#This Row],[DEBE]]&gt;0,tbal[[#This Row],[HABER]]-tbal[[#This Row],[DEBE]],0)</f>
        <v>0</v>
      </c>
      <c r="I1329" s="16">
        <f>IF((OR(tbal[[#This Row],[X]]=1,tbal[[#This Row],[X]]=2)),tbal[[#This Row],[DEUDOR]],0)</f>
        <v>0</v>
      </c>
      <c r="J1329" s="18">
        <f>IF((OR(tbal[[#This Row],[X]]=2,tbal[[#This Row],[X]]=3)),tbal[[#This Row],[ACREEDOR]],0)</f>
        <v>0</v>
      </c>
      <c r="K1329" s="16">
        <f>IF((OR(tbal[[#This Row],[X]]=3,tbal[[#This Row],[X]]=5)),tbal[[#This Row],[DEUDOR]],0)</f>
        <v>0</v>
      </c>
      <c r="L1329" s="18">
        <f>IF((OR(tbal[[#This Row],[X]]=3,tbal[[#This Row],[X]]=4)),tbal[[#This Row],[ACREEDOR]],0)</f>
        <v>0</v>
      </c>
      <c r="M1329" s="16">
        <f>IF((OR(tbal[[#This Row],[X]]=0,tbal[[#This Row],[X]]=6)),tbal[[#This Row],[DEUDOR]],0)</f>
        <v>0</v>
      </c>
      <c r="N1329" s="18">
        <f>IF((OR(tbal[[#This Row],[X]]=0,tbal[[#This Row],[X]]=5)),tbal[[#This Row],[ACREEDOR]],0)</f>
        <v>0</v>
      </c>
    </row>
    <row r="1330" spans="1:14" hidden="1" x14ac:dyDescent="0.3">
      <c r="A1330" s="14">
        <f>+'PLAN DE CUENTAS'!A1330</f>
        <v>0</v>
      </c>
      <c r="B1330" s="13">
        <f>+'PLAN DE CUENTAS'!B1330</f>
        <v>0</v>
      </c>
      <c r="C1330" s="13">
        <f>+'PLAN DE CUENTAS'!C1330</f>
        <v>0</v>
      </c>
      <c r="D1330" t="str">
        <f>IF(tbal[[#This Row],[DEBE]]+tbal[[#This Row],[HABER]]=0,"","X")</f>
        <v/>
      </c>
      <c r="E1330" s="16">
        <f>SUMIF(tdiario[CUENTA],tbal[[#This Row],[CUENTA]],tdiario[DEBE])</f>
        <v>0</v>
      </c>
      <c r="F1330" s="17">
        <f>SUMIF(tdiario[CUENTA],tbal[[#This Row],[CUENTA]],tdiario[HABER])</f>
        <v>0</v>
      </c>
      <c r="G1330" s="16">
        <f>IF(tbal[[#This Row],[DEBE]]-tbal[[#This Row],[HABER]]&gt;0,tbal[[#This Row],[DEBE]]-tbal[[#This Row],[HABER]],0)</f>
        <v>0</v>
      </c>
      <c r="H1330" s="18">
        <f>IF(tbal[[#This Row],[HABER]]-tbal[[#This Row],[DEBE]]&gt;0,tbal[[#This Row],[HABER]]-tbal[[#This Row],[DEBE]],0)</f>
        <v>0</v>
      </c>
      <c r="I1330" s="16">
        <f>IF((OR(tbal[[#This Row],[X]]=1,tbal[[#This Row],[X]]=2)),tbal[[#This Row],[DEUDOR]],0)</f>
        <v>0</v>
      </c>
      <c r="J1330" s="18">
        <f>IF((OR(tbal[[#This Row],[X]]=2,tbal[[#This Row],[X]]=3)),tbal[[#This Row],[ACREEDOR]],0)</f>
        <v>0</v>
      </c>
      <c r="K1330" s="16">
        <f>IF((OR(tbal[[#This Row],[X]]=3,tbal[[#This Row],[X]]=5)),tbal[[#This Row],[DEUDOR]],0)</f>
        <v>0</v>
      </c>
      <c r="L1330" s="18">
        <f>IF((OR(tbal[[#This Row],[X]]=3,tbal[[#This Row],[X]]=4)),tbal[[#This Row],[ACREEDOR]],0)</f>
        <v>0</v>
      </c>
      <c r="M1330" s="16">
        <f>IF((OR(tbal[[#This Row],[X]]=0,tbal[[#This Row],[X]]=6)),tbal[[#This Row],[DEUDOR]],0)</f>
        <v>0</v>
      </c>
      <c r="N1330" s="18">
        <f>IF((OR(tbal[[#This Row],[X]]=0,tbal[[#This Row],[X]]=5)),tbal[[#This Row],[ACREEDOR]],0)</f>
        <v>0</v>
      </c>
    </row>
    <row r="1331" spans="1:14" hidden="1" x14ac:dyDescent="0.3">
      <c r="A1331" s="14">
        <f>+'PLAN DE CUENTAS'!A1331</f>
        <v>0</v>
      </c>
      <c r="B1331" s="13">
        <f>+'PLAN DE CUENTAS'!B1331</f>
        <v>0</v>
      </c>
      <c r="C1331" s="13">
        <f>+'PLAN DE CUENTAS'!C1331</f>
        <v>0</v>
      </c>
      <c r="D1331" t="str">
        <f>IF(tbal[[#This Row],[DEBE]]+tbal[[#This Row],[HABER]]=0,"","X")</f>
        <v/>
      </c>
      <c r="E1331" s="16">
        <f>SUMIF(tdiario[CUENTA],tbal[[#This Row],[CUENTA]],tdiario[DEBE])</f>
        <v>0</v>
      </c>
      <c r="F1331" s="17">
        <f>SUMIF(tdiario[CUENTA],tbal[[#This Row],[CUENTA]],tdiario[HABER])</f>
        <v>0</v>
      </c>
      <c r="G1331" s="16">
        <f>IF(tbal[[#This Row],[DEBE]]-tbal[[#This Row],[HABER]]&gt;0,tbal[[#This Row],[DEBE]]-tbal[[#This Row],[HABER]],0)</f>
        <v>0</v>
      </c>
      <c r="H1331" s="18">
        <f>IF(tbal[[#This Row],[HABER]]-tbal[[#This Row],[DEBE]]&gt;0,tbal[[#This Row],[HABER]]-tbal[[#This Row],[DEBE]],0)</f>
        <v>0</v>
      </c>
      <c r="I1331" s="16">
        <f>IF((OR(tbal[[#This Row],[X]]=1,tbal[[#This Row],[X]]=2)),tbal[[#This Row],[DEUDOR]],0)</f>
        <v>0</v>
      </c>
      <c r="J1331" s="18">
        <f>IF((OR(tbal[[#This Row],[X]]=2,tbal[[#This Row],[X]]=3)),tbal[[#This Row],[ACREEDOR]],0)</f>
        <v>0</v>
      </c>
      <c r="K1331" s="16">
        <f>IF((OR(tbal[[#This Row],[X]]=3,tbal[[#This Row],[X]]=5)),tbal[[#This Row],[DEUDOR]],0)</f>
        <v>0</v>
      </c>
      <c r="L1331" s="18">
        <f>IF((OR(tbal[[#This Row],[X]]=3,tbal[[#This Row],[X]]=4)),tbal[[#This Row],[ACREEDOR]],0)</f>
        <v>0</v>
      </c>
      <c r="M1331" s="16">
        <f>IF((OR(tbal[[#This Row],[X]]=0,tbal[[#This Row],[X]]=6)),tbal[[#This Row],[DEUDOR]],0)</f>
        <v>0</v>
      </c>
      <c r="N1331" s="18">
        <f>IF((OR(tbal[[#This Row],[X]]=0,tbal[[#This Row],[X]]=5)),tbal[[#This Row],[ACREEDOR]],0)</f>
        <v>0</v>
      </c>
    </row>
    <row r="1332" spans="1:14" hidden="1" x14ac:dyDescent="0.3">
      <c r="A1332" s="14">
        <f>+'PLAN DE CUENTAS'!A1332</f>
        <v>0</v>
      </c>
      <c r="B1332" s="13">
        <f>+'PLAN DE CUENTAS'!B1332</f>
        <v>0</v>
      </c>
      <c r="C1332" s="13">
        <f>+'PLAN DE CUENTAS'!C1332</f>
        <v>0</v>
      </c>
      <c r="D1332" t="str">
        <f>IF(tbal[[#This Row],[DEBE]]+tbal[[#This Row],[HABER]]=0,"","X")</f>
        <v/>
      </c>
      <c r="E1332" s="16">
        <f>SUMIF(tdiario[CUENTA],tbal[[#This Row],[CUENTA]],tdiario[DEBE])</f>
        <v>0</v>
      </c>
      <c r="F1332" s="17">
        <f>SUMIF(tdiario[CUENTA],tbal[[#This Row],[CUENTA]],tdiario[HABER])</f>
        <v>0</v>
      </c>
      <c r="G1332" s="16">
        <f>IF(tbal[[#This Row],[DEBE]]-tbal[[#This Row],[HABER]]&gt;0,tbal[[#This Row],[DEBE]]-tbal[[#This Row],[HABER]],0)</f>
        <v>0</v>
      </c>
      <c r="H1332" s="18">
        <f>IF(tbal[[#This Row],[HABER]]-tbal[[#This Row],[DEBE]]&gt;0,tbal[[#This Row],[HABER]]-tbal[[#This Row],[DEBE]],0)</f>
        <v>0</v>
      </c>
      <c r="I1332" s="16">
        <f>IF((OR(tbal[[#This Row],[X]]=1,tbal[[#This Row],[X]]=2)),tbal[[#This Row],[DEUDOR]],0)</f>
        <v>0</v>
      </c>
      <c r="J1332" s="18">
        <f>IF((OR(tbal[[#This Row],[X]]=2,tbal[[#This Row],[X]]=3)),tbal[[#This Row],[ACREEDOR]],0)</f>
        <v>0</v>
      </c>
      <c r="K1332" s="16">
        <f>IF((OR(tbal[[#This Row],[X]]=3,tbal[[#This Row],[X]]=5)),tbal[[#This Row],[DEUDOR]],0)</f>
        <v>0</v>
      </c>
      <c r="L1332" s="18">
        <f>IF((OR(tbal[[#This Row],[X]]=3,tbal[[#This Row],[X]]=4)),tbal[[#This Row],[ACREEDOR]],0)</f>
        <v>0</v>
      </c>
      <c r="M1332" s="16">
        <f>IF((OR(tbal[[#This Row],[X]]=0,tbal[[#This Row],[X]]=6)),tbal[[#This Row],[DEUDOR]],0)</f>
        <v>0</v>
      </c>
      <c r="N1332" s="18">
        <f>IF((OR(tbal[[#This Row],[X]]=0,tbal[[#This Row],[X]]=5)),tbal[[#This Row],[ACREEDOR]],0)</f>
        <v>0</v>
      </c>
    </row>
    <row r="1333" spans="1:14" hidden="1" x14ac:dyDescent="0.3">
      <c r="A1333" s="14">
        <f>+'PLAN DE CUENTAS'!A1333</f>
        <v>0</v>
      </c>
      <c r="B1333" s="13">
        <f>+'PLAN DE CUENTAS'!B1333</f>
        <v>0</v>
      </c>
      <c r="C1333" s="13">
        <f>+'PLAN DE CUENTAS'!C1333</f>
        <v>0</v>
      </c>
      <c r="D1333" t="str">
        <f>IF(tbal[[#This Row],[DEBE]]+tbal[[#This Row],[HABER]]=0,"","X")</f>
        <v/>
      </c>
      <c r="E1333" s="16">
        <f>SUMIF(tdiario[CUENTA],tbal[[#This Row],[CUENTA]],tdiario[DEBE])</f>
        <v>0</v>
      </c>
      <c r="F1333" s="17">
        <f>SUMIF(tdiario[CUENTA],tbal[[#This Row],[CUENTA]],tdiario[HABER])</f>
        <v>0</v>
      </c>
      <c r="G1333" s="16">
        <f>IF(tbal[[#This Row],[DEBE]]-tbal[[#This Row],[HABER]]&gt;0,tbal[[#This Row],[DEBE]]-tbal[[#This Row],[HABER]],0)</f>
        <v>0</v>
      </c>
      <c r="H1333" s="18">
        <f>IF(tbal[[#This Row],[HABER]]-tbal[[#This Row],[DEBE]]&gt;0,tbal[[#This Row],[HABER]]-tbal[[#This Row],[DEBE]],0)</f>
        <v>0</v>
      </c>
      <c r="I1333" s="16">
        <f>IF((OR(tbal[[#This Row],[X]]=1,tbal[[#This Row],[X]]=2)),tbal[[#This Row],[DEUDOR]],0)</f>
        <v>0</v>
      </c>
      <c r="J1333" s="18">
        <f>IF((OR(tbal[[#This Row],[X]]=2,tbal[[#This Row],[X]]=3)),tbal[[#This Row],[ACREEDOR]],0)</f>
        <v>0</v>
      </c>
      <c r="K1333" s="16">
        <f>IF((OR(tbal[[#This Row],[X]]=3,tbal[[#This Row],[X]]=5)),tbal[[#This Row],[DEUDOR]],0)</f>
        <v>0</v>
      </c>
      <c r="L1333" s="18">
        <f>IF((OR(tbal[[#This Row],[X]]=3,tbal[[#This Row],[X]]=4)),tbal[[#This Row],[ACREEDOR]],0)</f>
        <v>0</v>
      </c>
      <c r="M1333" s="16">
        <f>IF((OR(tbal[[#This Row],[X]]=0,tbal[[#This Row],[X]]=6)),tbal[[#This Row],[DEUDOR]],0)</f>
        <v>0</v>
      </c>
      <c r="N1333" s="18">
        <f>IF((OR(tbal[[#This Row],[X]]=0,tbal[[#This Row],[X]]=5)),tbal[[#This Row],[ACREEDOR]],0)</f>
        <v>0</v>
      </c>
    </row>
    <row r="1334" spans="1:14" hidden="1" x14ac:dyDescent="0.3">
      <c r="A1334" s="14">
        <f>+'PLAN DE CUENTAS'!A1334</f>
        <v>0</v>
      </c>
      <c r="B1334" s="13">
        <f>+'PLAN DE CUENTAS'!B1334</f>
        <v>0</v>
      </c>
      <c r="C1334" s="13">
        <f>+'PLAN DE CUENTAS'!C1334</f>
        <v>0</v>
      </c>
      <c r="D1334" t="str">
        <f>IF(tbal[[#This Row],[DEBE]]+tbal[[#This Row],[HABER]]=0,"","X")</f>
        <v/>
      </c>
      <c r="E1334" s="16">
        <f>SUMIF(tdiario[CUENTA],tbal[[#This Row],[CUENTA]],tdiario[DEBE])</f>
        <v>0</v>
      </c>
      <c r="F1334" s="17">
        <f>SUMIF(tdiario[CUENTA],tbal[[#This Row],[CUENTA]],tdiario[HABER])</f>
        <v>0</v>
      </c>
      <c r="G1334" s="16">
        <f>IF(tbal[[#This Row],[DEBE]]-tbal[[#This Row],[HABER]]&gt;0,tbal[[#This Row],[DEBE]]-tbal[[#This Row],[HABER]],0)</f>
        <v>0</v>
      </c>
      <c r="H1334" s="18">
        <f>IF(tbal[[#This Row],[HABER]]-tbal[[#This Row],[DEBE]]&gt;0,tbal[[#This Row],[HABER]]-tbal[[#This Row],[DEBE]],0)</f>
        <v>0</v>
      </c>
      <c r="I1334" s="16">
        <f>IF((OR(tbal[[#This Row],[X]]=1,tbal[[#This Row],[X]]=2)),tbal[[#This Row],[DEUDOR]],0)</f>
        <v>0</v>
      </c>
      <c r="J1334" s="18">
        <f>IF((OR(tbal[[#This Row],[X]]=2,tbal[[#This Row],[X]]=3)),tbal[[#This Row],[ACREEDOR]],0)</f>
        <v>0</v>
      </c>
      <c r="K1334" s="16">
        <f>IF((OR(tbal[[#This Row],[X]]=3,tbal[[#This Row],[X]]=5)),tbal[[#This Row],[DEUDOR]],0)</f>
        <v>0</v>
      </c>
      <c r="L1334" s="18">
        <f>IF((OR(tbal[[#This Row],[X]]=3,tbal[[#This Row],[X]]=4)),tbal[[#This Row],[ACREEDOR]],0)</f>
        <v>0</v>
      </c>
      <c r="M1334" s="16">
        <f>IF((OR(tbal[[#This Row],[X]]=0,tbal[[#This Row],[X]]=6)),tbal[[#This Row],[DEUDOR]],0)</f>
        <v>0</v>
      </c>
      <c r="N1334" s="18">
        <f>IF((OR(tbal[[#This Row],[X]]=0,tbal[[#This Row],[X]]=5)),tbal[[#This Row],[ACREEDOR]],0)</f>
        <v>0</v>
      </c>
    </row>
    <row r="1335" spans="1:14" hidden="1" x14ac:dyDescent="0.3">
      <c r="A1335" s="14">
        <f>+'PLAN DE CUENTAS'!A1335</f>
        <v>0</v>
      </c>
      <c r="B1335" s="13">
        <f>+'PLAN DE CUENTAS'!B1335</f>
        <v>0</v>
      </c>
      <c r="C1335" s="13">
        <f>+'PLAN DE CUENTAS'!C1335</f>
        <v>0</v>
      </c>
      <c r="D1335" t="str">
        <f>IF(tbal[[#This Row],[DEBE]]+tbal[[#This Row],[HABER]]=0,"","X")</f>
        <v/>
      </c>
      <c r="E1335" s="16">
        <f>SUMIF(tdiario[CUENTA],tbal[[#This Row],[CUENTA]],tdiario[DEBE])</f>
        <v>0</v>
      </c>
      <c r="F1335" s="17">
        <f>SUMIF(tdiario[CUENTA],tbal[[#This Row],[CUENTA]],tdiario[HABER])</f>
        <v>0</v>
      </c>
      <c r="G1335" s="16">
        <f>IF(tbal[[#This Row],[DEBE]]-tbal[[#This Row],[HABER]]&gt;0,tbal[[#This Row],[DEBE]]-tbal[[#This Row],[HABER]],0)</f>
        <v>0</v>
      </c>
      <c r="H1335" s="18">
        <f>IF(tbal[[#This Row],[HABER]]-tbal[[#This Row],[DEBE]]&gt;0,tbal[[#This Row],[HABER]]-tbal[[#This Row],[DEBE]],0)</f>
        <v>0</v>
      </c>
      <c r="I1335" s="16">
        <f>IF((OR(tbal[[#This Row],[X]]=1,tbal[[#This Row],[X]]=2)),tbal[[#This Row],[DEUDOR]],0)</f>
        <v>0</v>
      </c>
      <c r="J1335" s="18">
        <f>IF((OR(tbal[[#This Row],[X]]=2,tbal[[#This Row],[X]]=3)),tbal[[#This Row],[ACREEDOR]],0)</f>
        <v>0</v>
      </c>
      <c r="K1335" s="16">
        <f>IF((OR(tbal[[#This Row],[X]]=3,tbal[[#This Row],[X]]=5)),tbal[[#This Row],[DEUDOR]],0)</f>
        <v>0</v>
      </c>
      <c r="L1335" s="18">
        <f>IF((OR(tbal[[#This Row],[X]]=3,tbal[[#This Row],[X]]=4)),tbal[[#This Row],[ACREEDOR]],0)</f>
        <v>0</v>
      </c>
      <c r="M1335" s="16">
        <f>IF((OR(tbal[[#This Row],[X]]=0,tbal[[#This Row],[X]]=6)),tbal[[#This Row],[DEUDOR]],0)</f>
        <v>0</v>
      </c>
      <c r="N1335" s="18">
        <f>IF((OR(tbal[[#This Row],[X]]=0,tbal[[#This Row],[X]]=5)),tbal[[#This Row],[ACREEDOR]],0)</f>
        <v>0</v>
      </c>
    </row>
    <row r="1336" spans="1:14" hidden="1" x14ac:dyDescent="0.3">
      <c r="A1336" s="14">
        <f>+'PLAN DE CUENTAS'!A1336</f>
        <v>0</v>
      </c>
      <c r="B1336" s="13">
        <f>+'PLAN DE CUENTAS'!B1336</f>
        <v>0</v>
      </c>
      <c r="C1336" s="13">
        <f>+'PLAN DE CUENTAS'!C1336</f>
        <v>0</v>
      </c>
      <c r="D1336" t="str">
        <f>IF(tbal[[#This Row],[DEBE]]+tbal[[#This Row],[HABER]]=0,"","X")</f>
        <v/>
      </c>
      <c r="E1336" s="16">
        <f>SUMIF(tdiario[CUENTA],tbal[[#This Row],[CUENTA]],tdiario[DEBE])</f>
        <v>0</v>
      </c>
      <c r="F1336" s="17">
        <f>SUMIF(tdiario[CUENTA],tbal[[#This Row],[CUENTA]],tdiario[HABER])</f>
        <v>0</v>
      </c>
      <c r="G1336" s="16">
        <f>IF(tbal[[#This Row],[DEBE]]-tbal[[#This Row],[HABER]]&gt;0,tbal[[#This Row],[DEBE]]-tbal[[#This Row],[HABER]],0)</f>
        <v>0</v>
      </c>
      <c r="H1336" s="18">
        <f>IF(tbal[[#This Row],[HABER]]-tbal[[#This Row],[DEBE]]&gt;0,tbal[[#This Row],[HABER]]-tbal[[#This Row],[DEBE]],0)</f>
        <v>0</v>
      </c>
      <c r="I1336" s="16">
        <f>IF((OR(tbal[[#This Row],[X]]=1,tbal[[#This Row],[X]]=2)),tbal[[#This Row],[DEUDOR]],0)</f>
        <v>0</v>
      </c>
      <c r="J1336" s="18">
        <f>IF((OR(tbal[[#This Row],[X]]=2,tbal[[#This Row],[X]]=3)),tbal[[#This Row],[ACREEDOR]],0)</f>
        <v>0</v>
      </c>
      <c r="K1336" s="16">
        <f>IF((OR(tbal[[#This Row],[X]]=3,tbal[[#This Row],[X]]=5)),tbal[[#This Row],[DEUDOR]],0)</f>
        <v>0</v>
      </c>
      <c r="L1336" s="18">
        <f>IF((OR(tbal[[#This Row],[X]]=3,tbal[[#This Row],[X]]=4)),tbal[[#This Row],[ACREEDOR]],0)</f>
        <v>0</v>
      </c>
      <c r="M1336" s="16">
        <f>IF((OR(tbal[[#This Row],[X]]=0,tbal[[#This Row],[X]]=6)),tbal[[#This Row],[DEUDOR]],0)</f>
        <v>0</v>
      </c>
      <c r="N1336" s="18">
        <f>IF((OR(tbal[[#This Row],[X]]=0,tbal[[#This Row],[X]]=5)),tbal[[#This Row],[ACREEDOR]],0)</f>
        <v>0</v>
      </c>
    </row>
    <row r="1337" spans="1:14" hidden="1" x14ac:dyDescent="0.3">
      <c r="A1337" s="14">
        <f>+'PLAN DE CUENTAS'!A1337</f>
        <v>0</v>
      </c>
      <c r="B1337" s="13">
        <f>+'PLAN DE CUENTAS'!B1337</f>
        <v>0</v>
      </c>
      <c r="C1337" s="13">
        <f>+'PLAN DE CUENTAS'!C1337</f>
        <v>0</v>
      </c>
      <c r="D1337" t="str">
        <f>IF(tbal[[#This Row],[DEBE]]+tbal[[#This Row],[HABER]]=0,"","X")</f>
        <v/>
      </c>
      <c r="E1337" s="16">
        <f>SUMIF(tdiario[CUENTA],tbal[[#This Row],[CUENTA]],tdiario[DEBE])</f>
        <v>0</v>
      </c>
      <c r="F1337" s="17">
        <f>SUMIF(tdiario[CUENTA],tbal[[#This Row],[CUENTA]],tdiario[HABER])</f>
        <v>0</v>
      </c>
      <c r="G1337" s="16">
        <f>IF(tbal[[#This Row],[DEBE]]-tbal[[#This Row],[HABER]]&gt;0,tbal[[#This Row],[DEBE]]-tbal[[#This Row],[HABER]],0)</f>
        <v>0</v>
      </c>
      <c r="H1337" s="18">
        <f>IF(tbal[[#This Row],[HABER]]-tbal[[#This Row],[DEBE]]&gt;0,tbal[[#This Row],[HABER]]-tbal[[#This Row],[DEBE]],0)</f>
        <v>0</v>
      </c>
      <c r="I1337" s="16">
        <f>IF((OR(tbal[[#This Row],[X]]=1,tbal[[#This Row],[X]]=2)),tbal[[#This Row],[DEUDOR]],0)</f>
        <v>0</v>
      </c>
      <c r="J1337" s="18">
        <f>IF((OR(tbal[[#This Row],[X]]=2,tbal[[#This Row],[X]]=3)),tbal[[#This Row],[ACREEDOR]],0)</f>
        <v>0</v>
      </c>
      <c r="K1337" s="16">
        <f>IF((OR(tbal[[#This Row],[X]]=3,tbal[[#This Row],[X]]=5)),tbal[[#This Row],[DEUDOR]],0)</f>
        <v>0</v>
      </c>
      <c r="L1337" s="18">
        <f>IF((OR(tbal[[#This Row],[X]]=3,tbal[[#This Row],[X]]=4)),tbal[[#This Row],[ACREEDOR]],0)</f>
        <v>0</v>
      </c>
      <c r="M1337" s="16">
        <f>IF((OR(tbal[[#This Row],[X]]=0,tbal[[#This Row],[X]]=6)),tbal[[#This Row],[DEUDOR]],0)</f>
        <v>0</v>
      </c>
      <c r="N1337" s="18">
        <f>IF((OR(tbal[[#This Row],[X]]=0,tbal[[#This Row],[X]]=5)),tbal[[#This Row],[ACREEDOR]],0)</f>
        <v>0</v>
      </c>
    </row>
    <row r="1338" spans="1:14" hidden="1" x14ac:dyDescent="0.3">
      <c r="A1338" s="14">
        <f>+'PLAN DE CUENTAS'!A1338</f>
        <v>0</v>
      </c>
      <c r="B1338" s="13">
        <f>+'PLAN DE CUENTAS'!B1338</f>
        <v>0</v>
      </c>
      <c r="C1338" s="13">
        <f>+'PLAN DE CUENTAS'!C1338</f>
        <v>0</v>
      </c>
      <c r="D1338" t="str">
        <f>IF(tbal[[#This Row],[DEBE]]+tbal[[#This Row],[HABER]]=0,"","X")</f>
        <v/>
      </c>
      <c r="E1338" s="16">
        <f>SUMIF(tdiario[CUENTA],tbal[[#This Row],[CUENTA]],tdiario[DEBE])</f>
        <v>0</v>
      </c>
      <c r="F1338" s="17">
        <f>SUMIF(tdiario[CUENTA],tbal[[#This Row],[CUENTA]],tdiario[HABER])</f>
        <v>0</v>
      </c>
      <c r="G1338" s="16">
        <f>IF(tbal[[#This Row],[DEBE]]-tbal[[#This Row],[HABER]]&gt;0,tbal[[#This Row],[DEBE]]-tbal[[#This Row],[HABER]],0)</f>
        <v>0</v>
      </c>
      <c r="H1338" s="18">
        <f>IF(tbal[[#This Row],[HABER]]-tbal[[#This Row],[DEBE]]&gt;0,tbal[[#This Row],[HABER]]-tbal[[#This Row],[DEBE]],0)</f>
        <v>0</v>
      </c>
      <c r="I1338" s="16">
        <f>IF((OR(tbal[[#This Row],[X]]=1,tbal[[#This Row],[X]]=2)),tbal[[#This Row],[DEUDOR]],0)</f>
        <v>0</v>
      </c>
      <c r="J1338" s="18">
        <f>IF((OR(tbal[[#This Row],[X]]=2,tbal[[#This Row],[X]]=3)),tbal[[#This Row],[ACREEDOR]],0)</f>
        <v>0</v>
      </c>
      <c r="K1338" s="16">
        <f>IF((OR(tbal[[#This Row],[X]]=3,tbal[[#This Row],[X]]=5)),tbal[[#This Row],[DEUDOR]],0)</f>
        <v>0</v>
      </c>
      <c r="L1338" s="18">
        <f>IF((OR(tbal[[#This Row],[X]]=3,tbal[[#This Row],[X]]=4)),tbal[[#This Row],[ACREEDOR]],0)</f>
        <v>0</v>
      </c>
      <c r="M1338" s="16">
        <f>IF((OR(tbal[[#This Row],[X]]=0,tbal[[#This Row],[X]]=6)),tbal[[#This Row],[DEUDOR]],0)</f>
        <v>0</v>
      </c>
      <c r="N1338" s="18">
        <f>IF((OR(tbal[[#This Row],[X]]=0,tbal[[#This Row],[X]]=5)),tbal[[#This Row],[ACREEDOR]],0)</f>
        <v>0</v>
      </c>
    </row>
    <row r="1339" spans="1:14" hidden="1" x14ac:dyDescent="0.3">
      <c r="A1339" s="14">
        <f>+'PLAN DE CUENTAS'!A1339</f>
        <v>0</v>
      </c>
      <c r="B1339" s="13">
        <f>+'PLAN DE CUENTAS'!B1339</f>
        <v>0</v>
      </c>
      <c r="C1339" s="13">
        <f>+'PLAN DE CUENTAS'!C1339</f>
        <v>0</v>
      </c>
      <c r="D1339" t="str">
        <f>IF(tbal[[#This Row],[DEBE]]+tbal[[#This Row],[HABER]]=0,"","X")</f>
        <v/>
      </c>
      <c r="E1339" s="16">
        <f>SUMIF(tdiario[CUENTA],tbal[[#This Row],[CUENTA]],tdiario[DEBE])</f>
        <v>0</v>
      </c>
      <c r="F1339" s="17">
        <f>SUMIF(tdiario[CUENTA],tbal[[#This Row],[CUENTA]],tdiario[HABER])</f>
        <v>0</v>
      </c>
      <c r="G1339" s="16">
        <f>IF(tbal[[#This Row],[DEBE]]-tbal[[#This Row],[HABER]]&gt;0,tbal[[#This Row],[DEBE]]-tbal[[#This Row],[HABER]],0)</f>
        <v>0</v>
      </c>
      <c r="H1339" s="18">
        <f>IF(tbal[[#This Row],[HABER]]-tbal[[#This Row],[DEBE]]&gt;0,tbal[[#This Row],[HABER]]-tbal[[#This Row],[DEBE]],0)</f>
        <v>0</v>
      </c>
      <c r="I1339" s="16">
        <f>IF((OR(tbal[[#This Row],[X]]=1,tbal[[#This Row],[X]]=2)),tbal[[#This Row],[DEUDOR]],0)</f>
        <v>0</v>
      </c>
      <c r="J1339" s="18">
        <f>IF((OR(tbal[[#This Row],[X]]=2,tbal[[#This Row],[X]]=3)),tbal[[#This Row],[ACREEDOR]],0)</f>
        <v>0</v>
      </c>
      <c r="K1339" s="16">
        <f>IF((OR(tbal[[#This Row],[X]]=3,tbal[[#This Row],[X]]=5)),tbal[[#This Row],[DEUDOR]],0)</f>
        <v>0</v>
      </c>
      <c r="L1339" s="18">
        <f>IF((OR(tbal[[#This Row],[X]]=3,tbal[[#This Row],[X]]=4)),tbal[[#This Row],[ACREEDOR]],0)</f>
        <v>0</v>
      </c>
      <c r="M1339" s="16">
        <f>IF((OR(tbal[[#This Row],[X]]=0,tbal[[#This Row],[X]]=6)),tbal[[#This Row],[DEUDOR]],0)</f>
        <v>0</v>
      </c>
      <c r="N1339" s="18">
        <f>IF((OR(tbal[[#This Row],[X]]=0,tbal[[#This Row],[X]]=5)),tbal[[#This Row],[ACREEDOR]],0)</f>
        <v>0</v>
      </c>
    </row>
    <row r="1340" spans="1:14" hidden="1" x14ac:dyDescent="0.3">
      <c r="A1340" s="14">
        <f>+'PLAN DE CUENTAS'!A1340</f>
        <v>0</v>
      </c>
      <c r="B1340" s="13">
        <f>+'PLAN DE CUENTAS'!B1340</f>
        <v>0</v>
      </c>
      <c r="C1340" s="13">
        <f>+'PLAN DE CUENTAS'!C1340</f>
        <v>0</v>
      </c>
      <c r="D1340" t="str">
        <f>IF(tbal[[#This Row],[DEBE]]+tbal[[#This Row],[HABER]]=0,"","X")</f>
        <v/>
      </c>
      <c r="E1340" s="16">
        <f>SUMIF(tdiario[CUENTA],tbal[[#This Row],[CUENTA]],tdiario[DEBE])</f>
        <v>0</v>
      </c>
      <c r="F1340" s="17">
        <f>SUMIF(tdiario[CUENTA],tbal[[#This Row],[CUENTA]],tdiario[HABER])</f>
        <v>0</v>
      </c>
      <c r="G1340" s="16">
        <f>IF(tbal[[#This Row],[DEBE]]-tbal[[#This Row],[HABER]]&gt;0,tbal[[#This Row],[DEBE]]-tbal[[#This Row],[HABER]],0)</f>
        <v>0</v>
      </c>
      <c r="H1340" s="18">
        <f>IF(tbal[[#This Row],[HABER]]-tbal[[#This Row],[DEBE]]&gt;0,tbal[[#This Row],[HABER]]-tbal[[#This Row],[DEBE]],0)</f>
        <v>0</v>
      </c>
      <c r="I1340" s="16">
        <f>IF((OR(tbal[[#This Row],[X]]=1,tbal[[#This Row],[X]]=2)),tbal[[#This Row],[DEUDOR]],0)</f>
        <v>0</v>
      </c>
      <c r="J1340" s="18">
        <f>IF((OR(tbal[[#This Row],[X]]=2,tbal[[#This Row],[X]]=3)),tbal[[#This Row],[ACREEDOR]],0)</f>
        <v>0</v>
      </c>
      <c r="K1340" s="16">
        <f>IF((OR(tbal[[#This Row],[X]]=3,tbal[[#This Row],[X]]=5)),tbal[[#This Row],[DEUDOR]],0)</f>
        <v>0</v>
      </c>
      <c r="L1340" s="18">
        <f>IF((OR(tbal[[#This Row],[X]]=3,tbal[[#This Row],[X]]=4)),tbal[[#This Row],[ACREEDOR]],0)</f>
        <v>0</v>
      </c>
      <c r="M1340" s="16">
        <f>IF((OR(tbal[[#This Row],[X]]=0,tbal[[#This Row],[X]]=6)),tbal[[#This Row],[DEUDOR]],0)</f>
        <v>0</v>
      </c>
      <c r="N1340" s="18">
        <f>IF((OR(tbal[[#This Row],[X]]=0,tbal[[#This Row],[X]]=5)),tbal[[#This Row],[ACREEDOR]],0)</f>
        <v>0</v>
      </c>
    </row>
    <row r="1341" spans="1:14" hidden="1" x14ac:dyDescent="0.3">
      <c r="A1341" s="14">
        <f>+'PLAN DE CUENTAS'!A1341</f>
        <v>0</v>
      </c>
      <c r="B1341" s="13">
        <f>+'PLAN DE CUENTAS'!B1341</f>
        <v>0</v>
      </c>
      <c r="C1341" s="13">
        <f>+'PLAN DE CUENTAS'!C1341</f>
        <v>0</v>
      </c>
      <c r="D1341" t="str">
        <f>IF(tbal[[#This Row],[DEBE]]+tbal[[#This Row],[HABER]]=0,"","X")</f>
        <v/>
      </c>
      <c r="E1341" s="16">
        <f>SUMIF(tdiario[CUENTA],tbal[[#This Row],[CUENTA]],tdiario[DEBE])</f>
        <v>0</v>
      </c>
      <c r="F1341" s="17">
        <f>SUMIF(tdiario[CUENTA],tbal[[#This Row],[CUENTA]],tdiario[HABER])</f>
        <v>0</v>
      </c>
      <c r="G1341" s="16">
        <f>IF(tbal[[#This Row],[DEBE]]-tbal[[#This Row],[HABER]]&gt;0,tbal[[#This Row],[DEBE]]-tbal[[#This Row],[HABER]],0)</f>
        <v>0</v>
      </c>
      <c r="H1341" s="18">
        <f>IF(tbal[[#This Row],[HABER]]-tbal[[#This Row],[DEBE]]&gt;0,tbal[[#This Row],[HABER]]-tbal[[#This Row],[DEBE]],0)</f>
        <v>0</v>
      </c>
      <c r="I1341" s="16">
        <f>IF((OR(tbal[[#This Row],[X]]=1,tbal[[#This Row],[X]]=2)),tbal[[#This Row],[DEUDOR]],0)</f>
        <v>0</v>
      </c>
      <c r="J1341" s="18">
        <f>IF((OR(tbal[[#This Row],[X]]=2,tbal[[#This Row],[X]]=3)),tbal[[#This Row],[ACREEDOR]],0)</f>
        <v>0</v>
      </c>
      <c r="K1341" s="16">
        <f>IF((OR(tbal[[#This Row],[X]]=3,tbal[[#This Row],[X]]=5)),tbal[[#This Row],[DEUDOR]],0)</f>
        <v>0</v>
      </c>
      <c r="L1341" s="18">
        <f>IF((OR(tbal[[#This Row],[X]]=3,tbal[[#This Row],[X]]=4)),tbal[[#This Row],[ACREEDOR]],0)</f>
        <v>0</v>
      </c>
      <c r="M1341" s="16">
        <f>IF((OR(tbal[[#This Row],[X]]=0,tbal[[#This Row],[X]]=6)),tbal[[#This Row],[DEUDOR]],0)</f>
        <v>0</v>
      </c>
      <c r="N1341" s="18">
        <f>IF((OR(tbal[[#This Row],[X]]=0,tbal[[#This Row],[X]]=5)),tbal[[#This Row],[ACREEDOR]],0)</f>
        <v>0</v>
      </c>
    </row>
    <row r="1342" spans="1:14" hidden="1" x14ac:dyDescent="0.3">
      <c r="A1342" s="14">
        <f>+'PLAN DE CUENTAS'!A1342</f>
        <v>0</v>
      </c>
      <c r="B1342" s="13">
        <f>+'PLAN DE CUENTAS'!B1342</f>
        <v>0</v>
      </c>
      <c r="C1342" s="13">
        <f>+'PLAN DE CUENTAS'!C1342</f>
        <v>0</v>
      </c>
      <c r="D1342" t="str">
        <f>IF(tbal[[#This Row],[DEBE]]+tbal[[#This Row],[HABER]]=0,"","X")</f>
        <v/>
      </c>
      <c r="E1342" s="16">
        <f>SUMIF(tdiario[CUENTA],tbal[[#This Row],[CUENTA]],tdiario[DEBE])</f>
        <v>0</v>
      </c>
      <c r="F1342" s="17">
        <f>SUMIF(tdiario[CUENTA],tbal[[#This Row],[CUENTA]],tdiario[HABER])</f>
        <v>0</v>
      </c>
      <c r="G1342" s="16">
        <f>IF(tbal[[#This Row],[DEBE]]-tbal[[#This Row],[HABER]]&gt;0,tbal[[#This Row],[DEBE]]-tbal[[#This Row],[HABER]],0)</f>
        <v>0</v>
      </c>
      <c r="H1342" s="18">
        <f>IF(tbal[[#This Row],[HABER]]-tbal[[#This Row],[DEBE]]&gt;0,tbal[[#This Row],[HABER]]-tbal[[#This Row],[DEBE]],0)</f>
        <v>0</v>
      </c>
      <c r="I1342" s="16">
        <f>IF((OR(tbal[[#This Row],[X]]=1,tbal[[#This Row],[X]]=2)),tbal[[#This Row],[DEUDOR]],0)</f>
        <v>0</v>
      </c>
      <c r="J1342" s="18">
        <f>IF((OR(tbal[[#This Row],[X]]=2,tbal[[#This Row],[X]]=3)),tbal[[#This Row],[ACREEDOR]],0)</f>
        <v>0</v>
      </c>
      <c r="K1342" s="16">
        <f>IF((OR(tbal[[#This Row],[X]]=3,tbal[[#This Row],[X]]=5)),tbal[[#This Row],[DEUDOR]],0)</f>
        <v>0</v>
      </c>
      <c r="L1342" s="18">
        <f>IF((OR(tbal[[#This Row],[X]]=3,tbal[[#This Row],[X]]=4)),tbal[[#This Row],[ACREEDOR]],0)</f>
        <v>0</v>
      </c>
      <c r="M1342" s="16">
        <f>IF((OR(tbal[[#This Row],[X]]=0,tbal[[#This Row],[X]]=6)),tbal[[#This Row],[DEUDOR]],0)</f>
        <v>0</v>
      </c>
      <c r="N1342" s="18">
        <f>IF((OR(tbal[[#This Row],[X]]=0,tbal[[#This Row],[X]]=5)),tbal[[#This Row],[ACREEDOR]],0)</f>
        <v>0</v>
      </c>
    </row>
    <row r="1343" spans="1:14" hidden="1" x14ac:dyDescent="0.3">
      <c r="A1343" s="14">
        <f>+'PLAN DE CUENTAS'!A1343</f>
        <v>0</v>
      </c>
      <c r="B1343" s="13">
        <f>+'PLAN DE CUENTAS'!B1343</f>
        <v>0</v>
      </c>
      <c r="C1343" s="13">
        <f>+'PLAN DE CUENTAS'!C1343</f>
        <v>0</v>
      </c>
      <c r="D1343" t="str">
        <f>IF(tbal[[#This Row],[DEBE]]+tbal[[#This Row],[HABER]]=0,"","X")</f>
        <v/>
      </c>
      <c r="E1343" s="16">
        <f>SUMIF(tdiario[CUENTA],tbal[[#This Row],[CUENTA]],tdiario[DEBE])</f>
        <v>0</v>
      </c>
      <c r="F1343" s="17">
        <f>SUMIF(tdiario[CUENTA],tbal[[#This Row],[CUENTA]],tdiario[HABER])</f>
        <v>0</v>
      </c>
      <c r="G1343" s="16">
        <f>IF(tbal[[#This Row],[DEBE]]-tbal[[#This Row],[HABER]]&gt;0,tbal[[#This Row],[DEBE]]-tbal[[#This Row],[HABER]],0)</f>
        <v>0</v>
      </c>
      <c r="H1343" s="18">
        <f>IF(tbal[[#This Row],[HABER]]-tbal[[#This Row],[DEBE]]&gt;0,tbal[[#This Row],[HABER]]-tbal[[#This Row],[DEBE]],0)</f>
        <v>0</v>
      </c>
      <c r="I1343" s="16">
        <f>IF((OR(tbal[[#This Row],[X]]=1,tbal[[#This Row],[X]]=2)),tbal[[#This Row],[DEUDOR]],0)</f>
        <v>0</v>
      </c>
      <c r="J1343" s="18">
        <f>IF((OR(tbal[[#This Row],[X]]=2,tbal[[#This Row],[X]]=3)),tbal[[#This Row],[ACREEDOR]],0)</f>
        <v>0</v>
      </c>
      <c r="K1343" s="16">
        <f>IF((OR(tbal[[#This Row],[X]]=3,tbal[[#This Row],[X]]=5)),tbal[[#This Row],[DEUDOR]],0)</f>
        <v>0</v>
      </c>
      <c r="L1343" s="18">
        <f>IF((OR(tbal[[#This Row],[X]]=3,tbal[[#This Row],[X]]=4)),tbal[[#This Row],[ACREEDOR]],0)</f>
        <v>0</v>
      </c>
      <c r="M1343" s="16">
        <f>IF((OR(tbal[[#This Row],[X]]=0,tbal[[#This Row],[X]]=6)),tbal[[#This Row],[DEUDOR]],0)</f>
        <v>0</v>
      </c>
      <c r="N1343" s="18">
        <f>IF((OR(tbal[[#This Row],[X]]=0,tbal[[#This Row],[X]]=5)),tbal[[#This Row],[ACREEDOR]],0)</f>
        <v>0</v>
      </c>
    </row>
    <row r="1344" spans="1:14" hidden="1" x14ac:dyDescent="0.3">
      <c r="A1344" s="14">
        <f>+'PLAN DE CUENTAS'!A1344</f>
        <v>0</v>
      </c>
      <c r="B1344" s="13">
        <f>+'PLAN DE CUENTAS'!B1344</f>
        <v>0</v>
      </c>
      <c r="C1344" s="13">
        <f>+'PLAN DE CUENTAS'!C1344</f>
        <v>0</v>
      </c>
      <c r="D1344" t="str">
        <f>IF(tbal[[#This Row],[DEBE]]+tbal[[#This Row],[HABER]]=0,"","X")</f>
        <v/>
      </c>
      <c r="E1344" s="16">
        <f>SUMIF(tdiario[CUENTA],tbal[[#This Row],[CUENTA]],tdiario[DEBE])</f>
        <v>0</v>
      </c>
      <c r="F1344" s="17">
        <f>SUMIF(tdiario[CUENTA],tbal[[#This Row],[CUENTA]],tdiario[HABER])</f>
        <v>0</v>
      </c>
      <c r="G1344" s="16">
        <f>IF(tbal[[#This Row],[DEBE]]-tbal[[#This Row],[HABER]]&gt;0,tbal[[#This Row],[DEBE]]-tbal[[#This Row],[HABER]],0)</f>
        <v>0</v>
      </c>
      <c r="H1344" s="18">
        <f>IF(tbal[[#This Row],[HABER]]-tbal[[#This Row],[DEBE]]&gt;0,tbal[[#This Row],[HABER]]-tbal[[#This Row],[DEBE]],0)</f>
        <v>0</v>
      </c>
      <c r="I1344" s="16">
        <f>IF((OR(tbal[[#This Row],[X]]=1,tbal[[#This Row],[X]]=2)),tbal[[#This Row],[DEUDOR]],0)</f>
        <v>0</v>
      </c>
      <c r="J1344" s="18">
        <f>IF((OR(tbal[[#This Row],[X]]=2,tbal[[#This Row],[X]]=3)),tbal[[#This Row],[ACREEDOR]],0)</f>
        <v>0</v>
      </c>
      <c r="K1344" s="16">
        <f>IF((OR(tbal[[#This Row],[X]]=3,tbal[[#This Row],[X]]=5)),tbal[[#This Row],[DEUDOR]],0)</f>
        <v>0</v>
      </c>
      <c r="L1344" s="18">
        <f>IF((OR(tbal[[#This Row],[X]]=3,tbal[[#This Row],[X]]=4)),tbal[[#This Row],[ACREEDOR]],0)</f>
        <v>0</v>
      </c>
      <c r="M1344" s="16">
        <f>IF((OR(tbal[[#This Row],[X]]=0,tbal[[#This Row],[X]]=6)),tbal[[#This Row],[DEUDOR]],0)</f>
        <v>0</v>
      </c>
      <c r="N1344" s="18">
        <f>IF((OR(tbal[[#This Row],[X]]=0,tbal[[#This Row],[X]]=5)),tbal[[#This Row],[ACREEDOR]],0)</f>
        <v>0</v>
      </c>
    </row>
    <row r="1345" spans="1:14" hidden="1" x14ac:dyDescent="0.3">
      <c r="A1345" s="14">
        <f>+'PLAN DE CUENTAS'!A1345</f>
        <v>0</v>
      </c>
      <c r="B1345" s="13">
        <f>+'PLAN DE CUENTAS'!B1345</f>
        <v>0</v>
      </c>
      <c r="C1345" s="13">
        <f>+'PLAN DE CUENTAS'!C1345</f>
        <v>0</v>
      </c>
      <c r="D1345" t="str">
        <f>IF(tbal[[#This Row],[DEBE]]+tbal[[#This Row],[HABER]]=0,"","X")</f>
        <v/>
      </c>
      <c r="E1345" s="16">
        <f>SUMIF(tdiario[CUENTA],tbal[[#This Row],[CUENTA]],tdiario[DEBE])</f>
        <v>0</v>
      </c>
      <c r="F1345" s="17">
        <f>SUMIF(tdiario[CUENTA],tbal[[#This Row],[CUENTA]],tdiario[HABER])</f>
        <v>0</v>
      </c>
      <c r="G1345" s="16">
        <f>IF(tbal[[#This Row],[DEBE]]-tbal[[#This Row],[HABER]]&gt;0,tbal[[#This Row],[DEBE]]-tbal[[#This Row],[HABER]],0)</f>
        <v>0</v>
      </c>
      <c r="H1345" s="18">
        <f>IF(tbal[[#This Row],[HABER]]-tbal[[#This Row],[DEBE]]&gt;0,tbal[[#This Row],[HABER]]-tbal[[#This Row],[DEBE]],0)</f>
        <v>0</v>
      </c>
      <c r="I1345" s="16">
        <f>IF((OR(tbal[[#This Row],[X]]=1,tbal[[#This Row],[X]]=2)),tbal[[#This Row],[DEUDOR]],0)</f>
        <v>0</v>
      </c>
      <c r="J1345" s="18">
        <f>IF((OR(tbal[[#This Row],[X]]=2,tbal[[#This Row],[X]]=3)),tbal[[#This Row],[ACREEDOR]],0)</f>
        <v>0</v>
      </c>
      <c r="K1345" s="16">
        <f>IF((OR(tbal[[#This Row],[X]]=3,tbal[[#This Row],[X]]=5)),tbal[[#This Row],[DEUDOR]],0)</f>
        <v>0</v>
      </c>
      <c r="L1345" s="18">
        <f>IF((OR(tbal[[#This Row],[X]]=3,tbal[[#This Row],[X]]=4)),tbal[[#This Row],[ACREEDOR]],0)</f>
        <v>0</v>
      </c>
      <c r="M1345" s="16">
        <f>IF((OR(tbal[[#This Row],[X]]=0,tbal[[#This Row],[X]]=6)),tbal[[#This Row],[DEUDOR]],0)</f>
        <v>0</v>
      </c>
      <c r="N1345" s="18">
        <f>IF((OR(tbal[[#This Row],[X]]=0,tbal[[#This Row],[X]]=5)),tbal[[#This Row],[ACREEDOR]],0)</f>
        <v>0</v>
      </c>
    </row>
    <row r="1346" spans="1:14" hidden="1" x14ac:dyDescent="0.3">
      <c r="A1346" s="14">
        <f>+'PLAN DE CUENTAS'!A1346</f>
        <v>0</v>
      </c>
      <c r="B1346" s="13">
        <f>+'PLAN DE CUENTAS'!B1346</f>
        <v>0</v>
      </c>
      <c r="C1346" s="13">
        <f>+'PLAN DE CUENTAS'!C1346</f>
        <v>0</v>
      </c>
      <c r="D1346" t="str">
        <f>IF(tbal[[#This Row],[DEBE]]+tbal[[#This Row],[HABER]]=0,"","X")</f>
        <v/>
      </c>
      <c r="E1346" s="16">
        <f>SUMIF(tdiario[CUENTA],tbal[[#This Row],[CUENTA]],tdiario[DEBE])</f>
        <v>0</v>
      </c>
      <c r="F1346" s="17">
        <f>SUMIF(tdiario[CUENTA],tbal[[#This Row],[CUENTA]],tdiario[HABER])</f>
        <v>0</v>
      </c>
      <c r="G1346" s="16">
        <f>IF(tbal[[#This Row],[DEBE]]-tbal[[#This Row],[HABER]]&gt;0,tbal[[#This Row],[DEBE]]-tbal[[#This Row],[HABER]],0)</f>
        <v>0</v>
      </c>
      <c r="H1346" s="18">
        <f>IF(tbal[[#This Row],[HABER]]-tbal[[#This Row],[DEBE]]&gt;0,tbal[[#This Row],[HABER]]-tbal[[#This Row],[DEBE]],0)</f>
        <v>0</v>
      </c>
      <c r="I1346" s="16">
        <f>IF((OR(tbal[[#This Row],[X]]=1,tbal[[#This Row],[X]]=2)),tbal[[#This Row],[DEUDOR]],0)</f>
        <v>0</v>
      </c>
      <c r="J1346" s="18">
        <f>IF((OR(tbal[[#This Row],[X]]=2,tbal[[#This Row],[X]]=3)),tbal[[#This Row],[ACREEDOR]],0)</f>
        <v>0</v>
      </c>
      <c r="K1346" s="16">
        <f>IF((OR(tbal[[#This Row],[X]]=3,tbal[[#This Row],[X]]=5)),tbal[[#This Row],[DEUDOR]],0)</f>
        <v>0</v>
      </c>
      <c r="L1346" s="18">
        <f>IF((OR(tbal[[#This Row],[X]]=3,tbal[[#This Row],[X]]=4)),tbal[[#This Row],[ACREEDOR]],0)</f>
        <v>0</v>
      </c>
      <c r="M1346" s="16">
        <f>IF((OR(tbal[[#This Row],[X]]=0,tbal[[#This Row],[X]]=6)),tbal[[#This Row],[DEUDOR]],0)</f>
        <v>0</v>
      </c>
      <c r="N1346" s="18">
        <f>IF((OR(tbal[[#This Row],[X]]=0,tbal[[#This Row],[X]]=5)),tbal[[#This Row],[ACREEDOR]],0)</f>
        <v>0</v>
      </c>
    </row>
    <row r="1347" spans="1:14" hidden="1" x14ac:dyDescent="0.3">
      <c r="A1347" s="14">
        <f>+'PLAN DE CUENTAS'!A1347</f>
        <v>0</v>
      </c>
      <c r="B1347" s="13">
        <f>+'PLAN DE CUENTAS'!B1347</f>
        <v>0</v>
      </c>
      <c r="C1347" s="13">
        <f>+'PLAN DE CUENTAS'!C1347</f>
        <v>0</v>
      </c>
      <c r="D1347" t="str">
        <f>IF(tbal[[#This Row],[DEBE]]+tbal[[#This Row],[HABER]]=0,"","X")</f>
        <v/>
      </c>
      <c r="E1347" s="16">
        <f>SUMIF(tdiario[CUENTA],tbal[[#This Row],[CUENTA]],tdiario[DEBE])</f>
        <v>0</v>
      </c>
      <c r="F1347" s="17">
        <f>SUMIF(tdiario[CUENTA],tbal[[#This Row],[CUENTA]],tdiario[HABER])</f>
        <v>0</v>
      </c>
      <c r="G1347" s="16">
        <f>IF(tbal[[#This Row],[DEBE]]-tbal[[#This Row],[HABER]]&gt;0,tbal[[#This Row],[DEBE]]-tbal[[#This Row],[HABER]],0)</f>
        <v>0</v>
      </c>
      <c r="H1347" s="18">
        <f>IF(tbal[[#This Row],[HABER]]-tbal[[#This Row],[DEBE]]&gt;0,tbal[[#This Row],[HABER]]-tbal[[#This Row],[DEBE]],0)</f>
        <v>0</v>
      </c>
      <c r="I1347" s="16">
        <f>IF((OR(tbal[[#This Row],[X]]=1,tbal[[#This Row],[X]]=2)),tbal[[#This Row],[DEUDOR]],0)</f>
        <v>0</v>
      </c>
      <c r="J1347" s="18">
        <f>IF((OR(tbal[[#This Row],[X]]=2,tbal[[#This Row],[X]]=3)),tbal[[#This Row],[ACREEDOR]],0)</f>
        <v>0</v>
      </c>
      <c r="K1347" s="16">
        <f>IF((OR(tbal[[#This Row],[X]]=3,tbal[[#This Row],[X]]=5)),tbal[[#This Row],[DEUDOR]],0)</f>
        <v>0</v>
      </c>
      <c r="L1347" s="18">
        <f>IF((OR(tbal[[#This Row],[X]]=3,tbal[[#This Row],[X]]=4)),tbal[[#This Row],[ACREEDOR]],0)</f>
        <v>0</v>
      </c>
      <c r="M1347" s="16">
        <f>IF((OR(tbal[[#This Row],[X]]=0,tbal[[#This Row],[X]]=6)),tbal[[#This Row],[DEUDOR]],0)</f>
        <v>0</v>
      </c>
      <c r="N1347" s="18">
        <f>IF((OR(tbal[[#This Row],[X]]=0,tbal[[#This Row],[X]]=5)),tbal[[#This Row],[ACREEDOR]],0)</f>
        <v>0</v>
      </c>
    </row>
    <row r="1348" spans="1:14" hidden="1" x14ac:dyDescent="0.3">
      <c r="A1348" s="14">
        <f>+'PLAN DE CUENTAS'!A1348</f>
        <v>0</v>
      </c>
      <c r="B1348" s="13">
        <f>+'PLAN DE CUENTAS'!B1348</f>
        <v>0</v>
      </c>
      <c r="C1348" s="13">
        <f>+'PLAN DE CUENTAS'!C1348</f>
        <v>0</v>
      </c>
      <c r="D1348" t="str">
        <f>IF(tbal[[#This Row],[DEBE]]+tbal[[#This Row],[HABER]]=0,"","X")</f>
        <v/>
      </c>
      <c r="E1348" s="16">
        <f>SUMIF(tdiario[CUENTA],tbal[[#This Row],[CUENTA]],tdiario[DEBE])</f>
        <v>0</v>
      </c>
      <c r="F1348" s="17">
        <f>SUMIF(tdiario[CUENTA],tbal[[#This Row],[CUENTA]],tdiario[HABER])</f>
        <v>0</v>
      </c>
      <c r="G1348" s="16">
        <f>IF(tbal[[#This Row],[DEBE]]-tbal[[#This Row],[HABER]]&gt;0,tbal[[#This Row],[DEBE]]-tbal[[#This Row],[HABER]],0)</f>
        <v>0</v>
      </c>
      <c r="H1348" s="18">
        <f>IF(tbal[[#This Row],[HABER]]-tbal[[#This Row],[DEBE]]&gt;0,tbal[[#This Row],[HABER]]-tbal[[#This Row],[DEBE]],0)</f>
        <v>0</v>
      </c>
      <c r="I1348" s="16">
        <f>IF((OR(tbal[[#This Row],[X]]=1,tbal[[#This Row],[X]]=2)),tbal[[#This Row],[DEUDOR]],0)</f>
        <v>0</v>
      </c>
      <c r="J1348" s="18">
        <f>IF((OR(tbal[[#This Row],[X]]=2,tbal[[#This Row],[X]]=3)),tbal[[#This Row],[ACREEDOR]],0)</f>
        <v>0</v>
      </c>
      <c r="K1348" s="16">
        <f>IF((OR(tbal[[#This Row],[X]]=3,tbal[[#This Row],[X]]=5)),tbal[[#This Row],[DEUDOR]],0)</f>
        <v>0</v>
      </c>
      <c r="L1348" s="18">
        <f>IF((OR(tbal[[#This Row],[X]]=3,tbal[[#This Row],[X]]=4)),tbal[[#This Row],[ACREEDOR]],0)</f>
        <v>0</v>
      </c>
      <c r="M1348" s="16">
        <f>IF((OR(tbal[[#This Row],[X]]=0,tbal[[#This Row],[X]]=6)),tbal[[#This Row],[DEUDOR]],0)</f>
        <v>0</v>
      </c>
      <c r="N1348" s="18">
        <f>IF((OR(tbal[[#This Row],[X]]=0,tbal[[#This Row],[X]]=5)),tbal[[#This Row],[ACREEDOR]],0)</f>
        <v>0</v>
      </c>
    </row>
    <row r="1349" spans="1:14" hidden="1" x14ac:dyDescent="0.3">
      <c r="A1349" s="14">
        <f>+'PLAN DE CUENTAS'!A1349</f>
        <v>0</v>
      </c>
      <c r="B1349" s="13">
        <f>+'PLAN DE CUENTAS'!B1349</f>
        <v>0</v>
      </c>
      <c r="C1349" s="13">
        <f>+'PLAN DE CUENTAS'!C1349</f>
        <v>0</v>
      </c>
      <c r="D1349" t="str">
        <f>IF(tbal[[#This Row],[DEBE]]+tbal[[#This Row],[HABER]]=0,"","X")</f>
        <v/>
      </c>
      <c r="E1349" s="16">
        <f>SUMIF(tdiario[CUENTA],tbal[[#This Row],[CUENTA]],tdiario[DEBE])</f>
        <v>0</v>
      </c>
      <c r="F1349" s="17">
        <f>SUMIF(tdiario[CUENTA],tbal[[#This Row],[CUENTA]],tdiario[HABER])</f>
        <v>0</v>
      </c>
      <c r="G1349" s="16">
        <f>IF(tbal[[#This Row],[DEBE]]-tbal[[#This Row],[HABER]]&gt;0,tbal[[#This Row],[DEBE]]-tbal[[#This Row],[HABER]],0)</f>
        <v>0</v>
      </c>
      <c r="H1349" s="18">
        <f>IF(tbal[[#This Row],[HABER]]-tbal[[#This Row],[DEBE]]&gt;0,tbal[[#This Row],[HABER]]-tbal[[#This Row],[DEBE]],0)</f>
        <v>0</v>
      </c>
      <c r="I1349" s="16">
        <f>IF((OR(tbal[[#This Row],[X]]=1,tbal[[#This Row],[X]]=2)),tbal[[#This Row],[DEUDOR]],0)</f>
        <v>0</v>
      </c>
      <c r="J1349" s="18">
        <f>IF((OR(tbal[[#This Row],[X]]=2,tbal[[#This Row],[X]]=3)),tbal[[#This Row],[ACREEDOR]],0)</f>
        <v>0</v>
      </c>
      <c r="K1349" s="16">
        <f>IF((OR(tbal[[#This Row],[X]]=3,tbal[[#This Row],[X]]=5)),tbal[[#This Row],[DEUDOR]],0)</f>
        <v>0</v>
      </c>
      <c r="L1349" s="18">
        <f>IF((OR(tbal[[#This Row],[X]]=3,tbal[[#This Row],[X]]=4)),tbal[[#This Row],[ACREEDOR]],0)</f>
        <v>0</v>
      </c>
      <c r="M1349" s="16">
        <f>IF((OR(tbal[[#This Row],[X]]=0,tbal[[#This Row],[X]]=6)),tbal[[#This Row],[DEUDOR]],0)</f>
        <v>0</v>
      </c>
      <c r="N1349" s="18">
        <f>IF((OR(tbal[[#This Row],[X]]=0,tbal[[#This Row],[X]]=5)),tbal[[#This Row],[ACREEDOR]],0)</f>
        <v>0</v>
      </c>
    </row>
    <row r="1350" spans="1:14" hidden="1" x14ac:dyDescent="0.3">
      <c r="A1350" s="14">
        <f>+'PLAN DE CUENTAS'!A1350</f>
        <v>0</v>
      </c>
      <c r="B1350" s="13">
        <f>+'PLAN DE CUENTAS'!B1350</f>
        <v>0</v>
      </c>
      <c r="C1350" s="13">
        <f>+'PLAN DE CUENTAS'!C1350</f>
        <v>0</v>
      </c>
      <c r="D1350" t="str">
        <f>IF(tbal[[#This Row],[DEBE]]+tbal[[#This Row],[HABER]]=0,"","X")</f>
        <v/>
      </c>
      <c r="E1350" s="16">
        <f>SUMIF(tdiario[CUENTA],tbal[[#This Row],[CUENTA]],tdiario[DEBE])</f>
        <v>0</v>
      </c>
      <c r="F1350" s="17">
        <f>SUMIF(tdiario[CUENTA],tbal[[#This Row],[CUENTA]],tdiario[HABER])</f>
        <v>0</v>
      </c>
      <c r="G1350" s="16">
        <f>IF(tbal[[#This Row],[DEBE]]-tbal[[#This Row],[HABER]]&gt;0,tbal[[#This Row],[DEBE]]-tbal[[#This Row],[HABER]],0)</f>
        <v>0</v>
      </c>
      <c r="H1350" s="18">
        <f>IF(tbal[[#This Row],[HABER]]-tbal[[#This Row],[DEBE]]&gt;0,tbal[[#This Row],[HABER]]-tbal[[#This Row],[DEBE]],0)</f>
        <v>0</v>
      </c>
      <c r="I1350" s="16">
        <f>IF((OR(tbal[[#This Row],[X]]=1,tbal[[#This Row],[X]]=2)),tbal[[#This Row],[DEUDOR]],0)</f>
        <v>0</v>
      </c>
      <c r="J1350" s="18">
        <f>IF((OR(tbal[[#This Row],[X]]=2,tbal[[#This Row],[X]]=3)),tbal[[#This Row],[ACREEDOR]],0)</f>
        <v>0</v>
      </c>
      <c r="K1350" s="16">
        <f>IF((OR(tbal[[#This Row],[X]]=3,tbal[[#This Row],[X]]=5)),tbal[[#This Row],[DEUDOR]],0)</f>
        <v>0</v>
      </c>
      <c r="L1350" s="18">
        <f>IF((OR(tbal[[#This Row],[X]]=3,tbal[[#This Row],[X]]=4)),tbal[[#This Row],[ACREEDOR]],0)</f>
        <v>0</v>
      </c>
      <c r="M1350" s="16">
        <f>IF((OR(tbal[[#This Row],[X]]=0,tbal[[#This Row],[X]]=6)),tbal[[#This Row],[DEUDOR]],0)</f>
        <v>0</v>
      </c>
      <c r="N1350" s="18">
        <f>IF((OR(tbal[[#This Row],[X]]=0,tbal[[#This Row],[X]]=5)),tbal[[#This Row],[ACREEDOR]],0)</f>
        <v>0</v>
      </c>
    </row>
    <row r="1351" spans="1:14" hidden="1" x14ac:dyDescent="0.3">
      <c r="A1351" s="14">
        <f>+'PLAN DE CUENTAS'!A1351</f>
        <v>0</v>
      </c>
      <c r="B1351" s="13">
        <f>+'PLAN DE CUENTAS'!B1351</f>
        <v>0</v>
      </c>
      <c r="C1351" s="13">
        <f>+'PLAN DE CUENTAS'!C1351</f>
        <v>0</v>
      </c>
      <c r="D1351" t="str">
        <f>IF(tbal[[#This Row],[DEBE]]+tbal[[#This Row],[HABER]]=0,"","X")</f>
        <v/>
      </c>
      <c r="E1351" s="16">
        <f>SUMIF(tdiario[CUENTA],tbal[[#This Row],[CUENTA]],tdiario[DEBE])</f>
        <v>0</v>
      </c>
      <c r="F1351" s="17">
        <f>SUMIF(tdiario[CUENTA],tbal[[#This Row],[CUENTA]],tdiario[HABER])</f>
        <v>0</v>
      </c>
      <c r="G1351" s="16">
        <f>IF(tbal[[#This Row],[DEBE]]-tbal[[#This Row],[HABER]]&gt;0,tbal[[#This Row],[DEBE]]-tbal[[#This Row],[HABER]],0)</f>
        <v>0</v>
      </c>
      <c r="H1351" s="18">
        <f>IF(tbal[[#This Row],[HABER]]-tbal[[#This Row],[DEBE]]&gt;0,tbal[[#This Row],[HABER]]-tbal[[#This Row],[DEBE]],0)</f>
        <v>0</v>
      </c>
      <c r="I1351" s="16">
        <f>IF((OR(tbal[[#This Row],[X]]=1,tbal[[#This Row],[X]]=2)),tbal[[#This Row],[DEUDOR]],0)</f>
        <v>0</v>
      </c>
      <c r="J1351" s="18">
        <f>IF((OR(tbal[[#This Row],[X]]=2,tbal[[#This Row],[X]]=3)),tbal[[#This Row],[ACREEDOR]],0)</f>
        <v>0</v>
      </c>
      <c r="K1351" s="16">
        <f>IF((OR(tbal[[#This Row],[X]]=3,tbal[[#This Row],[X]]=5)),tbal[[#This Row],[DEUDOR]],0)</f>
        <v>0</v>
      </c>
      <c r="L1351" s="18">
        <f>IF((OR(tbal[[#This Row],[X]]=3,tbal[[#This Row],[X]]=4)),tbal[[#This Row],[ACREEDOR]],0)</f>
        <v>0</v>
      </c>
      <c r="M1351" s="16">
        <f>IF((OR(tbal[[#This Row],[X]]=0,tbal[[#This Row],[X]]=6)),tbal[[#This Row],[DEUDOR]],0)</f>
        <v>0</v>
      </c>
      <c r="N1351" s="18">
        <f>IF((OR(tbal[[#This Row],[X]]=0,tbal[[#This Row],[X]]=5)),tbal[[#This Row],[ACREEDOR]],0)</f>
        <v>0</v>
      </c>
    </row>
    <row r="1352" spans="1:14" hidden="1" x14ac:dyDescent="0.3">
      <c r="A1352" s="14">
        <f>+'PLAN DE CUENTAS'!A1352</f>
        <v>0</v>
      </c>
      <c r="B1352" s="13">
        <f>+'PLAN DE CUENTAS'!B1352</f>
        <v>0</v>
      </c>
      <c r="C1352" s="13">
        <f>+'PLAN DE CUENTAS'!C1352</f>
        <v>0</v>
      </c>
      <c r="D1352" t="str">
        <f>IF(tbal[[#This Row],[DEBE]]+tbal[[#This Row],[HABER]]=0,"","X")</f>
        <v/>
      </c>
      <c r="E1352" s="16">
        <f>SUMIF(tdiario[CUENTA],tbal[[#This Row],[CUENTA]],tdiario[DEBE])</f>
        <v>0</v>
      </c>
      <c r="F1352" s="17">
        <f>SUMIF(tdiario[CUENTA],tbal[[#This Row],[CUENTA]],tdiario[HABER])</f>
        <v>0</v>
      </c>
      <c r="G1352" s="16">
        <f>IF(tbal[[#This Row],[DEBE]]-tbal[[#This Row],[HABER]]&gt;0,tbal[[#This Row],[DEBE]]-tbal[[#This Row],[HABER]],0)</f>
        <v>0</v>
      </c>
      <c r="H1352" s="18">
        <f>IF(tbal[[#This Row],[HABER]]-tbal[[#This Row],[DEBE]]&gt;0,tbal[[#This Row],[HABER]]-tbal[[#This Row],[DEBE]],0)</f>
        <v>0</v>
      </c>
      <c r="I1352" s="16">
        <f>IF((OR(tbal[[#This Row],[X]]=1,tbal[[#This Row],[X]]=2)),tbal[[#This Row],[DEUDOR]],0)</f>
        <v>0</v>
      </c>
      <c r="J1352" s="18">
        <f>IF((OR(tbal[[#This Row],[X]]=2,tbal[[#This Row],[X]]=3)),tbal[[#This Row],[ACREEDOR]],0)</f>
        <v>0</v>
      </c>
      <c r="K1352" s="16">
        <f>IF((OR(tbal[[#This Row],[X]]=3,tbal[[#This Row],[X]]=5)),tbal[[#This Row],[DEUDOR]],0)</f>
        <v>0</v>
      </c>
      <c r="L1352" s="18">
        <f>IF((OR(tbal[[#This Row],[X]]=3,tbal[[#This Row],[X]]=4)),tbal[[#This Row],[ACREEDOR]],0)</f>
        <v>0</v>
      </c>
      <c r="M1352" s="16">
        <f>IF((OR(tbal[[#This Row],[X]]=0,tbal[[#This Row],[X]]=6)),tbal[[#This Row],[DEUDOR]],0)</f>
        <v>0</v>
      </c>
      <c r="N1352" s="18">
        <f>IF((OR(tbal[[#This Row],[X]]=0,tbal[[#This Row],[X]]=5)),tbal[[#This Row],[ACREEDOR]],0)</f>
        <v>0</v>
      </c>
    </row>
    <row r="1353" spans="1:14" hidden="1" x14ac:dyDescent="0.3">
      <c r="A1353" s="14">
        <f>+'PLAN DE CUENTAS'!A1353</f>
        <v>0</v>
      </c>
      <c r="B1353" s="13">
        <f>+'PLAN DE CUENTAS'!B1353</f>
        <v>0</v>
      </c>
      <c r="C1353" s="13">
        <f>+'PLAN DE CUENTAS'!C1353</f>
        <v>0</v>
      </c>
      <c r="D1353" t="str">
        <f>IF(tbal[[#This Row],[DEBE]]+tbal[[#This Row],[HABER]]=0,"","X")</f>
        <v/>
      </c>
      <c r="E1353" s="16">
        <f>SUMIF(tdiario[CUENTA],tbal[[#This Row],[CUENTA]],tdiario[DEBE])</f>
        <v>0</v>
      </c>
      <c r="F1353" s="17">
        <f>SUMIF(tdiario[CUENTA],tbal[[#This Row],[CUENTA]],tdiario[HABER])</f>
        <v>0</v>
      </c>
      <c r="G1353" s="16">
        <f>IF(tbal[[#This Row],[DEBE]]-tbal[[#This Row],[HABER]]&gt;0,tbal[[#This Row],[DEBE]]-tbal[[#This Row],[HABER]],0)</f>
        <v>0</v>
      </c>
      <c r="H1353" s="18">
        <f>IF(tbal[[#This Row],[HABER]]-tbal[[#This Row],[DEBE]]&gt;0,tbal[[#This Row],[HABER]]-tbal[[#This Row],[DEBE]],0)</f>
        <v>0</v>
      </c>
      <c r="I1353" s="16">
        <f>IF((OR(tbal[[#This Row],[X]]=1,tbal[[#This Row],[X]]=2)),tbal[[#This Row],[DEUDOR]],0)</f>
        <v>0</v>
      </c>
      <c r="J1353" s="18">
        <f>IF((OR(tbal[[#This Row],[X]]=2,tbal[[#This Row],[X]]=3)),tbal[[#This Row],[ACREEDOR]],0)</f>
        <v>0</v>
      </c>
      <c r="K1353" s="16">
        <f>IF((OR(tbal[[#This Row],[X]]=3,tbal[[#This Row],[X]]=5)),tbal[[#This Row],[DEUDOR]],0)</f>
        <v>0</v>
      </c>
      <c r="L1353" s="18">
        <f>IF((OR(tbal[[#This Row],[X]]=3,tbal[[#This Row],[X]]=4)),tbal[[#This Row],[ACREEDOR]],0)</f>
        <v>0</v>
      </c>
      <c r="M1353" s="16">
        <f>IF((OR(tbal[[#This Row],[X]]=0,tbal[[#This Row],[X]]=6)),tbal[[#This Row],[DEUDOR]],0)</f>
        <v>0</v>
      </c>
      <c r="N1353" s="18">
        <f>IF((OR(tbal[[#This Row],[X]]=0,tbal[[#This Row],[X]]=5)),tbal[[#This Row],[ACREEDOR]],0)</f>
        <v>0</v>
      </c>
    </row>
    <row r="1354" spans="1:14" hidden="1" x14ac:dyDescent="0.3">
      <c r="A1354" s="14">
        <f>+'PLAN DE CUENTAS'!A1354</f>
        <v>0</v>
      </c>
      <c r="B1354" s="13">
        <f>+'PLAN DE CUENTAS'!B1354</f>
        <v>0</v>
      </c>
      <c r="C1354" s="13">
        <f>+'PLAN DE CUENTAS'!C1354</f>
        <v>0</v>
      </c>
      <c r="D1354" t="str">
        <f>IF(tbal[[#This Row],[DEBE]]+tbal[[#This Row],[HABER]]=0,"","X")</f>
        <v/>
      </c>
      <c r="E1354" s="16">
        <f>SUMIF(tdiario[CUENTA],tbal[[#This Row],[CUENTA]],tdiario[DEBE])</f>
        <v>0</v>
      </c>
      <c r="F1354" s="17">
        <f>SUMIF(tdiario[CUENTA],tbal[[#This Row],[CUENTA]],tdiario[HABER])</f>
        <v>0</v>
      </c>
      <c r="G1354" s="16">
        <f>IF(tbal[[#This Row],[DEBE]]-tbal[[#This Row],[HABER]]&gt;0,tbal[[#This Row],[DEBE]]-tbal[[#This Row],[HABER]],0)</f>
        <v>0</v>
      </c>
      <c r="H1354" s="18">
        <f>IF(tbal[[#This Row],[HABER]]-tbal[[#This Row],[DEBE]]&gt;0,tbal[[#This Row],[HABER]]-tbal[[#This Row],[DEBE]],0)</f>
        <v>0</v>
      </c>
      <c r="I1354" s="16">
        <f>IF((OR(tbal[[#This Row],[X]]=1,tbal[[#This Row],[X]]=2)),tbal[[#This Row],[DEUDOR]],0)</f>
        <v>0</v>
      </c>
      <c r="J1354" s="18">
        <f>IF((OR(tbal[[#This Row],[X]]=2,tbal[[#This Row],[X]]=3)),tbal[[#This Row],[ACREEDOR]],0)</f>
        <v>0</v>
      </c>
      <c r="K1354" s="16">
        <f>IF((OR(tbal[[#This Row],[X]]=3,tbal[[#This Row],[X]]=5)),tbal[[#This Row],[DEUDOR]],0)</f>
        <v>0</v>
      </c>
      <c r="L1354" s="18">
        <f>IF((OR(tbal[[#This Row],[X]]=3,tbal[[#This Row],[X]]=4)),tbal[[#This Row],[ACREEDOR]],0)</f>
        <v>0</v>
      </c>
      <c r="M1354" s="16">
        <f>IF((OR(tbal[[#This Row],[X]]=0,tbal[[#This Row],[X]]=6)),tbal[[#This Row],[DEUDOR]],0)</f>
        <v>0</v>
      </c>
      <c r="N1354" s="18">
        <f>IF((OR(tbal[[#This Row],[X]]=0,tbal[[#This Row],[X]]=5)),tbal[[#This Row],[ACREEDOR]],0)</f>
        <v>0</v>
      </c>
    </row>
    <row r="1355" spans="1:14" hidden="1" x14ac:dyDescent="0.3">
      <c r="A1355" s="14">
        <f>+'PLAN DE CUENTAS'!A1355</f>
        <v>0</v>
      </c>
      <c r="B1355" s="13">
        <f>+'PLAN DE CUENTAS'!B1355</f>
        <v>0</v>
      </c>
      <c r="C1355" s="13">
        <f>+'PLAN DE CUENTAS'!C1355</f>
        <v>0</v>
      </c>
      <c r="D1355" t="str">
        <f>IF(tbal[[#This Row],[DEBE]]+tbal[[#This Row],[HABER]]=0,"","X")</f>
        <v/>
      </c>
      <c r="E1355" s="16">
        <f>SUMIF(tdiario[CUENTA],tbal[[#This Row],[CUENTA]],tdiario[DEBE])</f>
        <v>0</v>
      </c>
      <c r="F1355" s="17">
        <f>SUMIF(tdiario[CUENTA],tbal[[#This Row],[CUENTA]],tdiario[HABER])</f>
        <v>0</v>
      </c>
      <c r="G1355" s="16">
        <f>IF(tbal[[#This Row],[DEBE]]-tbal[[#This Row],[HABER]]&gt;0,tbal[[#This Row],[DEBE]]-tbal[[#This Row],[HABER]],0)</f>
        <v>0</v>
      </c>
      <c r="H1355" s="18">
        <f>IF(tbal[[#This Row],[HABER]]-tbal[[#This Row],[DEBE]]&gt;0,tbal[[#This Row],[HABER]]-tbal[[#This Row],[DEBE]],0)</f>
        <v>0</v>
      </c>
      <c r="I1355" s="16">
        <f>IF((OR(tbal[[#This Row],[X]]=1,tbal[[#This Row],[X]]=2)),tbal[[#This Row],[DEUDOR]],0)</f>
        <v>0</v>
      </c>
      <c r="J1355" s="18">
        <f>IF((OR(tbal[[#This Row],[X]]=2,tbal[[#This Row],[X]]=3)),tbal[[#This Row],[ACREEDOR]],0)</f>
        <v>0</v>
      </c>
      <c r="K1355" s="16">
        <f>IF((OR(tbal[[#This Row],[X]]=3,tbal[[#This Row],[X]]=5)),tbal[[#This Row],[DEUDOR]],0)</f>
        <v>0</v>
      </c>
      <c r="L1355" s="18">
        <f>IF((OR(tbal[[#This Row],[X]]=3,tbal[[#This Row],[X]]=4)),tbal[[#This Row],[ACREEDOR]],0)</f>
        <v>0</v>
      </c>
      <c r="M1355" s="16">
        <f>IF((OR(tbal[[#This Row],[X]]=0,tbal[[#This Row],[X]]=6)),tbal[[#This Row],[DEUDOR]],0)</f>
        <v>0</v>
      </c>
      <c r="N1355" s="18">
        <f>IF((OR(tbal[[#This Row],[X]]=0,tbal[[#This Row],[X]]=5)),tbal[[#This Row],[ACREEDOR]],0)</f>
        <v>0</v>
      </c>
    </row>
    <row r="1356" spans="1:14" hidden="1" x14ac:dyDescent="0.3">
      <c r="A1356" s="14">
        <f>+'PLAN DE CUENTAS'!A1356</f>
        <v>0</v>
      </c>
      <c r="B1356" s="13">
        <f>+'PLAN DE CUENTAS'!B1356</f>
        <v>0</v>
      </c>
      <c r="C1356" s="13">
        <f>+'PLAN DE CUENTAS'!C1356</f>
        <v>0</v>
      </c>
      <c r="D1356" t="str">
        <f>IF(tbal[[#This Row],[DEBE]]+tbal[[#This Row],[HABER]]=0,"","X")</f>
        <v/>
      </c>
      <c r="E1356" s="16">
        <f>SUMIF(tdiario[CUENTA],tbal[[#This Row],[CUENTA]],tdiario[DEBE])</f>
        <v>0</v>
      </c>
      <c r="F1356" s="17">
        <f>SUMIF(tdiario[CUENTA],tbal[[#This Row],[CUENTA]],tdiario[HABER])</f>
        <v>0</v>
      </c>
      <c r="G1356" s="16">
        <f>IF(tbal[[#This Row],[DEBE]]-tbal[[#This Row],[HABER]]&gt;0,tbal[[#This Row],[DEBE]]-tbal[[#This Row],[HABER]],0)</f>
        <v>0</v>
      </c>
      <c r="H1356" s="18">
        <f>IF(tbal[[#This Row],[HABER]]-tbal[[#This Row],[DEBE]]&gt;0,tbal[[#This Row],[HABER]]-tbal[[#This Row],[DEBE]],0)</f>
        <v>0</v>
      </c>
      <c r="I1356" s="16">
        <f>IF((OR(tbal[[#This Row],[X]]=1,tbal[[#This Row],[X]]=2)),tbal[[#This Row],[DEUDOR]],0)</f>
        <v>0</v>
      </c>
      <c r="J1356" s="18">
        <f>IF((OR(tbal[[#This Row],[X]]=2,tbal[[#This Row],[X]]=3)),tbal[[#This Row],[ACREEDOR]],0)</f>
        <v>0</v>
      </c>
      <c r="K1356" s="16">
        <f>IF((OR(tbal[[#This Row],[X]]=3,tbal[[#This Row],[X]]=5)),tbal[[#This Row],[DEUDOR]],0)</f>
        <v>0</v>
      </c>
      <c r="L1356" s="18">
        <f>IF((OR(tbal[[#This Row],[X]]=3,tbal[[#This Row],[X]]=4)),tbal[[#This Row],[ACREEDOR]],0)</f>
        <v>0</v>
      </c>
      <c r="M1356" s="16">
        <f>IF((OR(tbal[[#This Row],[X]]=0,tbal[[#This Row],[X]]=6)),tbal[[#This Row],[DEUDOR]],0)</f>
        <v>0</v>
      </c>
      <c r="N1356" s="18">
        <f>IF((OR(tbal[[#This Row],[X]]=0,tbal[[#This Row],[X]]=5)),tbal[[#This Row],[ACREEDOR]],0)</f>
        <v>0</v>
      </c>
    </row>
    <row r="1357" spans="1:14" hidden="1" x14ac:dyDescent="0.3">
      <c r="A1357" s="14">
        <f>+'PLAN DE CUENTAS'!A1357</f>
        <v>0</v>
      </c>
      <c r="B1357" s="13">
        <f>+'PLAN DE CUENTAS'!B1357</f>
        <v>0</v>
      </c>
      <c r="C1357" s="13">
        <f>+'PLAN DE CUENTAS'!C1357</f>
        <v>0</v>
      </c>
      <c r="D1357" t="str">
        <f>IF(tbal[[#This Row],[DEBE]]+tbal[[#This Row],[HABER]]=0,"","X")</f>
        <v/>
      </c>
      <c r="E1357" s="16">
        <f>SUMIF(tdiario[CUENTA],tbal[[#This Row],[CUENTA]],tdiario[DEBE])</f>
        <v>0</v>
      </c>
      <c r="F1357" s="17">
        <f>SUMIF(tdiario[CUENTA],tbal[[#This Row],[CUENTA]],tdiario[HABER])</f>
        <v>0</v>
      </c>
      <c r="G1357" s="16">
        <f>IF(tbal[[#This Row],[DEBE]]-tbal[[#This Row],[HABER]]&gt;0,tbal[[#This Row],[DEBE]]-tbal[[#This Row],[HABER]],0)</f>
        <v>0</v>
      </c>
      <c r="H1357" s="18">
        <f>IF(tbal[[#This Row],[HABER]]-tbal[[#This Row],[DEBE]]&gt;0,tbal[[#This Row],[HABER]]-tbal[[#This Row],[DEBE]],0)</f>
        <v>0</v>
      </c>
      <c r="I1357" s="16">
        <f>IF((OR(tbal[[#This Row],[X]]=1,tbal[[#This Row],[X]]=2)),tbal[[#This Row],[DEUDOR]],0)</f>
        <v>0</v>
      </c>
      <c r="J1357" s="18">
        <f>IF((OR(tbal[[#This Row],[X]]=2,tbal[[#This Row],[X]]=3)),tbal[[#This Row],[ACREEDOR]],0)</f>
        <v>0</v>
      </c>
      <c r="K1357" s="16">
        <f>IF((OR(tbal[[#This Row],[X]]=3,tbal[[#This Row],[X]]=5)),tbal[[#This Row],[DEUDOR]],0)</f>
        <v>0</v>
      </c>
      <c r="L1357" s="18">
        <f>IF((OR(tbal[[#This Row],[X]]=3,tbal[[#This Row],[X]]=4)),tbal[[#This Row],[ACREEDOR]],0)</f>
        <v>0</v>
      </c>
      <c r="M1357" s="16">
        <f>IF((OR(tbal[[#This Row],[X]]=0,tbal[[#This Row],[X]]=6)),tbal[[#This Row],[DEUDOR]],0)</f>
        <v>0</v>
      </c>
      <c r="N1357" s="18">
        <f>IF((OR(tbal[[#This Row],[X]]=0,tbal[[#This Row],[X]]=5)),tbal[[#This Row],[ACREEDOR]],0)</f>
        <v>0</v>
      </c>
    </row>
    <row r="1358" spans="1:14" hidden="1" x14ac:dyDescent="0.3">
      <c r="A1358" s="14">
        <f>+'PLAN DE CUENTAS'!A1358</f>
        <v>0</v>
      </c>
      <c r="B1358" s="13">
        <f>+'PLAN DE CUENTAS'!B1358</f>
        <v>0</v>
      </c>
      <c r="C1358" s="13">
        <f>+'PLAN DE CUENTAS'!C1358</f>
        <v>0</v>
      </c>
      <c r="D1358" t="str">
        <f>IF(tbal[[#This Row],[DEBE]]+tbal[[#This Row],[HABER]]=0,"","X")</f>
        <v/>
      </c>
      <c r="E1358" s="16">
        <f>SUMIF(tdiario[CUENTA],tbal[[#This Row],[CUENTA]],tdiario[DEBE])</f>
        <v>0</v>
      </c>
      <c r="F1358" s="17">
        <f>SUMIF(tdiario[CUENTA],tbal[[#This Row],[CUENTA]],tdiario[HABER])</f>
        <v>0</v>
      </c>
      <c r="G1358" s="16">
        <f>IF(tbal[[#This Row],[DEBE]]-tbal[[#This Row],[HABER]]&gt;0,tbal[[#This Row],[DEBE]]-tbal[[#This Row],[HABER]],0)</f>
        <v>0</v>
      </c>
      <c r="H1358" s="18">
        <f>IF(tbal[[#This Row],[HABER]]-tbal[[#This Row],[DEBE]]&gt;0,tbal[[#This Row],[HABER]]-tbal[[#This Row],[DEBE]],0)</f>
        <v>0</v>
      </c>
      <c r="I1358" s="16">
        <f>IF((OR(tbal[[#This Row],[X]]=1,tbal[[#This Row],[X]]=2)),tbal[[#This Row],[DEUDOR]],0)</f>
        <v>0</v>
      </c>
      <c r="J1358" s="18">
        <f>IF((OR(tbal[[#This Row],[X]]=2,tbal[[#This Row],[X]]=3)),tbal[[#This Row],[ACREEDOR]],0)</f>
        <v>0</v>
      </c>
      <c r="K1358" s="16">
        <f>IF((OR(tbal[[#This Row],[X]]=3,tbal[[#This Row],[X]]=5)),tbal[[#This Row],[DEUDOR]],0)</f>
        <v>0</v>
      </c>
      <c r="L1358" s="18">
        <f>IF((OR(tbal[[#This Row],[X]]=3,tbal[[#This Row],[X]]=4)),tbal[[#This Row],[ACREEDOR]],0)</f>
        <v>0</v>
      </c>
      <c r="M1358" s="16">
        <f>IF((OR(tbal[[#This Row],[X]]=0,tbal[[#This Row],[X]]=6)),tbal[[#This Row],[DEUDOR]],0)</f>
        <v>0</v>
      </c>
      <c r="N1358" s="18">
        <f>IF((OR(tbal[[#This Row],[X]]=0,tbal[[#This Row],[X]]=5)),tbal[[#This Row],[ACREEDOR]],0)</f>
        <v>0</v>
      </c>
    </row>
    <row r="1359" spans="1:14" hidden="1" x14ac:dyDescent="0.3">
      <c r="A1359" s="14">
        <f>+'PLAN DE CUENTAS'!A1359</f>
        <v>0</v>
      </c>
      <c r="B1359" s="13">
        <f>+'PLAN DE CUENTAS'!B1359</f>
        <v>0</v>
      </c>
      <c r="C1359" s="13">
        <f>+'PLAN DE CUENTAS'!C1359</f>
        <v>0</v>
      </c>
      <c r="D1359" t="str">
        <f>IF(tbal[[#This Row],[DEBE]]+tbal[[#This Row],[HABER]]=0,"","X")</f>
        <v/>
      </c>
      <c r="E1359" s="16">
        <f>SUMIF(tdiario[CUENTA],tbal[[#This Row],[CUENTA]],tdiario[DEBE])</f>
        <v>0</v>
      </c>
      <c r="F1359" s="17">
        <f>SUMIF(tdiario[CUENTA],tbal[[#This Row],[CUENTA]],tdiario[HABER])</f>
        <v>0</v>
      </c>
      <c r="G1359" s="16">
        <f>IF(tbal[[#This Row],[DEBE]]-tbal[[#This Row],[HABER]]&gt;0,tbal[[#This Row],[DEBE]]-tbal[[#This Row],[HABER]],0)</f>
        <v>0</v>
      </c>
      <c r="H1359" s="18">
        <f>IF(tbal[[#This Row],[HABER]]-tbal[[#This Row],[DEBE]]&gt;0,tbal[[#This Row],[HABER]]-tbal[[#This Row],[DEBE]],0)</f>
        <v>0</v>
      </c>
      <c r="I1359" s="16">
        <f>IF((OR(tbal[[#This Row],[X]]=1,tbal[[#This Row],[X]]=2)),tbal[[#This Row],[DEUDOR]],0)</f>
        <v>0</v>
      </c>
      <c r="J1359" s="18">
        <f>IF((OR(tbal[[#This Row],[X]]=2,tbal[[#This Row],[X]]=3)),tbal[[#This Row],[ACREEDOR]],0)</f>
        <v>0</v>
      </c>
      <c r="K1359" s="16">
        <f>IF((OR(tbal[[#This Row],[X]]=3,tbal[[#This Row],[X]]=5)),tbal[[#This Row],[DEUDOR]],0)</f>
        <v>0</v>
      </c>
      <c r="L1359" s="18">
        <f>IF((OR(tbal[[#This Row],[X]]=3,tbal[[#This Row],[X]]=4)),tbal[[#This Row],[ACREEDOR]],0)</f>
        <v>0</v>
      </c>
      <c r="M1359" s="16">
        <f>IF((OR(tbal[[#This Row],[X]]=0,tbal[[#This Row],[X]]=6)),tbal[[#This Row],[DEUDOR]],0)</f>
        <v>0</v>
      </c>
      <c r="N1359" s="18">
        <f>IF((OR(tbal[[#This Row],[X]]=0,tbal[[#This Row],[X]]=5)),tbal[[#This Row],[ACREEDOR]],0)</f>
        <v>0</v>
      </c>
    </row>
    <row r="1360" spans="1:14" hidden="1" x14ac:dyDescent="0.3">
      <c r="A1360" s="14">
        <f>+'PLAN DE CUENTAS'!A1360</f>
        <v>0</v>
      </c>
      <c r="B1360" s="13">
        <f>+'PLAN DE CUENTAS'!B1360</f>
        <v>0</v>
      </c>
      <c r="C1360" s="13">
        <f>+'PLAN DE CUENTAS'!C1360</f>
        <v>0</v>
      </c>
      <c r="D1360" t="str">
        <f>IF(tbal[[#This Row],[DEBE]]+tbal[[#This Row],[HABER]]=0,"","X")</f>
        <v/>
      </c>
      <c r="E1360" s="16">
        <f>SUMIF(tdiario[CUENTA],tbal[[#This Row],[CUENTA]],tdiario[DEBE])</f>
        <v>0</v>
      </c>
      <c r="F1360" s="17">
        <f>SUMIF(tdiario[CUENTA],tbal[[#This Row],[CUENTA]],tdiario[HABER])</f>
        <v>0</v>
      </c>
      <c r="G1360" s="16">
        <f>IF(tbal[[#This Row],[DEBE]]-tbal[[#This Row],[HABER]]&gt;0,tbal[[#This Row],[DEBE]]-tbal[[#This Row],[HABER]],0)</f>
        <v>0</v>
      </c>
      <c r="H1360" s="18">
        <f>IF(tbal[[#This Row],[HABER]]-tbal[[#This Row],[DEBE]]&gt;0,tbal[[#This Row],[HABER]]-tbal[[#This Row],[DEBE]],0)</f>
        <v>0</v>
      </c>
      <c r="I1360" s="16">
        <f>IF((OR(tbal[[#This Row],[X]]=1,tbal[[#This Row],[X]]=2)),tbal[[#This Row],[DEUDOR]],0)</f>
        <v>0</v>
      </c>
      <c r="J1360" s="18">
        <f>IF((OR(tbal[[#This Row],[X]]=2,tbal[[#This Row],[X]]=3)),tbal[[#This Row],[ACREEDOR]],0)</f>
        <v>0</v>
      </c>
      <c r="K1360" s="16">
        <f>IF((OR(tbal[[#This Row],[X]]=3,tbal[[#This Row],[X]]=5)),tbal[[#This Row],[DEUDOR]],0)</f>
        <v>0</v>
      </c>
      <c r="L1360" s="18">
        <f>IF((OR(tbal[[#This Row],[X]]=3,tbal[[#This Row],[X]]=4)),tbal[[#This Row],[ACREEDOR]],0)</f>
        <v>0</v>
      </c>
      <c r="M1360" s="16">
        <f>IF((OR(tbal[[#This Row],[X]]=0,tbal[[#This Row],[X]]=6)),tbal[[#This Row],[DEUDOR]],0)</f>
        <v>0</v>
      </c>
      <c r="N1360" s="18">
        <f>IF((OR(tbal[[#This Row],[X]]=0,tbal[[#This Row],[X]]=5)),tbal[[#This Row],[ACREEDOR]],0)</f>
        <v>0</v>
      </c>
    </row>
    <row r="1361" spans="1:14" hidden="1" x14ac:dyDescent="0.3">
      <c r="A1361" s="14">
        <f>+'PLAN DE CUENTAS'!A1361</f>
        <v>0</v>
      </c>
      <c r="B1361" s="13">
        <f>+'PLAN DE CUENTAS'!B1361</f>
        <v>0</v>
      </c>
      <c r="C1361" s="13">
        <f>+'PLAN DE CUENTAS'!C1361</f>
        <v>0</v>
      </c>
      <c r="D1361" t="str">
        <f>IF(tbal[[#This Row],[DEBE]]+tbal[[#This Row],[HABER]]=0,"","X")</f>
        <v/>
      </c>
      <c r="E1361" s="16">
        <f>SUMIF(tdiario[CUENTA],tbal[[#This Row],[CUENTA]],tdiario[DEBE])</f>
        <v>0</v>
      </c>
      <c r="F1361" s="17">
        <f>SUMIF(tdiario[CUENTA],tbal[[#This Row],[CUENTA]],tdiario[HABER])</f>
        <v>0</v>
      </c>
      <c r="G1361" s="16">
        <f>IF(tbal[[#This Row],[DEBE]]-tbal[[#This Row],[HABER]]&gt;0,tbal[[#This Row],[DEBE]]-tbal[[#This Row],[HABER]],0)</f>
        <v>0</v>
      </c>
      <c r="H1361" s="18">
        <f>IF(tbal[[#This Row],[HABER]]-tbal[[#This Row],[DEBE]]&gt;0,tbal[[#This Row],[HABER]]-tbal[[#This Row],[DEBE]],0)</f>
        <v>0</v>
      </c>
      <c r="I1361" s="16">
        <f>IF((OR(tbal[[#This Row],[X]]=1,tbal[[#This Row],[X]]=2)),tbal[[#This Row],[DEUDOR]],0)</f>
        <v>0</v>
      </c>
      <c r="J1361" s="18">
        <f>IF((OR(tbal[[#This Row],[X]]=2,tbal[[#This Row],[X]]=3)),tbal[[#This Row],[ACREEDOR]],0)</f>
        <v>0</v>
      </c>
      <c r="K1361" s="16">
        <f>IF((OR(tbal[[#This Row],[X]]=3,tbal[[#This Row],[X]]=5)),tbal[[#This Row],[DEUDOR]],0)</f>
        <v>0</v>
      </c>
      <c r="L1361" s="18">
        <f>IF((OR(tbal[[#This Row],[X]]=3,tbal[[#This Row],[X]]=4)),tbal[[#This Row],[ACREEDOR]],0)</f>
        <v>0</v>
      </c>
      <c r="M1361" s="16">
        <f>IF((OR(tbal[[#This Row],[X]]=0,tbal[[#This Row],[X]]=6)),tbal[[#This Row],[DEUDOR]],0)</f>
        <v>0</v>
      </c>
      <c r="N1361" s="18">
        <f>IF((OR(tbal[[#This Row],[X]]=0,tbal[[#This Row],[X]]=5)),tbal[[#This Row],[ACREEDOR]],0)</f>
        <v>0</v>
      </c>
    </row>
    <row r="1362" spans="1:14" hidden="1" x14ac:dyDescent="0.3">
      <c r="A1362" s="14">
        <f>+'PLAN DE CUENTAS'!A1362</f>
        <v>0</v>
      </c>
      <c r="B1362" s="13">
        <f>+'PLAN DE CUENTAS'!B1362</f>
        <v>0</v>
      </c>
      <c r="C1362" s="13">
        <f>+'PLAN DE CUENTAS'!C1362</f>
        <v>0</v>
      </c>
      <c r="D1362" t="str">
        <f>IF(tbal[[#This Row],[DEBE]]+tbal[[#This Row],[HABER]]=0,"","X")</f>
        <v/>
      </c>
      <c r="E1362" s="16">
        <f>SUMIF(tdiario[CUENTA],tbal[[#This Row],[CUENTA]],tdiario[DEBE])</f>
        <v>0</v>
      </c>
      <c r="F1362" s="17">
        <f>SUMIF(tdiario[CUENTA],tbal[[#This Row],[CUENTA]],tdiario[HABER])</f>
        <v>0</v>
      </c>
      <c r="G1362" s="16">
        <f>IF(tbal[[#This Row],[DEBE]]-tbal[[#This Row],[HABER]]&gt;0,tbal[[#This Row],[DEBE]]-tbal[[#This Row],[HABER]],0)</f>
        <v>0</v>
      </c>
      <c r="H1362" s="18">
        <f>IF(tbal[[#This Row],[HABER]]-tbal[[#This Row],[DEBE]]&gt;0,tbal[[#This Row],[HABER]]-tbal[[#This Row],[DEBE]],0)</f>
        <v>0</v>
      </c>
      <c r="I1362" s="16">
        <f>IF((OR(tbal[[#This Row],[X]]=1,tbal[[#This Row],[X]]=2)),tbal[[#This Row],[DEUDOR]],0)</f>
        <v>0</v>
      </c>
      <c r="J1362" s="18">
        <f>IF((OR(tbal[[#This Row],[X]]=2,tbal[[#This Row],[X]]=3)),tbal[[#This Row],[ACREEDOR]],0)</f>
        <v>0</v>
      </c>
      <c r="K1362" s="16">
        <f>IF((OR(tbal[[#This Row],[X]]=3,tbal[[#This Row],[X]]=5)),tbal[[#This Row],[DEUDOR]],0)</f>
        <v>0</v>
      </c>
      <c r="L1362" s="18">
        <f>IF((OR(tbal[[#This Row],[X]]=3,tbal[[#This Row],[X]]=4)),tbal[[#This Row],[ACREEDOR]],0)</f>
        <v>0</v>
      </c>
      <c r="M1362" s="16">
        <f>IF((OR(tbal[[#This Row],[X]]=0,tbal[[#This Row],[X]]=6)),tbal[[#This Row],[DEUDOR]],0)</f>
        <v>0</v>
      </c>
      <c r="N1362" s="18">
        <f>IF((OR(tbal[[#This Row],[X]]=0,tbal[[#This Row],[X]]=5)),tbal[[#This Row],[ACREEDOR]],0)</f>
        <v>0</v>
      </c>
    </row>
    <row r="1363" spans="1:14" hidden="1" x14ac:dyDescent="0.3">
      <c r="A1363" s="14">
        <f>+'PLAN DE CUENTAS'!A1363</f>
        <v>0</v>
      </c>
      <c r="B1363" s="13">
        <f>+'PLAN DE CUENTAS'!B1363</f>
        <v>0</v>
      </c>
      <c r="C1363" s="13">
        <f>+'PLAN DE CUENTAS'!C1363</f>
        <v>0</v>
      </c>
      <c r="D1363" t="str">
        <f>IF(tbal[[#This Row],[DEBE]]+tbal[[#This Row],[HABER]]=0,"","X")</f>
        <v/>
      </c>
      <c r="E1363" s="16">
        <f>SUMIF(tdiario[CUENTA],tbal[[#This Row],[CUENTA]],tdiario[DEBE])</f>
        <v>0</v>
      </c>
      <c r="F1363" s="17">
        <f>SUMIF(tdiario[CUENTA],tbal[[#This Row],[CUENTA]],tdiario[HABER])</f>
        <v>0</v>
      </c>
      <c r="G1363" s="16">
        <f>IF(tbal[[#This Row],[DEBE]]-tbal[[#This Row],[HABER]]&gt;0,tbal[[#This Row],[DEBE]]-tbal[[#This Row],[HABER]],0)</f>
        <v>0</v>
      </c>
      <c r="H1363" s="18">
        <f>IF(tbal[[#This Row],[HABER]]-tbal[[#This Row],[DEBE]]&gt;0,tbal[[#This Row],[HABER]]-tbal[[#This Row],[DEBE]],0)</f>
        <v>0</v>
      </c>
      <c r="I1363" s="16">
        <f>IF((OR(tbal[[#This Row],[X]]=1,tbal[[#This Row],[X]]=2)),tbal[[#This Row],[DEUDOR]],0)</f>
        <v>0</v>
      </c>
      <c r="J1363" s="18">
        <f>IF((OR(tbal[[#This Row],[X]]=2,tbal[[#This Row],[X]]=3)),tbal[[#This Row],[ACREEDOR]],0)</f>
        <v>0</v>
      </c>
      <c r="K1363" s="16">
        <f>IF((OR(tbal[[#This Row],[X]]=3,tbal[[#This Row],[X]]=5)),tbal[[#This Row],[DEUDOR]],0)</f>
        <v>0</v>
      </c>
      <c r="L1363" s="18">
        <f>IF((OR(tbal[[#This Row],[X]]=3,tbal[[#This Row],[X]]=4)),tbal[[#This Row],[ACREEDOR]],0)</f>
        <v>0</v>
      </c>
      <c r="M1363" s="16">
        <f>IF((OR(tbal[[#This Row],[X]]=0,tbal[[#This Row],[X]]=6)),tbal[[#This Row],[DEUDOR]],0)</f>
        <v>0</v>
      </c>
      <c r="N1363" s="18">
        <f>IF((OR(tbal[[#This Row],[X]]=0,tbal[[#This Row],[X]]=5)),tbal[[#This Row],[ACREEDOR]],0)</f>
        <v>0</v>
      </c>
    </row>
    <row r="1364" spans="1:14" hidden="1" x14ac:dyDescent="0.3">
      <c r="A1364" s="14">
        <f>+'PLAN DE CUENTAS'!A1364</f>
        <v>0</v>
      </c>
      <c r="B1364" s="13">
        <f>+'PLAN DE CUENTAS'!B1364</f>
        <v>0</v>
      </c>
      <c r="C1364" s="13">
        <f>+'PLAN DE CUENTAS'!C1364</f>
        <v>0</v>
      </c>
      <c r="D1364" t="str">
        <f>IF(tbal[[#This Row],[DEBE]]+tbal[[#This Row],[HABER]]=0,"","X")</f>
        <v/>
      </c>
      <c r="E1364" s="16">
        <f>SUMIF(tdiario[CUENTA],tbal[[#This Row],[CUENTA]],tdiario[DEBE])</f>
        <v>0</v>
      </c>
      <c r="F1364" s="17">
        <f>SUMIF(tdiario[CUENTA],tbal[[#This Row],[CUENTA]],tdiario[HABER])</f>
        <v>0</v>
      </c>
      <c r="G1364" s="16">
        <f>IF(tbal[[#This Row],[DEBE]]-tbal[[#This Row],[HABER]]&gt;0,tbal[[#This Row],[DEBE]]-tbal[[#This Row],[HABER]],0)</f>
        <v>0</v>
      </c>
      <c r="H1364" s="18">
        <f>IF(tbal[[#This Row],[HABER]]-tbal[[#This Row],[DEBE]]&gt;0,tbal[[#This Row],[HABER]]-tbal[[#This Row],[DEBE]],0)</f>
        <v>0</v>
      </c>
      <c r="I1364" s="16">
        <f>IF((OR(tbal[[#This Row],[X]]=1,tbal[[#This Row],[X]]=2)),tbal[[#This Row],[DEUDOR]],0)</f>
        <v>0</v>
      </c>
      <c r="J1364" s="18">
        <f>IF((OR(tbal[[#This Row],[X]]=2,tbal[[#This Row],[X]]=3)),tbal[[#This Row],[ACREEDOR]],0)</f>
        <v>0</v>
      </c>
      <c r="K1364" s="16">
        <f>IF((OR(tbal[[#This Row],[X]]=3,tbal[[#This Row],[X]]=5)),tbal[[#This Row],[DEUDOR]],0)</f>
        <v>0</v>
      </c>
      <c r="L1364" s="18">
        <f>IF((OR(tbal[[#This Row],[X]]=3,tbal[[#This Row],[X]]=4)),tbal[[#This Row],[ACREEDOR]],0)</f>
        <v>0</v>
      </c>
      <c r="M1364" s="16">
        <f>IF((OR(tbal[[#This Row],[X]]=0,tbal[[#This Row],[X]]=6)),tbal[[#This Row],[DEUDOR]],0)</f>
        <v>0</v>
      </c>
      <c r="N1364" s="18">
        <f>IF((OR(tbal[[#This Row],[X]]=0,tbal[[#This Row],[X]]=5)),tbal[[#This Row],[ACREEDOR]],0)</f>
        <v>0</v>
      </c>
    </row>
    <row r="1365" spans="1:14" hidden="1" x14ac:dyDescent="0.3">
      <c r="A1365" s="14">
        <f>+'PLAN DE CUENTAS'!A1365</f>
        <v>0</v>
      </c>
      <c r="B1365" s="13">
        <f>+'PLAN DE CUENTAS'!B1365</f>
        <v>0</v>
      </c>
      <c r="C1365" s="13">
        <f>+'PLAN DE CUENTAS'!C1365</f>
        <v>0</v>
      </c>
      <c r="D1365" t="str">
        <f>IF(tbal[[#This Row],[DEBE]]+tbal[[#This Row],[HABER]]=0,"","X")</f>
        <v/>
      </c>
      <c r="E1365" s="16">
        <f>SUMIF(tdiario[CUENTA],tbal[[#This Row],[CUENTA]],tdiario[DEBE])</f>
        <v>0</v>
      </c>
      <c r="F1365" s="17">
        <f>SUMIF(tdiario[CUENTA],tbal[[#This Row],[CUENTA]],tdiario[HABER])</f>
        <v>0</v>
      </c>
      <c r="G1365" s="16">
        <f>IF(tbal[[#This Row],[DEBE]]-tbal[[#This Row],[HABER]]&gt;0,tbal[[#This Row],[DEBE]]-tbal[[#This Row],[HABER]],0)</f>
        <v>0</v>
      </c>
      <c r="H1365" s="18">
        <f>IF(tbal[[#This Row],[HABER]]-tbal[[#This Row],[DEBE]]&gt;0,tbal[[#This Row],[HABER]]-tbal[[#This Row],[DEBE]],0)</f>
        <v>0</v>
      </c>
      <c r="I1365" s="16">
        <f>IF((OR(tbal[[#This Row],[X]]=1,tbal[[#This Row],[X]]=2)),tbal[[#This Row],[DEUDOR]],0)</f>
        <v>0</v>
      </c>
      <c r="J1365" s="18">
        <f>IF((OR(tbal[[#This Row],[X]]=2,tbal[[#This Row],[X]]=3)),tbal[[#This Row],[ACREEDOR]],0)</f>
        <v>0</v>
      </c>
      <c r="K1365" s="16">
        <f>IF((OR(tbal[[#This Row],[X]]=3,tbal[[#This Row],[X]]=5)),tbal[[#This Row],[DEUDOR]],0)</f>
        <v>0</v>
      </c>
      <c r="L1365" s="18">
        <f>IF((OR(tbal[[#This Row],[X]]=3,tbal[[#This Row],[X]]=4)),tbal[[#This Row],[ACREEDOR]],0)</f>
        <v>0</v>
      </c>
      <c r="M1365" s="16">
        <f>IF((OR(tbal[[#This Row],[X]]=0,tbal[[#This Row],[X]]=6)),tbal[[#This Row],[DEUDOR]],0)</f>
        <v>0</v>
      </c>
      <c r="N1365" s="18">
        <f>IF((OR(tbal[[#This Row],[X]]=0,tbal[[#This Row],[X]]=5)),tbal[[#This Row],[ACREEDOR]],0)</f>
        <v>0</v>
      </c>
    </row>
    <row r="1366" spans="1:14" hidden="1" x14ac:dyDescent="0.3">
      <c r="A1366" s="14">
        <f>+'PLAN DE CUENTAS'!A1366</f>
        <v>0</v>
      </c>
      <c r="B1366" s="13">
        <f>+'PLAN DE CUENTAS'!B1366</f>
        <v>0</v>
      </c>
      <c r="C1366" s="13">
        <f>+'PLAN DE CUENTAS'!C1366</f>
        <v>0</v>
      </c>
      <c r="D1366" t="str">
        <f>IF(tbal[[#This Row],[DEBE]]+tbal[[#This Row],[HABER]]=0,"","X")</f>
        <v/>
      </c>
      <c r="E1366" s="16">
        <f>SUMIF(tdiario[CUENTA],tbal[[#This Row],[CUENTA]],tdiario[DEBE])</f>
        <v>0</v>
      </c>
      <c r="F1366" s="17">
        <f>SUMIF(tdiario[CUENTA],tbal[[#This Row],[CUENTA]],tdiario[HABER])</f>
        <v>0</v>
      </c>
      <c r="G1366" s="16">
        <f>IF(tbal[[#This Row],[DEBE]]-tbal[[#This Row],[HABER]]&gt;0,tbal[[#This Row],[DEBE]]-tbal[[#This Row],[HABER]],0)</f>
        <v>0</v>
      </c>
      <c r="H1366" s="18">
        <f>IF(tbal[[#This Row],[HABER]]-tbal[[#This Row],[DEBE]]&gt;0,tbal[[#This Row],[HABER]]-tbal[[#This Row],[DEBE]],0)</f>
        <v>0</v>
      </c>
      <c r="I1366" s="16">
        <f>IF((OR(tbal[[#This Row],[X]]=1,tbal[[#This Row],[X]]=2)),tbal[[#This Row],[DEUDOR]],0)</f>
        <v>0</v>
      </c>
      <c r="J1366" s="18">
        <f>IF((OR(tbal[[#This Row],[X]]=2,tbal[[#This Row],[X]]=3)),tbal[[#This Row],[ACREEDOR]],0)</f>
        <v>0</v>
      </c>
      <c r="K1366" s="16">
        <f>IF((OR(tbal[[#This Row],[X]]=3,tbal[[#This Row],[X]]=5)),tbal[[#This Row],[DEUDOR]],0)</f>
        <v>0</v>
      </c>
      <c r="L1366" s="18">
        <f>IF((OR(tbal[[#This Row],[X]]=3,tbal[[#This Row],[X]]=4)),tbal[[#This Row],[ACREEDOR]],0)</f>
        <v>0</v>
      </c>
      <c r="M1366" s="16">
        <f>IF((OR(tbal[[#This Row],[X]]=0,tbal[[#This Row],[X]]=6)),tbal[[#This Row],[DEUDOR]],0)</f>
        <v>0</v>
      </c>
      <c r="N1366" s="18">
        <f>IF((OR(tbal[[#This Row],[X]]=0,tbal[[#This Row],[X]]=5)),tbal[[#This Row],[ACREEDOR]],0)</f>
        <v>0</v>
      </c>
    </row>
    <row r="1367" spans="1:14" hidden="1" x14ac:dyDescent="0.3">
      <c r="A1367" s="14">
        <f>+'PLAN DE CUENTAS'!A1367</f>
        <v>0</v>
      </c>
      <c r="B1367" s="13">
        <f>+'PLAN DE CUENTAS'!B1367</f>
        <v>0</v>
      </c>
      <c r="C1367" s="13">
        <f>+'PLAN DE CUENTAS'!C1367</f>
        <v>0</v>
      </c>
      <c r="D1367" t="str">
        <f>IF(tbal[[#This Row],[DEBE]]+tbal[[#This Row],[HABER]]=0,"","X")</f>
        <v/>
      </c>
      <c r="E1367" s="16">
        <f>SUMIF(tdiario[CUENTA],tbal[[#This Row],[CUENTA]],tdiario[DEBE])</f>
        <v>0</v>
      </c>
      <c r="F1367" s="17">
        <f>SUMIF(tdiario[CUENTA],tbal[[#This Row],[CUENTA]],tdiario[HABER])</f>
        <v>0</v>
      </c>
      <c r="G1367" s="16">
        <f>IF(tbal[[#This Row],[DEBE]]-tbal[[#This Row],[HABER]]&gt;0,tbal[[#This Row],[DEBE]]-tbal[[#This Row],[HABER]],0)</f>
        <v>0</v>
      </c>
      <c r="H1367" s="18">
        <f>IF(tbal[[#This Row],[HABER]]-tbal[[#This Row],[DEBE]]&gt;0,tbal[[#This Row],[HABER]]-tbal[[#This Row],[DEBE]],0)</f>
        <v>0</v>
      </c>
      <c r="I1367" s="16">
        <f>IF((OR(tbal[[#This Row],[X]]=1,tbal[[#This Row],[X]]=2)),tbal[[#This Row],[DEUDOR]],0)</f>
        <v>0</v>
      </c>
      <c r="J1367" s="18">
        <f>IF((OR(tbal[[#This Row],[X]]=2,tbal[[#This Row],[X]]=3)),tbal[[#This Row],[ACREEDOR]],0)</f>
        <v>0</v>
      </c>
      <c r="K1367" s="16">
        <f>IF((OR(tbal[[#This Row],[X]]=3,tbal[[#This Row],[X]]=5)),tbal[[#This Row],[DEUDOR]],0)</f>
        <v>0</v>
      </c>
      <c r="L1367" s="18">
        <f>IF((OR(tbal[[#This Row],[X]]=3,tbal[[#This Row],[X]]=4)),tbal[[#This Row],[ACREEDOR]],0)</f>
        <v>0</v>
      </c>
      <c r="M1367" s="16">
        <f>IF((OR(tbal[[#This Row],[X]]=0,tbal[[#This Row],[X]]=6)),tbal[[#This Row],[DEUDOR]],0)</f>
        <v>0</v>
      </c>
      <c r="N1367" s="18">
        <f>IF((OR(tbal[[#This Row],[X]]=0,tbal[[#This Row],[X]]=5)),tbal[[#This Row],[ACREEDOR]],0)</f>
        <v>0</v>
      </c>
    </row>
    <row r="1368" spans="1:14" hidden="1" x14ac:dyDescent="0.3">
      <c r="A1368" s="14">
        <f>+'PLAN DE CUENTAS'!A1368</f>
        <v>0</v>
      </c>
      <c r="B1368" s="13">
        <f>+'PLAN DE CUENTAS'!B1368</f>
        <v>0</v>
      </c>
      <c r="C1368" s="13">
        <f>+'PLAN DE CUENTAS'!C1368</f>
        <v>0</v>
      </c>
      <c r="D1368" t="str">
        <f>IF(tbal[[#This Row],[DEBE]]+tbal[[#This Row],[HABER]]=0,"","X")</f>
        <v/>
      </c>
      <c r="E1368" s="16">
        <f>SUMIF(tdiario[CUENTA],tbal[[#This Row],[CUENTA]],tdiario[DEBE])</f>
        <v>0</v>
      </c>
      <c r="F1368" s="17">
        <f>SUMIF(tdiario[CUENTA],tbal[[#This Row],[CUENTA]],tdiario[HABER])</f>
        <v>0</v>
      </c>
      <c r="G1368" s="16">
        <f>IF(tbal[[#This Row],[DEBE]]-tbal[[#This Row],[HABER]]&gt;0,tbal[[#This Row],[DEBE]]-tbal[[#This Row],[HABER]],0)</f>
        <v>0</v>
      </c>
      <c r="H1368" s="18">
        <f>IF(tbal[[#This Row],[HABER]]-tbal[[#This Row],[DEBE]]&gt;0,tbal[[#This Row],[HABER]]-tbal[[#This Row],[DEBE]],0)</f>
        <v>0</v>
      </c>
      <c r="I1368" s="16">
        <f>IF((OR(tbal[[#This Row],[X]]=1,tbal[[#This Row],[X]]=2)),tbal[[#This Row],[DEUDOR]],0)</f>
        <v>0</v>
      </c>
      <c r="J1368" s="18">
        <f>IF((OR(tbal[[#This Row],[X]]=2,tbal[[#This Row],[X]]=3)),tbal[[#This Row],[ACREEDOR]],0)</f>
        <v>0</v>
      </c>
      <c r="K1368" s="16">
        <f>IF((OR(tbal[[#This Row],[X]]=3,tbal[[#This Row],[X]]=5)),tbal[[#This Row],[DEUDOR]],0)</f>
        <v>0</v>
      </c>
      <c r="L1368" s="18">
        <f>IF((OR(tbal[[#This Row],[X]]=3,tbal[[#This Row],[X]]=4)),tbal[[#This Row],[ACREEDOR]],0)</f>
        <v>0</v>
      </c>
      <c r="M1368" s="16">
        <f>IF((OR(tbal[[#This Row],[X]]=0,tbal[[#This Row],[X]]=6)),tbal[[#This Row],[DEUDOR]],0)</f>
        <v>0</v>
      </c>
      <c r="N1368" s="18">
        <f>IF((OR(tbal[[#This Row],[X]]=0,tbal[[#This Row],[X]]=5)),tbal[[#This Row],[ACREEDOR]],0)</f>
        <v>0</v>
      </c>
    </row>
    <row r="1369" spans="1:14" hidden="1" x14ac:dyDescent="0.3">
      <c r="A1369" s="14">
        <f>+'PLAN DE CUENTAS'!A1369</f>
        <v>0</v>
      </c>
      <c r="B1369" s="13">
        <f>+'PLAN DE CUENTAS'!B1369</f>
        <v>0</v>
      </c>
      <c r="C1369" s="13">
        <f>+'PLAN DE CUENTAS'!C1369</f>
        <v>0</v>
      </c>
      <c r="D1369" t="str">
        <f>IF(tbal[[#This Row],[DEBE]]+tbal[[#This Row],[HABER]]=0,"","X")</f>
        <v/>
      </c>
      <c r="E1369" s="16">
        <f>SUMIF(tdiario[CUENTA],tbal[[#This Row],[CUENTA]],tdiario[DEBE])</f>
        <v>0</v>
      </c>
      <c r="F1369" s="17">
        <f>SUMIF(tdiario[CUENTA],tbal[[#This Row],[CUENTA]],tdiario[HABER])</f>
        <v>0</v>
      </c>
      <c r="G1369" s="16">
        <f>IF(tbal[[#This Row],[DEBE]]-tbal[[#This Row],[HABER]]&gt;0,tbal[[#This Row],[DEBE]]-tbal[[#This Row],[HABER]],0)</f>
        <v>0</v>
      </c>
      <c r="H1369" s="18">
        <f>IF(tbal[[#This Row],[HABER]]-tbal[[#This Row],[DEBE]]&gt;0,tbal[[#This Row],[HABER]]-tbal[[#This Row],[DEBE]],0)</f>
        <v>0</v>
      </c>
      <c r="I1369" s="16">
        <f>IF((OR(tbal[[#This Row],[X]]=1,tbal[[#This Row],[X]]=2)),tbal[[#This Row],[DEUDOR]],0)</f>
        <v>0</v>
      </c>
      <c r="J1369" s="18">
        <f>IF((OR(tbal[[#This Row],[X]]=2,tbal[[#This Row],[X]]=3)),tbal[[#This Row],[ACREEDOR]],0)</f>
        <v>0</v>
      </c>
      <c r="K1369" s="16">
        <f>IF((OR(tbal[[#This Row],[X]]=3,tbal[[#This Row],[X]]=5)),tbal[[#This Row],[DEUDOR]],0)</f>
        <v>0</v>
      </c>
      <c r="L1369" s="18">
        <f>IF((OR(tbal[[#This Row],[X]]=3,tbal[[#This Row],[X]]=4)),tbal[[#This Row],[ACREEDOR]],0)</f>
        <v>0</v>
      </c>
      <c r="M1369" s="16">
        <f>IF((OR(tbal[[#This Row],[X]]=0,tbal[[#This Row],[X]]=6)),tbal[[#This Row],[DEUDOR]],0)</f>
        <v>0</v>
      </c>
      <c r="N1369" s="18">
        <f>IF((OR(tbal[[#This Row],[X]]=0,tbal[[#This Row],[X]]=5)),tbal[[#This Row],[ACREEDOR]],0)</f>
        <v>0</v>
      </c>
    </row>
    <row r="1370" spans="1:14" hidden="1" x14ac:dyDescent="0.3">
      <c r="A1370" s="14">
        <f>+'PLAN DE CUENTAS'!A1370</f>
        <v>0</v>
      </c>
      <c r="B1370" s="13">
        <f>+'PLAN DE CUENTAS'!B1370</f>
        <v>0</v>
      </c>
      <c r="C1370" s="13">
        <f>+'PLAN DE CUENTAS'!C1370</f>
        <v>0</v>
      </c>
      <c r="D1370" t="str">
        <f>IF(tbal[[#This Row],[DEBE]]+tbal[[#This Row],[HABER]]=0,"","X")</f>
        <v/>
      </c>
      <c r="E1370" s="16">
        <f>SUMIF(tdiario[CUENTA],tbal[[#This Row],[CUENTA]],tdiario[DEBE])</f>
        <v>0</v>
      </c>
      <c r="F1370" s="17">
        <f>SUMIF(tdiario[CUENTA],tbal[[#This Row],[CUENTA]],tdiario[HABER])</f>
        <v>0</v>
      </c>
      <c r="G1370" s="16">
        <f>IF(tbal[[#This Row],[DEBE]]-tbal[[#This Row],[HABER]]&gt;0,tbal[[#This Row],[DEBE]]-tbal[[#This Row],[HABER]],0)</f>
        <v>0</v>
      </c>
      <c r="H1370" s="18">
        <f>IF(tbal[[#This Row],[HABER]]-tbal[[#This Row],[DEBE]]&gt;0,tbal[[#This Row],[HABER]]-tbal[[#This Row],[DEBE]],0)</f>
        <v>0</v>
      </c>
      <c r="I1370" s="16">
        <f>IF((OR(tbal[[#This Row],[X]]=1,tbal[[#This Row],[X]]=2)),tbal[[#This Row],[DEUDOR]],0)</f>
        <v>0</v>
      </c>
      <c r="J1370" s="18">
        <f>IF((OR(tbal[[#This Row],[X]]=2,tbal[[#This Row],[X]]=3)),tbal[[#This Row],[ACREEDOR]],0)</f>
        <v>0</v>
      </c>
      <c r="K1370" s="16">
        <f>IF((OR(tbal[[#This Row],[X]]=3,tbal[[#This Row],[X]]=5)),tbal[[#This Row],[DEUDOR]],0)</f>
        <v>0</v>
      </c>
      <c r="L1370" s="18">
        <f>IF((OR(tbal[[#This Row],[X]]=3,tbal[[#This Row],[X]]=4)),tbal[[#This Row],[ACREEDOR]],0)</f>
        <v>0</v>
      </c>
      <c r="M1370" s="16">
        <f>IF((OR(tbal[[#This Row],[X]]=0,tbal[[#This Row],[X]]=6)),tbal[[#This Row],[DEUDOR]],0)</f>
        <v>0</v>
      </c>
      <c r="N1370" s="18">
        <f>IF((OR(tbal[[#This Row],[X]]=0,tbal[[#This Row],[X]]=5)),tbal[[#This Row],[ACREEDOR]],0)</f>
        <v>0</v>
      </c>
    </row>
    <row r="1371" spans="1:14" hidden="1" x14ac:dyDescent="0.3">
      <c r="A1371" s="14">
        <f>+'PLAN DE CUENTAS'!A1371</f>
        <v>0</v>
      </c>
      <c r="B1371" s="13">
        <f>+'PLAN DE CUENTAS'!B1371</f>
        <v>0</v>
      </c>
      <c r="C1371" s="13">
        <f>+'PLAN DE CUENTAS'!C1371</f>
        <v>0</v>
      </c>
      <c r="D1371" t="str">
        <f>IF(tbal[[#This Row],[DEBE]]+tbal[[#This Row],[HABER]]=0,"","X")</f>
        <v/>
      </c>
      <c r="E1371" s="16">
        <f>SUMIF(tdiario[CUENTA],tbal[[#This Row],[CUENTA]],tdiario[DEBE])</f>
        <v>0</v>
      </c>
      <c r="F1371" s="17">
        <f>SUMIF(tdiario[CUENTA],tbal[[#This Row],[CUENTA]],tdiario[HABER])</f>
        <v>0</v>
      </c>
      <c r="G1371" s="16">
        <f>IF(tbal[[#This Row],[DEBE]]-tbal[[#This Row],[HABER]]&gt;0,tbal[[#This Row],[DEBE]]-tbal[[#This Row],[HABER]],0)</f>
        <v>0</v>
      </c>
      <c r="H1371" s="18">
        <f>IF(tbal[[#This Row],[HABER]]-tbal[[#This Row],[DEBE]]&gt;0,tbal[[#This Row],[HABER]]-tbal[[#This Row],[DEBE]],0)</f>
        <v>0</v>
      </c>
      <c r="I1371" s="16">
        <f>IF((OR(tbal[[#This Row],[X]]=1,tbal[[#This Row],[X]]=2)),tbal[[#This Row],[DEUDOR]],0)</f>
        <v>0</v>
      </c>
      <c r="J1371" s="18">
        <f>IF((OR(tbal[[#This Row],[X]]=2,tbal[[#This Row],[X]]=3)),tbal[[#This Row],[ACREEDOR]],0)</f>
        <v>0</v>
      </c>
      <c r="K1371" s="16">
        <f>IF((OR(tbal[[#This Row],[X]]=3,tbal[[#This Row],[X]]=5)),tbal[[#This Row],[DEUDOR]],0)</f>
        <v>0</v>
      </c>
      <c r="L1371" s="18">
        <f>IF((OR(tbal[[#This Row],[X]]=3,tbal[[#This Row],[X]]=4)),tbal[[#This Row],[ACREEDOR]],0)</f>
        <v>0</v>
      </c>
      <c r="M1371" s="16">
        <f>IF((OR(tbal[[#This Row],[X]]=0,tbal[[#This Row],[X]]=6)),tbal[[#This Row],[DEUDOR]],0)</f>
        <v>0</v>
      </c>
      <c r="N1371" s="18">
        <f>IF((OR(tbal[[#This Row],[X]]=0,tbal[[#This Row],[X]]=5)),tbal[[#This Row],[ACREEDOR]],0)</f>
        <v>0</v>
      </c>
    </row>
    <row r="1372" spans="1:14" hidden="1" x14ac:dyDescent="0.3">
      <c r="A1372" s="14">
        <f>+'PLAN DE CUENTAS'!A1372</f>
        <v>0</v>
      </c>
      <c r="B1372" s="13">
        <f>+'PLAN DE CUENTAS'!B1372</f>
        <v>0</v>
      </c>
      <c r="C1372" s="13">
        <f>+'PLAN DE CUENTAS'!C1372</f>
        <v>0</v>
      </c>
      <c r="D1372" t="str">
        <f>IF(tbal[[#This Row],[DEBE]]+tbal[[#This Row],[HABER]]=0,"","X")</f>
        <v/>
      </c>
      <c r="E1372" s="16">
        <f>SUMIF(tdiario[CUENTA],tbal[[#This Row],[CUENTA]],tdiario[DEBE])</f>
        <v>0</v>
      </c>
      <c r="F1372" s="17">
        <f>SUMIF(tdiario[CUENTA],tbal[[#This Row],[CUENTA]],tdiario[HABER])</f>
        <v>0</v>
      </c>
      <c r="G1372" s="16">
        <f>IF(tbal[[#This Row],[DEBE]]-tbal[[#This Row],[HABER]]&gt;0,tbal[[#This Row],[DEBE]]-tbal[[#This Row],[HABER]],0)</f>
        <v>0</v>
      </c>
      <c r="H1372" s="18">
        <f>IF(tbal[[#This Row],[HABER]]-tbal[[#This Row],[DEBE]]&gt;0,tbal[[#This Row],[HABER]]-tbal[[#This Row],[DEBE]],0)</f>
        <v>0</v>
      </c>
      <c r="I1372" s="16">
        <f>IF((OR(tbal[[#This Row],[X]]=1,tbal[[#This Row],[X]]=2)),tbal[[#This Row],[DEUDOR]],0)</f>
        <v>0</v>
      </c>
      <c r="J1372" s="18">
        <f>IF((OR(tbal[[#This Row],[X]]=2,tbal[[#This Row],[X]]=3)),tbal[[#This Row],[ACREEDOR]],0)</f>
        <v>0</v>
      </c>
      <c r="K1372" s="16">
        <f>IF((OR(tbal[[#This Row],[X]]=3,tbal[[#This Row],[X]]=5)),tbal[[#This Row],[DEUDOR]],0)</f>
        <v>0</v>
      </c>
      <c r="L1372" s="18">
        <f>IF((OR(tbal[[#This Row],[X]]=3,tbal[[#This Row],[X]]=4)),tbal[[#This Row],[ACREEDOR]],0)</f>
        <v>0</v>
      </c>
      <c r="M1372" s="16">
        <f>IF((OR(tbal[[#This Row],[X]]=0,tbal[[#This Row],[X]]=6)),tbal[[#This Row],[DEUDOR]],0)</f>
        <v>0</v>
      </c>
      <c r="N1372" s="18">
        <f>IF((OR(tbal[[#This Row],[X]]=0,tbal[[#This Row],[X]]=5)),tbal[[#This Row],[ACREEDOR]],0)</f>
        <v>0</v>
      </c>
    </row>
    <row r="1373" spans="1:14" hidden="1" x14ac:dyDescent="0.3">
      <c r="A1373" s="14">
        <f>+'PLAN DE CUENTAS'!A1373</f>
        <v>0</v>
      </c>
      <c r="B1373" s="13">
        <f>+'PLAN DE CUENTAS'!B1373</f>
        <v>0</v>
      </c>
      <c r="C1373" s="13">
        <f>+'PLAN DE CUENTAS'!C1373</f>
        <v>0</v>
      </c>
      <c r="D1373" t="str">
        <f>IF(tbal[[#This Row],[DEBE]]+tbal[[#This Row],[HABER]]=0,"","X")</f>
        <v/>
      </c>
      <c r="E1373" s="16">
        <f>SUMIF(tdiario[CUENTA],tbal[[#This Row],[CUENTA]],tdiario[DEBE])</f>
        <v>0</v>
      </c>
      <c r="F1373" s="17">
        <f>SUMIF(tdiario[CUENTA],tbal[[#This Row],[CUENTA]],tdiario[HABER])</f>
        <v>0</v>
      </c>
      <c r="G1373" s="16">
        <f>IF(tbal[[#This Row],[DEBE]]-tbal[[#This Row],[HABER]]&gt;0,tbal[[#This Row],[DEBE]]-tbal[[#This Row],[HABER]],0)</f>
        <v>0</v>
      </c>
      <c r="H1373" s="18">
        <f>IF(tbal[[#This Row],[HABER]]-tbal[[#This Row],[DEBE]]&gt;0,tbal[[#This Row],[HABER]]-tbal[[#This Row],[DEBE]],0)</f>
        <v>0</v>
      </c>
      <c r="I1373" s="16">
        <f>IF((OR(tbal[[#This Row],[X]]=1,tbal[[#This Row],[X]]=2)),tbal[[#This Row],[DEUDOR]],0)</f>
        <v>0</v>
      </c>
      <c r="J1373" s="18">
        <f>IF((OR(tbal[[#This Row],[X]]=2,tbal[[#This Row],[X]]=3)),tbal[[#This Row],[ACREEDOR]],0)</f>
        <v>0</v>
      </c>
      <c r="K1373" s="16">
        <f>IF((OR(tbal[[#This Row],[X]]=3,tbal[[#This Row],[X]]=5)),tbal[[#This Row],[DEUDOR]],0)</f>
        <v>0</v>
      </c>
      <c r="L1373" s="18">
        <f>IF((OR(tbal[[#This Row],[X]]=3,tbal[[#This Row],[X]]=4)),tbal[[#This Row],[ACREEDOR]],0)</f>
        <v>0</v>
      </c>
      <c r="M1373" s="16">
        <f>IF((OR(tbal[[#This Row],[X]]=0,tbal[[#This Row],[X]]=6)),tbal[[#This Row],[DEUDOR]],0)</f>
        <v>0</v>
      </c>
      <c r="N1373" s="18">
        <f>IF((OR(tbal[[#This Row],[X]]=0,tbal[[#This Row],[X]]=5)),tbal[[#This Row],[ACREEDOR]],0)</f>
        <v>0</v>
      </c>
    </row>
    <row r="1374" spans="1:14" hidden="1" x14ac:dyDescent="0.3">
      <c r="A1374" s="14">
        <f>+'PLAN DE CUENTAS'!A1374</f>
        <v>0</v>
      </c>
      <c r="B1374" s="13">
        <f>+'PLAN DE CUENTAS'!B1374</f>
        <v>0</v>
      </c>
      <c r="C1374" s="13">
        <f>+'PLAN DE CUENTAS'!C1374</f>
        <v>0</v>
      </c>
      <c r="D1374" t="str">
        <f>IF(tbal[[#This Row],[DEBE]]+tbal[[#This Row],[HABER]]=0,"","X")</f>
        <v/>
      </c>
      <c r="E1374" s="16">
        <f>SUMIF(tdiario[CUENTA],tbal[[#This Row],[CUENTA]],tdiario[DEBE])</f>
        <v>0</v>
      </c>
      <c r="F1374" s="17">
        <f>SUMIF(tdiario[CUENTA],tbal[[#This Row],[CUENTA]],tdiario[HABER])</f>
        <v>0</v>
      </c>
      <c r="G1374" s="16">
        <f>IF(tbal[[#This Row],[DEBE]]-tbal[[#This Row],[HABER]]&gt;0,tbal[[#This Row],[DEBE]]-tbal[[#This Row],[HABER]],0)</f>
        <v>0</v>
      </c>
      <c r="H1374" s="18">
        <f>IF(tbal[[#This Row],[HABER]]-tbal[[#This Row],[DEBE]]&gt;0,tbal[[#This Row],[HABER]]-tbal[[#This Row],[DEBE]],0)</f>
        <v>0</v>
      </c>
      <c r="I1374" s="16">
        <f>IF((OR(tbal[[#This Row],[X]]=1,tbal[[#This Row],[X]]=2)),tbal[[#This Row],[DEUDOR]],0)</f>
        <v>0</v>
      </c>
      <c r="J1374" s="18">
        <f>IF((OR(tbal[[#This Row],[X]]=2,tbal[[#This Row],[X]]=3)),tbal[[#This Row],[ACREEDOR]],0)</f>
        <v>0</v>
      </c>
      <c r="K1374" s="16">
        <f>IF((OR(tbal[[#This Row],[X]]=3,tbal[[#This Row],[X]]=5)),tbal[[#This Row],[DEUDOR]],0)</f>
        <v>0</v>
      </c>
      <c r="L1374" s="18">
        <f>IF((OR(tbal[[#This Row],[X]]=3,tbal[[#This Row],[X]]=4)),tbal[[#This Row],[ACREEDOR]],0)</f>
        <v>0</v>
      </c>
      <c r="M1374" s="16">
        <f>IF((OR(tbal[[#This Row],[X]]=0,tbal[[#This Row],[X]]=6)),tbal[[#This Row],[DEUDOR]],0)</f>
        <v>0</v>
      </c>
      <c r="N1374" s="18">
        <f>IF((OR(tbal[[#This Row],[X]]=0,tbal[[#This Row],[X]]=5)),tbal[[#This Row],[ACREEDOR]],0)</f>
        <v>0</v>
      </c>
    </row>
    <row r="1375" spans="1:14" hidden="1" x14ac:dyDescent="0.3">
      <c r="A1375" s="14">
        <f>+'PLAN DE CUENTAS'!A1375</f>
        <v>0</v>
      </c>
      <c r="B1375" s="13">
        <f>+'PLAN DE CUENTAS'!B1375</f>
        <v>0</v>
      </c>
      <c r="C1375" s="13">
        <f>+'PLAN DE CUENTAS'!C1375</f>
        <v>0</v>
      </c>
      <c r="D1375" t="str">
        <f>IF(tbal[[#This Row],[DEBE]]+tbal[[#This Row],[HABER]]=0,"","X")</f>
        <v/>
      </c>
      <c r="E1375" s="16">
        <f>SUMIF(tdiario[CUENTA],tbal[[#This Row],[CUENTA]],tdiario[DEBE])</f>
        <v>0</v>
      </c>
      <c r="F1375" s="17">
        <f>SUMIF(tdiario[CUENTA],tbal[[#This Row],[CUENTA]],tdiario[HABER])</f>
        <v>0</v>
      </c>
      <c r="G1375" s="16">
        <f>IF(tbal[[#This Row],[DEBE]]-tbal[[#This Row],[HABER]]&gt;0,tbal[[#This Row],[DEBE]]-tbal[[#This Row],[HABER]],0)</f>
        <v>0</v>
      </c>
      <c r="H1375" s="18">
        <f>IF(tbal[[#This Row],[HABER]]-tbal[[#This Row],[DEBE]]&gt;0,tbal[[#This Row],[HABER]]-tbal[[#This Row],[DEBE]],0)</f>
        <v>0</v>
      </c>
      <c r="I1375" s="16">
        <f>IF((OR(tbal[[#This Row],[X]]=1,tbal[[#This Row],[X]]=2)),tbal[[#This Row],[DEUDOR]],0)</f>
        <v>0</v>
      </c>
      <c r="J1375" s="18">
        <f>IF((OR(tbal[[#This Row],[X]]=2,tbal[[#This Row],[X]]=3)),tbal[[#This Row],[ACREEDOR]],0)</f>
        <v>0</v>
      </c>
      <c r="K1375" s="16">
        <f>IF((OR(tbal[[#This Row],[X]]=3,tbal[[#This Row],[X]]=5)),tbal[[#This Row],[DEUDOR]],0)</f>
        <v>0</v>
      </c>
      <c r="L1375" s="18">
        <f>IF((OR(tbal[[#This Row],[X]]=3,tbal[[#This Row],[X]]=4)),tbal[[#This Row],[ACREEDOR]],0)</f>
        <v>0</v>
      </c>
      <c r="M1375" s="16">
        <f>IF((OR(tbal[[#This Row],[X]]=0,tbal[[#This Row],[X]]=6)),tbal[[#This Row],[DEUDOR]],0)</f>
        <v>0</v>
      </c>
      <c r="N1375" s="18">
        <f>IF((OR(tbal[[#This Row],[X]]=0,tbal[[#This Row],[X]]=5)),tbal[[#This Row],[ACREEDOR]],0)</f>
        <v>0</v>
      </c>
    </row>
    <row r="1376" spans="1:14" hidden="1" x14ac:dyDescent="0.3">
      <c r="A1376" s="14">
        <f>+'PLAN DE CUENTAS'!A1376</f>
        <v>0</v>
      </c>
      <c r="B1376" s="13">
        <f>+'PLAN DE CUENTAS'!B1376</f>
        <v>0</v>
      </c>
      <c r="C1376" s="13">
        <f>+'PLAN DE CUENTAS'!C1376</f>
        <v>0</v>
      </c>
      <c r="D1376" t="str">
        <f>IF(tbal[[#This Row],[DEBE]]+tbal[[#This Row],[HABER]]=0,"","X")</f>
        <v/>
      </c>
      <c r="E1376" s="16">
        <f>SUMIF(tdiario[CUENTA],tbal[[#This Row],[CUENTA]],tdiario[DEBE])</f>
        <v>0</v>
      </c>
      <c r="F1376" s="17">
        <f>SUMIF(tdiario[CUENTA],tbal[[#This Row],[CUENTA]],tdiario[HABER])</f>
        <v>0</v>
      </c>
      <c r="G1376" s="16">
        <f>IF(tbal[[#This Row],[DEBE]]-tbal[[#This Row],[HABER]]&gt;0,tbal[[#This Row],[DEBE]]-tbal[[#This Row],[HABER]],0)</f>
        <v>0</v>
      </c>
      <c r="H1376" s="18">
        <f>IF(tbal[[#This Row],[HABER]]-tbal[[#This Row],[DEBE]]&gt;0,tbal[[#This Row],[HABER]]-tbal[[#This Row],[DEBE]],0)</f>
        <v>0</v>
      </c>
      <c r="I1376" s="16">
        <f>IF((OR(tbal[[#This Row],[X]]=1,tbal[[#This Row],[X]]=2)),tbal[[#This Row],[DEUDOR]],0)</f>
        <v>0</v>
      </c>
      <c r="J1376" s="18">
        <f>IF((OR(tbal[[#This Row],[X]]=2,tbal[[#This Row],[X]]=3)),tbal[[#This Row],[ACREEDOR]],0)</f>
        <v>0</v>
      </c>
      <c r="K1376" s="16">
        <f>IF((OR(tbal[[#This Row],[X]]=3,tbal[[#This Row],[X]]=5)),tbal[[#This Row],[DEUDOR]],0)</f>
        <v>0</v>
      </c>
      <c r="L1376" s="18">
        <f>IF((OR(tbal[[#This Row],[X]]=3,tbal[[#This Row],[X]]=4)),tbal[[#This Row],[ACREEDOR]],0)</f>
        <v>0</v>
      </c>
      <c r="M1376" s="16">
        <f>IF((OR(tbal[[#This Row],[X]]=0,tbal[[#This Row],[X]]=6)),tbal[[#This Row],[DEUDOR]],0)</f>
        <v>0</v>
      </c>
      <c r="N1376" s="18">
        <f>IF((OR(tbal[[#This Row],[X]]=0,tbal[[#This Row],[X]]=5)),tbal[[#This Row],[ACREEDOR]],0)</f>
        <v>0</v>
      </c>
    </row>
    <row r="1377" spans="1:14" hidden="1" x14ac:dyDescent="0.3">
      <c r="A1377" s="14">
        <f>+'PLAN DE CUENTAS'!A1377</f>
        <v>0</v>
      </c>
      <c r="B1377" s="13">
        <f>+'PLAN DE CUENTAS'!B1377</f>
        <v>0</v>
      </c>
      <c r="C1377" s="13">
        <f>+'PLAN DE CUENTAS'!C1377</f>
        <v>0</v>
      </c>
      <c r="D1377" t="str">
        <f>IF(tbal[[#This Row],[DEBE]]+tbal[[#This Row],[HABER]]=0,"","X")</f>
        <v/>
      </c>
      <c r="E1377" s="16">
        <f>SUMIF(tdiario[CUENTA],tbal[[#This Row],[CUENTA]],tdiario[DEBE])</f>
        <v>0</v>
      </c>
      <c r="F1377" s="17">
        <f>SUMIF(tdiario[CUENTA],tbal[[#This Row],[CUENTA]],tdiario[HABER])</f>
        <v>0</v>
      </c>
      <c r="G1377" s="16">
        <f>IF(tbal[[#This Row],[DEBE]]-tbal[[#This Row],[HABER]]&gt;0,tbal[[#This Row],[DEBE]]-tbal[[#This Row],[HABER]],0)</f>
        <v>0</v>
      </c>
      <c r="H1377" s="18">
        <f>IF(tbal[[#This Row],[HABER]]-tbal[[#This Row],[DEBE]]&gt;0,tbal[[#This Row],[HABER]]-tbal[[#This Row],[DEBE]],0)</f>
        <v>0</v>
      </c>
      <c r="I1377" s="16">
        <f>IF((OR(tbal[[#This Row],[X]]=1,tbal[[#This Row],[X]]=2)),tbal[[#This Row],[DEUDOR]],0)</f>
        <v>0</v>
      </c>
      <c r="J1377" s="18">
        <f>IF((OR(tbal[[#This Row],[X]]=2,tbal[[#This Row],[X]]=3)),tbal[[#This Row],[ACREEDOR]],0)</f>
        <v>0</v>
      </c>
      <c r="K1377" s="16">
        <f>IF((OR(tbal[[#This Row],[X]]=3,tbal[[#This Row],[X]]=5)),tbal[[#This Row],[DEUDOR]],0)</f>
        <v>0</v>
      </c>
      <c r="L1377" s="18">
        <f>IF((OR(tbal[[#This Row],[X]]=3,tbal[[#This Row],[X]]=4)),tbal[[#This Row],[ACREEDOR]],0)</f>
        <v>0</v>
      </c>
      <c r="M1377" s="16">
        <f>IF((OR(tbal[[#This Row],[X]]=0,tbal[[#This Row],[X]]=6)),tbal[[#This Row],[DEUDOR]],0)</f>
        <v>0</v>
      </c>
      <c r="N1377" s="18">
        <f>IF((OR(tbal[[#This Row],[X]]=0,tbal[[#This Row],[X]]=5)),tbal[[#This Row],[ACREEDOR]],0)</f>
        <v>0</v>
      </c>
    </row>
    <row r="1378" spans="1:14" hidden="1" x14ac:dyDescent="0.3">
      <c r="A1378" s="14">
        <f>+'PLAN DE CUENTAS'!A1378</f>
        <v>0</v>
      </c>
      <c r="B1378" s="13">
        <f>+'PLAN DE CUENTAS'!B1378</f>
        <v>0</v>
      </c>
      <c r="C1378" s="13">
        <f>+'PLAN DE CUENTAS'!C1378</f>
        <v>0</v>
      </c>
      <c r="D1378" t="str">
        <f>IF(tbal[[#This Row],[DEBE]]+tbal[[#This Row],[HABER]]=0,"","X")</f>
        <v/>
      </c>
      <c r="E1378" s="16">
        <f>SUMIF(tdiario[CUENTA],tbal[[#This Row],[CUENTA]],tdiario[DEBE])</f>
        <v>0</v>
      </c>
      <c r="F1378" s="17">
        <f>SUMIF(tdiario[CUENTA],tbal[[#This Row],[CUENTA]],tdiario[HABER])</f>
        <v>0</v>
      </c>
      <c r="G1378" s="16">
        <f>IF(tbal[[#This Row],[DEBE]]-tbal[[#This Row],[HABER]]&gt;0,tbal[[#This Row],[DEBE]]-tbal[[#This Row],[HABER]],0)</f>
        <v>0</v>
      </c>
      <c r="H1378" s="18">
        <f>IF(tbal[[#This Row],[HABER]]-tbal[[#This Row],[DEBE]]&gt;0,tbal[[#This Row],[HABER]]-tbal[[#This Row],[DEBE]],0)</f>
        <v>0</v>
      </c>
      <c r="I1378" s="16">
        <f>IF((OR(tbal[[#This Row],[X]]=1,tbal[[#This Row],[X]]=2)),tbal[[#This Row],[DEUDOR]],0)</f>
        <v>0</v>
      </c>
      <c r="J1378" s="18">
        <f>IF((OR(tbal[[#This Row],[X]]=2,tbal[[#This Row],[X]]=3)),tbal[[#This Row],[ACREEDOR]],0)</f>
        <v>0</v>
      </c>
      <c r="K1378" s="16">
        <f>IF((OR(tbal[[#This Row],[X]]=3,tbal[[#This Row],[X]]=5)),tbal[[#This Row],[DEUDOR]],0)</f>
        <v>0</v>
      </c>
      <c r="L1378" s="18">
        <f>IF((OR(tbal[[#This Row],[X]]=3,tbal[[#This Row],[X]]=4)),tbal[[#This Row],[ACREEDOR]],0)</f>
        <v>0</v>
      </c>
      <c r="M1378" s="16">
        <f>IF((OR(tbal[[#This Row],[X]]=0,tbal[[#This Row],[X]]=6)),tbal[[#This Row],[DEUDOR]],0)</f>
        <v>0</v>
      </c>
      <c r="N1378" s="18">
        <f>IF((OR(tbal[[#This Row],[X]]=0,tbal[[#This Row],[X]]=5)),tbal[[#This Row],[ACREEDOR]],0)</f>
        <v>0</v>
      </c>
    </row>
    <row r="1379" spans="1:14" hidden="1" x14ac:dyDescent="0.3">
      <c r="A1379" s="14">
        <f>+'PLAN DE CUENTAS'!A1379</f>
        <v>0</v>
      </c>
      <c r="B1379" s="13">
        <f>+'PLAN DE CUENTAS'!B1379</f>
        <v>0</v>
      </c>
      <c r="C1379" s="13">
        <f>+'PLAN DE CUENTAS'!C1379</f>
        <v>0</v>
      </c>
      <c r="D1379" t="str">
        <f>IF(tbal[[#This Row],[DEBE]]+tbal[[#This Row],[HABER]]=0,"","X")</f>
        <v/>
      </c>
      <c r="E1379" s="16">
        <f>SUMIF(tdiario[CUENTA],tbal[[#This Row],[CUENTA]],tdiario[DEBE])</f>
        <v>0</v>
      </c>
      <c r="F1379" s="17">
        <f>SUMIF(tdiario[CUENTA],tbal[[#This Row],[CUENTA]],tdiario[HABER])</f>
        <v>0</v>
      </c>
      <c r="G1379" s="16">
        <f>IF(tbal[[#This Row],[DEBE]]-tbal[[#This Row],[HABER]]&gt;0,tbal[[#This Row],[DEBE]]-tbal[[#This Row],[HABER]],0)</f>
        <v>0</v>
      </c>
      <c r="H1379" s="18">
        <f>IF(tbal[[#This Row],[HABER]]-tbal[[#This Row],[DEBE]]&gt;0,tbal[[#This Row],[HABER]]-tbal[[#This Row],[DEBE]],0)</f>
        <v>0</v>
      </c>
      <c r="I1379" s="16">
        <f>IF((OR(tbal[[#This Row],[X]]=1,tbal[[#This Row],[X]]=2)),tbal[[#This Row],[DEUDOR]],0)</f>
        <v>0</v>
      </c>
      <c r="J1379" s="18">
        <f>IF((OR(tbal[[#This Row],[X]]=2,tbal[[#This Row],[X]]=3)),tbal[[#This Row],[ACREEDOR]],0)</f>
        <v>0</v>
      </c>
      <c r="K1379" s="16">
        <f>IF((OR(tbal[[#This Row],[X]]=3,tbal[[#This Row],[X]]=5)),tbal[[#This Row],[DEUDOR]],0)</f>
        <v>0</v>
      </c>
      <c r="L1379" s="18">
        <f>IF((OR(tbal[[#This Row],[X]]=3,tbal[[#This Row],[X]]=4)),tbal[[#This Row],[ACREEDOR]],0)</f>
        <v>0</v>
      </c>
      <c r="M1379" s="16">
        <f>IF((OR(tbal[[#This Row],[X]]=0,tbal[[#This Row],[X]]=6)),tbal[[#This Row],[DEUDOR]],0)</f>
        <v>0</v>
      </c>
      <c r="N1379" s="18">
        <f>IF((OR(tbal[[#This Row],[X]]=0,tbal[[#This Row],[X]]=5)),tbal[[#This Row],[ACREEDOR]],0)</f>
        <v>0</v>
      </c>
    </row>
    <row r="1380" spans="1:14" hidden="1" x14ac:dyDescent="0.3">
      <c r="A1380" s="14">
        <f>+'PLAN DE CUENTAS'!A1380</f>
        <v>0</v>
      </c>
      <c r="B1380" s="13">
        <f>+'PLAN DE CUENTAS'!B1380</f>
        <v>0</v>
      </c>
      <c r="C1380" s="13">
        <f>+'PLAN DE CUENTAS'!C1380</f>
        <v>0</v>
      </c>
      <c r="D1380" t="str">
        <f>IF(tbal[[#This Row],[DEBE]]+tbal[[#This Row],[HABER]]=0,"","X")</f>
        <v/>
      </c>
      <c r="E1380" s="16">
        <f>SUMIF(tdiario[CUENTA],tbal[[#This Row],[CUENTA]],tdiario[DEBE])</f>
        <v>0</v>
      </c>
      <c r="F1380" s="17">
        <f>SUMIF(tdiario[CUENTA],tbal[[#This Row],[CUENTA]],tdiario[HABER])</f>
        <v>0</v>
      </c>
      <c r="G1380" s="16">
        <f>IF(tbal[[#This Row],[DEBE]]-tbal[[#This Row],[HABER]]&gt;0,tbal[[#This Row],[DEBE]]-tbal[[#This Row],[HABER]],0)</f>
        <v>0</v>
      </c>
      <c r="H1380" s="18">
        <f>IF(tbal[[#This Row],[HABER]]-tbal[[#This Row],[DEBE]]&gt;0,tbal[[#This Row],[HABER]]-tbal[[#This Row],[DEBE]],0)</f>
        <v>0</v>
      </c>
      <c r="I1380" s="16">
        <f>IF((OR(tbal[[#This Row],[X]]=1,tbal[[#This Row],[X]]=2)),tbal[[#This Row],[DEUDOR]],0)</f>
        <v>0</v>
      </c>
      <c r="J1380" s="18">
        <f>IF((OR(tbal[[#This Row],[X]]=2,tbal[[#This Row],[X]]=3)),tbal[[#This Row],[ACREEDOR]],0)</f>
        <v>0</v>
      </c>
      <c r="K1380" s="16">
        <f>IF((OR(tbal[[#This Row],[X]]=3,tbal[[#This Row],[X]]=5)),tbal[[#This Row],[DEUDOR]],0)</f>
        <v>0</v>
      </c>
      <c r="L1380" s="18">
        <f>IF((OR(tbal[[#This Row],[X]]=3,tbal[[#This Row],[X]]=4)),tbal[[#This Row],[ACREEDOR]],0)</f>
        <v>0</v>
      </c>
      <c r="M1380" s="16">
        <f>IF((OR(tbal[[#This Row],[X]]=0,tbal[[#This Row],[X]]=6)),tbal[[#This Row],[DEUDOR]],0)</f>
        <v>0</v>
      </c>
      <c r="N1380" s="18">
        <f>IF((OR(tbal[[#This Row],[X]]=0,tbal[[#This Row],[X]]=5)),tbal[[#This Row],[ACREEDOR]],0)</f>
        <v>0</v>
      </c>
    </row>
    <row r="1381" spans="1:14" hidden="1" x14ac:dyDescent="0.3">
      <c r="A1381" s="14">
        <f>+'PLAN DE CUENTAS'!A1381</f>
        <v>0</v>
      </c>
      <c r="B1381" s="13">
        <f>+'PLAN DE CUENTAS'!B1381</f>
        <v>0</v>
      </c>
      <c r="C1381" s="13">
        <f>+'PLAN DE CUENTAS'!C1381</f>
        <v>0</v>
      </c>
      <c r="D1381" t="str">
        <f>IF(tbal[[#This Row],[DEBE]]+tbal[[#This Row],[HABER]]=0,"","X")</f>
        <v/>
      </c>
      <c r="E1381" s="16">
        <f>SUMIF(tdiario[CUENTA],tbal[[#This Row],[CUENTA]],tdiario[DEBE])</f>
        <v>0</v>
      </c>
      <c r="F1381" s="17">
        <f>SUMIF(tdiario[CUENTA],tbal[[#This Row],[CUENTA]],tdiario[HABER])</f>
        <v>0</v>
      </c>
      <c r="G1381" s="16">
        <f>IF(tbal[[#This Row],[DEBE]]-tbal[[#This Row],[HABER]]&gt;0,tbal[[#This Row],[DEBE]]-tbal[[#This Row],[HABER]],0)</f>
        <v>0</v>
      </c>
      <c r="H1381" s="18">
        <f>IF(tbal[[#This Row],[HABER]]-tbal[[#This Row],[DEBE]]&gt;0,tbal[[#This Row],[HABER]]-tbal[[#This Row],[DEBE]],0)</f>
        <v>0</v>
      </c>
      <c r="I1381" s="16">
        <f>IF((OR(tbal[[#This Row],[X]]=1,tbal[[#This Row],[X]]=2)),tbal[[#This Row],[DEUDOR]],0)</f>
        <v>0</v>
      </c>
      <c r="J1381" s="18">
        <f>IF((OR(tbal[[#This Row],[X]]=2,tbal[[#This Row],[X]]=3)),tbal[[#This Row],[ACREEDOR]],0)</f>
        <v>0</v>
      </c>
      <c r="K1381" s="16">
        <f>IF((OR(tbal[[#This Row],[X]]=3,tbal[[#This Row],[X]]=5)),tbal[[#This Row],[DEUDOR]],0)</f>
        <v>0</v>
      </c>
      <c r="L1381" s="18">
        <f>IF((OR(tbal[[#This Row],[X]]=3,tbal[[#This Row],[X]]=4)),tbal[[#This Row],[ACREEDOR]],0)</f>
        <v>0</v>
      </c>
      <c r="M1381" s="16">
        <f>IF((OR(tbal[[#This Row],[X]]=0,tbal[[#This Row],[X]]=6)),tbal[[#This Row],[DEUDOR]],0)</f>
        <v>0</v>
      </c>
      <c r="N1381" s="18">
        <f>IF((OR(tbal[[#This Row],[X]]=0,tbal[[#This Row],[X]]=5)),tbal[[#This Row],[ACREEDOR]],0)</f>
        <v>0</v>
      </c>
    </row>
    <row r="1382" spans="1:14" hidden="1" x14ac:dyDescent="0.3">
      <c r="A1382" s="14">
        <f>+'PLAN DE CUENTAS'!A1382</f>
        <v>0</v>
      </c>
      <c r="B1382" s="13">
        <f>+'PLAN DE CUENTAS'!B1382</f>
        <v>0</v>
      </c>
      <c r="C1382" s="13">
        <f>+'PLAN DE CUENTAS'!C1382</f>
        <v>0</v>
      </c>
      <c r="D1382" t="str">
        <f>IF(tbal[[#This Row],[DEBE]]+tbal[[#This Row],[HABER]]=0,"","X")</f>
        <v/>
      </c>
      <c r="E1382" s="16">
        <f>SUMIF(tdiario[CUENTA],tbal[[#This Row],[CUENTA]],tdiario[DEBE])</f>
        <v>0</v>
      </c>
      <c r="F1382" s="17">
        <f>SUMIF(tdiario[CUENTA],tbal[[#This Row],[CUENTA]],tdiario[HABER])</f>
        <v>0</v>
      </c>
      <c r="G1382" s="16">
        <f>IF(tbal[[#This Row],[DEBE]]-tbal[[#This Row],[HABER]]&gt;0,tbal[[#This Row],[DEBE]]-tbal[[#This Row],[HABER]],0)</f>
        <v>0</v>
      </c>
      <c r="H1382" s="18">
        <f>IF(tbal[[#This Row],[HABER]]-tbal[[#This Row],[DEBE]]&gt;0,tbal[[#This Row],[HABER]]-tbal[[#This Row],[DEBE]],0)</f>
        <v>0</v>
      </c>
      <c r="I1382" s="16">
        <f>IF((OR(tbal[[#This Row],[X]]=1,tbal[[#This Row],[X]]=2)),tbal[[#This Row],[DEUDOR]],0)</f>
        <v>0</v>
      </c>
      <c r="J1382" s="18">
        <f>IF((OR(tbal[[#This Row],[X]]=2,tbal[[#This Row],[X]]=3)),tbal[[#This Row],[ACREEDOR]],0)</f>
        <v>0</v>
      </c>
      <c r="K1382" s="16">
        <f>IF((OR(tbal[[#This Row],[X]]=3,tbal[[#This Row],[X]]=5)),tbal[[#This Row],[DEUDOR]],0)</f>
        <v>0</v>
      </c>
      <c r="L1382" s="18">
        <f>IF((OR(tbal[[#This Row],[X]]=3,tbal[[#This Row],[X]]=4)),tbal[[#This Row],[ACREEDOR]],0)</f>
        <v>0</v>
      </c>
      <c r="M1382" s="16">
        <f>IF((OR(tbal[[#This Row],[X]]=0,tbal[[#This Row],[X]]=6)),tbal[[#This Row],[DEUDOR]],0)</f>
        <v>0</v>
      </c>
      <c r="N1382" s="18">
        <f>IF((OR(tbal[[#This Row],[X]]=0,tbal[[#This Row],[X]]=5)),tbal[[#This Row],[ACREEDOR]],0)</f>
        <v>0</v>
      </c>
    </row>
    <row r="1383" spans="1:14" hidden="1" x14ac:dyDescent="0.3">
      <c r="A1383" s="14">
        <f>+'PLAN DE CUENTAS'!A1383</f>
        <v>0</v>
      </c>
      <c r="B1383" s="13">
        <f>+'PLAN DE CUENTAS'!B1383</f>
        <v>0</v>
      </c>
      <c r="C1383" s="13">
        <f>+'PLAN DE CUENTAS'!C1383</f>
        <v>0</v>
      </c>
      <c r="D1383" t="str">
        <f>IF(tbal[[#This Row],[DEBE]]+tbal[[#This Row],[HABER]]=0,"","X")</f>
        <v/>
      </c>
      <c r="E1383" s="16">
        <f>SUMIF(tdiario[CUENTA],tbal[[#This Row],[CUENTA]],tdiario[DEBE])</f>
        <v>0</v>
      </c>
      <c r="F1383" s="17">
        <f>SUMIF(tdiario[CUENTA],tbal[[#This Row],[CUENTA]],tdiario[HABER])</f>
        <v>0</v>
      </c>
      <c r="G1383" s="16">
        <f>IF(tbal[[#This Row],[DEBE]]-tbal[[#This Row],[HABER]]&gt;0,tbal[[#This Row],[DEBE]]-tbal[[#This Row],[HABER]],0)</f>
        <v>0</v>
      </c>
      <c r="H1383" s="18">
        <f>IF(tbal[[#This Row],[HABER]]-tbal[[#This Row],[DEBE]]&gt;0,tbal[[#This Row],[HABER]]-tbal[[#This Row],[DEBE]],0)</f>
        <v>0</v>
      </c>
      <c r="I1383" s="16">
        <f>IF((OR(tbal[[#This Row],[X]]=1,tbal[[#This Row],[X]]=2)),tbal[[#This Row],[DEUDOR]],0)</f>
        <v>0</v>
      </c>
      <c r="J1383" s="18">
        <f>IF((OR(tbal[[#This Row],[X]]=2,tbal[[#This Row],[X]]=3)),tbal[[#This Row],[ACREEDOR]],0)</f>
        <v>0</v>
      </c>
      <c r="K1383" s="16">
        <f>IF((OR(tbal[[#This Row],[X]]=3,tbal[[#This Row],[X]]=5)),tbal[[#This Row],[DEUDOR]],0)</f>
        <v>0</v>
      </c>
      <c r="L1383" s="18">
        <f>IF((OR(tbal[[#This Row],[X]]=3,tbal[[#This Row],[X]]=4)),tbal[[#This Row],[ACREEDOR]],0)</f>
        <v>0</v>
      </c>
      <c r="M1383" s="16">
        <f>IF((OR(tbal[[#This Row],[X]]=0,tbal[[#This Row],[X]]=6)),tbal[[#This Row],[DEUDOR]],0)</f>
        <v>0</v>
      </c>
      <c r="N1383" s="18">
        <f>IF((OR(tbal[[#This Row],[X]]=0,tbal[[#This Row],[X]]=5)),tbal[[#This Row],[ACREEDOR]],0)</f>
        <v>0</v>
      </c>
    </row>
    <row r="1384" spans="1:14" hidden="1" x14ac:dyDescent="0.3">
      <c r="A1384" s="14">
        <f>+'PLAN DE CUENTAS'!A1384</f>
        <v>0</v>
      </c>
      <c r="B1384" s="13">
        <f>+'PLAN DE CUENTAS'!B1384</f>
        <v>0</v>
      </c>
      <c r="C1384" s="13">
        <f>+'PLAN DE CUENTAS'!C1384</f>
        <v>0</v>
      </c>
      <c r="D1384" t="str">
        <f>IF(tbal[[#This Row],[DEBE]]+tbal[[#This Row],[HABER]]=0,"","X")</f>
        <v/>
      </c>
      <c r="E1384" s="16">
        <f>SUMIF(tdiario[CUENTA],tbal[[#This Row],[CUENTA]],tdiario[DEBE])</f>
        <v>0</v>
      </c>
      <c r="F1384" s="17">
        <f>SUMIF(tdiario[CUENTA],tbal[[#This Row],[CUENTA]],tdiario[HABER])</f>
        <v>0</v>
      </c>
      <c r="G1384" s="16">
        <f>IF(tbal[[#This Row],[DEBE]]-tbal[[#This Row],[HABER]]&gt;0,tbal[[#This Row],[DEBE]]-tbal[[#This Row],[HABER]],0)</f>
        <v>0</v>
      </c>
      <c r="H1384" s="18">
        <f>IF(tbal[[#This Row],[HABER]]-tbal[[#This Row],[DEBE]]&gt;0,tbal[[#This Row],[HABER]]-tbal[[#This Row],[DEBE]],0)</f>
        <v>0</v>
      </c>
      <c r="I1384" s="16">
        <f>IF((OR(tbal[[#This Row],[X]]=1,tbal[[#This Row],[X]]=2)),tbal[[#This Row],[DEUDOR]],0)</f>
        <v>0</v>
      </c>
      <c r="J1384" s="18">
        <f>IF((OR(tbal[[#This Row],[X]]=2,tbal[[#This Row],[X]]=3)),tbal[[#This Row],[ACREEDOR]],0)</f>
        <v>0</v>
      </c>
      <c r="K1384" s="16">
        <f>IF((OR(tbal[[#This Row],[X]]=3,tbal[[#This Row],[X]]=5)),tbal[[#This Row],[DEUDOR]],0)</f>
        <v>0</v>
      </c>
      <c r="L1384" s="18">
        <f>IF((OR(tbal[[#This Row],[X]]=3,tbal[[#This Row],[X]]=4)),tbal[[#This Row],[ACREEDOR]],0)</f>
        <v>0</v>
      </c>
      <c r="M1384" s="16">
        <f>IF((OR(tbal[[#This Row],[X]]=0,tbal[[#This Row],[X]]=6)),tbal[[#This Row],[DEUDOR]],0)</f>
        <v>0</v>
      </c>
      <c r="N1384" s="18">
        <f>IF((OR(tbal[[#This Row],[X]]=0,tbal[[#This Row],[X]]=5)),tbal[[#This Row],[ACREEDOR]],0)</f>
        <v>0</v>
      </c>
    </row>
    <row r="1385" spans="1:14" hidden="1" x14ac:dyDescent="0.3">
      <c r="A1385" s="14">
        <f>+'PLAN DE CUENTAS'!A1385</f>
        <v>0</v>
      </c>
      <c r="B1385" s="13">
        <f>+'PLAN DE CUENTAS'!B1385</f>
        <v>0</v>
      </c>
      <c r="C1385" s="13">
        <f>+'PLAN DE CUENTAS'!C1385</f>
        <v>0</v>
      </c>
      <c r="D1385" t="str">
        <f>IF(tbal[[#This Row],[DEBE]]+tbal[[#This Row],[HABER]]=0,"","X")</f>
        <v/>
      </c>
      <c r="E1385" s="16">
        <f>SUMIF(tdiario[CUENTA],tbal[[#This Row],[CUENTA]],tdiario[DEBE])</f>
        <v>0</v>
      </c>
      <c r="F1385" s="17">
        <f>SUMIF(tdiario[CUENTA],tbal[[#This Row],[CUENTA]],tdiario[HABER])</f>
        <v>0</v>
      </c>
      <c r="G1385" s="16">
        <f>IF(tbal[[#This Row],[DEBE]]-tbal[[#This Row],[HABER]]&gt;0,tbal[[#This Row],[DEBE]]-tbal[[#This Row],[HABER]],0)</f>
        <v>0</v>
      </c>
      <c r="H1385" s="18">
        <f>IF(tbal[[#This Row],[HABER]]-tbal[[#This Row],[DEBE]]&gt;0,tbal[[#This Row],[HABER]]-tbal[[#This Row],[DEBE]],0)</f>
        <v>0</v>
      </c>
      <c r="I1385" s="16">
        <f>IF((OR(tbal[[#This Row],[X]]=1,tbal[[#This Row],[X]]=2)),tbal[[#This Row],[DEUDOR]],0)</f>
        <v>0</v>
      </c>
      <c r="J1385" s="18">
        <f>IF((OR(tbal[[#This Row],[X]]=2,tbal[[#This Row],[X]]=3)),tbal[[#This Row],[ACREEDOR]],0)</f>
        <v>0</v>
      </c>
      <c r="K1385" s="16">
        <f>IF((OR(tbal[[#This Row],[X]]=3,tbal[[#This Row],[X]]=5)),tbal[[#This Row],[DEUDOR]],0)</f>
        <v>0</v>
      </c>
      <c r="L1385" s="18">
        <f>IF((OR(tbal[[#This Row],[X]]=3,tbal[[#This Row],[X]]=4)),tbal[[#This Row],[ACREEDOR]],0)</f>
        <v>0</v>
      </c>
      <c r="M1385" s="16">
        <f>IF((OR(tbal[[#This Row],[X]]=0,tbal[[#This Row],[X]]=6)),tbal[[#This Row],[DEUDOR]],0)</f>
        <v>0</v>
      </c>
      <c r="N1385" s="18">
        <f>IF((OR(tbal[[#This Row],[X]]=0,tbal[[#This Row],[X]]=5)),tbal[[#This Row],[ACREEDOR]],0)</f>
        <v>0</v>
      </c>
    </row>
    <row r="1386" spans="1:14" hidden="1" x14ac:dyDescent="0.3">
      <c r="A1386" s="14">
        <f>+'PLAN DE CUENTAS'!A1386</f>
        <v>0</v>
      </c>
      <c r="B1386" s="13">
        <f>+'PLAN DE CUENTAS'!B1386</f>
        <v>0</v>
      </c>
      <c r="C1386" s="13">
        <f>+'PLAN DE CUENTAS'!C1386</f>
        <v>0</v>
      </c>
      <c r="D1386" t="str">
        <f>IF(tbal[[#This Row],[DEBE]]+tbal[[#This Row],[HABER]]=0,"","X")</f>
        <v/>
      </c>
      <c r="E1386" s="16">
        <f>SUMIF(tdiario[CUENTA],tbal[[#This Row],[CUENTA]],tdiario[DEBE])</f>
        <v>0</v>
      </c>
      <c r="F1386" s="17">
        <f>SUMIF(tdiario[CUENTA],tbal[[#This Row],[CUENTA]],tdiario[HABER])</f>
        <v>0</v>
      </c>
      <c r="G1386" s="16">
        <f>IF(tbal[[#This Row],[DEBE]]-tbal[[#This Row],[HABER]]&gt;0,tbal[[#This Row],[DEBE]]-tbal[[#This Row],[HABER]],0)</f>
        <v>0</v>
      </c>
      <c r="H1386" s="18">
        <f>IF(tbal[[#This Row],[HABER]]-tbal[[#This Row],[DEBE]]&gt;0,tbal[[#This Row],[HABER]]-tbal[[#This Row],[DEBE]],0)</f>
        <v>0</v>
      </c>
      <c r="I1386" s="16">
        <f>IF((OR(tbal[[#This Row],[X]]=1,tbal[[#This Row],[X]]=2)),tbal[[#This Row],[DEUDOR]],0)</f>
        <v>0</v>
      </c>
      <c r="J1386" s="18">
        <f>IF((OR(tbal[[#This Row],[X]]=2,tbal[[#This Row],[X]]=3)),tbal[[#This Row],[ACREEDOR]],0)</f>
        <v>0</v>
      </c>
      <c r="K1386" s="16">
        <f>IF((OR(tbal[[#This Row],[X]]=3,tbal[[#This Row],[X]]=5)),tbal[[#This Row],[DEUDOR]],0)</f>
        <v>0</v>
      </c>
      <c r="L1386" s="18">
        <f>IF((OR(tbal[[#This Row],[X]]=3,tbal[[#This Row],[X]]=4)),tbal[[#This Row],[ACREEDOR]],0)</f>
        <v>0</v>
      </c>
      <c r="M1386" s="16">
        <f>IF((OR(tbal[[#This Row],[X]]=0,tbal[[#This Row],[X]]=6)),tbal[[#This Row],[DEUDOR]],0)</f>
        <v>0</v>
      </c>
      <c r="N1386" s="18">
        <f>IF((OR(tbal[[#This Row],[X]]=0,tbal[[#This Row],[X]]=5)),tbal[[#This Row],[ACREEDOR]],0)</f>
        <v>0</v>
      </c>
    </row>
    <row r="1387" spans="1:14" hidden="1" x14ac:dyDescent="0.3">
      <c r="A1387" s="14">
        <f>+'PLAN DE CUENTAS'!A1387</f>
        <v>0</v>
      </c>
      <c r="B1387" s="13">
        <f>+'PLAN DE CUENTAS'!B1387</f>
        <v>0</v>
      </c>
      <c r="C1387" s="13">
        <f>+'PLAN DE CUENTAS'!C1387</f>
        <v>0</v>
      </c>
      <c r="D1387" t="str">
        <f>IF(tbal[[#This Row],[DEBE]]+tbal[[#This Row],[HABER]]=0,"","X")</f>
        <v/>
      </c>
      <c r="E1387" s="16">
        <f>SUMIF(tdiario[CUENTA],tbal[[#This Row],[CUENTA]],tdiario[DEBE])</f>
        <v>0</v>
      </c>
      <c r="F1387" s="17">
        <f>SUMIF(tdiario[CUENTA],tbal[[#This Row],[CUENTA]],tdiario[HABER])</f>
        <v>0</v>
      </c>
      <c r="G1387" s="16">
        <f>IF(tbal[[#This Row],[DEBE]]-tbal[[#This Row],[HABER]]&gt;0,tbal[[#This Row],[DEBE]]-tbal[[#This Row],[HABER]],0)</f>
        <v>0</v>
      </c>
      <c r="H1387" s="18">
        <f>IF(tbal[[#This Row],[HABER]]-tbal[[#This Row],[DEBE]]&gt;0,tbal[[#This Row],[HABER]]-tbal[[#This Row],[DEBE]],0)</f>
        <v>0</v>
      </c>
      <c r="I1387" s="16">
        <f>IF((OR(tbal[[#This Row],[X]]=1,tbal[[#This Row],[X]]=2)),tbal[[#This Row],[DEUDOR]],0)</f>
        <v>0</v>
      </c>
      <c r="J1387" s="18">
        <f>IF((OR(tbal[[#This Row],[X]]=2,tbal[[#This Row],[X]]=3)),tbal[[#This Row],[ACREEDOR]],0)</f>
        <v>0</v>
      </c>
      <c r="K1387" s="16">
        <f>IF((OR(tbal[[#This Row],[X]]=3,tbal[[#This Row],[X]]=5)),tbal[[#This Row],[DEUDOR]],0)</f>
        <v>0</v>
      </c>
      <c r="L1387" s="18">
        <f>IF((OR(tbal[[#This Row],[X]]=3,tbal[[#This Row],[X]]=4)),tbal[[#This Row],[ACREEDOR]],0)</f>
        <v>0</v>
      </c>
      <c r="M1387" s="16">
        <f>IF((OR(tbal[[#This Row],[X]]=0,tbal[[#This Row],[X]]=6)),tbal[[#This Row],[DEUDOR]],0)</f>
        <v>0</v>
      </c>
      <c r="N1387" s="18">
        <f>IF((OR(tbal[[#This Row],[X]]=0,tbal[[#This Row],[X]]=5)),tbal[[#This Row],[ACREEDOR]],0)</f>
        <v>0</v>
      </c>
    </row>
    <row r="1388" spans="1:14" hidden="1" x14ac:dyDescent="0.3">
      <c r="A1388" s="14">
        <f>+'PLAN DE CUENTAS'!A1388</f>
        <v>0</v>
      </c>
      <c r="B1388" s="13">
        <f>+'PLAN DE CUENTAS'!B1388</f>
        <v>0</v>
      </c>
      <c r="C1388" s="13">
        <f>+'PLAN DE CUENTAS'!C1388</f>
        <v>0</v>
      </c>
      <c r="D1388" t="str">
        <f>IF(tbal[[#This Row],[DEBE]]+tbal[[#This Row],[HABER]]=0,"","X")</f>
        <v/>
      </c>
      <c r="E1388" s="16">
        <f>SUMIF(tdiario[CUENTA],tbal[[#This Row],[CUENTA]],tdiario[DEBE])</f>
        <v>0</v>
      </c>
      <c r="F1388" s="17">
        <f>SUMIF(tdiario[CUENTA],tbal[[#This Row],[CUENTA]],tdiario[HABER])</f>
        <v>0</v>
      </c>
      <c r="G1388" s="16">
        <f>IF(tbal[[#This Row],[DEBE]]-tbal[[#This Row],[HABER]]&gt;0,tbal[[#This Row],[DEBE]]-tbal[[#This Row],[HABER]],0)</f>
        <v>0</v>
      </c>
      <c r="H1388" s="18">
        <f>IF(tbal[[#This Row],[HABER]]-tbal[[#This Row],[DEBE]]&gt;0,tbal[[#This Row],[HABER]]-tbal[[#This Row],[DEBE]],0)</f>
        <v>0</v>
      </c>
      <c r="I1388" s="16">
        <f>IF((OR(tbal[[#This Row],[X]]=1,tbal[[#This Row],[X]]=2)),tbal[[#This Row],[DEUDOR]],0)</f>
        <v>0</v>
      </c>
      <c r="J1388" s="18">
        <f>IF((OR(tbal[[#This Row],[X]]=2,tbal[[#This Row],[X]]=3)),tbal[[#This Row],[ACREEDOR]],0)</f>
        <v>0</v>
      </c>
      <c r="K1388" s="16">
        <f>IF((OR(tbal[[#This Row],[X]]=3,tbal[[#This Row],[X]]=5)),tbal[[#This Row],[DEUDOR]],0)</f>
        <v>0</v>
      </c>
      <c r="L1388" s="18">
        <f>IF((OR(tbal[[#This Row],[X]]=3,tbal[[#This Row],[X]]=4)),tbal[[#This Row],[ACREEDOR]],0)</f>
        <v>0</v>
      </c>
      <c r="M1388" s="16">
        <f>IF((OR(tbal[[#This Row],[X]]=0,tbal[[#This Row],[X]]=6)),tbal[[#This Row],[DEUDOR]],0)</f>
        <v>0</v>
      </c>
      <c r="N1388" s="18">
        <f>IF((OR(tbal[[#This Row],[X]]=0,tbal[[#This Row],[X]]=5)),tbal[[#This Row],[ACREEDOR]],0)</f>
        <v>0</v>
      </c>
    </row>
    <row r="1389" spans="1:14" hidden="1" x14ac:dyDescent="0.3">
      <c r="A1389" s="14">
        <f>+'PLAN DE CUENTAS'!A1389</f>
        <v>0</v>
      </c>
      <c r="B1389" s="13">
        <f>+'PLAN DE CUENTAS'!B1389</f>
        <v>0</v>
      </c>
      <c r="C1389" s="13">
        <f>+'PLAN DE CUENTAS'!C1389</f>
        <v>0</v>
      </c>
      <c r="D1389" t="str">
        <f>IF(tbal[[#This Row],[DEBE]]+tbal[[#This Row],[HABER]]=0,"","X")</f>
        <v/>
      </c>
      <c r="E1389" s="16">
        <f>SUMIF(tdiario[CUENTA],tbal[[#This Row],[CUENTA]],tdiario[DEBE])</f>
        <v>0</v>
      </c>
      <c r="F1389" s="17">
        <f>SUMIF(tdiario[CUENTA],tbal[[#This Row],[CUENTA]],tdiario[HABER])</f>
        <v>0</v>
      </c>
      <c r="G1389" s="16">
        <f>IF(tbal[[#This Row],[DEBE]]-tbal[[#This Row],[HABER]]&gt;0,tbal[[#This Row],[DEBE]]-tbal[[#This Row],[HABER]],0)</f>
        <v>0</v>
      </c>
      <c r="H1389" s="18">
        <f>IF(tbal[[#This Row],[HABER]]-tbal[[#This Row],[DEBE]]&gt;0,tbal[[#This Row],[HABER]]-tbal[[#This Row],[DEBE]],0)</f>
        <v>0</v>
      </c>
      <c r="I1389" s="16">
        <f>IF((OR(tbal[[#This Row],[X]]=1,tbal[[#This Row],[X]]=2)),tbal[[#This Row],[DEUDOR]],0)</f>
        <v>0</v>
      </c>
      <c r="J1389" s="18">
        <f>IF((OR(tbal[[#This Row],[X]]=2,tbal[[#This Row],[X]]=3)),tbal[[#This Row],[ACREEDOR]],0)</f>
        <v>0</v>
      </c>
      <c r="K1389" s="16">
        <f>IF((OR(tbal[[#This Row],[X]]=3,tbal[[#This Row],[X]]=5)),tbal[[#This Row],[DEUDOR]],0)</f>
        <v>0</v>
      </c>
      <c r="L1389" s="18">
        <f>IF((OR(tbal[[#This Row],[X]]=3,tbal[[#This Row],[X]]=4)),tbal[[#This Row],[ACREEDOR]],0)</f>
        <v>0</v>
      </c>
      <c r="M1389" s="16">
        <f>IF((OR(tbal[[#This Row],[X]]=0,tbal[[#This Row],[X]]=6)),tbal[[#This Row],[DEUDOR]],0)</f>
        <v>0</v>
      </c>
      <c r="N1389" s="18">
        <f>IF((OR(tbal[[#This Row],[X]]=0,tbal[[#This Row],[X]]=5)),tbal[[#This Row],[ACREEDOR]],0)</f>
        <v>0</v>
      </c>
    </row>
    <row r="1390" spans="1:14" hidden="1" x14ac:dyDescent="0.3">
      <c r="A1390" s="14">
        <f>+'PLAN DE CUENTAS'!A1390</f>
        <v>0</v>
      </c>
      <c r="B1390" s="13">
        <f>+'PLAN DE CUENTAS'!B1390</f>
        <v>0</v>
      </c>
      <c r="C1390" s="13">
        <f>+'PLAN DE CUENTAS'!C1390</f>
        <v>0</v>
      </c>
      <c r="D1390" t="str">
        <f>IF(tbal[[#This Row],[DEBE]]+tbal[[#This Row],[HABER]]=0,"","X")</f>
        <v/>
      </c>
      <c r="E1390" s="16">
        <f>SUMIF(tdiario[CUENTA],tbal[[#This Row],[CUENTA]],tdiario[DEBE])</f>
        <v>0</v>
      </c>
      <c r="F1390" s="17">
        <f>SUMIF(tdiario[CUENTA],tbal[[#This Row],[CUENTA]],tdiario[HABER])</f>
        <v>0</v>
      </c>
      <c r="G1390" s="16">
        <f>IF(tbal[[#This Row],[DEBE]]-tbal[[#This Row],[HABER]]&gt;0,tbal[[#This Row],[DEBE]]-tbal[[#This Row],[HABER]],0)</f>
        <v>0</v>
      </c>
      <c r="H1390" s="18">
        <f>IF(tbal[[#This Row],[HABER]]-tbal[[#This Row],[DEBE]]&gt;0,tbal[[#This Row],[HABER]]-tbal[[#This Row],[DEBE]],0)</f>
        <v>0</v>
      </c>
      <c r="I1390" s="16">
        <f>IF((OR(tbal[[#This Row],[X]]=1,tbal[[#This Row],[X]]=2)),tbal[[#This Row],[DEUDOR]],0)</f>
        <v>0</v>
      </c>
      <c r="J1390" s="18">
        <f>IF((OR(tbal[[#This Row],[X]]=2,tbal[[#This Row],[X]]=3)),tbal[[#This Row],[ACREEDOR]],0)</f>
        <v>0</v>
      </c>
      <c r="K1390" s="16">
        <f>IF((OR(tbal[[#This Row],[X]]=3,tbal[[#This Row],[X]]=5)),tbal[[#This Row],[DEUDOR]],0)</f>
        <v>0</v>
      </c>
      <c r="L1390" s="18">
        <f>IF((OR(tbal[[#This Row],[X]]=3,tbal[[#This Row],[X]]=4)),tbal[[#This Row],[ACREEDOR]],0)</f>
        <v>0</v>
      </c>
      <c r="M1390" s="16">
        <f>IF((OR(tbal[[#This Row],[X]]=0,tbal[[#This Row],[X]]=6)),tbal[[#This Row],[DEUDOR]],0)</f>
        <v>0</v>
      </c>
      <c r="N1390" s="18">
        <f>IF((OR(tbal[[#This Row],[X]]=0,tbal[[#This Row],[X]]=5)),tbal[[#This Row],[ACREEDOR]],0)</f>
        <v>0</v>
      </c>
    </row>
    <row r="1391" spans="1:14" hidden="1" x14ac:dyDescent="0.3">
      <c r="A1391" s="14">
        <f>+'PLAN DE CUENTAS'!A1391</f>
        <v>0</v>
      </c>
      <c r="B1391" s="13">
        <f>+'PLAN DE CUENTAS'!B1391</f>
        <v>0</v>
      </c>
      <c r="C1391" s="13">
        <f>+'PLAN DE CUENTAS'!C1391</f>
        <v>0</v>
      </c>
      <c r="D1391" t="str">
        <f>IF(tbal[[#This Row],[DEBE]]+tbal[[#This Row],[HABER]]=0,"","X")</f>
        <v/>
      </c>
      <c r="E1391" s="16">
        <f>SUMIF(tdiario[CUENTA],tbal[[#This Row],[CUENTA]],tdiario[DEBE])</f>
        <v>0</v>
      </c>
      <c r="F1391" s="17">
        <f>SUMIF(tdiario[CUENTA],tbal[[#This Row],[CUENTA]],tdiario[HABER])</f>
        <v>0</v>
      </c>
      <c r="G1391" s="16">
        <f>IF(tbal[[#This Row],[DEBE]]-tbal[[#This Row],[HABER]]&gt;0,tbal[[#This Row],[DEBE]]-tbal[[#This Row],[HABER]],0)</f>
        <v>0</v>
      </c>
      <c r="H1391" s="18">
        <f>IF(tbal[[#This Row],[HABER]]-tbal[[#This Row],[DEBE]]&gt;0,tbal[[#This Row],[HABER]]-tbal[[#This Row],[DEBE]],0)</f>
        <v>0</v>
      </c>
      <c r="I1391" s="16">
        <f>IF((OR(tbal[[#This Row],[X]]=1,tbal[[#This Row],[X]]=2)),tbal[[#This Row],[DEUDOR]],0)</f>
        <v>0</v>
      </c>
      <c r="J1391" s="18">
        <f>IF((OR(tbal[[#This Row],[X]]=2,tbal[[#This Row],[X]]=3)),tbal[[#This Row],[ACREEDOR]],0)</f>
        <v>0</v>
      </c>
      <c r="K1391" s="16">
        <f>IF((OR(tbal[[#This Row],[X]]=3,tbal[[#This Row],[X]]=5)),tbal[[#This Row],[DEUDOR]],0)</f>
        <v>0</v>
      </c>
      <c r="L1391" s="18">
        <f>IF((OR(tbal[[#This Row],[X]]=3,tbal[[#This Row],[X]]=4)),tbal[[#This Row],[ACREEDOR]],0)</f>
        <v>0</v>
      </c>
      <c r="M1391" s="16">
        <f>IF((OR(tbal[[#This Row],[X]]=0,tbal[[#This Row],[X]]=6)),tbal[[#This Row],[DEUDOR]],0)</f>
        <v>0</v>
      </c>
      <c r="N1391" s="18">
        <f>IF((OR(tbal[[#This Row],[X]]=0,tbal[[#This Row],[X]]=5)),tbal[[#This Row],[ACREEDOR]],0)</f>
        <v>0</v>
      </c>
    </row>
    <row r="1392" spans="1:14" hidden="1" x14ac:dyDescent="0.3">
      <c r="A1392" s="14">
        <f>+'PLAN DE CUENTAS'!A1392</f>
        <v>0</v>
      </c>
      <c r="B1392" s="13">
        <f>+'PLAN DE CUENTAS'!B1392</f>
        <v>0</v>
      </c>
      <c r="C1392" s="13">
        <f>+'PLAN DE CUENTAS'!C1392</f>
        <v>0</v>
      </c>
      <c r="D1392" t="str">
        <f>IF(tbal[[#This Row],[DEBE]]+tbal[[#This Row],[HABER]]=0,"","X")</f>
        <v/>
      </c>
      <c r="E1392" s="16">
        <f>SUMIF(tdiario[CUENTA],tbal[[#This Row],[CUENTA]],tdiario[DEBE])</f>
        <v>0</v>
      </c>
      <c r="F1392" s="17">
        <f>SUMIF(tdiario[CUENTA],tbal[[#This Row],[CUENTA]],tdiario[HABER])</f>
        <v>0</v>
      </c>
      <c r="G1392" s="16">
        <f>IF(tbal[[#This Row],[DEBE]]-tbal[[#This Row],[HABER]]&gt;0,tbal[[#This Row],[DEBE]]-tbal[[#This Row],[HABER]],0)</f>
        <v>0</v>
      </c>
      <c r="H1392" s="18">
        <f>IF(tbal[[#This Row],[HABER]]-tbal[[#This Row],[DEBE]]&gt;0,tbal[[#This Row],[HABER]]-tbal[[#This Row],[DEBE]],0)</f>
        <v>0</v>
      </c>
      <c r="I1392" s="16">
        <f>IF((OR(tbal[[#This Row],[X]]=1,tbal[[#This Row],[X]]=2)),tbal[[#This Row],[DEUDOR]],0)</f>
        <v>0</v>
      </c>
      <c r="J1392" s="18">
        <f>IF((OR(tbal[[#This Row],[X]]=2,tbal[[#This Row],[X]]=3)),tbal[[#This Row],[ACREEDOR]],0)</f>
        <v>0</v>
      </c>
      <c r="K1392" s="16">
        <f>IF((OR(tbal[[#This Row],[X]]=3,tbal[[#This Row],[X]]=5)),tbal[[#This Row],[DEUDOR]],0)</f>
        <v>0</v>
      </c>
      <c r="L1392" s="18">
        <f>IF((OR(tbal[[#This Row],[X]]=3,tbal[[#This Row],[X]]=4)),tbal[[#This Row],[ACREEDOR]],0)</f>
        <v>0</v>
      </c>
      <c r="M1392" s="16">
        <f>IF((OR(tbal[[#This Row],[X]]=0,tbal[[#This Row],[X]]=6)),tbal[[#This Row],[DEUDOR]],0)</f>
        <v>0</v>
      </c>
      <c r="N1392" s="18">
        <f>IF((OR(tbal[[#This Row],[X]]=0,tbal[[#This Row],[X]]=5)),tbal[[#This Row],[ACREEDOR]],0)</f>
        <v>0</v>
      </c>
    </row>
    <row r="1393" spans="1:14" hidden="1" x14ac:dyDescent="0.3">
      <c r="A1393" s="14">
        <f>+'PLAN DE CUENTAS'!A1393</f>
        <v>0</v>
      </c>
      <c r="B1393" s="13">
        <f>+'PLAN DE CUENTAS'!B1393</f>
        <v>0</v>
      </c>
      <c r="C1393" s="13">
        <f>+'PLAN DE CUENTAS'!C1393</f>
        <v>0</v>
      </c>
      <c r="D1393" t="str">
        <f>IF(tbal[[#This Row],[DEBE]]+tbal[[#This Row],[HABER]]=0,"","X")</f>
        <v/>
      </c>
      <c r="E1393" s="16">
        <f>SUMIF(tdiario[CUENTA],tbal[[#This Row],[CUENTA]],tdiario[DEBE])</f>
        <v>0</v>
      </c>
      <c r="F1393" s="17">
        <f>SUMIF(tdiario[CUENTA],tbal[[#This Row],[CUENTA]],tdiario[HABER])</f>
        <v>0</v>
      </c>
      <c r="G1393" s="16">
        <f>IF(tbal[[#This Row],[DEBE]]-tbal[[#This Row],[HABER]]&gt;0,tbal[[#This Row],[DEBE]]-tbal[[#This Row],[HABER]],0)</f>
        <v>0</v>
      </c>
      <c r="H1393" s="18">
        <f>IF(tbal[[#This Row],[HABER]]-tbal[[#This Row],[DEBE]]&gt;0,tbal[[#This Row],[HABER]]-tbal[[#This Row],[DEBE]],0)</f>
        <v>0</v>
      </c>
      <c r="I1393" s="16">
        <f>IF((OR(tbal[[#This Row],[X]]=1,tbal[[#This Row],[X]]=2)),tbal[[#This Row],[DEUDOR]],0)</f>
        <v>0</v>
      </c>
      <c r="J1393" s="18">
        <f>IF((OR(tbal[[#This Row],[X]]=2,tbal[[#This Row],[X]]=3)),tbal[[#This Row],[ACREEDOR]],0)</f>
        <v>0</v>
      </c>
      <c r="K1393" s="16">
        <f>IF((OR(tbal[[#This Row],[X]]=3,tbal[[#This Row],[X]]=5)),tbal[[#This Row],[DEUDOR]],0)</f>
        <v>0</v>
      </c>
      <c r="L1393" s="18">
        <f>IF((OR(tbal[[#This Row],[X]]=3,tbal[[#This Row],[X]]=4)),tbal[[#This Row],[ACREEDOR]],0)</f>
        <v>0</v>
      </c>
      <c r="M1393" s="16">
        <f>IF((OR(tbal[[#This Row],[X]]=0,tbal[[#This Row],[X]]=6)),tbal[[#This Row],[DEUDOR]],0)</f>
        <v>0</v>
      </c>
      <c r="N1393" s="18">
        <f>IF((OR(tbal[[#This Row],[X]]=0,tbal[[#This Row],[X]]=5)),tbal[[#This Row],[ACREEDOR]],0)</f>
        <v>0</v>
      </c>
    </row>
    <row r="1394" spans="1:14" hidden="1" x14ac:dyDescent="0.3">
      <c r="A1394" s="14">
        <f>+'PLAN DE CUENTAS'!A1394</f>
        <v>0</v>
      </c>
      <c r="B1394" s="13">
        <f>+'PLAN DE CUENTAS'!B1394</f>
        <v>0</v>
      </c>
      <c r="C1394" s="13">
        <f>+'PLAN DE CUENTAS'!C1394</f>
        <v>0</v>
      </c>
      <c r="D1394" t="str">
        <f>IF(tbal[[#This Row],[DEBE]]+tbal[[#This Row],[HABER]]=0,"","X")</f>
        <v/>
      </c>
      <c r="E1394" s="16">
        <f>SUMIF(tdiario[CUENTA],tbal[[#This Row],[CUENTA]],tdiario[DEBE])</f>
        <v>0</v>
      </c>
      <c r="F1394" s="17">
        <f>SUMIF(tdiario[CUENTA],tbal[[#This Row],[CUENTA]],tdiario[HABER])</f>
        <v>0</v>
      </c>
      <c r="G1394" s="16">
        <f>IF(tbal[[#This Row],[DEBE]]-tbal[[#This Row],[HABER]]&gt;0,tbal[[#This Row],[DEBE]]-tbal[[#This Row],[HABER]],0)</f>
        <v>0</v>
      </c>
      <c r="H1394" s="18">
        <f>IF(tbal[[#This Row],[HABER]]-tbal[[#This Row],[DEBE]]&gt;0,tbal[[#This Row],[HABER]]-tbal[[#This Row],[DEBE]],0)</f>
        <v>0</v>
      </c>
      <c r="I1394" s="16">
        <f>IF((OR(tbal[[#This Row],[X]]=1,tbal[[#This Row],[X]]=2)),tbal[[#This Row],[DEUDOR]],0)</f>
        <v>0</v>
      </c>
      <c r="J1394" s="18">
        <f>IF((OR(tbal[[#This Row],[X]]=2,tbal[[#This Row],[X]]=3)),tbal[[#This Row],[ACREEDOR]],0)</f>
        <v>0</v>
      </c>
      <c r="K1394" s="16">
        <f>IF((OR(tbal[[#This Row],[X]]=3,tbal[[#This Row],[X]]=5)),tbal[[#This Row],[DEUDOR]],0)</f>
        <v>0</v>
      </c>
      <c r="L1394" s="18">
        <f>IF((OR(tbal[[#This Row],[X]]=3,tbal[[#This Row],[X]]=4)),tbal[[#This Row],[ACREEDOR]],0)</f>
        <v>0</v>
      </c>
      <c r="M1394" s="16">
        <f>IF((OR(tbal[[#This Row],[X]]=0,tbal[[#This Row],[X]]=6)),tbal[[#This Row],[DEUDOR]],0)</f>
        <v>0</v>
      </c>
      <c r="N1394" s="18">
        <f>IF((OR(tbal[[#This Row],[X]]=0,tbal[[#This Row],[X]]=5)),tbal[[#This Row],[ACREEDOR]],0)</f>
        <v>0</v>
      </c>
    </row>
    <row r="1395" spans="1:14" hidden="1" x14ac:dyDescent="0.3">
      <c r="A1395" s="14">
        <f>+'PLAN DE CUENTAS'!A1395</f>
        <v>0</v>
      </c>
      <c r="B1395" s="13">
        <f>+'PLAN DE CUENTAS'!B1395</f>
        <v>0</v>
      </c>
      <c r="C1395" s="13">
        <f>+'PLAN DE CUENTAS'!C1395</f>
        <v>0</v>
      </c>
      <c r="D1395" t="str">
        <f>IF(tbal[[#This Row],[DEBE]]+tbal[[#This Row],[HABER]]=0,"","X")</f>
        <v/>
      </c>
      <c r="E1395" s="16">
        <f>SUMIF(tdiario[CUENTA],tbal[[#This Row],[CUENTA]],tdiario[DEBE])</f>
        <v>0</v>
      </c>
      <c r="F1395" s="17">
        <f>SUMIF(tdiario[CUENTA],tbal[[#This Row],[CUENTA]],tdiario[HABER])</f>
        <v>0</v>
      </c>
      <c r="G1395" s="16">
        <f>IF(tbal[[#This Row],[DEBE]]-tbal[[#This Row],[HABER]]&gt;0,tbal[[#This Row],[DEBE]]-tbal[[#This Row],[HABER]],0)</f>
        <v>0</v>
      </c>
      <c r="H1395" s="18">
        <f>IF(tbal[[#This Row],[HABER]]-tbal[[#This Row],[DEBE]]&gt;0,tbal[[#This Row],[HABER]]-tbal[[#This Row],[DEBE]],0)</f>
        <v>0</v>
      </c>
      <c r="I1395" s="16">
        <f>IF((OR(tbal[[#This Row],[X]]=1,tbal[[#This Row],[X]]=2)),tbal[[#This Row],[DEUDOR]],0)</f>
        <v>0</v>
      </c>
      <c r="J1395" s="18">
        <f>IF((OR(tbal[[#This Row],[X]]=2,tbal[[#This Row],[X]]=3)),tbal[[#This Row],[ACREEDOR]],0)</f>
        <v>0</v>
      </c>
      <c r="K1395" s="16">
        <f>IF((OR(tbal[[#This Row],[X]]=3,tbal[[#This Row],[X]]=5)),tbal[[#This Row],[DEUDOR]],0)</f>
        <v>0</v>
      </c>
      <c r="L1395" s="18">
        <f>IF((OR(tbal[[#This Row],[X]]=3,tbal[[#This Row],[X]]=4)),tbal[[#This Row],[ACREEDOR]],0)</f>
        <v>0</v>
      </c>
      <c r="M1395" s="16">
        <f>IF((OR(tbal[[#This Row],[X]]=0,tbal[[#This Row],[X]]=6)),tbal[[#This Row],[DEUDOR]],0)</f>
        <v>0</v>
      </c>
      <c r="N1395" s="18">
        <f>IF((OR(tbal[[#This Row],[X]]=0,tbal[[#This Row],[X]]=5)),tbal[[#This Row],[ACREEDOR]],0)</f>
        <v>0</v>
      </c>
    </row>
    <row r="1396" spans="1:14" hidden="1" x14ac:dyDescent="0.3">
      <c r="A1396" s="14">
        <f>+'PLAN DE CUENTAS'!A1396</f>
        <v>0</v>
      </c>
      <c r="B1396" s="13">
        <f>+'PLAN DE CUENTAS'!B1396</f>
        <v>0</v>
      </c>
      <c r="C1396" s="13">
        <f>+'PLAN DE CUENTAS'!C1396</f>
        <v>0</v>
      </c>
      <c r="D1396" t="str">
        <f>IF(tbal[[#This Row],[DEBE]]+tbal[[#This Row],[HABER]]=0,"","X")</f>
        <v/>
      </c>
      <c r="E1396" s="16">
        <f>SUMIF(tdiario[CUENTA],tbal[[#This Row],[CUENTA]],tdiario[DEBE])</f>
        <v>0</v>
      </c>
      <c r="F1396" s="17">
        <f>SUMIF(tdiario[CUENTA],tbal[[#This Row],[CUENTA]],tdiario[HABER])</f>
        <v>0</v>
      </c>
      <c r="G1396" s="16">
        <f>IF(tbal[[#This Row],[DEBE]]-tbal[[#This Row],[HABER]]&gt;0,tbal[[#This Row],[DEBE]]-tbal[[#This Row],[HABER]],0)</f>
        <v>0</v>
      </c>
      <c r="H1396" s="18">
        <f>IF(tbal[[#This Row],[HABER]]-tbal[[#This Row],[DEBE]]&gt;0,tbal[[#This Row],[HABER]]-tbal[[#This Row],[DEBE]],0)</f>
        <v>0</v>
      </c>
      <c r="I1396" s="16">
        <f>IF((OR(tbal[[#This Row],[X]]=1,tbal[[#This Row],[X]]=2)),tbal[[#This Row],[DEUDOR]],0)</f>
        <v>0</v>
      </c>
      <c r="J1396" s="18">
        <f>IF((OR(tbal[[#This Row],[X]]=2,tbal[[#This Row],[X]]=3)),tbal[[#This Row],[ACREEDOR]],0)</f>
        <v>0</v>
      </c>
      <c r="K1396" s="16">
        <f>IF((OR(tbal[[#This Row],[X]]=3,tbal[[#This Row],[X]]=5)),tbal[[#This Row],[DEUDOR]],0)</f>
        <v>0</v>
      </c>
      <c r="L1396" s="18">
        <f>IF((OR(tbal[[#This Row],[X]]=3,tbal[[#This Row],[X]]=4)),tbal[[#This Row],[ACREEDOR]],0)</f>
        <v>0</v>
      </c>
      <c r="M1396" s="16">
        <f>IF((OR(tbal[[#This Row],[X]]=0,tbal[[#This Row],[X]]=6)),tbal[[#This Row],[DEUDOR]],0)</f>
        <v>0</v>
      </c>
      <c r="N1396" s="18">
        <f>IF((OR(tbal[[#This Row],[X]]=0,tbal[[#This Row],[X]]=5)),tbal[[#This Row],[ACREEDOR]],0)</f>
        <v>0</v>
      </c>
    </row>
    <row r="1397" spans="1:14" hidden="1" x14ac:dyDescent="0.3">
      <c r="A1397" s="14">
        <f>+'PLAN DE CUENTAS'!A1397</f>
        <v>0</v>
      </c>
      <c r="B1397" s="13">
        <f>+'PLAN DE CUENTAS'!B1397</f>
        <v>0</v>
      </c>
      <c r="C1397" s="13">
        <f>+'PLAN DE CUENTAS'!C1397</f>
        <v>0</v>
      </c>
      <c r="D1397" t="str">
        <f>IF(tbal[[#This Row],[DEBE]]+tbal[[#This Row],[HABER]]=0,"","X")</f>
        <v/>
      </c>
      <c r="E1397" s="16">
        <f>SUMIF(tdiario[CUENTA],tbal[[#This Row],[CUENTA]],tdiario[DEBE])</f>
        <v>0</v>
      </c>
      <c r="F1397" s="17">
        <f>SUMIF(tdiario[CUENTA],tbal[[#This Row],[CUENTA]],tdiario[HABER])</f>
        <v>0</v>
      </c>
      <c r="G1397" s="16">
        <f>IF(tbal[[#This Row],[DEBE]]-tbal[[#This Row],[HABER]]&gt;0,tbal[[#This Row],[DEBE]]-tbal[[#This Row],[HABER]],0)</f>
        <v>0</v>
      </c>
      <c r="H1397" s="18">
        <f>IF(tbal[[#This Row],[HABER]]-tbal[[#This Row],[DEBE]]&gt;0,tbal[[#This Row],[HABER]]-tbal[[#This Row],[DEBE]],0)</f>
        <v>0</v>
      </c>
      <c r="I1397" s="16">
        <f>IF((OR(tbal[[#This Row],[X]]=1,tbal[[#This Row],[X]]=2)),tbal[[#This Row],[DEUDOR]],0)</f>
        <v>0</v>
      </c>
      <c r="J1397" s="18">
        <f>IF((OR(tbal[[#This Row],[X]]=2,tbal[[#This Row],[X]]=3)),tbal[[#This Row],[ACREEDOR]],0)</f>
        <v>0</v>
      </c>
      <c r="K1397" s="16">
        <f>IF((OR(tbal[[#This Row],[X]]=3,tbal[[#This Row],[X]]=5)),tbal[[#This Row],[DEUDOR]],0)</f>
        <v>0</v>
      </c>
      <c r="L1397" s="18">
        <f>IF((OR(tbal[[#This Row],[X]]=3,tbal[[#This Row],[X]]=4)),tbal[[#This Row],[ACREEDOR]],0)</f>
        <v>0</v>
      </c>
      <c r="M1397" s="16">
        <f>IF((OR(tbal[[#This Row],[X]]=0,tbal[[#This Row],[X]]=6)),tbal[[#This Row],[DEUDOR]],0)</f>
        <v>0</v>
      </c>
      <c r="N1397" s="18">
        <f>IF((OR(tbal[[#This Row],[X]]=0,tbal[[#This Row],[X]]=5)),tbal[[#This Row],[ACREEDOR]],0)</f>
        <v>0</v>
      </c>
    </row>
    <row r="1398" spans="1:14" hidden="1" x14ac:dyDescent="0.3">
      <c r="A1398" s="14">
        <f>+'PLAN DE CUENTAS'!A1398</f>
        <v>0</v>
      </c>
      <c r="B1398" s="13">
        <f>+'PLAN DE CUENTAS'!B1398</f>
        <v>0</v>
      </c>
      <c r="C1398" s="13">
        <f>+'PLAN DE CUENTAS'!C1398</f>
        <v>0</v>
      </c>
      <c r="D1398" t="str">
        <f>IF(tbal[[#This Row],[DEBE]]+tbal[[#This Row],[HABER]]=0,"","X")</f>
        <v/>
      </c>
      <c r="E1398" s="16">
        <f>SUMIF(tdiario[CUENTA],tbal[[#This Row],[CUENTA]],tdiario[DEBE])</f>
        <v>0</v>
      </c>
      <c r="F1398" s="17">
        <f>SUMIF(tdiario[CUENTA],tbal[[#This Row],[CUENTA]],tdiario[HABER])</f>
        <v>0</v>
      </c>
      <c r="G1398" s="16">
        <f>IF(tbal[[#This Row],[DEBE]]-tbal[[#This Row],[HABER]]&gt;0,tbal[[#This Row],[DEBE]]-tbal[[#This Row],[HABER]],0)</f>
        <v>0</v>
      </c>
      <c r="H1398" s="18">
        <f>IF(tbal[[#This Row],[HABER]]-tbal[[#This Row],[DEBE]]&gt;0,tbal[[#This Row],[HABER]]-tbal[[#This Row],[DEBE]],0)</f>
        <v>0</v>
      </c>
      <c r="I1398" s="16">
        <f>IF((OR(tbal[[#This Row],[X]]=1,tbal[[#This Row],[X]]=2)),tbal[[#This Row],[DEUDOR]],0)</f>
        <v>0</v>
      </c>
      <c r="J1398" s="18">
        <f>IF((OR(tbal[[#This Row],[X]]=2,tbal[[#This Row],[X]]=3)),tbal[[#This Row],[ACREEDOR]],0)</f>
        <v>0</v>
      </c>
      <c r="K1398" s="16">
        <f>IF((OR(tbal[[#This Row],[X]]=3,tbal[[#This Row],[X]]=5)),tbal[[#This Row],[DEUDOR]],0)</f>
        <v>0</v>
      </c>
      <c r="L1398" s="18">
        <f>IF((OR(tbal[[#This Row],[X]]=3,tbal[[#This Row],[X]]=4)),tbal[[#This Row],[ACREEDOR]],0)</f>
        <v>0</v>
      </c>
      <c r="M1398" s="16">
        <f>IF((OR(tbal[[#This Row],[X]]=0,tbal[[#This Row],[X]]=6)),tbal[[#This Row],[DEUDOR]],0)</f>
        <v>0</v>
      </c>
      <c r="N1398" s="18">
        <f>IF((OR(tbal[[#This Row],[X]]=0,tbal[[#This Row],[X]]=5)),tbal[[#This Row],[ACREEDOR]],0)</f>
        <v>0</v>
      </c>
    </row>
    <row r="1399" spans="1:14" hidden="1" x14ac:dyDescent="0.3">
      <c r="A1399" s="14">
        <f>+'PLAN DE CUENTAS'!A1399</f>
        <v>0</v>
      </c>
      <c r="B1399" s="13">
        <f>+'PLAN DE CUENTAS'!B1399</f>
        <v>0</v>
      </c>
      <c r="C1399" s="13">
        <f>+'PLAN DE CUENTAS'!C1399</f>
        <v>0</v>
      </c>
      <c r="D1399" t="str">
        <f>IF(tbal[[#This Row],[DEBE]]+tbal[[#This Row],[HABER]]=0,"","X")</f>
        <v/>
      </c>
      <c r="E1399" s="16">
        <f>SUMIF(tdiario[CUENTA],tbal[[#This Row],[CUENTA]],tdiario[DEBE])</f>
        <v>0</v>
      </c>
      <c r="F1399" s="17">
        <f>SUMIF(tdiario[CUENTA],tbal[[#This Row],[CUENTA]],tdiario[HABER])</f>
        <v>0</v>
      </c>
      <c r="G1399" s="16">
        <f>IF(tbal[[#This Row],[DEBE]]-tbal[[#This Row],[HABER]]&gt;0,tbal[[#This Row],[DEBE]]-tbal[[#This Row],[HABER]],0)</f>
        <v>0</v>
      </c>
      <c r="H1399" s="18">
        <f>IF(tbal[[#This Row],[HABER]]-tbal[[#This Row],[DEBE]]&gt;0,tbal[[#This Row],[HABER]]-tbal[[#This Row],[DEBE]],0)</f>
        <v>0</v>
      </c>
      <c r="I1399" s="16">
        <f>IF((OR(tbal[[#This Row],[X]]=1,tbal[[#This Row],[X]]=2)),tbal[[#This Row],[DEUDOR]],0)</f>
        <v>0</v>
      </c>
      <c r="J1399" s="18">
        <f>IF((OR(tbal[[#This Row],[X]]=2,tbal[[#This Row],[X]]=3)),tbal[[#This Row],[ACREEDOR]],0)</f>
        <v>0</v>
      </c>
      <c r="K1399" s="16">
        <f>IF((OR(tbal[[#This Row],[X]]=3,tbal[[#This Row],[X]]=5)),tbal[[#This Row],[DEUDOR]],0)</f>
        <v>0</v>
      </c>
      <c r="L1399" s="18">
        <f>IF((OR(tbal[[#This Row],[X]]=3,tbal[[#This Row],[X]]=4)),tbal[[#This Row],[ACREEDOR]],0)</f>
        <v>0</v>
      </c>
      <c r="M1399" s="16">
        <f>IF((OR(tbal[[#This Row],[X]]=0,tbal[[#This Row],[X]]=6)),tbal[[#This Row],[DEUDOR]],0)</f>
        <v>0</v>
      </c>
      <c r="N1399" s="18">
        <f>IF((OR(tbal[[#This Row],[X]]=0,tbal[[#This Row],[X]]=5)),tbal[[#This Row],[ACREEDOR]],0)</f>
        <v>0</v>
      </c>
    </row>
    <row r="1400" spans="1:14" hidden="1" x14ac:dyDescent="0.3">
      <c r="A1400" s="14">
        <f>+'PLAN DE CUENTAS'!A1400</f>
        <v>0</v>
      </c>
      <c r="B1400" s="13">
        <f>+'PLAN DE CUENTAS'!B1400</f>
        <v>0</v>
      </c>
      <c r="C1400" s="13">
        <f>+'PLAN DE CUENTAS'!C1400</f>
        <v>0</v>
      </c>
      <c r="D1400" t="str">
        <f>IF(tbal[[#This Row],[DEBE]]+tbal[[#This Row],[HABER]]=0,"","X")</f>
        <v/>
      </c>
      <c r="E1400" s="16">
        <f>SUMIF(tdiario[CUENTA],tbal[[#This Row],[CUENTA]],tdiario[DEBE])</f>
        <v>0</v>
      </c>
      <c r="F1400" s="17">
        <f>SUMIF(tdiario[CUENTA],tbal[[#This Row],[CUENTA]],tdiario[HABER])</f>
        <v>0</v>
      </c>
      <c r="G1400" s="16">
        <f>IF(tbal[[#This Row],[DEBE]]-tbal[[#This Row],[HABER]]&gt;0,tbal[[#This Row],[DEBE]]-tbal[[#This Row],[HABER]],0)</f>
        <v>0</v>
      </c>
      <c r="H1400" s="18">
        <f>IF(tbal[[#This Row],[HABER]]-tbal[[#This Row],[DEBE]]&gt;0,tbal[[#This Row],[HABER]]-tbal[[#This Row],[DEBE]],0)</f>
        <v>0</v>
      </c>
      <c r="I1400" s="16">
        <f>IF((OR(tbal[[#This Row],[X]]=1,tbal[[#This Row],[X]]=2)),tbal[[#This Row],[DEUDOR]],0)</f>
        <v>0</v>
      </c>
      <c r="J1400" s="18">
        <f>IF((OR(tbal[[#This Row],[X]]=2,tbal[[#This Row],[X]]=3)),tbal[[#This Row],[ACREEDOR]],0)</f>
        <v>0</v>
      </c>
      <c r="K1400" s="16">
        <f>IF((OR(tbal[[#This Row],[X]]=3,tbal[[#This Row],[X]]=5)),tbal[[#This Row],[DEUDOR]],0)</f>
        <v>0</v>
      </c>
      <c r="L1400" s="18">
        <f>IF((OR(tbal[[#This Row],[X]]=3,tbal[[#This Row],[X]]=4)),tbal[[#This Row],[ACREEDOR]],0)</f>
        <v>0</v>
      </c>
      <c r="M1400" s="16">
        <f>IF((OR(tbal[[#This Row],[X]]=0,tbal[[#This Row],[X]]=6)),tbal[[#This Row],[DEUDOR]],0)</f>
        <v>0</v>
      </c>
      <c r="N1400" s="18">
        <f>IF((OR(tbal[[#This Row],[X]]=0,tbal[[#This Row],[X]]=5)),tbal[[#This Row],[ACREEDOR]],0)</f>
        <v>0</v>
      </c>
    </row>
    <row r="1401" spans="1:14" hidden="1" x14ac:dyDescent="0.3">
      <c r="A1401" s="14">
        <f>+'PLAN DE CUENTAS'!A1401</f>
        <v>0</v>
      </c>
      <c r="B1401" s="13">
        <f>+'PLAN DE CUENTAS'!B1401</f>
        <v>0</v>
      </c>
      <c r="C1401" s="13">
        <f>+'PLAN DE CUENTAS'!C1401</f>
        <v>0</v>
      </c>
      <c r="D1401" t="str">
        <f>IF(tbal[[#This Row],[DEBE]]+tbal[[#This Row],[HABER]]=0,"","X")</f>
        <v/>
      </c>
      <c r="E1401" s="16">
        <f>SUMIF(tdiario[CUENTA],tbal[[#This Row],[CUENTA]],tdiario[DEBE])</f>
        <v>0</v>
      </c>
      <c r="F1401" s="17">
        <f>SUMIF(tdiario[CUENTA],tbal[[#This Row],[CUENTA]],tdiario[HABER])</f>
        <v>0</v>
      </c>
      <c r="G1401" s="16">
        <f>IF(tbal[[#This Row],[DEBE]]-tbal[[#This Row],[HABER]]&gt;0,tbal[[#This Row],[DEBE]]-tbal[[#This Row],[HABER]],0)</f>
        <v>0</v>
      </c>
      <c r="H1401" s="18">
        <f>IF(tbal[[#This Row],[HABER]]-tbal[[#This Row],[DEBE]]&gt;0,tbal[[#This Row],[HABER]]-tbal[[#This Row],[DEBE]],0)</f>
        <v>0</v>
      </c>
      <c r="I1401" s="16">
        <f>IF((OR(tbal[[#This Row],[X]]=1,tbal[[#This Row],[X]]=2)),tbal[[#This Row],[DEUDOR]],0)</f>
        <v>0</v>
      </c>
      <c r="J1401" s="18">
        <f>IF((OR(tbal[[#This Row],[X]]=2,tbal[[#This Row],[X]]=3)),tbal[[#This Row],[ACREEDOR]],0)</f>
        <v>0</v>
      </c>
      <c r="K1401" s="16">
        <f>IF((OR(tbal[[#This Row],[X]]=3,tbal[[#This Row],[X]]=5)),tbal[[#This Row],[DEUDOR]],0)</f>
        <v>0</v>
      </c>
      <c r="L1401" s="18">
        <f>IF((OR(tbal[[#This Row],[X]]=3,tbal[[#This Row],[X]]=4)),tbal[[#This Row],[ACREEDOR]],0)</f>
        <v>0</v>
      </c>
      <c r="M1401" s="16">
        <f>IF((OR(tbal[[#This Row],[X]]=0,tbal[[#This Row],[X]]=6)),tbal[[#This Row],[DEUDOR]],0)</f>
        <v>0</v>
      </c>
      <c r="N1401" s="18">
        <f>IF((OR(tbal[[#This Row],[X]]=0,tbal[[#This Row],[X]]=5)),tbal[[#This Row],[ACREEDOR]],0)</f>
        <v>0</v>
      </c>
    </row>
    <row r="1402" spans="1:14" hidden="1" x14ac:dyDescent="0.3">
      <c r="A1402" s="14">
        <f>+'PLAN DE CUENTAS'!A1402</f>
        <v>0</v>
      </c>
      <c r="B1402" s="13">
        <f>+'PLAN DE CUENTAS'!B1402</f>
        <v>0</v>
      </c>
      <c r="C1402" s="13">
        <f>+'PLAN DE CUENTAS'!C1402</f>
        <v>0</v>
      </c>
      <c r="D1402" t="str">
        <f>IF(tbal[[#This Row],[DEBE]]+tbal[[#This Row],[HABER]]=0,"","X")</f>
        <v/>
      </c>
      <c r="E1402" s="16">
        <f>SUMIF(tdiario[CUENTA],tbal[[#This Row],[CUENTA]],tdiario[DEBE])</f>
        <v>0</v>
      </c>
      <c r="F1402" s="17">
        <f>SUMIF(tdiario[CUENTA],tbal[[#This Row],[CUENTA]],tdiario[HABER])</f>
        <v>0</v>
      </c>
      <c r="G1402" s="16">
        <f>IF(tbal[[#This Row],[DEBE]]-tbal[[#This Row],[HABER]]&gt;0,tbal[[#This Row],[DEBE]]-tbal[[#This Row],[HABER]],0)</f>
        <v>0</v>
      </c>
      <c r="H1402" s="18">
        <f>IF(tbal[[#This Row],[HABER]]-tbal[[#This Row],[DEBE]]&gt;0,tbal[[#This Row],[HABER]]-tbal[[#This Row],[DEBE]],0)</f>
        <v>0</v>
      </c>
      <c r="I1402" s="16">
        <f>IF((OR(tbal[[#This Row],[X]]=1,tbal[[#This Row],[X]]=2)),tbal[[#This Row],[DEUDOR]],0)</f>
        <v>0</v>
      </c>
      <c r="J1402" s="18">
        <f>IF((OR(tbal[[#This Row],[X]]=2,tbal[[#This Row],[X]]=3)),tbal[[#This Row],[ACREEDOR]],0)</f>
        <v>0</v>
      </c>
      <c r="K1402" s="16">
        <f>IF((OR(tbal[[#This Row],[X]]=3,tbal[[#This Row],[X]]=5)),tbal[[#This Row],[DEUDOR]],0)</f>
        <v>0</v>
      </c>
      <c r="L1402" s="18">
        <f>IF((OR(tbal[[#This Row],[X]]=3,tbal[[#This Row],[X]]=4)),tbal[[#This Row],[ACREEDOR]],0)</f>
        <v>0</v>
      </c>
      <c r="M1402" s="16">
        <f>IF((OR(tbal[[#This Row],[X]]=0,tbal[[#This Row],[X]]=6)),tbal[[#This Row],[DEUDOR]],0)</f>
        <v>0</v>
      </c>
      <c r="N1402" s="18">
        <f>IF((OR(tbal[[#This Row],[X]]=0,tbal[[#This Row],[X]]=5)),tbal[[#This Row],[ACREEDOR]],0)</f>
        <v>0</v>
      </c>
    </row>
    <row r="1403" spans="1:14" hidden="1" x14ac:dyDescent="0.3">
      <c r="A1403" s="14">
        <f>+'PLAN DE CUENTAS'!A1403</f>
        <v>0</v>
      </c>
      <c r="B1403" s="13">
        <f>+'PLAN DE CUENTAS'!B1403</f>
        <v>0</v>
      </c>
      <c r="C1403" s="13">
        <f>+'PLAN DE CUENTAS'!C1403</f>
        <v>0</v>
      </c>
      <c r="D1403" t="str">
        <f>IF(tbal[[#This Row],[DEBE]]+tbal[[#This Row],[HABER]]=0,"","X")</f>
        <v/>
      </c>
      <c r="E1403" s="16">
        <f>SUMIF(tdiario[CUENTA],tbal[[#This Row],[CUENTA]],tdiario[DEBE])</f>
        <v>0</v>
      </c>
      <c r="F1403" s="17">
        <f>SUMIF(tdiario[CUENTA],tbal[[#This Row],[CUENTA]],tdiario[HABER])</f>
        <v>0</v>
      </c>
      <c r="G1403" s="16">
        <f>IF(tbal[[#This Row],[DEBE]]-tbal[[#This Row],[HABER]]&gt;0,tbal[[#This Row],[DEBE]]-tbal[[#This Row],[HABER]],0)</f>
        <v>0</v>
      </c>
      <c r="H1403" s="18">
        <f>IF(tbal[[#This Row],[HABER]]-tbal[[#This Row],[DEBE]]&gt;0,tbal[[#This Row],[HABER]]-tbal[[#This Row],[DEBE]],0)</f>
        <v>0</v>
      </c>
      <c r="I1403" s="16">
        <f>IF((OR(tbal[[#This Row],[X]]=1,tbal[[#This Row],[X]]=2)),tbal[[#This Row],[DEUDOR]],0)</f>
        <v>0</v>
      </c>
      <c r="J1403" s="18">
        <f>IF((OR(tbal[[#This Row],[X]]=2,tbal[[#This Row],[X]]=3)),tbal[[#This Row],[ACREEDOR]],0)</f>
        <v>0</v>
      </c>
      <c r="K1403" s="16">
        <f>IF((OR(tbal[[#This Row],[X]]=3,tbal[[#This Row],[X]]=5)),tbal[[#This Row],[DEUDOR]],0)</f>
        <v>0</v>
      </c>
      <c r="L1403" s="18">
        <f>IF((OR(tbal[[#This Row],[X]]=3,tbal[[#This Row],[X]]=4)),tbal[[#This Row],[ACREEDOR]],0)</f>
        <v>0</v>
      </c>
      <c r="M1403" s="16">
        <f>IF((OR(tbal[[#This Row],[X]]=0,tbal[[#This Row],[X]]=6)),tbal[[#This Row],[DEUDOR]],0)</f>
        <v>0</v>
      </c>
      <c r="N1403" s="18">
        <f>IF((OR(tbal[[#This Row],[X]]=0,tbal[[#This Row],[X]]=5)),tbal[[#This Row],[ACREEDOR]],0)</f>
        <v>0</v>
      </c>
    </row>
    <row r="1404" spans="1:14" hidden="1" x14ac:dyDescent="0.3">
      <c r="A1404" s="14">
        <f>+'PLAN DE CUENTAS'!A1404</f>
        <v>0</v>
      </c>
      <c r="B1404" s="13">
        <f>+'PLAN DE CUENTAS'!B1404</f>
        <v>0</v>
      </c>
      <c r="C1404" s="13">
        <f>+'PLAN DE CUENTAS'!C1404</f>
        <v>0</v>
      </c>
      <c r="D1404" t="str">
        <f>IF(tbal[[#This Row],[DEBE]]+tbal[[#This Row],[HABER]]=0,"","X")</f>
        <v/>
      </c>
      <c r="E1404" s="16">
        <f>SUMIF(tdiario[CUENTA],tbal[[#This Row],[CUENTA]],tdiario[DEBE])</f>
        <v>0</v>
      </c>
      <c r="F1404" s="17">
        <f>SUMIF(tdiario[CUENTA],tbal[[#This Row],[CUENTA]],tdiario[HABER])</f>
        <v>0</v>
      </c>
      <c r="G1404" s="16">
        <f>IF(tbal[[#This Row],[DEBE]]-tbal[[#This Row],[HABER]]&gt;0,tbal[[#This Row],[DEBE]]-tbal[[#This Row],[HABER]],0)</f>
        <v>0</v>
      </c>
      <c r="H1404" s="18">
        <f>IF(tbal[[#This Row],[HABER]]-tbal[[#This Row],[DEBE]]&gt;0,tbal[[#This Row],[HABER]]-tbal[[#This Row],[DEBE]],0)</f>
        <v>0</v>
      </c>
      <c r="I1404" s="16">
        <f>IF((OR(tbal[[#This Row],[X]]=1,tbal[[#This Row],[X]]=2)),tbal[[#This Row],[DEUDOR]],0)</f>
        <v>0</v>
      </c>
      <c r="J1404" s="18">
        <f>IF((OR(tbal[[#This Row],[X]]=2,tbal[[#This Row],[X]]=3)),tbal[[#This Row],[ACREEDOR]],0)</f>
        <v>0</v>
      </c>
      <c r="K1404" s="16">
        <f>IF((OR(tbal[[#This Row],[X]]=3,tbal[[#This Row],[X]]=5)),tbal[[#This Row],[DEUDOR]],0)</f>
        <v>0</v>
      </c>
      <c r="L1404" s="18">
        <f>IF((OR(tbal[[#This Row],[X]]=3,tbal[[#This Row],[X]]=4)),tbal[[#This Row],[ACREEDOR]],0)</f>
        <v>0</v>
      </c>
      <c r="M1404" s="16">
        <f>IF((OR(tbal[[#This Row],[X]]=0,tbal[[#This Row],[X]]=6)),tbal[[#This Row],[DEUDOR]],0)</f>
        <v>0</v>
      </c>
      <c r="N1404" s="18">
        <f>IF((OR(tbal[[#This Row],[X]]=0,tbal[[#This Row],[X]]=5)),tbal[[#This Row],[ACREEDOR]],0)</f>
        <v>0</v>
      </c>
    </row>
    <row r="1405" spans="1:14" hidden="1" x14ac:dyDescent="0.3">
      <c r="A1405" s="14">
        <f>+'PLAN DE CUENTAS'!A1405</f>
        <v>0</v>
      </c>
      <c r="B1405" s="13">
        <f>+'PLAN DE CUENTAS'!B1405</f>
        <v>0</v>
      </c>
      <c r="C1405" s="13">
        <f>+'PLAN DE CUENTAS'!C1405</f>
        <v>0</v>
      </c>
      <c r="D1405" t="str">
        <f>IF(tbal[[#This Row],[DEBE]]+tbal[[#This Row],[HABER]]=0,"","X")</f>
        <v/>
      </c>
      <c r="E1405" s="16">
        <f>SUMIF(tdiario[CUENTA],tbal[[#This Row],[CUENTA]],tdiario[DEBE])</f>
        <v>0</v>
      </c>
      <c r="F1405" s="17">
        <f>SUMIF(tdiario[CUENTA],tbal[[#This Row],[CUENTA]],tdiario[HABER])</f>
        <v>0</v>
      </c>
      <c r="G1405" s="16">
        <f>IF(tbal[[#This Row],[DEBE]]-tbal[[#This Row],[HABER]]&gt;0,tbal[[#This Row],[DEBE]]-tbal[[#This Row],[HABER]],0)</f>
        <v>0</v>
      </c>
      <c r="H1405" s="18">
        <f>IF(tbal[[#This Row],[HABER]]-tbal[[#This Row],[DEBE]]&gt;0,tbal[[#This Row],[HABER]]-tbal[[#This Row],[DEBE]],0)</f>
        <v>0</v>
      </c>
      <c r="I1405" s="16">
        <f>IF((OR(tbal[[#This Row],[X]]=1,tbal[[#This Row],[X]]=2)),tbal[[#This Row],[DEUDOR]],0)</f>
        <v>0</v>
      </c>
      <c r="J1405" s="18">
        <f>IF((OR(tbal[[#This Row],[X]]=2,tbal[[#This Row],[X]]=3)),tbal[[#This Row],[ACREEDOR]],0)</f>
        <v>0</v>
      </c>
      <c r="K1405" s="16">
        <f>IF((OR(tbal[[#This Row],[X]]=3,tbal[[#This Row],[X]]=5)),tbal[[#This Row],[DEUDOR]],0)</f>
        <v>0</v>
      </c>
      <c r="L1405" s="18">
        <f>IF((OR(tbal[[#This Row],[X]]=3,tbal[[#This Row],[X]]=4)),tbal[[#This Row],[ACREEDOR]],0)</f>
        <v>0</v>
      </c>
      <c r="M1405" s="16">
        <f>IF((OR(tbal[[#This Row],[X]]=0,tbal[[#This Row],[X]]=6)),tbal[[#This Row],[DEUDOR]],0)</f>
        <v>0</v>
      </c>
      <c r="N1405" s="18">
        <f>IF((OR(tbal[[#This Row],[X]]=0,tbal[[#This Row],[X]]=5)),tbal[[#This Row],[ACREEDOR]],0)</f>
        <v>0</v>
      </c>
    </row>
    <row r="1406" spans="1:14" hidden="1" x14ac:dyDescent="0.3">
      <c r="A1406" s="14">
        <f>+'PLAN DE CUENTAS'!A1406</f>
        <v>0</v>
      </c>
      <c r="B1406" s="13">
        <f>+'PLAN DE CUENTAS'!B1406</f>
        <v>0</v>
      </c>
      <c r="C1406" s="13">
        <f>+'PLAN DE CUENTAS'!C1406</f>
        <v>0</v>
      </c>
      <c r="D1406" t="str">
        <f>IF(tbal[[#This Row],[DEBE]]+tbal[[#This Row],[HABER]]=0,"","X")</f>
        <v/>
      </c>
      <c r="E1406" s="16">
        <f>SUMIF(tdiario[CUENTA],tbal[[#This Row],[CUENTA]],tdiario[DEBE])</f>
        <v>0</v>
      </c>
      <c r="F1406" s="17">
        <f>SUMIF(tdiario[CUENTA],tbal[[#This Row],[CUENTA]],tdiario[HABER])</f>
        <v>0</v>
      </c>
      <c r="G1406" s="16">
        <f>IF(tbal[[#This Row],[DEBE]]-tbal[[#This Row],[HABER]]&gt;0,tbal[[#This Row],[DEBE]]-tbal[[#This Row],[HABER]],0)</f>
        <v>0</v>
      </c>
      <c r="H1406" s="18">
        <f>IF(tbal[[#This Row],[HABER]]-tbal[[#This Row],[DEBE]]&gt;0,tbal[[#This Row],[HABER]]-tbal[[#This Row],[DEBE]],0)</f>
        <v>0</v>
      </c>
      <c r="I1406" s="16">
        <f>IF((OR(tbal[[#This Row],[X]]=1,tbal[[#This Row],[X]]=2)),tbal[[#This Row],[DEUDOR]],0)</f>
        <v>0</v>
      </c>
      <c r="J1406" s="18">
        <f>IF((OR(tbal[[#This Row],[X]]=2,tbal[[#This Row],[X]]=3)),tbal[[#This Row],[ACREEDOR]],0)</f>
        <v>0</v>
      </c>
      <c r="K1406" s="16">
        <f>IF((OR(tbal[[#This Row],[X]]=3,tbal[[#This Row],[X]]=5)),tbal[[#This Row],[DEUDOR]],0)</f>
        <v>0</v>
      </c>
      <c r="L1406" s="18">
        <f>IF((OR(tbal[[#This Row],[X]]=3,tbal[[#This Row],[X]]=4)),tbal[[#This Row],[ACREEDOR]],0)</f>
        <v>0</v>
      </c>
      <c r="M1406" s="16">
        <f>IF((OR(tbal[[#This Row],[X]]=0,tbal[[#This Row],[X]]=6)),tbal[[#This Row],[DEUDOR]],0)</f>
        <v>0</v>
      </c>
      <c r="N1406" s="18">
        <f>IF((OR(tbal[[#This Row],[X]]=0,tbal[[#This Row],[X]]=5)),tbal[[#This Row],[ACREEDOR]],0)</f>
        <v>0</v>
      </c>
    </row>
    <row r="1407" spans="1:14" hidden="1" x14ac:dyDescent="0.3">
      <c r="A1407" s="14">
        <f>+'PLAN DE CUENTAS'!A1407</f>
        <v>0</v>
      </c>
      <c r="B1407" s="13">
        <f>+'PLAN DE CUENTAS'!B1407</f>
        <v>0</v>
      </c>
      <c r="C1407" s="13">
        <f>+'PLAN DE CUENTAS'!C1407</f>
        <v>0</v>
      </c>
      <c r="D1407" t="str">
        <f>IF(tbal[[#This Row],[DEBE]]+tbal[[#This Row],[HABER]]=0,"","X")</f>
        <v/>
      </c>
      <c r="E1407" s="16">
        <f>SUMIF(tdiario[CUENTA],tbal[[#This Row],[CUENTA]],tdiario[DEBE])</f>
        <v>0</v>
      </c>
      <c r="F1407" s="17">
        <f>SUMIF(tdiario[CUENTA],tbal[[#This Row],[CUENTA]],tdiario[HABER])</f>
        <v>0</v>
      </c>
      <c r="G1407" s="16">
        <f>IF(tbal[[#This Row],[DEBE]]-tbal[[#This Row],[HABER]]&gt;0,tbal[[#This Row],[DEBE]]-tbal[[#This Row],[HABER]],0)</f>
        <v>0</v>
      </c>
      <c r="H1407" s="18">
        <f>IF(tbal[[#This Row],[HABER]]-tbal[[#This Row],[DEBE]]&gt;0,tbal[[#This Row],[HABER]]-tbal[[#This Row],[DEBE]],0)</f>
        <v>0</v>
      </c>
      <c r="I1407" s="16">
        <f>IF((OR(tbal[[#This Row],[X]]=1,tbal[[#This Row],[X]]=2)),tbal[[#This Row],[DEUDOR]],0)</f>
        <v>0</v>
      </c>
      <c r="J1407" s="18">
        <f>IF((OR(tbal[[#This Row],[X]]=2,tbal[[#This Row],[X]]=3)),tbal[[#This Row],[ACREEDOR]],0)</f>
        <v>0</v>
      </c>
      <c r="K1407" s="16">
        <f>IF((OR(tbal[[#This Row],[X]]=3,tbal[[#This Row],[X]]=5)),tbal[[#This Row],[DEUDOR]],0)</f>
        <v>0</v>
      </c>
      <c r="L1407" s="18">
        <f>IF((OR(tbal[[#This Row],[X]]=3,tbal[[#This Row],[X]]=4)),tbal[[#This Row],[ACREEDOR]],0)</f>
        <v>0</v>
      </c>
      <c r="M1407" s="16">
        <f>IF((OR(tbal[[#This Row],[X]]=0,tbal[[#This Row],[X]]=6)),tbal[[#This Row],[DEUDOR]],0)</f>
        <v>0</v>
      </c>
      <c r="N1407" s="18">
        <f>IF((OR(tbal[[#This Row],[X]]=0,tbal[[#This Row],[X]]=5)),tbal[[#This Row],[ACREEDOR]],0)</f>
        <v>0</v>
      </c>
    </row>
    <row r="1408" spans="1:14" hidden="1" x14ac:dyDescent="0.3">
      <c r="A1408" s="14">
        <f>+'PLAN DE CUENTAS'!A1408</f>
        <v>0</v>
      </c>
      <c r="B1408" s="13">
        <f>+'PLAN DE CUENTAS'!B1408</f>
        <v>0</v>
      </c>
      <c r="C1408" s="13">
        <f>+'PLAN DE CUENTAS'!C1408</f>
        <v>0</v>
      </c>
      <c r="D1408" t="str">
        <f>IF(tbal[[#This Row],[DEBE]]+tbal[[#This Row],[HABER]]=0,"","X")</f>
        <v/>
      </c>
      <c r="E1408" s="16">
        <f>SUMIF(tdiario[CUENTA],tbal[[#This Row],[CUENTA]],tdiario[DEBE])</f>
        <v>0</v>
      </c>
      <c r="F1408" s="17">
        <f>SUMIF(tdiario[CUENTA],tbal[[#This Row],[CUENTA]],tdiario[HABER])</f>
        <v>0</v>
      </c>
      <c r="G1408" s="16">
        <f>IF(tbal[[#This Row],[DEBE]]-tbal[[#This Row],[HABER]]&gt;0,tbal[[#This Row],[DEBE]]-tbal[[#This Row],[HABER]],0)</f>
        <v>0</v>
      </c>
      <c r="H1408" s="18">
        <f>IF(tbal[[#This Row],[HABER]]-tbal[[#This Row],[DEBE]]&gt;0,tbal[[#This Row],[HABER]]-tbal[[#This Row],[DEBE]],0)</f>
        <v>0</v>
      </c>
      <c r="I1408" s="16">
        <f>IF((OR(tbal[[#This Row],[X]]=1,tbal[[#This Row],[X]]=2)),tbal[[#This Row],[DEUDOR]],0)</f>
        <v>0</v>
      </c>
      <c r="J1408" s="18">
        <f>IF((OR(tbal[[#This Row],[X]]=2,tbal[[#This Row],[X]]=3)),tbal[[#This Row],[ACREEDOR]],0)</f>
        <v>0</v>
      </c>
      <c r="K1408" s="16">
        <f>IF((OR(tbal[[#This Row],[X]]=3,tbal[[#This Row],[X]]=5)),tbal[[#This Row],[DEUDOR]],0)</f>
        <v>0</v>
      </c>
      <c r="L1408" s="18">
        <f>IF((OR(tbal[[#This Row],[X]]=3,tbal[[#This Row],[X]]=4)),tbal[[#This Row],[ACREEDOR]],0)</f>
        <v>0</v>
      </c>
      <c r="M1408" s="16">
        <f>IF((OR(tbal[[#This Row],[X]]=0,tbal[[#This Row],[X]]=6)),tbal[[#This Row],[DEUDOR]],0)</f>
        <v>0</v>
      </c>
      <c r="N1408" s="18">
        <f>IF((OR(tbal[[#This Row],[X]]=0,tbal[[#This Row],[X]]=5)),tbal[[#This Row],[ACREEDOR]],0)</f>
        <v>0</v>
      </c>
    </row>
    <row r="1409" spans="1:14" hidden="1" x14ac:dyDescent="0.3">
      <c r="A1409" s="14">
        <f>+'PLAN DE CUENTAS'!A1409</f>
        <v>0</v>
      </c>
      <c r="B1409" s="13">
        <f>+'PLAN DE CUENTAS'!B1409</f>
        <v>0</v>
      </c>
      <c r="C1409" s="13">
        <f>+'PLAN DE CUENTAS'!C1409</f>
        <v>0</v>
      </c>
      <c r="D1409" t="str">
        <f>IF(tbal[[#This Row],[DEBE]]+tbal[[#This Row],[HABER]]=0,"","X")</f>
        <v/>
      </c>
      <c r="E1409" s="16">
        <f>SUMIF(tdiario[CUENTA],tbal[[#This Row],[CUENTA]],tdiario[DEBE])</f>
        <v>0</v>
      </c>
      <c r="F1409" s="17">
        <f>SUMIF(tdiario[CUENTA],tbal[[#This Row],[CUENTA]],tdiario[HABER])</f>
        <v>0</v>
      </c>
      <c r="G1409" s="16">
        <f>IF(tbal[[#This Row],[DEBE]]-tbal[[#This Row],[HABER]]&gt;0,tbal[[#This Row],[DEBE]]-tbal[[#This Row],[HABER]],0)</f>
        <v>0</v>
      </c>
      <c r="H1409" s="18">
        <f>IF(tbal[[#This Row],[HABER]]-tbal[[#This Row],[DEBE]]&gt;0,tbal[[#This Row],[HABER]]-tbal[[#This Row],[DEBE]],0)</f>
        <v>0</v>
      </c>
      <c r="I1409" s="16">
        <f>IF((OR(tbal[[#This Row],[X]]=1,tbal[[#This Row],[X]]=2)),tbal[[#This Row],[DEUDOR]],0)</f>
        <v>0</v>
      </c>
      <c r="J1409" s="18">
        <f>IF((OR(tbal[[#This Row],[X]]=2,tbal[[#This Row],[X]]=3)),tbal[[#This Row],[ACREEDOR]],0)</f>
        <v>0</v>
      </c>
      <c r="K1409" s="16">
        <f>IF((OR(tbal[[#This Row],[X]]=3,tbal[[#This Row],[X]]=5)),tbal[[#This Row],[DEUDOR]],0)</f>
        <v>0</v>
      </c>
      <c r="L1409" s="18">
        <f>IF((OR(tbal[[#This Row],[X]]=3,tbal[[#This Row],[X]]=4)),tbal[[#This Row],[ACREEDOR]],0)</f>
        <v>0</v>
      </c>
      <c r="M1409" s="16">
        <f>IF((OR(tbal[[#This Row],[X]]=0,tbal[[#This Row],[X]]=6)),tbal[[#This Row],[DEUDOR]],0)</f>
        <v>0</v>
      </c>
      <c r="N1409" s="18">
        <f>IF((OR(tbal[[#This Row],[X]]=0,tbal[[#This Row],[X]]=5)),tbal[[#This Row],[ACREEDOR]],0)</f>
        <v>0</v>
      </c>
    </row>
    <row r="1410" spans="1:14" hidden="1" x14ac:dyDescent="0.3">
      <c r="A1410" s="14">
        <f>+'PLAN DE CUENTAS'!A1410</f>
        <v>0</v>
      </c>
      <c r="B1410" s="13">
        <f>+'PLAN DE CUENTAS'!B1410</f>
        <v>0</v>
      </c>
      <c r="C1410" s="13">
        <f>+'PLAN DE CUENTAS'!C1410</f>
        <v>0</v>
      </c>
      <c r="D1410" t="str">
        <f>IF(tbal[[#This Row],[DEBE]]+tbal[[#This Row],[HABER]]=0,"","X")</f>
        <v/>
      </c>
      <c r="E1410" s="16">
        <f>SUMIF(tdiario[CUENTA],tbal[[#This Row],[CUENTA]],tdiario[DEBE])</f>
        <v>0</v>
      </c>
      <c r="F1410" s="17">
        <f>SUMIF(tdiario[CUENTA],tbal[[#This Row],[CUENTA]],tdiario[HABER])</f>
        <v>0</v>
      </c>
      <c r="G1410" s="16">
        <f>IF(tbal[[#This Row],[DEBE]]-tbal[[#This Row],[HABER]]&gt;0,tbal[[#This Row],[DEBE]]-tbal[[#This Row],[HABER]],0)</f>
        <v>0</v>
      </c>
      <c r="H1410" s="18">
        <f>IF(tbal[[#This Row],[HABER]]-tbal[[#This Row],[DEBE]]&gt;0,tbal[[#This Row],[HABER]]-tbal[[#This Row],[DEBE]],0)</f>
        <v>0</v>
      </c>
      <c r="I1410" s="16">
        <f>IF((OR(tbal[[#This Row],[X]]=1,tbal[[#This Row],[X]]=2)),tbal[[#This Row],[DEUDOR]],0)</f>
        <v>0</v>
      </c>
      <c r="J1410" s="18">
        <f>IF((OR(tbal[[#This Row],[X]]=2,tbal[[#This Row],[X]]=3)),tbal[[#This Row],[ACREEDOR]],0)</f>
        <v>0</v>
      </c>
      <c r="K1410" s="16">
        <f>IF((OR(tbal[[#This Row],[X]]=3,tbal[[#This Row],[X]]=5)),tbal[[#This Row],[DEUDOR]],0)</f>
        <v>0</v>
      </c>
      <c r="L1410" s="18">
        <f>IF((OR(tbal[[#This Row],[X]]=3,tbal[[#This Row],[X]]=4)),tbal[[#This Row],[ACREEDOR]],0)</f>
        <v>0</v>
      </c>
      <c r="M1410" s="16">
        <f>IF((OR(tbal[[#This Row],[X]]=0,tbal[[#This Row],[X]]=6)),tbal[[#This Row],[DEUDOR]],0)</f>
        <v>0</v>
      </c>
      <c r="N1410" s="18">
        <f>IF((OR(tbal[[#This Row],[X]]=0,tbal[[#This Row],[X]]=5)),tbal[[#This Row],[ACREEDOR]],0)</f>
        <v>0</v>
      </c>
    </row>
    <row r="1411" spans="1:14" hidden="1" x14ac:dyDescent="0.3">
      <c r="A1411" s="14">
        <f>+'PLAN DE CUENTAS'!A1411</f>
        <v>0</v>
      </c>
      <c r="B1411" s="13">
        <f>+'PLAN DE CUENTAS'!B1411</f>
        <v>0</v>
      </c>
      <c r="C1411" s="13">
        <f>+'PLAN DE CUENTAS'!C1411</f>
        <v>0</v>
      </c>
      <c r="D1411" t="str">
        <f>IF(tbal[[#This Row],[DEBE]]+tbal[[#This Row],[HABER]]=0,"","X")</f>
        <v/>
      </c>
      <c r="E1411" s="16">
        <f>SUMIF(tdiario[CUENTA],tbal[[#This Row],[CUENTA]],tdiario[DEBE])</f>
        <v>0</v>
      </c>
      <c r="F1411" s="17">
        <f>SUMIF(tdiario[CUENTA],tbal[[#This Row],[CUENTA]],tdiario[HABER])</f>
        <v>0</v>
      </c>
      <c r="G1411" s="16">
        <f>IF(tbal[[#This Row],[DEBE]]-tbal[[#This Row],[HABER]]&gt;0,tbal[[#This Row],[DEBE]]-tbal[[#This Row],[HABER]],0)</f>
        <v>0</v>
      </c>
      <c r="H1411" s="18">
        <f>IF(tbal[[#This Row],[HABER]]-tbal[[#This Row],[DEBE]]&gt;0,tbal[[#This Row],[HABER]]-tbal[[#This Row],[DEBE]],0)</f>
        <v>0</v>
      </c>
      <c r="I1411" s="16">
        <f>IF((OR(tbal[[#This Row],[X]]=1,tbal[[#This Row],[X]]=2)),tbal[[#This Row],[DEUDOR]],0)</f>
        <v>0</v>
      </c>
      <c r="J1411" s="18">
        <f>IF((OR(tbal[[#This Row],[X]]=2,tbal[[#This Row],[X]]=3)),tbal[[#This Row],[ACREEDOR]],0)</f>
        <v>0</v>
      </c>
      <c r="K1411" s="16">
        <f>IF((OR(tbal[[#This Row],[X]]=3,tbal[[#This Row],[X]]=5)),tbal[[#This Row],[DEUDOR]],0)</f>
        <v>0</v>
      </c>
      <c r="L1411" s="18">
        <f>IF((OR(tbal[[#This Row],[X]]=3,tbal[[#This Row],[X]]=4)),tbal[[#This Row],[ACREEDOR]],0)</f>
        <v>0</v>
      </c>
      <c r="M1411" s="16">
        <f>IF((OR(tbal[[#This Row],[X]]=0,tbal[[#This Row],[X]]=6)),tbal[[#This Row],[DEUDOR]],0)</f>
        <v>0</v>
      </c>
      <c r="N1411" s="18">
        <f>IF((OR(tbal[[#This Row],[X]]=0,tbal[[#This Row],[X]]=5)),tbal[[#This Row],[ACREEDOR]],0)</f>
        <v>0</v>
      </c>
    </row>
    <row r="1412" spans="1:14" hidden="1" x14ac:dyDescent="0.3">
      <c r="A1412" s="14">
        <f>+'PLAN DE CUENTAS'!A1412</f>
        <v>0</v>
      </c>
      <c r="B1412" s="13">
        <f>+'PLAN DE CUENTAS'!B1412</f>
        <v>0</v>
      </c>
      <c r="C1412" s="13">
        <f>+'PLAN DE CUENTAS'!C1412</f>
        <v>0</v>
      </c>
      <c r="D1412" t="str">
        <f>IF(tbal[[#This Row],[DEBE]]+tbal[[#This Row],[HABER]]=0,"","X")</f>
        <v/>
      </c>
      <c r="E1412" s="16">
        <f>SUMIF(tdiario[CUENTA],tbal[[#This Row],[CUENTA]],tdiario[DEBE])</f>
        <v>0</v>
      </c>
      <c r="F1412" s="17">
        <f>SUMIF(tdiario[CUENTA],tbal[[#This Row],[CUENTA]],tdiario[HABER])</f>
        <v>0</v>
      </c>
      <c r="G1412" s="16">
        <f>IF(tbal[[#This Row],[DEBE]]-tbal[[#This Row],[HABER]]&gt;0,tbal[[#This Row],[DEBE]]-tbal[[#This Row],[HABER]],0)</f>
        <v>0</v>
      </c>
      <c r="H1412" s="18">
        <f>IF(tbal[[#This Row],[HABER]]-tbal[[#This Row],[DEBE]]&gt;0,tbal[[#This Row],[HABER]]-tbal[[#This Row],[DEBE]],0)</f>
        <v>0</v>
      </c>
      <c r="I1412" s="16">
        <f>IF((OR(tbal[[#This Row],[X]]=1,tbal[[#This Row],[X]]=2)),tbal[[#This Row],[DEUDOR]],0)</f>
        <v>0</v>
      </c>
      <c r="J1412" s="18">
        <f>IF((OR(tbal[[#This Row],[X]]=2,tbal[[#This Row],[X]]=3)),tbal[[#This Row],[ACREEDOR]],0)</f>
        <v>0</v>
      </c>
      <c r="K1412" s="16">
        <f>IF((OR(tbal[[#This Row],[X]]=3,tbal[[#This Row],[X]]=5)),tbal[[#This Row],[DEUDOR]],0)</f>
        <v>0</v>
      </c>
      <c r="L1412" s="18">
        <f>IF((OR(tbal[[#This Row],[X]]=3,tbal[[#This Row],[X]]=4)),tbal[[#This Row],[ACREEDOR]],0)</f>
        <v>0</v>
      </c>
      <c r="M1412" s="16">
        <f>IF((OR(tbal[[#This Row],[X]]=0,tbal[[#This Row],[X]]=6)),tbal[[#This Row],[DEUDOR]],0)</f>
        <v>0</v>
      </c>
      <c r="N1412" s="18">
        <f>IF((OR(tbal[[#This Row],[X]]=0,tbal[[#This Row],[X]]=5)),tbal[[#This Row],[ACREEDOR]],0)</f>
        <v>0</v>
      </c>
    </row>
    <row r="1413" spans="1:14" hidden="1" x14ac:dyDescent="0.3">
      <c r="A1413" s="14">
        <f>+'PLAN DE CUENTAS'!A1413</f>
        <v>0</v>
      </c>
      <c r="B1413" s="13">
        <f>+'PLAN DE CUENTAS'!B1413</f>
        <v>0</v>
      </c>
      <c r="C1413" s="13">
        <f>+'PLAN DE CUENTAS'!C1413</f>
        <v>0</v>
      </c>
      <c r="D1413" t="str">
        <f>IF(tbal[[#This Row],[DEBE]]+tbal[[#This Row],[HABER]]=0,"","X")</f>
        <v/>
      </c>
      <c r="E1413" s="16">
        <f>SUMIF(tdiario[CUENTA],tbal[[#This Row],[CUENTA]],tdiario[DEBE])</f>
        <v>0</v>
      </c>
      <c r="F1413" s="17">
        <f>SUMIF(tdiario[CUENTA],tbal[[#This Row],[CUENTA]],tdiario[HABER])</f>
        <v>0</v>
      </c>
      <c r="G1413" s="16">
        <f>IF(tbal[[#This Row],[DEBE]]-tbal[[#This Row],[HABER]]&gt;0,tbal[[#This Row],[DEBE]]-tbal[[#This Row],[HABER]],0)</f>
        <v>0</v>
      </c>
      <c r="H1413" s="18">
        <f>IF(tbal[[#This Row],[HABER]]-tbal[[#This Row],[DEBE]]&gt;0,tbal[[#This Row],[HABER]]-tbal[[#This Row],[DEBE]],0)</f>
        <v>0</v>
      </c>
      <c r="I1413" s="16">
        <f>IF((OR(tbal[[#This Row],[X]]=1,tbal[[#This Row],[X]]=2)),tbal[[#This Row],[DEUDOR]],0)</f>
        <v>0</v>
      </c>
      <c r="J1413" s="18">
        <f>IF((OR(tbal[[#This Row],[X]]=2,tbal[[#This Row],[X]]=3)),tbal[[#This Row],[ACREEDOR]],0)</f>
        <v>0</v>
      </c>
      <c r="K1413" s="16">
        <f>IF((OR(tbal[[#This Row],[X]]=3,tbal[[#This Row],[X]]=5)),tbal[[#This Row],[DEUDOR]],0)</f>
        <v>0</v>
      </c>
      <c r="L1413" s="18">
        <f>IF((OR(tbal[[#This Row],[X]]=3,tbal[[#This Row],[X]]=4)),tbal[[#This Row],[ACREEDOR]],0)</f>
        <v>0</v>
      </c>
      <c r="M1413" s="16">
        <f>IF((OR(tbal[[#This Row],[X]]=0,tbal[[#This Row],[X]]=6)),tbal[[#This Row],[DEUDOR]],0)</f>
        <v>0</v>
      </c>
      <c r="N1413" s="18">
        <f>IF((OR(tbal[[#This Row],[X]]=0,tbal[[#This Row],[X]]=5)),tbal[[#This Row],[ACREEDOR]],0)</f>
        <v>0</v>
      </c>
    </row>
    <row r="1414" spans="1:14" hidden="1" x14ac:dyDescent="0.3">
      <c r="A1414" s="14">
        <f>+'PLAN DE CUENTAS'!A1414</f>
        <v>0</v>
      </c>
      <c r="B1414" s="13">
        <f>+'PLAN DE CUENTAS'!B1414</f>
        <v>0</v>
      </c>
      <c r="C1414" s="13">
        <f>+'PLAN DE CUENTAS'!C1414</f>
        <v>0</v>
      </c>
      <c r="D1414" t="str">
        <f>IF(tbal[[#This Row],[DEBE]]+tbal[[#This Row],[HABER]]=0,"","X")</f>
        <v/>
      </c>
      <c r="E1414" s="16">
        <f>SUMIF(tdiario[CUENTA],tbal[[#This Row],[CUENTA]],tdiario[DEBE])</f>
        <v>0</v>
      </c>
      <c r="F1414" s="17">
        <f>SUMIF(tdiario[CUENTA],tbal[[#This Row],[CUENTA]],tdiario[HABER])</f>
        <v>0</v>
      </c>
      <c r="G1414" s="16">
        <f>IF(tbal[[#This Row],[DEBE]]-tbal[[#This Row],[HABER]]&gt;0,tbal[[#This Row],[DEBE]]-tbal[[#This Row],[HABER]],0)</f>
        <v>0</v>
      </c>
      <c r="H1414" s="18">
        <f>IF(tbal[[#This Row],[HABER]]-tbal[[#This Row],[DEBE]]&gt;0,tbal[[#This Row],[HABER]]-tbal[[#This Row],[DEBE]],0)</f>
        <v>0</v>
      </c>
      <c r="I1414" s="16">
        <f>IF((OR(tbal[[#This Row],[X]]=1,tbal[[#This Row],[X]]=2)),tbal[[#This Row],[DEUDOR]],0)</f>
        <v>0</v>
      </c>
      <c r="J1414" s="18">
        <f>IF((OR(tbal[[#This Row],[X]]=2,tbal[[#This Row],[X]]=3)),tbal[[#This Row],[ACREEDOR]],0)</f>
        <v>0</v>
      </c>
      <c r="K1414" s="16">
        <f>IF((OR(tbal[[#This Row],[X]]=3,tbal[[#This Row],[X]]=5)),tbal[[#This Row],[DEUDOR]],0)</f>
        <v>0</v>
      </c>
      <c r="L1414" s="18">
        <f>IF((OR(tbal[[#This Row],[X]]=3,tbal[[#This Row],[X]]=4)),tbal[[#This Row],[ACREEDOR]],0)</f>
        <v>0</v>
      </c>
      <c r="M1414" s="16">
        <f>IF((OR(tbal[[#This Row],[X]]=0,tbal[[#This Row],[X]]=6)),tbal[[#This Row],[DEUDOR]],0)</f>
        <v>0</v>
      </c>
      <c r="N1414" s="18">
        <f>IF((OR(tbal[[#This Row],[X]]=0,tbal[[#This Row],[X]]=5)),tbal[[#This Row],[ACREEDOR]],0)</f>
        <v>0</v>
      </c>
    </row>
    <row r="1415" spans="1:14" hidden="1" x14ac:dyDescent="0.3">
      <c r="A1415" s="14">
        <f>+'PLAN DE CUENTAS'!A1415</f>
        <v>0</v>
      </c>
      <c r="B1415" s="13">
        <f>+'PLAN DE CUENTAS'!B1415</f>
        <v>0</v>
      </c>
      <c r="C1415" s="13">
        <f>+'PLAN DE CUENTAS'!C1415</f>
        <v>0</v>
      </c>
      <c r="D1415" t="str">
        <f>IF(tbal[[#This Row],[DEBE]]+tbal[[#This Row],[HABER]]=0,"","X")</f>
        <v/>
      </c>
      <c r="E1415" s="16">
        <f>SUMIF(tdiario[CUENTA],tbal[[#This Row],[CUENTA]],tdiario[DEBE])</f>
        <v>0</v>
      </c>
      <c r="F1415" s="17">
        <f>SUMIF(tdiario[CUENTA],tbal[[#This Row],[CUENTA]],tdiario[HABER])</f>
        <v>0</v>
      </c>
      <c r="G1415" s="16">
        <f>IF(tbal[[#This Row],[DEBE]]-tbal[[#This Row],[HABER]]&gt;0,tbal[[#This Row],[DEBE]]-tbal[[#This Row],[HABER]],0)</f>
        <v>0</v>
      </c>
      <c r="H1415" s="18">
        <f>IF(tbal[[#This Row],[HABER]]-tbal[[#This Row],[DEBE]]&gt;0,tbal[[#This Row],[HABER]]-tbal[[#This Row],[DEBE]],0)</f>
        <v>0</v>
      </c>
      <c r="I1415" s="16">
        <f>IF((OR(tbal[[#This Row],[X]]=1,tbal[[#This Row],[X]]=2)),tbal[[#This Row],[DEUDOR]],0)</f>
        <v>0</v>
      </c>
      <c r="J1415" s="18">
        <f>IF((OR(tbal[[#This Row],[X]]=2,tbal[[#This Row],[X]]=3)),tbal[[#This Row],[ACREEDOR]],0)</f>
        <v>0</v>
      </c>
      <c r="K1415" s="16">
        <f>IF((OR(tbal[[#This Row],[X]]=3,tbal[[#This Row],[X]]=5)),tbal[[#This Row],[DEUDOR]],0)</f>
        <v>0</v>
      </c>
      <c r="L1415" s="18">
        <f>IF((OR(tbal[[#This Row],[X]]=3,tbal[[#This Row],[X]]=4)),tbal[[#This Row],[ACREEDOR]],0)</f>
        <v>0</v>
      </c>
      <c r="M1415" s="16">
        <f>IF((OR(tbal[[#This Row],[X]]=0,tbal[[#This Row],[X]]=6)),tbal[[#This Row],[DEUDOR]],0)</f>
        <v>0</v>
      </c>
      <c r="N1415" s="18">
        <f>IF((OR(tbal[[#This Row],[X]]=0,tbal[[#This Row],[X]]=5)),tbal[[#This Row],[ACREEDOR]],0)</f>
        <v>0</v>
      </c>
    </row>
    <row r="1416" spans="1:14" hidden="1" x14ac:dyDescent="0.3">
      <c r="A1416" s="14">
        <f>+'PLAN DE CUENTAS'!A1416</f>
        <v>0</v>
      </c>
      <c r="B1416" s="13">
        <f>+'PLAN DE CUENTAS'!B1416</f>
        <v>0</v>
      </c>
      <c r="C1416" s="13">
        <f>+'PLAN DE CUENTAS'!C1416</f>
        <v>0</v>
      </c>
      <c r="D1416" t="str">
        <f>IF(tbal[[#This Row],[DEBE]]+tbal[[#This Row],[HABER]]=0,"","X")</f>
        <v/>
      </c>
      <c r="E1416" s="16">
        <f>SUMIF(tdiario[CUENTA],tbal[[#This Row],[CUENTA]],tdiario[DEBE])</f>
        <v>0</v>
      </c>
      <c r="F1416" s="17">
        <f>SUMIF(tdiario[CUENTA],tbal[[#This Row],[CUENTA]],tdiario[HABER])</f>
        <v>0</v>
      </c>
      <c r="G1416" s="16">
        <f>IF(tbal[[#This Row],[DEBE]]-tbal[[#This Row],[HABER]]&gt;0,tbal[[#This Row],[DEBE]]-tbal[[#This Row],[HABER]],0)</f>
        <v>0</v>
      </c>
      <c r="H1416" s="18">
        <f>IF(tbal[[#This Row],[HABER]]-tbal[[#This Row],[DEBE]]&gt;0,tbal[[#This Row],[HABER]]-tbal[[#This Row],[DEBE]],0)</f>
        <v>0</v>
      </c>
      <c r="I1416" s="16">
        <f>IF((OR(tbal[[#This Row],[X]]=1,tbal[[#This Row],[X]]=2)),tbal[[#This Row],[DEUDOR]],0)</f>
        <v>0</v>
      </c>
      <c r="J1416" s="18">
        <f>IF((OR(tbal[[#This Row],[X]]=2,tbal[[#This Row],[X]]=3)),tbal[[#This Row],[ACREEDOR]],0)</f>
        <v>0</v>
      </c>
      <c r="K1416" s="16">
        <f>IF((OR(tbal[[#This Row],[X]]=3,tbal[[#This Row],[X]]=5)),tbal[[#This Row],[DEUDOR]],0)</f>
        <v>0</v>
      </c>
      <c r="L1416" s="18">
        <f>IF((OR(tbal[[#This Row],[X]]=3,tbal[[#This Row],[X]]=4)),tbal[[#This Row],[ACREEDOR]],0)</f>
        <v>0</v>
      </c>
      <c r="M1416" s="16">
        <f>IF((OR(tbal[[#This Row],[X]]=0,tbal[[#This Row],[X]]=6)),tbal[[#This Row],[DEUDOR]],0)</f>
        <v>0</v>
      </c>
      <c r="N1416" s="18">
        <f>IF((OR(tbal[[#This Row],[X]]=0,tbal[[#This Row],[X]]=5)),tbal[[#This Row],[ACREEDOR]],0)</f>
        <v>0</v>
      </c>
    </row>
    <row r="1417" spans="1:14" hidden="1" x14ac:dyDescent="0.3">
      <c r="A1417" s="14">
        <f>+'PLAN DE CUENTAS'!A1417</f>
        <v>0</v>
      </c>
      <c r="B1417" s="13">
        <f>+'PLAN DE CUENTAS'!B1417</f>
        <v>0</v>
      </c>
      <c r="C1417" s="13">
        <f>+'PLAN DE CUENTAS'!C1417</f>
        <v>0</v>
      </c>
      <c r="D1417" t="str">
        <f>IF(tbal[[#This Row],[DEBE]]+tbal[[#This Row],[HABER]]=0,"","X")</f>
        <v/>
      </c>
      <c r="E1417" s="16">
        <f>SUMIF(tdiario[CUENTA],tbal[[#This Row],[CUENTA]],tdiario[DEBE])</f>
        <v>0</v>
      </c>
      <c r="F1417" s="17">
        <f>SUMIF(tdiario[CUENTA],tbal[[#This Row],[CUENTA]],tdiario[HABER])</f>
        <v>0</v>
      </c>
      <c r="G1417" s="16">
        <f>IF(tbal[[#This Row],[DEBE]]-tbal[[#This Row],[HABER]]&gt;0,tbal[[#This Row],[DEBE]]-tbal[[#This Row],[HABER]],0)</f>
        <v>0</v>
      </c>
      <c r="H1417" s="18">
        <f>IF(tbal[[#This Row],[HABER]]-tbal[[#This Row],[DEBE]]&gt;0,tbal[[#This Row],[HABER]]-tbal[[#This Row],[DEBE]],0)</f>
        <v>0</v>
      </c>
      <c r="I1417" s="16">
        <f>IF((OR(tbal[[#This Row],[X]]=1,tbal[[#This Row],[X]]=2)),tbal[[#This Row],[DEUDOR]],0)</f>
        <v>0</v>
      </c>
      <c r="J1417" s="18">
        <f>IF((OR(tbal[[#This Row],[X]]=2,tbal[[#This Row],[X]]=3)),tbal[[#This Row],[ACREEDOR]],0)</f>
        <v>0</v>
      </c>
      <c r="K1417" s="16">
        <f>IF((OR(tbal[[#This Row],[X]]=3,tbal[[#This Row],[X]]=5)),tbal[[#This Row],[DEUDOR]],0)</f>
        <v>0</v>
      </c>
      <c r="L1417" s="18">
        <f>IF((OR(tbal[[#This Row],[X]]=3,tbal[[#This Row],[X]]=4)),tbal[[#This Row],[ACREEDOR]],0)</f>
        <v>0</v>
      </c>
      <c r="M1417" s="16">
        <f>IF((OR(tbal[[#This Row],[X]]=0,tbal[[#This Row],[X]]=6)),tbal[[#This Row],[DEUDOR]],0)</f>
        <v>0</v>
      </c>
      <c r="N1417" s="18">
        <f>IF((OR(tbal[[#This Row],[X]]=0,tbal[[#This Row],[X]]=5)),tbal[[#This Row],[ACREEDOR]],0)</f>
        <v>0</v>
      </c>
    </row>
    <row r="1418" spans="1:14" hidden="1" x14ac:dyDescent="0.3">
      <c r="A1418" s="14">
        <f>+'PLAN DE CUENTAS'!A1418</f>
        <v>0</v>
      </c>
      <c r="B1418" s="13">
        <f>+'PLAN DE CUENTAS'!B1418</f>
        <v>0</v>
      </c>
      <c r="C1418" s="13">
        <f>+'PLAN DE CUENTAS'!C1418</f>
        <v>0</v>
      </c>
      <c r="D1418" t="str">
        <f>IF(tbal[[#This Row],[DEBE]]+tbal[[#This Row],[HABER]]=0,"","X")</f>
        <v/>
      </c>
      <c r="E1418" s="16">
        <f>SUMIF(tdiario[CUENTA],tbal[[#This Row],[CUENTA]],tdiario[DEBE])</f>
        <v>0</v>
      </c>
      <c r="F1418" s="17">
        <f>SUMIF(tdiario[CUENTA],tbal[[#This Row],[CUENTA]],tdiario[HABER])</f>
        <v>0</v>
      </c>
      <c r="G1418" s="16">
        <f>IF(tbal[[#This Row],[DEBE]]-tbal[[#This Row],[HABER]]&gt;0,tbal[[#This Row],[DEBE]]-tbal[[#This Row],[HABER]],0)</f>
        <v>0</v>
      </c>
      <c r="H1418" s="18">
        <f>IF(tbal[[#This Row],[HABER]]-tbal[[#This Row],[DEBE]]&gt;0,tbal[[#This Row],[HABER]]-tbal[[#This Row],[DEBE]],0)</f>
        <v>0</v>
      </c>
      <c r="I1418" s="16">
        <f>IF((OR(tbal[[#This Row],[X]]=1,tbal[[#This Row],[X]]=2)),tbal[[#This Row],[DEUDOR]],0)</f>
        <v>0</v>
      </c>
      <c r="J1418" s="18">
        <f>IF((OR(tbal[[#This Row],[X]]=2,tbal[[#This Row],[X]]=3)),tbal[[#This Row],[ACREEDOR]],0)</f>
        <v>0</v>
      </c>
      <c r="K1418" s="16">
        <f>IF((OR(tbal[[#This Row],[X]]=3,tbal[[#This Row],[X]]=5)),tbal[[#This Row],[DEUDOR]],0)</f>
        <v>0</v>
      </c>
      <c r="L1418" s="18">
        <f>IF((OR(tbal[[#This Row],[X]]=3,tbal[[#This Row],[X]]=4)),tbal[[#This Row],[ACREEDOR]],0)</f>
        <v>0</v>
      </c>
      <c r="M1418" s="16">
        <f>IF((OR(tbal[[#This Row],[X]]=0,tbal[[#This Row],[X]]=6)),tbal[[#This Row],[DEUDOR]],0)</f>
        <v>0</v>
      </c>
      <c r="N1418" s="18">
        <f>IF((OR(tbal[[#This Row],[X]]=0,tbal[[#This Row],[X]]=5)),tbal[[#This Row],[ACREEDOR]],0)</f>
        <v>0</v>
      </c>
    </row>
    <row r="1419" spans="1:14" hidden="1" x14ac:dyDescent="0.3">
      <c r="A1419" s="14">
        <f>+'PLAN DE CUENTAS'!A1419</f>
        <v>0</v>
      </c>
      <c r="B1419" s="13">
        <f>+'PLAN DE CUENTAS'!B1419</f>
        <v>0</v>
      </c>
      <c r="C1419" s="13">
        <f>+'PLAN DE CUENTAS'!C1419</f>
        <v>0</v>
      </c>
      <c r="D1419" t="str">
        <f>IF(tbal[[#This Row],[DEBE]]+tbal[[#This Row],[HABER]]=0,"","X")</f>
        <v/>
      </c>
      <c r="E1419" s="16">
        <f>SUMIF(tdiario[CUENTA],tbal[[#This Row],[CUENTA]],tdiario[DEBE])</f>
        <v>0</v>
      </c>
      <c r="F1419" s="17">
        <f>SUMIF(tdiario[CUENTA],tbal[[#This Row],[CUENTA]],tdiario[HABER])</f>
        <v>0</v>
      </c>
      <c r="G1419" s="16">
        <f>IF(tbal[[#This Row],[DEBE]]-tbal[[#This Row],[HABER]]&gt;0,tbal[[#This Row],[DEBE]]-tbal[[#This Row],[HABER]],0)</f>
        <v>0</v>
      </c>
      <c r="H1419" s="18">
        <f>IF(tbal[[#This Row],[HABER]]-tbal[[#This Row],[DEBE]]&gt;0,tbal[[#This Row],[HABER]]-tbal[[#This Row],[DEBE]],0)</f>
        <v>0</v>
      </c>
      <c r="I1419" s="16">
        <f>IF((OR(tbal[[#This Row],[X]]=1,tbal[[#This Row],[X]]=2)),tbal[[#This Row],[DEUDOR]],0)</f>
        <v>0</v>
      </c>
      <c r="J1419" s="18">
        <f>IF((OR(tbal[[#This Row],[X]]=2,tbal[[#This Row],[X]]=3)),tbal[[#This Row],[ACREEDOR]],0)</f>
        <v>0</v>
      </c>
      <c r="K1419" s="16">
        <f>IF((OR(tbal[[#This Row],[X]]=3,tbal[[#This Row],[X]]=5)),tbal[[#This Row],[DEUDOR]],0)</f>
        <v>0</v>
      </c>
      <c r="L1419" s="18">
        <f>IF((OR(tbal[[#This Row],[X]]=3,tbal[[#This Row],[X]]=4)),tbal[[#This Row],[ACREEDOR]],0)</f>
        <v>0</v>
      </c>
      <c r="M1419" s="16">
        <f>IF((OR(tbal[[#This Row],[X]]=0,tbal[[#This Row],[X]]=6)),tbal[[#This Row],[DEUDOR]],0)</f>
        <v>0</v>
      </c>
      <c r="N1419" s="18">
        <f>IF((OR(tbal[[#This Row],[X]]=0,tbal[[#This Row],[X]]=5)),tbal[[#This Row],[ACREEDOR]],0)</f>
        <v>0</v>
      </c>
    </row>
    <row r="1420" spans="1:14" hidden="1" x14ac:dyDescent="0.3">
      <c r="A1420" s="14">
        <f>+'PLAN DE CUENTAS'!A1420</f>
        <v>0</v>
      </c>
      <c r="B1420" s="13">
        <f>+'PLAN DE CUENTAS'!B1420</f>
        <v>0</v>
      </c>
      <c r="C1420" s="13">
        <f>+'PLAN DE CUENTAS'!C1420</f>
        <v>0</v>
      </c>
      <c r="D1420" t="str">
        <f>IF(tbal[[#This Row],[DEBE]]+tbal[[#This Row],[HABER]]=0,"","X")</f>
        <v/>
      </c>
      <c r="E1420" s="16">
        <f>SUMIF(tdiario[CUENTA],tbal[[#This Row],[CUENTA]],tdiario[DEBE])</f>
        <v>0</v>
      </c>
      <c r="F1420" s="17">
        <f>SUMIF(tdiario[CUENTA],tbal[[#This Row],[CUENTA]],tdiario[HABER])</f>
        <v>0</v>
      </c>
      <c r="G1420" s="16">
        <f>IF(tbal[[#This Row],[DEBE]]-tbal[[#This Row],[HABER]]&gt;0,tbal[[#This Row],[DEBE]]-tbal[[#This Row],[HABER]],0)</f>
        <v>0</v>
      </c>
      <c r="H1420" s="18">
        <f>IF(tbal[[#This Row],[HABER]]-tbal[[#This Row],[DEBE]]&gt;0,tbal[[#This Row],[HABER]]-tbal[[#This Row],[DEBE]],0)</f>
        <v>0</v>
      </c>
      <c r="I1420" s="16">
        <f>IF((OR(tbal[[#This Row],[X]]=1,tbal[[#This Row],[X]]=2)),tbal[[#This Row],[DEUDOR]],0)</f>
        <v>0</v>
      </c>
      <c r="J1420" s="18">
        <f>IF((OR(tbal[[#This Row],[X]]=2,tbal[[#This Row],[X]]=3)),tbal[[#This Row],[ACREEDOR]],0)</f>
        <v>0</v>
      </c>
      <c r="K1420" s="16">
        <f>IF((OR(tbal[[#This Row],[X]]=3,tbal[[#This Row],[X]]=5)),tbal[[#This Row],[DEUDOR]],0)</f>
        <v>0</v>
      </c>
      <c r="L1420" s="18">
        <f>IF((OR(tbal[[#This Row],[X]]=3,tbal[[#This Row],[X]]=4)),tbal[[#This Row],[ACREEDOR]],0)</f>
        <v>0</v>
      </c>
      <c r="M1420" s="16">
        <f>IF((OR(tbal[[#This Row],[X]]=0,tbal[[#This Row],[X]]=6)),tbal[[#This Row],[DEUDOR]],0)</f>
        <v>0</v>
      </c>
      <c r="N1420" s="18">
        <f>IF((OR(tbal[[#This Row],[X]]=0,tbal[[#This Row],[X]]=5)),tbal[[#This Row],[ACREEDOR]],0)</f>
        <v>0</v>
      </c>
    </row>
    <row r="1421" spans="1:14" hidden="1" x14ac:dyDescent="0.3">
      <c r="A1421" s="14">
        <f>+'PLAN DE CUENTAS'!A1421</f>
        <v>0</v>
      </c>
      <c r="B1421" s="13">
        <f>+'PLAN DE CUENTAS'!B1421</f>
        <v>0</v>
      </c>
      <c r="C1421" s="13">
        <f>+'PLAN DE CUENTAS'!C1421</f>
        <v>0</v>
      </c>
      <c r="D1421" t="str">
        <f>IF(tbal[[#This Row],[DEBE]]+tbal[[#This Row],[HABER]]=0,"","X")</f>
        <v/>
      </c>
      <c r="E1421" s="16">
        <f>SUMIF(tdiario[CUENTA],tbal[[#This Row],[CUENTA]],tdiario[DEBE])</f>
        <v>0</v>
      </c>
      <c r="F1421" s="17">
        <f>SUMIF(tdiario[CUENTA],tbal[[#This Row],[CUENTA]],tdiario[HABER])</f>
        <v>0</v>
      </c>
      <c r="G1421" s="16">
        <f>IF(tbal[[#This Row],[DEBE]]-tbal[[#This Row],[HABER]]&gt;0,tbal[[#This Row],[DEBE]]-tbal[[#This Row],[HABER]],0)</f>
        <v>0</v>
      </c>
      <c r="H1421" s="18">
        <f>IF(tbal[[#This Row],[HABER]]-tbal[[#This Row],[DEBE]]&gt;0,tbal[[#This Row],[HABER]]-tbal[[#This Row],[DEBE]],0)</f>
        <v>0</v>
      </c>
      <c r="I1421" s="16">
        <f>IF((OR(tbal[[#This Row],[X]]=1,tbal[[#This Row],[X]]=2)),tbal[[#This Row],[DEUDOR]],0)</f>
        <v>0</v>
      </c>
      <c r="J1421" s="18">
        <f>IF((OR(tbal[[#This Row],[X]]=2,tbal[[#This Row],[X]]=3)),tbal[[#This Row],[ACREEDOR]],0)</f>
        <v>0</v>
      </c>
      <c r="K1421" s="16">
        <f>IF((OR(tbal[[#This Row],[X]]=3,tbal[[#This Row],[X]]=5)),tbal[[#This Row],[DEUDOR]],0)</f>
        <v>0</v>
      </c>
      <c r="L1421" s="18">
        <f>IF((OR(tbal[[#This Row],[X]]=3,tbal[[#This Row],[X]]=4)),tbal[[#This Row],[ACREEDOR]],0)</f>
        <v>0</v>
      </c>
      <c r="M1421" s="16">
        <f>IF((OR(tbal[[#This Row],[X]]=0,tbal[[#This Row],[X]]=6)),tbal[[#This Row],[DEUDOR]],0)</f>
        <v>0</v>
      </c>
      <c r="N1421" s="18">
        <f>IF((OR(tbal[[#This Row],[X]]=0,tbal[[#This Row],[X]]=5)),tbal[[#This Row],[ACREEDOR]],0)</f>
        <v>0</v>
      </c>
    </row>
    <row r="1422" spans="1:14" hidden="1" x14ac:dyDescent="0.3">
      <c r="A1422" s="14">
        <f>+'PLAN DE CUENTAS'!A1422</f>
        <v>0</v>
      </c>
      <c r="B1422" s="13">
        <f>+'PLAN DE CUENTAS'!B1422</f>
        <v>0</v>
      </c>
      <c r="C1422" s="13">
        <f>+'PLAN DE CUENTAS'!C1422</f>
        <v>0</v>
      </c>
      <c r="D1422" t="str">
        <f>IF(tbal[[#This Row],[DEBE]]+tbal[[#This Row],[HABER]]=0,"","X")</f>
        <v/>
      </c>
      <c r="E1422" s="16">
        <f>SUMIF(tdiario[CUENTA],tbal[[#This Row],[CUENTA]],tdiario[DEBE])</f>
        <v>0</v>
      </c>
      <c r="F1422" s="17">
        <f>SUMIF(tdiario[CUENTA],tbal[[#This Row],[CUENTA]],tdiario[HABER])</f>
        <v>0</v>
      </c>
      <c r="G1422" s="16">
        <f>IF(tbal[[#This Row],[DEBE]]-tbal[[#This Row],[HABER]]&gt;0,tbal[[#This Row],[DEBE]]-tbal[[#This Row],[HABER]],0)</f>
        <v>0</v>
      </c>
      <c r="H1422" s="18">
        <f>IF(tbal[[#This Row],[HABER]]-tbal[[#This Row],[DEBE]]&gt;0,tbal[[#This Row],[HABER]]-tbal[[#This Row],[DEBE]],0)</f>
        <v>0</v>
      </c>
      <c r="I1422" s="16">
        <f>IF((OR(tbal[[#This Row],[X]]=1,tbal[[#This Row],[X]]=2)),tbal[[#This Row],[DEUDOR]],0)</f>
        <v>0</v>
      </c>
      <c r="J1422" s="18">
        <f>IF((OR(tbal[[#This Row],[X]]=2,tbal[[#This Row],[X]]=3)),tbal[[#This Row],[ACREEDOR]],0)</f>
        <v>0</v>
      </c>
      <c r="K1422" s="16">
        <f>IF((OR(tbal[[#This Row],[X]]=3,tbal[[#This Row],[X]]=5)),tbal[[#This Row],[DEUDOR]],0)</f>
        <v>0</v>
      </c>
      <c r="L1422" s="18">
        <f>IF((OR(tbal[[#This Row],[X]]=3,tbal[[#This Row],[X]]=4)),tbal[[#This Row],[ACREEDOR]],0)</f>
        <v>0</v>
      </c>
      <c r="M1422" s="16">
        <f>IF((OR(tbal[[#This Row],[X]]=0,tbal[[#This Row],[X]]=6)),tbal[[#This Row],[DEUDOR]],0)</f>
        <v>0</v>
      </c>
      <c r="N1422" s="18">
        <f>IF((OR(tbal[[#This Row],[X]]=0,tbal[[#This Row],[X]]=5)),tbal[[#This Row],[ACREEDOR]],0)</f>
        <v>0</v>
      </c>
    </row>
    <row r="1423" spans="1:14" hidden="1" x14ac:dyDescent="0.3">
      <c r="A1423" s="14">
        <f>+'PLAN DE CUENTAS'!A1423</f>
        <v>0</v>
      </c>
      <c r="B1423" s="13">
        <f>+'PLAN DE CUENTAS'!B1423</f>
        <v>0</v>
      </c>
      <c r="C1423" s="13">
        <f>+'PLAN DE CUENTAS'!C1423</f>
        <v>0</v>
      </c>
      <c r="D1423" t="str">
        <f>IF(tbal[[#This Row],[DEBE]]+tbal[[#This Row],[HABER]]=0,"","X")</f>
        <v/>
      </c>
      <c r="E1423" s="16">
        <f>SUMIF(tdiario[CUENTA],tbal[[#This Row],[CUENTA]],tdiario[DEBE])</f>
        <v>0</v>
      </c>
      <c r="F1423" s="17">
        <f>SUMIF(tdiario[CUENTA],tbal[[#This Row],[CUENTA]],tdiario[HABER])</f>
        <v>0</v>
      </c>
      <c r="G1423" s="16">
        <f>IF(tbal[[#This Row],[DEBE]]-tbal[[#This Row],[HABER]]&gt;0,tbal[[#This Row],[DEBE]]-tbal[[#This Row],[HABER]],0)</f>
        <v>0</v>
      </c>
      <c r="H1423" s="18">
        <f>IF(tbal[[#This Row],[HABER]]-tbal[[#This Row],[DEBE]]&gt;0,tbal[[#This Row],[HABER]]-tbal[[#This Row],[DEBE]],0)</f>
        <v>0</v>
      </c>
      <c r="I1423" s="16">
        <f>IF((OR(tbal[[#This Row],[X]]=1,tbal[[#This Row],[X]]=2)),tbal[[#This Row],[DEUDOR]],0)</f>
        <v>0</v>
      </c>
      <c r="J1423" s="18">
        <f>IF((OR(tbal[[#This Row],[X]]=2,tbal[[#This Row],[X]]=3)),tbal[[#This Row],[ACREEDOR]],0)</f>
        <v>0</v>
      </c>
      <c r="K1423" s="16">
        <f>IF((OR(tbal[[#This Row],[X]]=3,tbal[[#This Row],[X]]=5)),tbal[[#This Row],[DEUDOR]],0)</f>
        <v>0</v>
      </c>
      <c r="L1423" s="18">
        <f>IF((OR(tbal[[#This Row],[X]]=3,tbal[[#This Row],[X]]=4)),tbal[[#This Row],[ACREEDOR]],0)</f>
        <v>0</v>
      </c>
      <c r="M1423" s="16">
        <f>IF((OR(tbal[[#This Row],[X]]=0,tbal[[#This Row],[X]]=6)),tbal[[#This Row],[DEUDOR]],0)</f>
        <v>0</v>
      </c>
      <c r="N1423" s="18">
        <f>IF((OR(tbal[[#This Row],[X]]=0,tbal[[#This Row],[X]]=5)),tbal[[#This Row],[ACREEDOR]],0)</f>
        <v>0</v>
      </c>
    </row>
    <row r="1424" spans="1:14" hidden="1" x14ac:dyDescent="0.3">
      <c r="A1424" s="14">
        <f>+'PLAN DE CUENTAS'!A1424</f>
        <v>0</v>
      </c>
      <c r="B1424" s="13">
        <f>+'PLAN DE CUENTAS'!B1424</f>
        <v>0</v>
      </c>
      <c r="C1424" s="13">
        <f>+'PLAN DE CUENTAS'!C1424</f>
        <v>0</v>
      </c>
      <c r="D1424" t="str">
        <f>IF(tbal[[#This Row],[DEBE]]+tbal[[#This Row],[HABER]]=0,"","X")</f>
        <v/>
      </c>
      <c r="E1424" s="16">
        <f>SUMIF(tdiario[CUENTA],tbal[[#This Row],[CUENTA]],tdiario[DEBE])</f>
        <v>0</v>
      </c>
      <c r="F1424" s="17">
        <f>SUMIF(tdiario[CUENTA],tbal[[#This Row],[CUENTA]],tdiario[HABER])</f>
        <v>0</v>
      </c>
      <c r="G1424" s="16">
        <f>IF(tbal[[#This Row],[DEBE]]-tbal[[#This Row],[HABER]]&gt;0,tbal[[#This Row],[DEBE]]-tbal[[#This Row],[HABER]],0)</f>
        <v>0</v>
      </c>
      <c r="H1424" s="18">
        <f>IF(tbal[[#This Row],[HABER]]-tbal[[#This Row],[DEBE]]&gt;0,tbal[[#This Row],[HABER]]-tbal[[#This Row],[DEBE]],0)</f>
        <v>0</v>
      </c>
      <c r="I1424" s="16">
        <f>IF((OR(tbal[[#This Row],[X]]=1,tbal[[#This Row],[X]]=2)),tbal[[#This Row],[DEUDOR]],0)</f>
        <v>0</v>
      </c>
      <c r="J1424" s="18">
        <f>IF((OR(tbal[[#This Row],[X]]=2,tbal[[#This Row],[X]]=3)),tbal[[#This Row],[ACREEDOR]],0)</f>
        <v>0</v>
      </c>
      <c r="K1424" s="16">
        <f>IF((OR(tbal[[#This Row],[X]]=3,tbal[[#This Row],[X]]=5)),tbal[[#This Row],[DEUDOR]],0)</f>
        <v>0</v>
      </c>
      <c r="L1424" s="18">
        <f>IF((OR(tbal[[#This Row],[X]]=3,tbal[[#This Row],[X]]=4)),tbal[[#This Row],[ACREEDOR]],0)</f>
        <v>0</v>
      </c>
      <c r="M1424" s="16">
        <f>IF((OR(tbal[[#This Row],[X]]=0,tbal[[#This Row],[X]]=6)),tbal[[#This Row],[DEUDOR]],0)</f>
        <v>0</v>
      </c>
      <c r="N1424" s="18">
        <f>IF((OR(tbal[[#This Row],[X]]=0,tbal[[#This Row],[X]]=5)),tbal[[#This Row],[ACREEDOR]],0)</f>
        <v>0</v>
      </c>
    </row>
    <row r="1425" spans="1:14" hidden="1" x14ac:dyDescent="0.3">
      <c r="A1425" s="14">
        <f>+'PLAN DE CUENTAS'!A1425</f>
        <v>0</v>
      </c>
      <c r="B1425" s="13">
        <f>+'PLAN DE CUENTAS'!B1425</f>
        <v>0</v>
      </c>
      <c r="C1425" s="13">
        <f>+'PLAN DE CUENTAS'!C1425</f>
        <v>0</v>
      </c>
      <c r="D1425" t="str">
        <f>IF(tbal[[#This Row],[DEBE]]+tbal[[#This Row],[HABER]]=0,"","X")</f>
        <v/>
      </c>
      <c r="E1425" s="16">
        <f>SUMIF(tdiario[CUENTA],tbal[[#This Row],[CUENTA]],tdiario[DEBE])</f>
        <v>0</v>
      </c>
      <c r="F1425" s="17">
        <f>SUMIF(tdiario[CUENTA],tbal[[#This Row],[CUENTA]],tdiario[HABER])</f>
        <v>0</v>
      </c>
      <c r="G1425" s="16">
        <f>IF(tbal[[#This Row],[DEBE]]-tbal[[#This Row],[HABER]]&gt;0,tbal[[#This Row],[DEBE]]-tbal[[#This Row],[HABER]],0)</f>
        <v>0</v>
      </c>
      <c r="H1425" s="18">
        <f>IF(tbal[[#This Row],[HABER]]-tbal[[#This Row],[DEBE]]&gt;0,tbal[[#This Row],[HABER]]-tbal[[#This Row],[DEBE]],0)</f>
        <v>0</v>
      </c>
      <c r="I1425" s="16">
        <f>IF((OR(tbal[[#This Row],[X]]=1,tbal[[#This Row],[X]]=2)),tbal[[#This Row],[DEUDOR]],0)</f>
        <v>0</v>
      </c>
      <c r="J1425" s="18">
        <f>IF((OR(tbal[[#This Row],[X]]=2,tbal[[#This Row],[X]]=3)),tbal[[#This Row],[ACREEDOR]],0)</f>
        <v>0</v>
      </c>
      <c r="K1425" s="16">
        <f>IF((OR(tbal[[#This Row],[X]]=3,tbal[[#This Row],[X]]=5)),tbal[[#This Row],[DEUDOR]],0)</f>
        <v>0</v>
      </c>
      <c r="L1425" s="18">
        <f>IF((OR(tbal[[#This Row],[X]]=3,tbal[[#This Row],[X]]=4)),tbal[[#This Row],[ACREEDOR]],0)</f>
        <v>0</v>
      </c>
      <c r="M1425" s="16">
        <f>IF((OR(tbal[[#This Row],[X]]=0,tbal[[#This Row],[X]]=6)),tbal[[#This Row],[DEUDOR]],0)</f>
        <v>0</v>
      </c>
      <c r="N1425" s="18">
        <f>IF((OR(tbal[[#This Row],[X]]=0,tbal[[#This Row],[X]]=5)),tbal[[#This Row],[ACREEDOR]],0)</f>
        <v>0</v>
      </c>
    </row>
    <row r="1426" spans="1:14" hidden="1" x14ac:dyDescent="0.3">
      <c r="A1426" s="14">
        <f>+'PLAN DE CUENTAS'!A1426</f>
        <v>0</v>
      </c>
      <c r="B1426" s="13">
        <f>+'PLAN DE CUENTAS'!B1426</f>
        <v>0</v>
      </c>
      <c r="C1426" s="13">
        <f>+'PLAN DE CUENTAS'!C1426</f>
        <v>0</v>
      </c>
      <c r="D1426" t="str">
        <f>IF(tbal[[#This Row],[DEBE]]+tbal[[#This Row],[HABER]]=0,"","X")</f>
        <v/>
      </c>
      <c r="E1426" s="16">
        <f>SUMIF(tdiario[CUENTA],tbal[[#This Row],[CUENTA]],tdiario[DEBE])</f>
        <v>0</v>
      </c>
      <c r="F1426" s="17">
        <f>SUMIF(tdiario[CUENTA],tbal[[#This Row],[CUENTA]],tdiario[HABER])</f>
        <v>0</v>
      </c>
      <c r="G1426" s="16">
        <f>IF(tbal[[#This Row],[DEBE]]-tbal[[#This Row],[HABER]]&gt;0,tbal[[#This Row],[DEBE]]-tbal[[#This Row],[HABER]],0)</f>
        <v>0</v>
      </c>
      <c r="H1426" s="18">
        <f>IF(tbal[[#This Row],[HABER]]-tbal[[#This Row],[DEBE]]&gt;0,tbal[[#This Row],[HABER]]-tbal[[#This Row],[DEBE]],0)</f>
        <v>0</v>
      </c>
      <c r="I1426" s="16">
        <f>IF((OR(tbal[[#This Row],[X]]=1,tbal[[#This Row],[X]]=2)),tbal[[#This Row],[DEUDOR]],0)</f>
        <v>0</v>
      </c>
      <c r="J1426" s="18">
        <f>IF((OR(tbal[[#This Row],[X]]=2,tbal[[#This Row],[X]]=3)),tbal[[#This Row],[ACREEDOR]],0)</f>
        <v>0</v>
      </c>
      <c r="K1426" s="16">
        <f>IF((OR(tbal[[#This Row],[X]]=3,tbal[[#This Row],[X]]=5)),tbal[[#This Row],[DEUDOR]],0)</f>
        <v>0</v>
      </c>
      <c r="L1426" s="18">
        <f>IF((OR(tbal[[#This Row],[X]]=3,tbal[[#This Row],[X]]=4)),tbal[[#This Row],[ACREEDOR]],0)</f>
        <v>0</v>
      </c>
      <c r="M1426" s="16">
        <f>IF((OR(tbal[[#This Row],[X]]=0,tbal[[#This Row],[X]]=6)),tbal[[#This Row],[DEUDOR]],0)</f>
        <v>0</v>
      </c>
      <c r="N1426" s="18">
        <f>IF((OR(tbal[[#This Row],[X]]=0,tbal[[#This Row],[X]]=5)),tbal[[#This Row],[ACREEDOR]],0)</f>
        <v>0</v>
      </c>
    </row>
    <row r="1427" spans="1:14" hidden="1" x14ac:dyDescent="0.3">
      <c r="A1427" s="14">
        <f>+'PLAN DE CUENTAS'!A1427</f>
        <v>0</v>
      </c>
      <c r="B1427" s="13">
        <f>+'PLAN DE CUENTAS'!B1427</f>
        <v>0</v>
      </c>
      <c r="C1427" s="13">
        <f>+'PLAN DE CUENTAS'!C1427</f>
        <v>0</v>
      </c>
      <c r="D1427" t="str">
        <f>IF(tbal[[#This Row],[DEBE]]+tbal[[#This Row],[HABER]]=0,"","X")</f>
        <v/>
      </c>
      <c r="E1427" s="16">
        <f>SUMIF(tdiario[CUENTA],tbal[[#This Row],[CUENTA]],tdiario[DEBE])</f>
        <v>0</v>
      </c>
      <c r="F1427" s="17">
        <f>SUMIF(tdiario[CUENTA],tbal[[#This Row],[CUENTA]],tdiario[HABER])</f>
        <v>0</v>
      </c>
      <c r="G1427" s="16">
        <f>IF(tbal[[#This Row],[DEBE]]-tbal[[#This Row],[HABER]]&gt;0,tbal[[#This Row],[DEBE]]-tbal[[#This Row],[HABER]],0)</f>
        <v>0</v>
      </c>
      <c r="H1427" s="18">
        <f>IF(tbal[[#This Row],[HABER]]-tbal[[#This Row],[DEBE]]&gt;0,tbal[[#This Row],[HABER]]-tbal[[#This Row],[DEBE]],0)</f>
        <v>0</v>
      </c>
      <c r="I1427" s="16">
        <f>IF((OR(tbal[[#This Row],[X]]=1,tbal[[#This Row],[X]]=2)),tbal[[#This Row],[DEUDOR]],0)</f>
        <v>0</v>
      </c>
      <c r="J1427" s="18">
        <f>IF((OR(tbal[[#This Row],[X]]=2,tbal[[#This Row],[X]]=3)),tbal[[#This Row],[ACREEDOR]],0)</f>
        <v>0</v>
      </c>
      <c r="K1427" s="16">
        <f>IF((OR(tbal[[#This Row],[X]]=3,tbal[[#This Row],[X]]=5)),tbal[[#This Row],[DEUDOR]],0)</f>
        <v>0</v>
      </c>
      <c r="L1427" s="18">
        <f>IF((OR(tbal[[#This Row],[X]]=3,tbal[[#This Row],[X]]=4)),tbal[[#This Row],[ACREEDOR]],0)</f>
        <v>0</v>
      </c>
      <c r="M1427" s="16">
        <f>IF((OR(tbal[[#This Row],[X]]=0,tbal[[#This Row],[X]]=6)),tbal[[#This Row],[DEUDOR]],0)</f>
        <v>0</v>
      </c>
      <c r="N1427" s="18">
        <f>IF((OR(tbal[[#This Row],[X]]=0,tbal[[#This Row],[X]]=5)),tbal[[#This Row],[ACREEDOR]],0)</f>
        <v>0</v>
      </c>
    </row>
    <row r="1428" spans="1:14" hidden="1" x14ac:dyDescent="0.3">
      <c r="A1428" s="14">
        <f>+'PLAN DE CUENTAS'!A1428</f>
        <v>0</v>
      </c>
      <c r="B1428" s="13">
        <f>+'PLAN DE CUENTAS'!B1428</f>
        <v>0</v>
      </c>
      <c r="C1428" s="13">
        <f>+'PLAN DE CUENTAS'!C1428</f>
        <v>0</v>
      </c>
      <c r="D1428" t="str">
        <f>IF(tbal[[#This Row],[DEBE]]+tbal[[#This Row],[HABER]]=0,"","X")</f>
        <v/>
      </c>
      <c r="E1428" s="16">
        <f>SUMIF(tdiario[CUENTA],tbal[[#This Row],[CUENTA]],tdiario[DEBE])</f>
        <v>0</v>
      </c>
      <c r="F1428" s="17">
        <f>SUMIF(tdiario[CUENTA],tbal[[#This Row],[CUENTA]],tdiario[HABER])</f>
        <v>0</v>
      </c>
      <c r="G1428" s="16">
        <f>IF(tbal[[#This Row],[DEBE]]-tbal[[#This Row],[HABER]]&gt;0,tbal[[#This Row],[DEBE]]-tbal[[#This Row],[HABER]],0)</f>
        <v>0</v>
      </c>
      <c r="H1428" s="18">
        <f>IF(tbal[[#This Row],[HABER]]-tbal[[#This Row],[DEBE]]&gt;0,tbal[[#This Row],[HABER]]-tbal[[#This Row],[DEBE]],0)</f>
        <v>0</v>
      </c>
      <c r="I1428" s="16">
        <f>IF((OR(tbal[[#This Row],[X]]=1,tbal[[#This Row],[X]]=2)),tbal[[#This Row],[DEUDOR]],0)</f>
        <v>0</v>
      </c>
      <c r="J1428" s="18">
        <f>IF((OR(tbal[[#This Row],[X]]=2,tbal[[#This Row],[X]]=3)),tbal[[#This Row],[ACREEDOR]],0)</f>
        <v>0</v>
      </c>
      <c r="K1428" s="16">
        <f>IF((OR(tbal[[#This Row],[X]]=3,tbal[[#This Row],[X]]=5)),tbal[[#This Row],[DEUDOR]],0)</f>
        <v>0</v>
      </c>
      <c r="L1428" s="18">
        <f>IF((OR(tbal[[#This Row],[X]]=3,tbal[[#This Row],[X]]=4)),tbal[[#This Row],[ACREEDOR]],0)</f>
        <v>0</v>
      </c>
      <c r="M1428" s="16">
        <f>IF((OR(tbal[[#This Row],[X]]=0,tbal[[#This Row],[X]]=6)),tbal[[#This Row],[DEUDOR]],0)</f>
        <v>0</v>
      </c>
      <c r="N1428" s="18">
        <f>IF((OR(tbal[[#This Row],[X]]=0,tbal[[#This Row],[X]]=5)),tbal[[#This Row],[ACREEDOR]],0)</f>
        <v>0</v>
      </c>
    </row>
    <row r="1429" spans="1:14" hidden="1" x14ac:dyDescent="0.3">
      <c r="A1429" s="14">
        <f>+'PLAN DE CUENTAS'!A1429</f>
        <v>0</v>
      </c>
      <c r="B1429" s="13">
        <f>+'PLAN DE CUENTAS'!B1429</f>
        <v>0</v>
      </c>
      <c r="C1429" s="13">
        <f>+'PLAN DE CUENTAS'!C1429</f>
        <v>0</v>
      </c>
      <c r="D1429" t="str">
        <f>IF(tbal[[#This Row],[DEBE]]+tbal[[#This Row],[HABER]]=0,"","X")</f>
        <v/>
      </c>
      <c r="E1429" s="16">
        <f>SUMIF(tdiario[CUENTA],tbal[[#This Row],[CUENTA]],tdiario[DEBE])</f>
        <v>0</v>
      </c>
      <c r="F1429" s="17">
        <f>SUMIF(tdiario[CUENTA],tbal[[#This Row],[CUENTA]],tdiario[HABER])</f>
        <v>0</v>
      </c>
      <c r="G1429" s="16">
        <f>IF(tbal[[#This Row],[DEBE]]-tbal[[#This Row],[HABER]]&gt;0,tbal[[#This Row],[DEBE]]-tbal[[#This Row],[HABER]],0)</f>
        <v>0</v>
      </c>
      <c r="H1429" s="18">
        <f>IF(tbal[[#This Row],[HABER]]-tbal[[#This Row],[DEBE]]&gt;0,tbal[[#This Row],[HABER]]-tbal[[#This Row],[DEBE]],0)</f>
        <v>0</v>
      </c>
      <c r="I1429" s="16">
        <f>IF((OR(tbal[[#This Row],[X]]=1,tbal[[#This Row],[X]]=2)),tbal[[#This Row],[DEUDOR]],0)</f>
        <v>0</v>
      </c>
      <c r="J1429" s="18">
        <f>IF((OR(tbal[[#This Row],[X]]=2,tbal[[#This Row],[X]]=3)),tbal[[#This Row],[ACREEDOR]],0)</f>
        <v>0</v>
      </c>
      <c r="K1429" s="16">
        <f>IF((OR(tbal[[#This Row],[X]]=3,tbal[[#This Row],[X]]=5)),tbal[[#This Row],[DEUDOR]],0)</f>
        <v>0</v>
      </c>
      <c r="L1429" s="18">
        <f>IF((OR(tbal[[#This Row],[X]]=3,tbal[[#This Row],[X]]=4)),tbal[[#This Row],[ACREEDOR]],0)</f>
        <v>0</v>
      </c>
      <c r="M1429" s="16">
        <f>IF((OR(tbal[[#This Row],[X]]=0,tbal[[#This Row],[X]]=6)),tbal[[#This Row],[DEUDOR]],0)</f>
        <v>0</v>
      </c>
      <c r="N1429" s="18">
        <f>IF((OR(tbal[[#This Row],[X]]=0,tbal[[#This Row],[X]]=5)),tbal[[#This Row],[ACREEDOR]],0)</f>
        <v>0</v>
      </c>
    </row>
    <row r="1430" spans="1:14" hidden="1" x14ac:dyDescent="0.3">
      <c r="A1430" s="14">
        <f>+'PLAN DE CUENTAS'!A1430</f>
        <v>0</v>
      </c>
      <c r="B1430" s="13">
        <f>+'PLAN DE CUENTAS'!B1430</f>
        <v>0</v>
      </c>
      <c r="C1430" s="13">
        <f>+'PLAN DE CUENTAS'!C1430</f>
        <v>0</v>
      </c>
      <c r="D1430" t="str">
        <f>IF(tbal[[#This Row],[DEBE]]+tbal[[#This Row],[HABER]]=0,"","X")</f>
        <v/>
      </c>
      <c r="E1430" s="16">
        <f>SUMIF(tdiario[CUENTA],tbal[[#This Row],[CUENTA]],tdiario[DEBE])</f>
        <v>0</v>
      </c>
      <c r="F1430" s="17">
        <f>SUMIF(tdiario[CUENTA],tbal[[#This Row],[CUENTA]],tdiario[HABER])</f>
        <v>0</v>
      </c>
      <c r="G1430" s="16">
        <f>IF(tbal[[#This Row],[DEBE]]-tbal[[#This Row],[HABER]]&gt;0,tbal[[#This Row],[DEBE]]-tbal[[#This Row],[HABER]],0)</f>
        <v>0</v>
      </c>
      <c r="H1430" s="18">
        <f>IF(tbal[[#This Row],[HABER]]-tbal[[#This Row],[DEBE]]&gt;0,tbal[[#This Row],[HABER]]-tbal[[#This Row],[DEBE]],0)</f>
        <v>0</v>
      </c>
      <c r="I1430" s="16">
        <f>IF((OR(tbal[[#This Row],[X]]=1,tbal[[#This Row],[X]]=2)),tbal[[#This Row],[DEUDOR]],0)</f>
        <v>0</v>
      </c>
      <c r="J1430" s="18">
        <f>IF((OR(tbal[[#This Row],[X]]=2,tbal[[#This Row],[X]]=3)),tbal[[#This Row],[ACREEDOR]],0)</f>
        <v>0</v>
      </c>
      <c r="K1430" s="16">
        <f>IF((OR(tbal[[#This Row],[X]]=3,tbal[[#This Row],[X]]=5)),tbal[[#This Row],[DEUDOR]],0)</f>
        <v>0</v>
      </c>
      <c r="L1430" s="18">
        <f>IF((OR(tbal[[#This Row],[X]]=3,tbal[[#This Row],[X]]=4)),tbal[[#This Row],[ACREEDOR]],0)</f>
        <v>0</v>
      </c>
      <c r="M1430" s="16">
        <f>IF((OR(tbal[[#This Row],[X]]=0,tbal[[#This Row],[X]]=6)),tbal[[#This Row],[DEUDOR]],0)</f>
        <v>0</v>
      </c>
      <c r="N1430" s="18">
        <f>IF((OR(tbal[[#This Row],[X]]=0,tbal[[#This Row],[X]]=5)),tbal[[#This Row],[ACREEDOR]],0)</f>
        <v>0</v>
      </c>
    </row>
    <row r="1431" spans="1:14" hidden="1" x14ac:dyDescent="0.3">
      <c r="A1431" s="14">
        <f>+'PLAN DE CUENTAS'!A1431</f>
        <v>0</v>
      </c>
      <c r="B1431" s="13">
        <f>+'PLAN DE CUENTAS'!B1431</f>
        <v>0</v>
      </c>
      <c r="C1431" s="13">
        <f>+'PLAN DE CUENTAS'!C1431</f>
        <v>0</v>
      </c>
      <c r="D1431" t="str">
        <f>IF(tbal[[#This Row],[DEBE]]+tbal[[#This Row],[HABER]]=0,"","X")</f>
        <v/>
      </c>
      <c r="E1431" s="16">
        <f>SUMIF(tdiario[CUENTA],tbal[[#This Row],[CUENTA]],tdiario[DEBE])</f>
        <v>0</v>
      </c>
      <c r="F1431" s="17">
        <f>SUMIF(tdiario[CUENTA],tbal[[#This Row],[CUENTA]],tdiario[HABER])</f>
        <v>0</v>
      </c>
      <c r="G1431" s="16">
        <f>IF(tbal[[#This Row],[DEBE]]-tbal[[#This Row],[HABER]]&gt;0,tbal[[#This Row],[DEBE]]-tbal[[#This Row],[HABER]],0)</f>
        <v>0</v>
      </c>
      <c r="H1431" s="18">
        <f>IF(tbal[[#This Row],[HABER]]-tbal[[#This Row],[DEBE]]&gt;0,tbal[[#This Row],[HABER]]-tbal[[#This Row],[DEBE]],0)</f>
        <v>0</v>
      </c>
      <c r="I1431" s="16">
        <f>IF((OR(tbal[[#This Row],[X]]=1,tbal[[#This Row],[X]]=2)),tbal[[#This Row],[DEUDOR]],0)</f>
        <v>0</v>
      </c>
      <c r="J1431" s="18">
        <f>IF((OR(tbal[[#This Row],[X]]=2,tbal[[#This Row],[X]]=3)),tbal[[#This Row],[ACREEDOR]],0)</f>
        <v>0</v>
      </c>
      <c r="K1431" s="16">
        <f>IF((OR(tbal[[#This Row],[X]]=3,tbal[[#This Row],[X]]=5)),tbal[[#This Row],[DEUDOR]],0)</f>
        <v>0</v>
      </c>
      <c r="L1431" s="18">
        <f>IF((OR(tbal[[#This Row],[X]]=3,tbal[[#This Row],[X]]=4)),tbal[[#This Row],[ACREEDOR]],0)</f>
        <v>0</v>
      </c>
      <c r="M1431" s="16">
        <f>IF((OR(tbal[[#This Row],[X]]=0,tbal[[#This Row],[X]]=6)),tbal[[#This Row],[DEUDOR]],0)</f>
        <v>0</v>
      </c>
      <c r="N1431" s="18">
        <f>IF((OR(tbal[[#This Row],[X]]=0,tbal[[#This Row],[X]]=5)),tbal[[#This Row],[ACREEDOR]],0)</f>
        <v>0</v>
      </c>
    </row>
    <row r="1432" spans="1:14" hidden="1" x14ac:dyDescent="0.3">
      <c r="A1432" s="14">
        <f>+'PLAN DE CUENTAS'!A1432</f>
        <v>0</v>
      </c>
      <c r="B1432" s="13">
        <f>+'PLAN DE CUENTAS'!B1432</f>
        <v>0</v>
      </c>
      <c r="C1432" s="13">
        <f>+'PLAN DE CUENTAS'!C1432</f>
        <v>0</v>
      </c>
      <c r="D1432" t="str">
        <f>IF(tbal[[#This Row],[DEBE]]+tbal[[#This Row],[HABER]]=0,"","X")</f>
        <v/>
      </c>
      <c r="E1432" s="16">
        <f>SUMIF(tdiario[CUENTA],tbal[[#This Row],[CUENTA]],tdiario[DEBE])</f>
        <v>0</v>
      </c>
      <c r="F1432" s="17">
        <f>SUMIF(tdiario[CUENTA],tbal[[#This Row],[CUENTA]],tdiario[HABER])</f>
        <v>0</v>
      </c>
      <c r="G1432" s="16">
        <f>IF(tbal[[#This Row],[DEBE]]-tbal[[#This Row],[HABER]]&gt;0,tbal[[#This Row],[DEBE]]-tbal[[#This Row],[HABER]],0)</f>
        <v>0</v>
      </c>
      <c r="H1432" s="18">
        <f>IF(tbal[[#This Row],[HABER]]-tbal[[#This Row],[DEBE]]&gt;0,tbal[[#This Row],[HABER]]-tbal[[#This Row],[DEBE]],0)</f>
        <v>0</v>
      </c>
      <c r="I1432" s="16">
        <f>IF((OR(tbal[[#This Row],[X]]=1,tbal[[#This Row],[X]]=2)),tbal[[#This Row],[DEUDOR]],0)</f>
        <v>0</v>
      </c>
      <c r="J1432" s="18">
        <f>IF((OR(tbal[[#This Row],[X]]=2,tbal[[#This Row],[X]]=3)),tbal[[#This Row],[ACREEDOR]],0)</f>
        <v>0</v>
      </c>
      <c r="K1432" s="16">
        <f>IF((OR(tbal[[#This Row],[X]]=3,tbal[[#This Row],[X]]=5)),tbal[[#This Row],[DEUDOR]],0)</f>
        <v>0</v>
      </c>
      <c r="L1432" s="18">
        <f>IF((OR(tbal[[#This Row],[X]]=3,tbal[[#This Row],[X]]=4)),tbal[[#This Row],[ACREEDOR]],0)</f>
        <v>0</v>
      </c>
      <c r="M1432" s="16">
        <f>IF((OR(tbal[[#This Row],[X]]=0,tbal[[#This Row],[X]]=6)),tbal[[#This Row],[DEUDOR]],0)</f>
        <v>0</v>
      </c>
      <c r="N1432" s="18">
        <f>IF((OR(tbal[[#This Row],[X]]=0,tbal[[#This Row],[X]]=5)),tbal[[#This Row],[ACREEDOR]],0)</f>
        <v>0</v>
      </c>
    </row>
    <row r="1433" spans="1:14" hidden="1" x14ac:dyDescent="0.3">
      <c r="A1433" s="14">
        <f>+'PLAN DE CUENTAS'!A1433</f>
        <v>0</v>
      </c>
      <c r="B1433" s="13">
        <f>+'PLAN DE CUENTAS'!B1433</f>
        <v>0</v>
      </c>
      <c r="C1433" s="13">
        <f>+'PLAN DE CUENTAS'!C1433</f>
        <v>0</v>
      </c>
      <c r="D1433" t="str">
        <f>IF(tbal[[#This Row],[DEBE]]+tbal[[#This Row],[HABER]]=0,"","X")</f>
        <v/>
      </c>
      <c r="E1433" s="16">
        <f>SUMIF(tdiario[CUENTA],tbal[[#This Row],[CUENTA]],tdiario[DEBE])</f>
        <v>0</v>
      </c>
      <c r="F1433" s="17">
        <f>SUMIF(tdiario[CUENTA],tbal[[#This Row],[CUENTA]],tdiario[HABER])</f>
        <v>0</v>
      </c>
      <c r="G1433" s="16">
        <f>IF(tbal[[#This Row],[DEBE]]-tbal[[#This Row],[HABER]]&gt;0,tbal[[#This Row],[DEBE]]-tbal[[#This Row],[HABER]],0)</f>
        <v>0</v>
      </c>
      <c r="H1433" s="18">
        <f>IF(tbal[[#This Row],[HABER]]-tbal[[#This Row],[DEBE]]&gt;0,tbal[[#This Row],[HABER]]-tbal[[#This Row],[DEBE]],0)</f>
        <v>0</v>
      </c>
      <c r="I1433" s="16">
        <f>IF((OR(tbal[[#This Row],[X]]=1,tbal[[#This Row],[X]]=2)),tbal[[#This Row],[DEUDOR]],0)</f>
        <v>0</v>
      </c>
      <c r="J1433" s="18">
        <f>IF((OR(tbal[[#This Row],[X]]=2,tbal[[#This Row],[X]]=3)),tbal[[#This Row],[ACREEDOR]],0)</f>
        <v>0</v>
      </c>
      <c r="K1433" s="16">
        <f>IF((OR(tbal[[#This Row],[X]]=3,tbal[[#This Row],[X]]=5)),tbal[[#This Row],[DEUDOR]],0)</f>
        <v>0</v>
      </c>
      <c r="L1433" s="18">
        <f>IF((OR(tbal[[#This Row],[X]]=3,tbal[[#This Row],[X]]=4)),tbal[[#This Row],[ACREEDOR]],0)</f>
        <v>0</v>
      </c>
      <c r="M1433" s="16">
        <f>IF((OR(tbal[[#This Row],[X]]=0,tbal[[#This Row],[X]]=6)),tbal[[#This Row],[DEUDOR]],0)</f>
        <v>0</v>
      </c>
      <c r="N1433" s="18">
        <f>IF((OR(tbal[[#This Row],[X]]=0,tbal[[#This Row],[X]]=5)),tbal[[#This Row],[ACREEDOR]],0)</f>
        <v>0</v>
      </c>
    </row>
    <row r="1434" spans="1:14" hidden="1" x14ac:dyDescent="0.3">
      <c r="A1434" s="14">
        <f>+'PLAN DE CUENTAS'!A1434</f>
        <v>0</v>
      </c>
      <c r="B1434" s="13">
        <f>+'PLAN DE CUENTAS'!B1434</f>
        <v>0</v>
      </c>
      <c r="C1434" s="13">
        <f>+'PLAN DE CUENTAS'!C1434</f>
        <v>0</v>
      </c>
      <c r="D1434" t="str">
        <f>IF(tbal[[#This Row],[DEBE]]+tbal[[#This Row],[HABER]]=0,"","X")</f>
        <v/>
      </c>
      <c r="E1434" s="16">
        <f>SUMIF(tdiario[CUENTA],tbal[[#This Row],[CUENTA]],tdiario[DEBE])</f>
        <v>0</v>
      </c>
      <c r="F1434" s="17">
        <f>SUMIF(tdiario[CUENTA],tbal[[#This Row],[CUENTA]],tdiario[HABER])</f>
        <v>0</v>
      </c>
      <c r="G1434" s="16">
        <f>IF(tbal[[#This Row],[DEBE]]-tbal[[#This Row],[HABER]]&gt;0,tbal[[#This Row],[DEBE]]-tbal[[#This Row],[HABER]],0)</f>
        <v>0</v>
      </c>
      <c r="H1434" s="18">
        <f>IF(tbal[[#This Row],[HABER]]-tbal[[#This Row],[DEBE]]&gt;0,tbal[[#This Row],[HABER]]-tbal[[#This Row],[DEBE]],0)</f>
        <v>0</v>
      </c>
      <c r="I1434" s="16">
        <f>IF((OR(tbal[[#This Row],[X]]=1,tbal[[#This Row],[X]]=2)),tbal[[#This Row],[DEUDOR]],0)</f>
        <v>0</v>
      </c>
      <c r="J1434" s="18">
        <f>IF((OR(tbal[[#This Row],[X]]=2,tbal[[#This Row],[X]]=3)),tbal[[#This Row],[ACREEDOR]],0)</f>
        <v>0</v>
      </c>
      <c r="K1434" s="16">
        <f>IF((OR(tbal[[#This Row],[X]]=3,tbal[[#This Row],[X]]=5)),tbal[[#This Row],[DEUDOR]],0)</f>
        <v>0</v>
      </c>
      <c r="L1434" s="18">
        <f>IF((OR(tbal[[#This Row],[X]]=3,tbal[[#This Row],[X]]=4)),tbal[[#This Row],[ACREEDOR]],0)</f>
        <v>0</v>
      </c>
      <c r="M1434" s="16">
        <f>IF((OR(tbal[[#This Row],[X]]=0,tbal[[#This Row],[X]]=6)),tbal[[#This Row],[DEUDOR]],0)</f>
        <v>0</v>
      </c>
      <c r="N1434" s="18">
        <f>IF((OR(tbal[[#This Row],[X]]=0,tbal[[#This Row],[X]]=5)),tbal[[#This Row],[ACREEDOR]],0)</f>
        <v>0</v>
      </c>
    </row>
    <row r="1435" spans="1:14" hidden="1" x14ac:dyDescent="0.3">
      <c r="A1435" s="14">
        <f>+'PLAN DE CUENTAS'!A1435</f>
        <v>0</v>
      </c>
      <c r="B1435" s="13">
        <f>+'PLAN DE CUENTAS'!B1435</f>
        <v>0</v>
      </c>
      <c r="C1435" s="13">
        <f>+'PLAN DE CUENTAS'!C1435</f>
        <v>0</v>
      </c>
      <c r="D1435" t="str">
        <f>IF(tbal[[#This Row],[DEBE]]+tbal[[#This Row],[HABER]]=0,"","X")</f>
        <v/>
      </c>
      <c r="E1435" s="16">
        <f>SUMIF(tdiario[CUENTA],tbal[[#This Row],[CUENTA]],tdiario[DEBE])</f>
        <v>0</v>
      </c>
      <c r="F1435" s="17">
        <f>SUMIF(tdiario[CUENTA],tbal[[#This Row],[CUENTA]],tdiario[HABER])</f>
        <v>0</v>
      </c>
      <c r="G1435" s="16">
        <f>IF(tbal[[#This Row],[DEBE]]-tbal[[#This Row],[HABER]]&gt;0,tbal[[#This Row],[DEBE]]-tbal[[#This Row],[HABER]],0)</f>
        <v>0</v>
      </c>
      <c r="H1435" s="18">
        <f>IF(tbal[[#This Row],[HABER]]-tbal[[#This Row],[DEBE]]&gt;0,tbal[[#This Row],[HABER]]-tbal[[#This Row],[DEBE]],0)</f>
        <v>0</v>
      </c>
      <c r="I1435" s="16">
        <f>IF((OR(tbal[[#This Row],[X]]=1,tbal[[#This Row],[X]]=2)),tbal[[#This Row],[DEUDOR]],0)</f>
        <v>0</v>
      </c>
      <c r="J1435" s="18">
        <f>IF((OR(tbal[[#This Row],[X]]=2,tbal[[#This Row],[X]]=3)),tbal[[#This Row],[ACREEDOR]],0)</f>
        <v>0</v>
      </c>
      <c r="K1435" s="16">
        <f>IF((OR(tbal[[#This Row],[X]]=3,tbal[[#This Row],[X]]=5)),tbal[[#This Row],[DEUDOR]],0)</f>
        <v>0</v>
      </c>
      <c r="L1435" s="18">
        <f>IF((OR(tbal[[#This Row],[X]]=3,tbal[[#This Row],[X]]=4)),tbal[[#This Row],[ACREEDOR]],0)</f>
        <v>0</v>
      </c>
      <c r="M1435" s="16">
        <f>IF((OR(tbal[[#This Row],[X]]=0,tbal[[#This Row],[X]]=6)),tbal[[#This Row],[DEUDOR]],0)</f>
        <v>0</v>
      </c>
      <c r="N1435" s="18">
        <f>IF((OR(tbal[[#This Row],[X]]=0,tbal[[#This Row],[X]]=5)),tbal[[#This Row],[ACREEDOR]],0)</f>
        <v>0</v>
      </c>
    </row>
    <row r="1436" spans="1:14" hidden="1" x14ac:dyDescent="0.3">
      <c r="A1436" s="14">
        <f>+'PLAN DE CUENTAS'!A1436</f>
        <v>0</v>
      </c>
      <c r="B1436" s="13">
        <f>+'PLAN DE CUENTAS'!B1436</f>
        <v>0</v>
      </c>
      <c r="C1436" s="13">
        <f>+'PLAN DE CUENTAS'!C1436</f>
        <v>0</v>
      </c>
      <c r="D1436" t="str">
        <f>IF(tbal[[#This Row],[DEBE]]+tbal[[#This Row],[HABER]]=0,"","X")</f>
        <v/>
      </c>
      <c r="E1436" s="16">
        <f>SUMIF(tdiario[CUENTA],tbal[[#This Row],[CUENTA]],tdiario[DEBE])</f>
        <v>0</v>
      </c>
      <c r="F1436" s="17">
        <f>SUMIF(tdiario[CUENTA],tbal[[#This Row],[CUENTA]],tdiario[HABER])</f>
        <v>0</v>
      </c>
      <c r="G1436" s="16">
        <f>IF(tbal[[#This Row],[DEBE]]-tbal[[#This Row],[HABER]]&gt;0,tbal[[#This Row],[DEBE]]-tbal[[#This Row],[HABER]],0)</f>
        <v>0</v>
      </c>
      <c r="H1436" s="18">
        <f>IF(tbal[[#This Row],[HABER]]-tbal[[#This Row],[DEBE]]&gt;0,tbal[[#This Row],[HABER]]-tbal[[#This Row],[DEBE]],0)</f>
        <v>0</v>
      </c>
      <c r="I1436" s="16">
        <f>IF((OR(tbal[[#This Row],[X]]=1,tbal[[#This Row],[X]]=2)),tbal[[#This Row],[DEUDOR]],0)</f>
        <v>0</v>
      </c>
      <c r="J1436" s="18">
        <f>IF((OR(tbal[[#This Row],[X]]=2,tbal[[#This Row],[X]]=3)),tbal[[#This Row],[ACREEDOR]],0)</f>
        <v>0</v>
      </c>
      <c r="K1436" s="16">
        <f>IF((OR(tbal[[#This Row],[X]]=3,tbal[[#This Row],[X]]=5)),tbal[[#This Row],[DEUDOR]],0)</f>
        <v>0</v>
      </c>
      <c r="L1436" s="18">
        <f>IF((OR(tbal[[#This Row],[X]]=3,tbal[[#This Row],[X]]=4)),tbal[[#This Row],[ACREEDOR]],0)</f>
        <v>0</v>
      </c>
      <c r="M1436" s="16">
        <f>IF((OR(tbal[[#This Row],[X]]=0,tbal[[#This Row],[X]]=6)),tbal[[#This Row],[DEUDOR]],0)</f>
        <v>0</v>
      </c>
      <c r="N1436" s="18">
        <f>IF((OR(tbal[[#This Row],[X]]=0,tbal[[#This Row],[X]]=5)),tbal[[#This Row],[ACREEDOR]],0)</f>
        <v>0</v>
      </c>
    </row>
    <row r="1437" spans="1:14" hidden="1" x14ac:dyDescent="0.3">
      <c r="A1437" s="14">
        <f>+'PLAN DE CUENTAS'!A1437</f>
        <v>0</v>
      </c>
      <c r="B1437" s="13">
        <f>+'PLAN DE CUENTAS'!B1437</f>
        <v>0</v>
      </c>
      <c r="C1437" s="13">
        <f>+'PLAN DE CUENTAS'!C1437</f>
        <v>0</v>
      </c>
      <c r="D1437" t="str">
        <f>IF(tbal[[#This Row],[DEBE]]+tbal[[#This Row],[HABER]]=0,"","X")</f>
        <v/>
      </c>
      <c r="E1437" s="16">
        <f>SUMIF(tdiario[CUENTA],tbal[[#This Row],[CUENTA]],tdiario[DEBE])</f>
        <v>0</v>
      </c>
      <c r="F1437" s="17">
        <f>SUMIF(tdiario[CUENTA],tbal[[#This Row],[CUENTA]],tdiario[HABER])</f>
        <v>0</v>
      </c>
      <c r="G1437" s="16">
        <f>IF(tbal[[#This Row],[DEBE]]-tbal[[#This Row],[HABER]]&gt;0,tbal[[#This Row],[DEBE]]-tbal[[#This Row],[HABER]],0)</f>
        <v>0</v>
      </c>
      <c r="H1437" s="18">
        <f>IF(tbal[[#This Row],[HABER]]-tbal[[#This Row],[DEBE]]&gt;0,tbal[[#This Row],[HABER]]-tbal[[#This Row],[DEBE]],0)</f>
        <v>0</v>
      </c>
      <c r="I1437" s="16">
        <f>IF((OR(tbal[[#This Row],[X]]=1,tbal[[#This Row],[X]]=2)),tbal[[#This Row],[DEUDOR]],0)</f>
        <v>0</v>
      </c>
      <c r="J1437" s="18">
        <f>IF((OR(tbal[[#This Row],[X]]=2,tbal[[#This Row],[X]]=3)),tbal[[#This Row],[ACREEDOR]],0)</f>
        <v>0</v>
      </c>
      <c r="K1437" s="16">
        <f>IF((OR(tbal[[#This Row],[X]]=3,tbal[[#This Row],[X]]=5)),tbal[[#This Row],[DEUDOR]],0)</f>
        <v>0</v>
      </c>
      <c r="L1437" s="18">
        <f>IF((OR(tbal[[#This Row],[X]]=3,tbal[[#This Row],[X]]=4)),tbal[[#This Row],[ACREEDOR]],0)</f>
        <v>0</v>
      </c>
      <c r="M1437" s="16">
        <f>IF((OR(tbal[[#This Row],[X]]=0,tbal[[#This Row],[X]]=6)),tbal[[#This Row],[DEUDOR]],0)</f>
        <v>0</v>
      </c>
      <c r="N1437" s="18">
        <f>IF((OR(tbal[[#This Row],[X]]=0,tbal[[#This Row],[X]]=5)),tbal[[#This Row],[ACREEDOR]],0)</f>
        <v>0</v>
      </c>
    </row>
    <row r="1438" spans="1:14" hidden="1" x14ac:dyDescent="0.3">
      <c r="A1438" s="14">
        <f>+'PLAN DE CUENTAS'!A1438</f>
        <v>0</v>
      </c>
      <c r="B1438" s="13">
        <f>+'PLAN DE CUENTAS'!B1438</f>
        <v>0</v>
      </c>
      <c r="C1438" s="13">
        <f>+'PLAN DE CUENTAS'!C1438</f>
        <v>0</v>
      </c>
      <c r="D1438" t="str">
        <f>IF(tbal[[#This Row],[DEBE]]+tbal[[#This Row],[HABER]]=0,"","X")</f>
        <v/>
      </c>
      <c r="E1438" s="16">
        <f>SUMIF(tdiario[CUENTA],tbal[[#This Row],[CUENTA]],tdiario[DEBE])</f>
        <v>0</v>
      </c>
      <c r="F1438" s="17">
        <f>SUMIF(tdiario[CUENTA],tbal[[#This Row],[CUENTA]],tdiario[HABER])</f>
        <v>0</v>
      </c>
      <c r="G1438" s="16">
        <f>IF(tbal[[#This Row],[DEBE]]-tbal[[#This Row],[HABER]]&gt;0,tbal[[#This Row],[DEBE]]-tbal[[#This Row],[HABER]],0)</f>
        <v>0</v>
      </c>
      <c r="H1438" s="18">
        <f>IF(tbal[[#This Row],[HABER]]-tbal[[#This Row],[DEBE]]&gt;0,tbal[[#This Row],[HABER]]-tbal[[#This Row],[DEBE]],0)</f>
        <v>0</v>
      </c>
      <c r="I1438" s="16">
        <f>IF((OR(tbal[[#This Row],[X]]=1,tbal[[#This Row],[X]]=2)),tbal[[#This Row],[DEUDOR]],0)</f>
        <v>0</v>
      </c>
      <c r="J1438" s="18">
        <f>IF((OR(tbal[[#This Row],[X]]=2,tbal[[#This Row],[X]]=3)),tbal[[#This Row],[ACREEDOR]],0)</f>
        <v>0</v>
      </c>
      <c r="K1438" s="16">
        <f>IF((OR(tbal[[#This Row],[X]]=3,tbal[[#This Row],[X]]=5)),tbal[[#This Row],[DEUDOR]],0)</f>
        <v>0</v>
      </c>
      <c r="L1438" s="18">
        <f>IF((OR(tbal[[#This Row],[X]]=3,tbal[[#This Row],[X]]=4)),tbal[[#This Row],[ACREEDOR]],0)</f>
        <v>0</v>
      </c>
      <c r="M1438" s="16">
        <f>IF((OR(tbal[[#This Row],[X]]=0,tbal[[#This Row],[X]]=6)),tbal[[#This Row],[DEUDOR]],0)</f>
        <v>0</v>
      </c>
      <c r="N1438" s="18">
        <f>IF((OR(tbal[[#This Row],[X]]=0,tbal[[#This Row],[X]]=5)),tbal[[#This Row],[ACREEDOR]],0)</f>
        <v>0</v>
      </c>
    </row>
    <row r="1439" spans="1:14" hidden="1" x14ac:dyDescent="0.3">
      <c r="A1439" s="14">
        <f>+'PLAN DE CUENTAS'!A1439</f>
        <v>0</v>
      </c>
      <c r="B1439" s="13">
        <f>+'PLAN DE CUENTAS'!B1439</f>
        <v>0</v>
      </c>
      <c r="C1439" s="13">
        <f>+'PLAN DE CUENTAS'!C1439</f>
        <v>0</v>
      </c>
      <c r="D1439" t="str">
        <f>IF(tbal[[#This Row],[DEBE]]+tbal[[#This Row],[HABER]]=0,"","X")</f>
        <v/>
      </c>
      <c r="E1439" s="16">
        <f>SUMIF(tdiario[CUENTA],tbal[[#This Row],[CUENTA]],tdiario[DEBE])</f>
        <v>0</v>
      </c>
      <c r="F1439" s="17">
        <f>SUMIF(tdiario[CUENTA],tbal[[#This Row],[CUENTA]],tdiario[HABER])</f>
        <v>0</v>
      </c>
      <c r="G1439" s="16">
        <f>IF(tbal[[#This Row],[DEBE]]-tbal[[#This Row],[HABER]]&gt;0,tbal[[#This Row],[DEBE]]-tbal[[#This Row],[HABER]],0)</f>
        <v>0</v>
      </c>
      <c r="H1439" s="18">
        <f>IF(tbal[[#This Row],[HABER]]-tbal[[#This Row],[DEBE]]&gt;0,tbal[[#This Row],[HABER]]-tbal[[#This Row],[DEBE]],0)</f>
        <v>0</v>
      </c>
      <c r="I1439" s="16">
        <f>IF((OR(tbal[[#This Row],[X]]=1,tbal[[#This Row],[X]]=2)),tbal[[#This Row],[DEUDOR]],0)</f>
        <v>0</v>
      </c>
      <c r="J1439" s="18">
        <f>IF((OR(tbal[[#This Row],[X]]=2,tbal[[#This Row],[X]]=3)),tbal[[#This Row],[ACREEDOR]],0)</f>
        <v>0</v>
      </c>
      <c r="K1439" s="16">
        <f>IF((OR(tbal[[#This Row],[X]]=3,tbal[[#This Row],[X]]=5)),tbal[[#This Row],[DEUDOR]],0)</f>
        <v>0</v>
      </c>
      <c r="L1439" s="18">
        <f>IF((OR(tbal[[#This Row],[X]]=3,tbal[[#This Row],[X]]=4)),tbal[[#This Row],[ACREEDOR]],0)</f>
        <v>0</v>
      </c>
      <c r="M1439" s="16">
        <f>IF((OR(tbal[[#This Row],[X]]=0,tbal[[#This Row],[X]]=6)),tbal[[#This Row],[DEUDOR]],0)</f>
        <v>0</v>
      </c>
      <c r="N1439" s="18">
        <f>IF((OR(tbal[[#This Row],[X]]=0,tbal[[#This Row],[X]]=5)),tbal[[#This Row],[ACREEDOR]],0)</f>
        <v>0</v>
      </c>
    </row>
    <row r="1440" spans="1:14" hidden="1" x14ac:dyDescent="0.3">
      <c r="A1440" s="14">
        <f>+'PLAN DE CUENTAS'!A1440</f>
        <v>0</v>
      </c>
      <c r="B1440" s="13">
        <f>+'PLAN DE CUENTAS'!B1440</f>
        <v>0</v>
      </c>
      <c r="C1440" s="13">
        <f>+'PLAN DE CUENTAS'!C1440</f>
        <v>0</v>
      </c>
      <c r="D1440" t="str">
        <f>IF(tbal[[#This Row],[DEBE]]+tbal[[#This Row],[HABER]]=0,"","X")</f>
        <v/>
      </c>
      <c r="E1440" s="16">
        <f>SUMIF(tdiario[CUENTA],tbal[[#This Row],[CUENTA]],tdiario[DEBE])</f>
        <v>0</v>
      </c>
      <c r="F1440" s="17">
        <f>SUMIF(tdiario[CUENTA],tbal[[#This Row],[CUENTA]],tdiario[HABER])</f>
        <v>0</v>
      </c>
      <c r="G1440" s="16">
        <f>IF(tbal[[#This Row],[DEBE]]-tbal[[#This Row],[HABER]]&gt;0,tbal[[#This Row],[DEBE]]-tbal[[#This Row],[HABER]],0)</f>
        <v>0</v>
      </c>
      <c r="H1440" s="18">
        <f>IF(tbal[[#This Row],[HABER]]-tbal[[#This Row],[DEBE]]&gt;0,tbal[[#This Row],[HABER]]-tbal[[#This Row],[DEBE]],0)</f>
        <v>0</v>
      </c>
      <c r="I1440" s="16">
        <f>IF((OR(tbal[[#This Row],[X]]=1,tbal[[#This Row],[X]]=2)),tbal[[#This Row],[DEUDOR]],0)</f>
        <v>0</v>
      </c>
      <c r="J1440" s="18">
        <f>IF((OR(tbal[[#This Row],[X]]=2,tbal[[#This Row],[X]]=3)),tbal[[#This Row],[ACREEDOR]],0)</f>
        <v>0</v>
      </c>
      <c r="K1440" s="16">
        <f>IF((OR(tbal[[#This Row],[X]]=3,tbal[[#This Row],[X]]=5)),tbal[[#This Row],[DEUDOR]],0)</f>
        <v>0</v>
      </c>
      <c r="L1440" s="18">
        <f>IF((OR(tbal[[#This Row],[X]]=3,tbal[[#This Row],[X]]=4)),tbal[[#This Row],[ACREEDOR]],0)</f>
        <v>0</v>
      </c>
      <c r="M1440" s="16">
        <f>IF((OR(tbal[[#This Row],[X]]=0,tbal[[#This Row],[X]]=6)),tbal[[#This Row],[DEUDOR]],0)</f>
        <v>0</v>
      </c>
      <c r="N1440" s="18">
        <f>IF((OR(tbal[[#This Row],[X]]=0,tbal[[#This Row],[X]]=5)),tbal[[#This Row],[ACREEDOR]],0)</f>
        <v>0</v>
      </c>
    </row>
    <row r="1441" spans="1:14" hidden="1" x14ac:dyDescent="0.3">
      <c r="A1441" s="14">
        <f>+'PLAN DE CUENTAS'!A1441</f>
        <v>0</v>
      </c>
      <c r="B1441" s="13">
        <f>+'PLAN DE CUENTAS'!B1441</f>
        <v>0</v>
      </c>
      <c r="C1441" s="13">
        <f>+'PLAN DE CUENTAS'!C1441</f>
        <v>0</v>
      </c>
      <c r="D1441" t="str">
        <f>IF(tbal[[#This Row],[DEBE]]+tbal[[#This Row],[HABER]]=0,"","X")</f>
        <v/>
      </c>
      <c r="E1441" s="16">
        <f>SUMIF(tdiario[CUENTA],tbal[[#This Row],[CUENTA]],tdiario[DEBE])</f>
        <v>0</v>
      </c>
      <c r="F1441" s="17">
        <f>SUMIF(tdiario[CUENTA],tbal[[#This Row],[CUENTA]],tdiario[HABER])</f>
        <v>0</v>
      </c>
      <c r="G1441" s="16">
        <f>IF(tbal[[#This Row],[DEBE]]-tbal[[#This Row],[HABER]]&gt;0,tbal[[#This Row],[DEBE]]-tbal[[#This Row],[HABER]],0)</f>
        <v>0</v>
      </c>
      <c r="H1441" s="18">
        <f>IF(tbal[[#This Row],[HABER]]-tbal[[#This Row],[DEBE]]&gt;0,tbal[[#This Row],[HABER]]-tbal[[#This Row],[DEBE]],0)</f>
        <v>0</v>
      </c>
      <c r="I1441" s="16">
        <f>IF((OR(tbal[[#This Row],[X]]=1,tbal[[#This Row],[X]]=2)),tbal[[#This Row],[DEUDOR]],0)</f>
        <v>0</v>
      </c>
      <c r="J1441" s="18">
        <f>IF((OR(tbal[[#This Row],[X]]=2,tbal[[#This Row],[X]]=3)),tbal[[#This Row],[ACREEDOR]],0)</f>
        <v>0</v>
      </c>
      <c r="K1441" s="16">
        <f>IF((OR(tbal[[#This Row],[X]]=3,tbal[[#This Row],[X]]=5)),tbal[[#This Row],[DEUDOR]],0)</f>
        <v>0</v>
      </c>
      <c r="L1441" s="18">
        <f>IF((OR(tbal[[#This Row],[X]]=3,tbal[[#This Row],[X]]=4)),tbal[[#This Row],[ACREEDOR]],0)</f>
        <v>0</v>
      </c>
      <c r="M1441" s="16">
        <f>IF((OR(tbal[[#This Row],[X]]=0,tbal[[#This Row],[X]]=6)),tbal[[#This Row],[DEUDOR]],0)</f>
        <v>0</v>
      </c>
      <c r="N1441" s="18">
        <f>IF((OR(tbal[[#This Row],[X]]=0,tbal[[#This Row],[X]]=5)),tbal[[#This Row],[ACREEDOR]],0)</f>
        <v>0</v>
      </c>
    </row>
    <row r="1442" spans="1:14" hidden="1" x14ac:dyDescent="0.3">
      <c r="A1442" s="14">
        <f>+'PLAN DE CUENTAS'!A1442</f>
        <v>0</v>
      </c>
      <c r="B1442" s="13">
        <f>+'PLAN DE CUENTAS'!B1442</f>
        <v>0</v>
      </c>
      <c r="C1442" s="13">
        <f>+'PLAN DE CUENTAS'!C1442</f>
        <v>0</v>
      </c>
      <c r="D1442" t="str">
        <f>IF(tbal[[#This Row],[DEBE]]+tbal[[#This Row],[HABER]]=0,"","X")</f>
        <v/>
      </c>
      <c r="E1442" s="16">
        <f>SUMIF(tdiario[CUENTA],tbal[[#This Row],[CUENTA]],tdiario[DEBE])</f>
        <v>0</v>
      </c>
      <c r="F1442" s="17">
        <f>SUMIF(tdiario[CUENTA],tbal[[#This Row],[CUENTA]],tdiario[HABER])</f>
        <v>0</v>
      </c>
      <c r="G1442" s="16">
        <f>IF(tbal[[#This Row],[DEBE]]-tbal[[#This Row],[HABER]]&gt;0,tbal[[#This Row],[DEBE]]-tbal[[#This Row],[HABER]],0)</f>
        <v>0</v>
      </c>
      <c r="H1442" s="18">
        <f>IF(tbal[[#This Row],[HABER]]-tbal[[#This Row],[DEBE]]&gt;0,tbal[[#This Row],[HABER]]-tbal[[#This Row],[DEBE]],0)</f>
        <v>0</v>
      </c>
      <c r="I1442" s="16">
        <f>IF((OR(tbal[[#This Row],[X]]=1,tbal[[#This Row],[X]]=2)),tbal[[#This Row],[DEUDOR]],0)</f>
        <v>0</v>
      </c>
      <c r="J1442" s="18">
        <f>IF((OR(tbal[[#This Row],[X]]=2,tbal[[#This Row],[X]]=3)),tbal[[#This Row],[ACREEDOR]],0)</f>
        <v>0</v>
      </c>
      <c r="K1442" s="16">
        <f>IF((OR(tbal[[#This Row],[X]]=3,tbal[[#This Row],[X]]=5)),tbal[[#This Row],[DEUDOR]],0)</f>
        <v>0</v>
      </c>
      <c r="L1442" s="18">
        <f>IF((OR(tbal[[#This Row],[X]]=3,tbal[[#This Row],[X]]=4)),tbal[[#This Row],[ACREEDOR]],0)</f>
        <v>0</v>
      </c>
      <c r="M1442" s="16">
        <f>IF((OR(tbal[[#This Row],[X]]=0,tbal[[#This Row],[X]]=6)),tbal[[#This Row],[DEUDOR]],0)</f>
        <v>0</v>
      </c>
      <c r="N1442" s="18">
        <f>IF((OR(tbal[[#This Row],[X]]=0,tbal[[#This Row],[X]]=5)),tbal[[#This Row],[ACREEDOR]],0)</f>
        <v>0</v>
      </c>
    </row>
    <row r="1443" spans="1:14" hidden="1" x14ac:dyDescent="0.3">
      <c r="A1443" s="14">
        <f>+'PLAN DE CUENTAS'!A1443</f>
        <v>0</v>
      </c>
      <c r="B1443" s="13">
        <f>+'PLAN DE CUENTAS'!B1443</f>
        <v>0</v>
      </c>
      <c r="C1443" s="13">
        <f>+'PLAN DE CUENTAS'!C1443</f>
        <v>0</v>
      </c>
      <c r="D1443" t="str">
        <f>IF(tbal[[#This Row],[DEBE]]+tbal[[#This Row],[HABER]]=0,"","X")</f>
        <v/>
      </c>
      <c r="E1443" s="16">
        <f>SUMIF(tdiario[CUENTA],tbal[[#This Row],[CUENTA]],tdiario[DEBE])</f>
        <v>0</v>
      </c>
      <c r="F1443" s="17">
        <f>SUMIF(tdiario[CUENTA],tbal[[#This Row],[CUENTA]],tdiario[HABER])</f>
        <v>0</v>
      </c>
      <c r="G1443" s="16">
        <f>IF(tbal[[#This Row],[DEBE]]-tbal[[#This Row],[HABER]]&gt;0,tbal[[#This Row],[DEBE]]-tbal[[#This Row],[HABER]],0)</f>
        <v>0</v>
      </c>
      <c r="H1443" s="18">
        <f>IF(tbal[[#This Row],[HABER]]-tbal[[#This Row],[DEBE]]&gt;0,tbal[[#This Row],[HABER]]-tbal[[#This Row],[DEBE]],0)</f>
        <v>0</v>
      </c>
      <c r="I1443" s="16">
        <f>IF((OR(tbal[[#This Row],[X]]=1,tbal[[#This Row],[X]]=2)),tbal[[#This Row],[DEUDOR]],0)</f>
        <v>0</v>
      </c>
      <c r="J1443" s="18">
        <f>IF((OR(tbal[[#This Row],[X]]=2,tbal[[#This Row],[X]]=3)),tbal[[#This Row],[ACREEDOR]],0)</f>
        <v>0</v>
      </c>
      <c r="K1443" s="16">
        <f>IF((OR(tbal[[#This Row],[X]]=3,tbal[[#This Row],[X]]=5)),tbal[[#This Row],[DEUDOR]],0)</f>
        <v>0</v>
      </c>
      <c r="L1443" s="18">
        <f>IF((OR(tbal[[#This Row],[X]]=3,tbal[[#This Row],[X]]=4)),tbal[[#This Row],[ACREEDOR]],0)</f>
        <v>0</v>
      </c>
      <c r="M1443" s="16">
        <f>IF((OR(tbal[[#This Row],[X]]=0,tbal[[#This Row],[X]]=6)),tbal[[#This Row],[DEUDOR]],0)</f>
        <v>0</v>
      </c>
      <c r="N1443" s="18">
        <f>IF((OR(tbal[[#This Row],[X]]=0,tbal[[#This Row],[X]]=5)),tbal[[#This Row],[ACREEDOR]],0)</f>
        <v>0</v>
      </c>
    </row>
    <row r="1444" spans="1:14" hidden="1" x14ac:dyDescent="0.3">
      <c r="A1444" s="14">
        <f>+'PLAN DE CUENTAS'!A1444</f>
        <v>0</v>
      </c>
      <c r="B1444" s="13">
        <f>+'PLAN DE CUENTAS'!B1444</f>
        <v>0</v>
      </c>
      <c r="C1444" s="13">
        <f>+'PLAN DE CUENTAS'!C1444</f>
        <v>0</v>
      </c>
      <c r="D1444" t="str">
        <f>IF(tbal[[#This Row],[DEBE]]+tbal[[#This Row],[HABER]]=0,"","X")</f>
        <v/>
      </c>
      <c r="E1444" s="16">
        <f>SUMIF(tdiario[CUENTA],tbal[[#This Row],[CUENTA]],tdiario[DEBE])</f>
        <v>0</v>
      </c>
      <c r="F1444" s="17">
        <f>SUMIF(tdiario[CUENTA],tbal[[#This Row],[CUENTA]],tdiario[HABER])</f>
        <v>0</v>
      </c>
      <c r="G1444" s="16">
        <f>IF(tbal[[#This Row],[DEBE]]-tbal[[#This Row],[HABER]]&gt;0,tbal[[#This Row],[DEBE]]-tbal[[#This Row],[HABER]],0)</f>
        <v>0</v>
      </c>
      <c r="H1444" s="18">
        <f>IF(tbal[[#This Row],[HABER]]-tbal[[#This Row],[DEBE]]&gt;0,tbal[[#This Row],[HABER]]-tbal[[#This Row],[DEBE]],0)</f>
        <v>0</v>
      </c>
      <c r="I1444" s="16">
        <f>IF((OR(tbal[[#This Row],[X]]=1,tbal[[#This Row],[X]]=2)),tbal[[#This Row],[DEUDOR]],0)</f>
        <v>0</v>
      </c>
      <c r="J1444" s="18">
        <f>IF((OR(tbal[[#This Row],[X]]=2,tbal[[#This Row],[X]]=3)),tbal[[#This Row],[ACREEDOR]],0)</f>
        <v>0</v>
      </c>
      <c r="K1444" s="16">
        <f>IF((OR(tbal[[#This Row],[X]]=3,tbal[[#This Row],[X]]=5)),tbal[[#This Row],[DEUDOR]],0)</f>
        <v>0</v>
      </c>
      <c r="L1444" s="18">
        <f>IF((OR(tbal[[#This Row],[X]]=3,tbal[[#This Row],[X]]=4)),tbal[[#This Row],[ACREEDOR]],0)</f>
        <v>0</v>
      </c>
      <c r="M1444" s="16">
        <f>IF((OR(tbal[[#This Row],[X]]=0,tbal[[#This Row],[X]]=6)),tbal[[#This Row],[DEUDOR]],0)</f>
        <v>0</v>
      </c>
      <c r="N1444" s="18">
        <f>IF((OR(tbal[[#This Row],[X]]=0,tbal[[#This Row],[X]]=5)),tbal[[#This Row],[ACREEDOR]],0)</f>
        <v>0</v>
      </c>
    </row>
    <row r="1445" spans="1:14" hidden="1" x14ac:dyDescent="0.3">
      <c r="A1445" s="14">
        <f>+'PLAN DE CUENTAS'!A1445</f>
        <v>0</v>
      </c>
      <c r="B1445" s="13">
        <f>+'PLAN DE CUENTAS'!B1445</f>
        <v>0</v>
      </c>
      <c r="C1445" s="13">
        <f>+'PLAN DE CUENTAS'!C1445</f>
        <v>0</v>
      </c>
      <c r="D1445" t="str">
        <f>IF(tbal[[#This Row],[DEBE]]+tbal[[#This Row],[HABER]]=0,"","X")</f>
        <v/>
      </c>
      <c r="E1445" s="16">
        <f>SUMIF(tdiario[CUENTA],tbal[[#This Row],[CUENTA]],tdiario[DEBE])</f>
        <v>0</v>
      </c>
      <c r="F1445" s="17">
        <f>SUMIF(tdiario[CUENTA],tbal[[#This Row],[CUENTA]],tdiario[HABER])</f>
        <v>0</v>
      </c>
      <c r="G1445" s="16">
        <f>IF(tbal[[#This Row],[DEBE]]-tbal[[#This Row],[HABER]]&gt;0,tbal[[#This Row],[DEBE]]-tbal[[#This Row],[HABER]],0)</f>
        <v>0</v>
      </c>
      <c r="H1445" s="18">
        <f>IF(tbal[[#This Row],[HABER]]-tbal[[#This Row],[DEBE]]&gt;0,tbal[[#This Row],[HABER]]-tbal[[#This Row],[DEBE]],0)</f>
        <v>0</v>
      </c>
      <c r="I1445" s="16">
        <f>IF((OR(tbal[[#This Row],[X]]=1,tbal[[#This Row],[X]]=2)),tbal[[#This Row],[DEUDOR]],0)</f>
        <v>0</v>
      </c>
      <c r="J1445" s="18">
        <f>IF((OR(tbal[[#This Row],[X]]=2,tbal[[#This Row],[X]]=3)),tbal[[#This Row],[ACREEDOR]],0)</f>
        <v>0</v>
      </c>
      <c r="K1445" s="16">
        <f>IF((OR(tbal[[#This Row],[X]]=3,tbal[[#This Row],[X]]=5)),tbal[[#This Row],[DEUDOR]],0)</f>
        <v>0</v>
      </c>
      <c r="L1445" s="18">
        <f>IF((OR(tbal[[#This Row],[X]]=3,tbal[[#This Row],[X]]=4)),tbal[[#This Row],[ACREEDOR]],0)</f>
        <v>0</v>
      </c>
      <c r="M1445" s="16">
        <f>IF((OR(tbal[[#This Row],[X]]=0,tbal[[#This Row],[X]]=6)),tbal[[#This Row],[DEUDOR]],0)</f>
        <v>0</v>
      </c>
      <c r="N1445" s="18">
        <f>IF((OR(tbal[[#This Row],[X]]=0,tbal[[#This Row],[X]]=5)),tbal[[#This Row],[ACREEDOR]],0)</f>
        <v>0</v>
      </c>
    </row>
    <row r="1446" spans="1:14" hidden="1" x14ac:dyDescent="0.3">
      <c r="A1446" s="14">
        <f>+'PLAN DE CUENTAS'!A1446</f>
        <v>0</v>
      </c>
      <c r="B1446" s="13">
        <f>+'PLAN DE CUENTAS'!B1446</f>
        <v>0</v>
      </c>
      <c r="C1446" s="13">
        <f>+'PLAN DE CUENTAS'!C1446</f>
        <v>0</v>
      </c>
      <c r="D1446" t="str">
        <f>IF(tbal[[#This Row],[DEBE]]+tbal[[#This Row],[HABER]]=0,"","X")</f>
        <v/>
      </c>
      <c r="E1446" s="16">
        <f>SUMIF(tdiario[CUENTA],tbal[[#This Row],[CUENTA]],tdiario[DEBE])</f>
        <v>0</v>
      </c>
      <c r="F1446" s="17">
        <f>SUMIF(tdiario[CUENTA],tbal[[#This Row],[CUENTA]],tdiario[HABER])</f>
        <v>0</v>
      </c>
      <c r="G1446" s="16">
        <f>IF(tbal[[#This Row],[DEBE]]-tbal[[#This Row],[HABER]]&gt;0,tbal[[#This Row],[DEBE]]-tbal[[#This Row],[HABER]],0)</f>
        <v>0</v>
      </c>
      <c r="H1446" s="18">
        <f>IF(tbal[[#This Row],[HABER]]-tbal[[#This Row],[DEBE]]&gt;0,tbal[[#This Row],[HABER]]-tbal[[#This Row],[DEBE]],0)</f>
        <v>0</v>
      </c>
      <c r="I1446" s="16">
        <f>IF((OR(tbal[[#This Row],[X]]=1,tbal[[#This Row],[X]]=2)),tbal[[#This Row],[DEUDOR]],0)</f>
        <v>0</v>
      </c>
      <c r="J1446" s="18">
        <f>IF((OR(tbal[[#This Row],[X]]=2,tbal[[#This Row],[X]]=3)),tbal[[#This Row],[ACREEDOR]],0)</f>
        <v>0</v>
      </c>
      <c r="K1446" s="16">
        <f>IF((OR(tbal[[#This Row],[X]]=3,tbal[[#This Row],[X]]=5)),tbal[[#This Row],[DEUDOR]],0)</f>
        <v>0</v>
      </c>
      <c r="L1446" s="18">
        <f>IF((OR(tbal[[#This Row],[X]]=3,tbal[[#This Row],[X]]=4)),tbal[[#This Row],[ACREEDOR]],0)</f>
        <v>0</v>
      </c>
      <c r="M1446" s="16">
        <f>IF((OR(tbal[[#This Row],[X]]=0,tbal[[#This Row],[X]]=6)),tbal[[#This Row],[DEUDOR]],0)</f>
        <v>0</v>
      </c>
      <c r="N1446" s="18">
        <f>IF((OR(tbal[[#This Row],[X]]=0,tbal[[#This Row],[X]]=5)),tbal[[#This Row],[ACREEDOR]],0)</f>
        <v>0</v>
      </c>
    </row>
    <row r="1447" spans="1:14" hidden="1" x14ac:dyDescent="0.3">
      <c r="A1447" s="14">
        <f>+'PLAN DE CUENTAS'!A1447</f>
        <v>0</v>
      </c>
      <c r="B1447" s="13">
        <f>+'PLAN DE CUENTAS'!B1447</f>
        <v>0</v>
      </c>
      <c r="C1447" s="13">
        <f>+'PLAN DE CUENTAS'!C1447</f>
        <v>0</v>
      </c>
      <c r="D1447" t="str">
        <f>IF(tbal[[#This Row],[DEBE]]+tbal[[#This Row],[HABER]]=0,"","X")</f>
        <v/>
      </c>
      <c r="E1447" s="16">
        <f>SUMIF(tdiario[CUENTA],tbal[[#This Row],[CUENTA]],tdiario[DEBE])</f>
        <v>0</v>
      </c>
      <c r="F1447" s="17">
        <f>SUMIF(tdiario[CUENTA],tbal[[#This Row],[CUENTA]],tdiario[HABER])</f>
        <v>0</v>
      </c>
      <c r="G1447" s="16">
        <f>IF(tbal[[#This Row],[DEBE]]-tbal[[#This Row],[HABER]]&gt;0,tbal[[#This Row],[DEBE]]-tbal[[#This Row],[HABER]],0)</f>
        <v>0</v>
      </c>
      <c r="H1447" s="18">
        <f>IF(tbal[[#This Row],[HABER]]-tbal[[#This Row],[DEBE]]&gt;0,tbal[[#This Row],[HABER]]-tbal[[#This Row],[DEBE]],0)</f>
        <v>0</v>
      </c>
      <c r="I1447" s="16">
        <f>IF((OR(tbal[[#This Row],[X]]=1,tbal[[#This Row],[X]]=2)),tbal[[#This Row],[DEUDOR]],0)</f>
        <v>0</v>
      </c>
      <c r="J1447" s="18">
        <f>IF((OR(tbal[[#This Row],[X]]=2,tbal[[#This Row],[X]]=3)),tbal[[#This Row],[ACREEDOR]],0)</f>
        <v>0</v>
      </c>
      <c r="K1447" s="16">
        <f>IF((OR(tbal[[#This Row],[X]]=3,tbal[[#This Row],[X]]=5)),tbal[[#This Row],[DEUDOR]],0)</f>
        <v>0</v>
      </c>
      <c r="L1447" s="18">
        <f>IF((OR(tbal[[#This Row],[X]]=3,tbal[[#This Row],[X]]=4)),tbal[[#This Row],[ACREEDOR]],0)</f>
        <v>0</v>
      </c>
      <c r="M1447" s="16">
        <f>IF((OR(tbal[[#This Row],[X]]=0,tbal[[#This Row],[X]]=6)),tbal[[#This Row],[DEUDOR]],0)</f>
        <v>0</v>
      </c>
      <c r="N1447" s="18">
        <f>IF((OR(tbal[[#This Row],[X]]=0,tbal[[#This Row],[X]]=5)),tbal[[#This Row],[ACREEDOR]],0)</f>
        <v>0</v>
      </c>
    </row>
    <row r="1448" spans="1:14" hidden="1" x14ac:dyDescent="0.3">
      <c r="A1448" s="14">
        <f>+'PLAN DE CUENTAS'!A1448</f>
        <v>0</v>
      </c>
      <c r="B1448" s="13">
        <f>+'PLAN DE CUENTAS'!B1448</f>
        <v>0</v>
      </c>
      <c r="C1448" s="13">
        <f>+'PLAN DE CUENTAS'!C1448</f>
        <v>0</v>
      </c>
      <c r="D1448" t="str">
        <f>IF(tbal[[#This Row],[DEBE]]+tbal[[#This Row],[HABER]]=0,"","X")</f>
        <v/>
      </c>
      <c r="E1448" s="16">
        <f>SUMIF(tdiario[CUENTA],tbal[[#This Row],[CUENTA]],tdiario[DEBE])</f>
        <v>0</v>
      </c>
      <c r="F1448" s="17">
        <f>SUMIF(tdiario[CUENTA],tbal[[#This Row],[CUENTA]],tdiario[HABER])</f>
        <v>0</v>
      </c>
      <c r="G1448" s="16">
        <f>IF(tbal[[#This Row],[DEBE]]-tbal[[#This Row],[HABER]]&gt;0,tbal[[#This Row],[DEBE]]-tbal[[#This Row],[HABER]],0)</f>
        <v>0</v>
      </c>
      <c r="H1448" s="18">
        <f>IF(tbal[[#This Row],[HABER]]-tbal[[#This Row],[DEBE]]&gt;0,tbal[[#This Row],[HABER]]-tbal[[#This Row],[DEBE]],0)</f>
        <v>0</v>
      </c>
      <c r="I1448" s="16">
        <f>IF((OR(tbal[[#This Row],[X]]=1,tbal[[#This Row],[X]]=2)),tbal[[#This Row],[DEUDOR]],0)</f>
        <v>0</v>
      </c>
      <c r="J1448" s="18">
        <f>IF((OR(tbal[[#This Row],[X]]=2,tbal[[#This Row],[X]]=3)),tbal[[#This Row],[ACREEDOR]],0)</f>
        <v>0</v>
      </c>
      <c r="K1448" s="16">
        <f>IF((OR(tbal[[#This Row],[X]]=3,tbal[[#This Row],[X]]=5)),tbal[[#This Row],[DEUDOR]],0)</f>
        <v>0</v>
      </c>
      <c r="L1448" s="18">
        <f>IF((OR(tbal[[#This Row],[X]]=3,tbal[[#This Row],[X]]=4)),tbal[[#This Row],[ACREEDOR]],0)</f>
        <v>0</v>
      </c>
      <c r="M1448" s="16">
        <f>IF((OR(tbal[[#This Row],[X]]=0,tbal[[#This Row],[X]]=6)),tbal[[#This Row],[DEUDOR]],0)</f>
        <v>0</v>
      </c>
      <c r="N1448" s="18">
        <f>IF((OR(tbal[[#This Row],[X]]=0,tbal[[#This Row],[X]]=5)),tbal[[#This Row],[ACREEDOR]],0)</f>
        <v>0</v>
      </c>
    </row>
    <row r="1449" spans="1:14" hidden="1" x14ac:dyDescent="0.3">
      <c r="A1449" s="14">
        <f>+'PLAN DE CUENTAS'!A1449</f>
        <v>0</v>
      </c>
      <c r="B1449" s="13">
        <f>+'PLAN DE CUENTAS'!B1449</f>
        <v>0</v>
      </c>
      <c r="C1449" s="13">
        <f>+'PLAN DE CUENTAS'!C1449</f>
        <v>0</v>
      </c>
      <c r="D1449" t="str">
        <f>IF(tbal[[#This Row],[DEBE]]+tbal[[#This Row],[HABER]]=0,"","X")</f>
        <v/>
      </c>
      <c r="E1449" s="16">
        <f>SUMIF(tdiario[CUENTA],tbal[[#This Row],[CUENTA]],tdiario[DEBE])</f>
        <v>0</v>
      </c>
      <c r="F1449" s="17">
        <f>SUMIF(tdiario[CUENTA],tbal[[#This Row],[CUENTA]],tdiario[HABER])</f>
        <v>0</v>
      </c>
      <c r="G1449" s="16">
        <f>IF(tbal[[#This Row],[DEBE]]-tbal[[#This Row],[HABER]]&gt;0,tbal[[#This Row],[DEBE]]-tbal[[#This Row],[HABER]],0)</f>
        <v>0</v>
      </c>
      <c r="H1449" s="18">
        <f>IF(tbal[[#This Row],[HABER]]-tbal[[#This Row],[DEBE]]&gt;0,tbal[[#This Row],[HABER]]-tbal[[#This Row],[DEBE]],0)</f>
        <v>0</v>
      </c>
      <c r="I1449" s="16">
        <f>IF((OR(tbal[[#This Row],[X]]=1,tbal[[#This Row],[X]]=2)),tbal[[#This Row],[DEUDOR]],0)</f>
        <v>0</v>
      </c>
      <c r="J1449" s="18">
        <f>IF((OR(tbal[[#This Row],[X]]=2,tbal[[#This Row],[X]]=3)),tbal[[#This Row],[ACREEDOR]],0)</f>
        <v>0</v>
      </c>
      <c r="K1449" s="16">
        <f>IF((OR(tbal[[#This Row],[X]]=3,tbal[[#This Row],[X]]=5)),tbal[[#This Row],[DEUDOR]],0)</f>
        <v>0</v>
      </c>
      <c r="L1449" s="18">
        <f>IF((OR(tbal[[#This Row],[X]]=3,tbal[[#This Row],[X]]=4)),tbal[[#This Row],[ACREEDOR]],0)</f>
        <v>0</v>
      </c>
      <c r="M1449" s="16">
        <f>IF((OR(tbal[[#This Row],[X]]=0,tbal[[#This Row],[X]]=6)),tbal[[#This Row],[DEUDOR]],0)</f>
        <v>0</v>
      </c>
      <c r="N1449" s="18">
        <f>IF((OR(tbal[[#This Row],[X]]=0,tbal[[#This Row],[X]]=5)),tbal[[#This Row],[ACREEDOR]],0)</f>
        <v>0</v>
      </c>
    </row>
    <row r="1450" spans="1:14" hidden="1" x14ac:dyDescent="0.3">
      <c r="A1450" s="14">
        <f>+'PLAN DE CUENTAS'!A1450</f>
        <v>0</v>
      </c>
      <c r="B1450" s="13">
        <f>+'PLAN DE CUENTAS'!B1450</f>
        <v>0</v>
      </c>
      <c r="C1450" s="13">
        <f>+'PLAN DE CUENTAS'!C1450</f>
        <v>0</v>
      </c>
      <c r="D1450" t="str">
        <f>IF(tbal[[#This Row],[DEBE]]+tbal[[#This Row],[HABER]]=0,"","X")</f>
        <v/>
      </c>
      <c r="E1450" s="16">
        <f>SUMIF(tdiario[CUENTA],tbal[[#This Row],[CUENTA]],tdiario[DEBE])</f>
        <v>0</v>
      </c>
      <c r="F1450" s="17">
        <f>SUMIF(tdiario[CUENTA],tbal[[#This Row],[CUENTA]],tdiario[HABER])</f>
        <v>0</v>
      </c>
      <c r="G1450" s="16">
        <f>IF(tbal[[#This Row],[DEBE]]-tbal[[#This Row],[HABER]]&gt;0,tbal[[#This Row],[DEBE]]-tbal[[#This Row],[HABER]],0)</f>
        <v>0</v>
      </c>
      <c r="H1450" s="18">
        <f>IF(tbal[[#This Row],[HABER]]-tbal[[#This Row],[DEBE]]&gt;0,tbal[[#This Row],[HABER]]-tbal[[#This Row],[DEBE]],0)</f>
        <v>0</v>
      </c>
      <c r="I1450" s="16">
        <f>IF((OR(tbal[[#This Row],[X]]=1,tbal[[#This Row],[X]]=2)),tbal[[#This Row],[DEUDOR]],0)</f>
        <v>0</v>
      </c>
      <c r="J1450" s="18">
        <f>IF((OR(tbal[[#This Row],[X]]=2,tbal[[#This Row],[X]]=3)),tbal[[#This Row],[ACREEDOR]],0)</f>
        <v>0</v>
      </c>
      <c r="K1450" s="16">
        <f>IF((OR(tbal[[#This Row],[X]]=3,tbal[[#This Row],[X]]=5)),tbal[[#This Row],[DEUDOR]],0)</f>
        <v>0</v>
      </c>
      <c r="L1450" s="18">
        <f>IF((OR(tbal[[#This Row],[X]]=3,tbal[[#This Row],[X]]=4)),tbal[[#This Row],[ACREEDOR]],0)</f>
        <v>0</v>
      </c>
      <c r="M1450" s="16">
        <f>IF((OR(tbal[[#This Row],[X]]=0,tbal[[#This Row],[X]]=6)),tbal[[#This Row],[DEUDOR]],0)</f>
        <v>0</v>
      </c>
      <c r="N1450" s="18">
        <f>IF((OR(tbal[[#This Row],[X]]=0,tbal[[#This Row],[X]]=5)),tbal[[#This Row],[ACREEDOR]],0)</f>
        <v>0</v>
      </c>
    </row>
    <row r="1451" spans="1:14" hidden="1" x14ac:dyDescent="0.3">
      <c r="A1451" s="14">
        <f>+'PLAN DE CUENTAS'!A1451</f>
        <v>0</v>
      </c>
      <c r="B1451" s="13">
        <f>+'PLAN DE CUENTAS'!B1451</f>
        <v>0</v>
      </c>
      <c r="C1451" s="13">
        <f>+'PLAN DE CUENTAS'!C1451</f>
        <v>0</v>
      </c>
      <c r="D1451" t="str">
        <f>IF(tbal[[#This Row],[DEBE]]+tbal[[#This Row],[HABER]]=0,"","X")</f>
        <v/>
      </c>
      <c r="E1451" s="16">
        <f>SUMIF(tdiario[CUENTA],tbal[[#This Row],[CUENTA]],tdiario[DEBE])</f>
        <v>0</v>
      </c>
      <c r="F1451" s="17">
        <f>SUMIF(tdiario[CUENTA],tbal[[#This Row],[CUENTA]],tdiario[HABER])</f>
        <v>0</v>
      </c>
      <c r="G1451" s="16">
        <f>IF(tbal[[#This Row],[DEBE]]-tbal[[#This Row],[HABER]]&gt;0,tbal[[#This Row],[DEBE]]-tbal[[#This Row],[HABER]],0)</f>
        <v>0</v>
      </c>
      <c r="H1451" s="18">
        <f>IF(tbal[[#This Row],[HABER]]-tbal[[#This Row],[DEBE]]&gt;0,tbal[[#This Row],[HABER]]-tbal[[#This Row],[DEBE]],0)</f>
        <v>0</v>
      </c>
      <c r="I1451" s="16">
        <f>IF((OR(tbal[[#This Row],[X]]=1,tbal[[#This Row],[X]]=2)),tbal[[#This Row],[DEUDOR]],0)</f>
        <v>0</v>
      </c>
      <c r="J1451" s="18">
        <f>IF((OR(tbal[[#This Row],[X]]=2,tbal[[#This Row],[X]]=3)),tbal[[#This Row],[ACREEDOR]],0)</f>
        <v>0</v>
      </c>
      <c r="K1451" s="16">
        <f>IF((OR(tbal[[#This Row],[X]]=3,tbal[[#This Row],[X]]=5)),tbal[[#This Row],[DEUDOR]],0)</f>
        <v>0</v>
      </c>
      <c r="L1451" s="18">
        <f>IF((OR(tbal[[#This Row],[X]]=3,tbal[[#This Row],[X]]=4)),tbal[[#This Row],[ACREEDOR]],0)</f>
        <v>0</v>
      </c>
      <c r="M1451" s="16">
        <f>IF((OR(tbal[[#This Row],[X]]=0,tbal[[#This Row],[X]]=6)),tbal[[#This Row],[DEUDOR]],0)</f>
        <v>0</v>
      </c>
      <c r="N1451" s="18">
        <f>IF((OR(tbal[[#This Row],[X]]=0,tbal[[#This Row],[X]]=5)),tbal[[#This Row],[ACREEDOR]],0)</f>
        <v>0</v>
      </c>
    </row>
    <row r="1452" spans="1:14" hidden="1" x14ac:dyDescent="0.3">
      <c r="A1452" s="14">
        <f>+'PLAN DE CUENTAS'!A1452</f>
        <v>0</v>
      </c>
      <c r="B1452" s="13">
        <f>+'PLAN DE CUENTAS'!B1452</f>
        <v>0</v>
      </c>
      <c r="C1452" s="13">
        <f>+'PLAN DE CUENTAS'!C1452</f>
        <v>0</v>
      </c>
      <c r="D1452" t="str">
        <f>IF(tbal[[#This Row],[DEBE]]+tbal[[#This Row],[HABER]]=0,"","X")</f>
        <v/>
      </c>
      <c r="E1452" s="16">
        <f>SUMIF(tdiario[CUENTA],tbal[[#This Row],[CUENTA]],tdiario[DEBE])</f>
        <v>0</v>
      </c>
      <c r="F1452" s="17">
        <f>SUMIF(tdiario[CUENTA],tbal[[#This Row],[CUENTA]],tdiario[HABER])</f>
        <v>0</v>
      </c>
      <c r="G1452" s="16">
        <f>IF(tbal[[#This Row],[DEBE]]-tbal[[#This Row],[HABER]]&gt;0,tbal[[#This Row],[DEBE]]-tbal[[#This Row],[HABER]],0)</f>
        <v>0</v>
      </c>
      <c r="H1452" s="18">
        <f>IF(tbal[[#This Row],[HABER]]-tbal[[#This Row],[DEBE]]&gt;0,tbal[[#This Row],[HABER]]-tbal[[#This Row],[DEBE]],0)</f>
        <v>0</v>
      </c>
      <c r="I1452" s="16">
        <f>IF((OR(tbal[[#This Row],[X]]=1,tbal[[#This Row],[X]]=2)),tbal[[#This Row],[DEUDOR]],0)</f>
        <v>0</v>
      </c>
      <c r="J1452" s="18">
        <f>IF((OR(tbal[[#This Row],[X]]=2,tbal[[#This Row],[X]]=3)),tbal[[#This Row],[ACREEDOR]],0)</f>
        <v>0</v>
      </c>
      <c r="K1452" s="16">
        <f>IF((OR(tbal[[#This Row],[X]]=3,tbal[[#This Row],[X]]=5)),tbal[[#This Row],[DEUDOR]],0)</f>
        <v>0</v>
      </c>
      <c r="L1452" s="18">
        <f>IF((OR(tbal[[#This Row],[X]]=3,tbal[[#This Row],[X]]=4)),tbal[[#This Row],[ACREEDOR]],0)</f>
        <v>0</v>
      </c>
      <c r="M1452" s="16">
        <f>IF((OR(tbal[[#This Row],[X]]=0,tbal[[#This Row],[X]]=6)),tbal[[#This Row],[DEUDOR]],0)</f>
        <v>0</v>
      </c>
      <c r="N1452" s="18">
        <f>IF((OR(tbal[[#This Row],[X]]=0,tbal[[#This Row],[X]]=5)),tbal[[#This Row],[ACREEDOR]],0)</f>
        <v>0</v>
      </c>
    </row>
    <row r="1453" spans="1:14" hidden="1" x14ac:dyDescent="0.3">
      <c r="A1453" s="14">
        <f>+'PLAN DE CUENTAS'!A1453</f>
        <v>0</v>
      </c>
      <c r="B1453" s="13">
        <f>+'PLAN DE CUENTAS'!B1453</f>
        <v>0</v>
      </c>
      <c r="C1453" s="13">
        <f>+'PLAN DE CUENTAS'!C1453</f>
        <v>0</v>
      </c>
      <c r="D1453" t="str">
        <f>IF(tbal[[#This Row],[DEBE]]+tbal[[#This Row],[HABER]]=0,"","X")</f>
        <v/>
      </c>
      <c r="E1453" s="16">
        <f>SUMIF(tdiario[CUENTA],tbal[[#This Row],[CUENTA]],tdiario[DEBE])</f>
        <v>0</v>
      </c>
      <c r="F1453" s="17">
        <f>SUMIF(tdiario[CUENTA],tbal[[#This Row],[CUENTA]],tdiario[HABER])</f>
        <v>0</v>
      </c>
      <c r="G1453" s="16">
        <f>IF(tbal[[#This Row],[DEBE]]-tbal[[#This Row],[HABER]]&gt;0,tbal[[#This Row],[DEBE]]-tbal[[#This Row],[HABER]],0)</f>
        <v>0</v>
      </c>
      <c r="H1453" s="18">
        <f>IF(tbal[[#This Row],[HABER]]-tbal[[#This Row],[DEBE]]&gt;0,tbal[[#This Row],[HABER]]-tbal[[#This Row],[DEBE]],0)</f>
        <v>0</v>
      </c>
      <c r="I1453" s="16">
        <f>IF((OR(tbal[[#This Row],[X]]=1,tbal[[#This Row],[X]]=2)),tbal[[#This Row],[DEUDOR]],0)</f>
        <v>0</v>
      </c>
      <c r="J1453" s="18">
        <f>IF((OR(tbal[[#This Row],[X]]=2,tbal[[#This Row],[X]]=3)),tbal[[#This Row],[ACREEDOR]],0)</f>
        <v>0</v>
      </c>
      <c r="K1453" s="16">
        <f>IF((OR(tbal[[#This Row],[X]]=3,tbal[[#This Row],[X]]=5)),tbal[[#This Row],[DEUDOR]],0)</f>
        <v>0</v>
      </c>
      <c r="L1453" s="18">
        <f>IF((OR(tbal[[#This Row],[X]]=3,tbal[[#This Row],[X]]=4)),tbal[[#This Row],[ACREEDOR]],0)</f>
        <v>0</v>
      </c>
      <c r="M1453" s="16">
        <f>IF((OR(tbal[[#This Row],[X]]=0,tbal[[#This Row],[X]]=6)),tbal[[#This Row],[DEUDOR]],0)</f>
        <v>0</v>
      </c>
      <c r="N1453" s="18">
        <f>IF((OR(tbal[[#This Row],[X]]=0,tbal[[#This Row],[X]]=5)),tbal[[#This Row],[ACREEDOR]],0)</f>
        <v>0</v>
      </c>
    </row>
    <row r="1454" spans="1:14" hidden="1" x14ac:dyDescent="0.3">
      <c r="A1454" s="14">
        <f>+'PLAN DE CUENTAS'!A1454</f>
        <v>0</v>
      </c>
      <c r="B1454" s="13">
        <f>+'PLAN DE CUENTAS'!B1454</f>
        <v>0</v>
      </c>
      <c r="C1454" s="13">
        <f>+'PLAN DE CUENTAS'!C1454</f>
        <v>0</v>
      </c>
      <c r="D1454" t="str">
        <f>IF(tbal[[#This Row],[DEBE]]+tbal[[#This Row],[HABER]]=0,"","X")</f>
        <v/>
      </c>
      <c r="E1454" s="16">
        <f>SUMIF(tdiario[CUENTA],tbal[[#This Row],[CUENTA]],tdiario[DEBE])</f>
        <v>0</v>
      </c>
      <c r="F1454" s="17">
        <f>SUMIF(tdiario[CUENTA],tbal[[#This Row],[CUENTA]],tdiario[HABER])</f>
        <v>0</v>
      </c>
      <c r="G1454" s="16">
        <f>IF(tbal[[#This Row],[DEBE]]-tbal[[#This Row],[HABER]]&gt;0,tbal[[#This Row],[DEBE]]-tbal[[#This Row],[HABER]],0)</f>
        <v>0</v>
      </c>
      <c r="H1454" s="18">
        <f>IF(tbal[[#This Row],[HABER]]-tbal[[#This Row],[DEBE]]&gt;0,tbal[[#This Row],[HABER]]-tbal[[#This Row],[DEBE]],0)</f>
        <v>0</v>
      </c>
      <c r="I1454" s="16">
        <f>IF((OR(tbal[[#This Row],[X]]=1,tbal[[#This Row],[X]]=2)),tbal[[#This Row],[DEUDOR]],0)</f>
        <v>0</v>
      </c>
      <c r="J1454" s="18">
        <f>IF((OR(tbal[[#This Row],[X]]=2,tbal[[#This Row],[X]]=3)),tbal[[#This Row],[ACREEDOR]],0)</f>
        <v>0</v>
      </c>
      <c r="K1454" s="16">
        <f>IF((OR(tbal[[#This Row],[X]]=3,tbal[[#This Row],[X]]=5)),tbal[[#This Row],[DEUDOR]],0)</f>
        <v>0</v>
      </c>
      <c r="L1454" s="18">
        <f>IF((OR(tbal[[#This Row],[X]]=3,tbal[[#This Row],[X]]=4)),tbal[[#This Row],[ACREEDOR]],0)</f>
        <v>0</v>
      </c>
      <c r="M1454" s="16">
        <f>IF((OR(tbal[[#This Row],[X]]=0,tbal[[#This Row],[X]]=6)),tbal[[#This Row],[DEUDOR]],0)</f>
        <v>0</v>
      </c>
      <c r="N1454" s="18">
        <f>IF((OR(tbal[[#This Row],[X]]=0,tbal[[#This Row],[X]]=5)),tbal[[#This Row],[ACREEDOR]],0)</f>
        <v>0</v>
      </c>
    </row>
    <row r="1455" spans="1:14" hidden="1" x14ac:dyDescent="0.3">
      <c r="A1455" s="14">
        <f>+'PLAN DE CUENTAS'!A1455</f>
        <v>0</v>
      </c>
      <c r="B1455" s="13">
        <f>+'PLAN DE CUENTAS'!B1455</f>
        <v>0</v>
      </c>
      <c r="C1455" s="13">
        <f>+'PLAN DE CUENTAS'!C1455</f>
        <v>0</v>
      </c>
      <c r="D1455" t="str">
        <f>IF(tbal[[#This Row],[DEBE]]+tbal[[#This Row],[HABER]]=0,"","X")</f>
        <v/>
      </c>
      <c r="E1455" s="16">
        <f>SUMIF(tdiario[CUENTA],tbal[[#This Row],[CUENTA]],tdiario[DEBE])</f>
        <v>0</v>
      </c>
      <c r="F1455" s="17">
        <f>SUMIF(tdiario[CUENTA],tbal[[#This Row],[CUENTA]],tdiario[HABER])</f>
        <v>0</v>
      </c>
      <c r="G1455" s="16">
        <f>IF(tbal[[#This Row],[DEBE]]-tbal[[#This Row],[HABER]]&gt;0,tbal[[#This Row],[DEBE]]-tbal[[#This Row],[HABER]],0)</f>
        <v>0</v>
      </c>
      <c r="H1455" s="18">
        <f>IF(tbal[[#This Row],[HABER]]-tbal[[#This Row],[DEBE]]&gt;0,tbal[[#This Row],[HABER]]-tbal[[#This Row],[DEBE]],0)</f>
        <v>0</v>
      </c>
      <c r="I1455" s="16">
        <f>IF((OR(tbal[[#This Row],[X]]=1,tbal[[#This Row],[X]]=2)),tbal[[#This Row],[DEUDOR]],0)</f>
        <v>0</v>
      </c>
      <c r="J1455" s="18">
        <f>IF((OR(tbal[[#This Row],[X]]=2,tbal[[#This Row],[X]]=3)),tbal[[#This Row],[ACREEDOR]],0)</f>
        <v>0</v>
      </c>
      <c r="K1455" s="16">
        <f>IF((OR(tbal[[#This Row],[X]]=3,tbal[[#This Row],[X]]=5)),tbal[[#This Row],[DEUDOR]],0)</f>
        <v>0</v>
      </c>
      <c r="L1455" s="18">
        <f>IF((OR(tbal[[#This Row],[X]]=3,tbal[[#This Row],[X]]=4)),tbal[[#This Row],[ACREEDOR]],0)</f>
        <v>0</v>
      </c>
      <c r="M1455" s="16">
        <f>IF((OR(tbal[[#This Row],[X]]=0,tbal[[#This Row],[X]]=6)),tbal[[#This Row],[DEUDOR]],0)</f>
        <v>0</v>
      </c>
      <c r="N1455" s="18">
        <f>IF((OR(tbal[[#This Row],[X]]=0,tbal[[#This Row],[X]]=5)),tbal[[#This Row],[ACREEDOR]],0)</f>
        <v>0</v>
      </c>
    </row>
    <row r="1456" spans="1:14" hidden="1" x14ac:dyDescent="0.3">
      <c r="A1456" s="14">
        <f>+'PLAN DE CUENTAS'!A1456</f>
        <v>0</v>
      </c>
      <c r="B1456" s="13">
        <f>+'PLAN DE CUENTAS'!B1456</f>
        <v>0</v>
      </c>
      <c r="C1456" s="13">
        <f>+'PLAN DE CUENTAS'!C1456</f>
        <v>0</v>
      </c>
      <c r="D1456" t="str">
        <f>IF(tbal[[#This Row],[DEBE]]+tbal[[#This Row],[HABER]]=0,"","X")</f>
        <v/>
      </c>
      <c r="E1456" s="16">
        <f>SUMIF(tdiario[CUENTA],tbal[[#This Row],[CUENTA]],tdiario[DEBE])</f>
        <v>0</v>
      </c>
      <c r="F1456" s="17">
        <f>SUMIF(tdiario[CUENTA],tbal[[#This Row],[CUENTA]],tdiario[HABER])</f>
        <v>0</v>
      </c>
      <c r="G1456" s="16">
        <f>IF(tbal[[#This Row],[DEBE]]-tbal[[#This Row],[HABER]]&gt;0,tbal[[#This Row],[DEBE]]-tbal[[#This Row],[HABER]],0)</f>
        <v>0</v>
      </c>
      <c r="H1456" s="18">
        <f>IF(tbal[[#This Row],[HABER]]-tbal[[#This Row],[DEBE]]&gt;0,tbal[[#This Row],[HABER]]-tbal[[#This Row],[DEBE]],0)</f>
        <v>0</v>
      </c>
      <c r="I1456" s="16">
        <f>IF((OR(tbal[[#This Row],[X]]=1,tbal[[#This Row],[X]]=2)),tbal[[#This Row],[DEUDOR]],0)</f>
        <v>0</v>
      </c>
      <c r="J1456" s="18">
        <f>IF((OR(tbal[[#This Row],[X]]=2,tbal[[#This Row],[X]]=3)),tbal[[#This Row],[ACREEDOR]],0)</f>
        <v>0</v>
      </c>
      <c r="K1456" s="16">
        <f>IF((OR(tbal[[#This Row],[X]]=3,tbal[[#This Row],[X]]=5)),tbal[[#This Row],[DEUDOR]],0)</f>
        <v>0</v>
      </c>
      <c r="L1456" s="18">
        <f>IF((OR(tbal[[#This Row],[X]]=3,tbal[[#This Row],[X]]=4)),tbal[[#This Row],[ACREEDOR]],0)</f>
        <v>0</v>
      </c>
      <c r="M1456" s="16">
        <f>IF((OR(tbal[[#This Row],[X]]=0,tbal[[#This Row],[X]]=6)),tbal[[#This Row],[DEUDOR]],0)</f>
        <v>0</v>
      </c>
      <c r="N1456" s="18">
        <f>IF((OR(tbal[[#This Row],[X]]=0,tbal[[#This Row],[X]]=5)),tbal[[#This Row],[ACREEDOR]],0)</f>
        <v>0</v>
      </c>
    </row>
    <row r="1457" spans="1:14" hidden="1" x14ac:dyDescent="0.3">
      <c r="A1457" s="14">
        <f>+'PLAN DE CUENTAS'!A1457</f>
        <v>0</v>
      </c>
      <c r="B1457" s="13">
        <f>+'PLAN DE CUENTAS'!B1457</f>
        <v>0</v>
      </c>
      <c r="C1457" s="13">
        <f>+'PLAN DE CUENTAS'!C1457</f>
        <v>0</v>
      </c>
      <c r="D1457" t="str">
        <f>IF(tbal[[#This Row],[DEBE]]+tbal[[#This Row],[HABER]]=0,"","X")</f>
        <v/>
      </c>
      <c r="E1457" s="16">
        <f>SUMIF(tdiario[CUENTA],tbal[[#This Row],[CUENTA]],tdiario[DEBE])</f>
        <v>0</v>
      </c>
      <c r="F1457" s="17">
        <f>SUMIF(tdiario[CUENTA],tbal[[#This Row],[CUENTA]],tdiario[HABER])</f>
        <v>0</v>
      </c>
      <c r="G1457" s="16">
        <f>IF(tbal[[#This Row],[DEBE]]-tbal[[#This Row],[HABER]]&gt;0,tbal[[#This Row],[DEBE]]-tbal[[#This Row],[HABER]],0)</f>
        <v>0</v>
      </c>
      <c r="H1457" s="18">
        <f>IF(tbal[[#This Row],[HABER]]-tbal[[#This Row],[DEBE]]&gt;0,tbal[[#This Row],[HABER]]-tbal[[#This Row],[DEBE]],0)</f>
        <v>0</v>
      </c>
      <c r="I1457" s="16">
        <f>IF((OR(tbal[[#This Row],[X]]=1,tbal[[#This Row],[X]]=2)),tbal[[#This Row],[DEUDOR]],0)</f>
        <v>0</v>
      </c>
      <c r="J1457" s="18">
        <f>IF((OR(tbal[[#This Row],[X]]=2,tbal[[#This Row],[X]]=3)),tbal[[#This Row],[ACREEDOR]],0)</f>
        <v>0</v>
      </c>
      <c r="K1457" s="16">
        <f>IF((OR(tbal[[#This Row],[X]]=3,tbal[[#This Row],[X]]=5)),tbal[[#This Row],[DEUDOR]],0)</f>
        <v>0</v>
      </c>
      <c r="L1457" s="18">
        <f>IF((OR(tbal[[#This Row],[X]]=3,tbal[[#This Row],[X]]=4)),tbal[[#This Row],[ACREEDOR]],0)</f>
        <v>0</v>
      </c>
      <c r="M1457" s="16">
        <f>IF((OR(tbal[[#This Row],[X]]=0,tbal[[#This Row],[X]]=6)),tbal[[#This Row],[DEUDOR]],0)</f>
        <v>0</v>
      </c>
      <c r="N1457" s="18">
        <f>IF((OR(tbal[[#This Row],[X]]=0,tbal[[#This Row],[X]]=5)),tbal[[#This Row],[ACREEDOR]],0)</f>
        <v>0</v>
      </c>
    </row>
    <row r="1458" spans="1:14" hidden="1" x14ac:dyDescent="0.3">
      <c r="A1458" s="14">
        <f>+'PLAN DE CUENTAS'!A1458</f>
        <v>0</v>
      </c>
      <c r="B1458" s="13">
        <f>+'PLAN DE CUENTAS'!B1458</f>
        <v>0</v>
      </c>
      <c r="C1458" s="13">
        <f>+'PLAN DE CUENTAS'!C1458</f>
        <v>0</v>
      </c>
      <c r="D1458" t="str">
        <f>IF(tbal[[#This Row],[DEBE]]+tbal[[#This Row],[HABER]]=0,"","X")</f>
        <v/>
      </c>
      <c r="E1458" s="16">
        <f>SUMIF(tdiario[CUENTA],tbal[[#This Row],[CUENTA]],tdiario[DEBE])</f>
        <v>0</v>
      </c>
      <c r="F1458" s="17">
        <f>SUMIF(tdiario[CUENTA],tbal[[#This Row],[CUENTA]],tdiario[HABER])</f>
        <v>0</v>
      </c>
      <c r="G1458" s="16">
        <f>IF(tbal[[#This Row],[DEBE]]-tbal[[#This Row],[HABER]]&gt;0,tbal[[#This Row],[DEBE]]-tbal[[#This Row],[HABER]],0)</f>
        <v>0</v>
      </c>
      <c r="H1458" s="18">
        <f>IF(tbal[[#This Row],[HABER]]-tbal[[#This Row],[DEBE]]&gt;0,tbal[[#This Row],[HABER]]-tbal[[#This Row],[DEBE]],0)</f>
        <v>0</v>
      </c>
      <c r="I1458" s="16">
        <f>IF((OR(tbal[[#This Row],[X]]=1,tbal[[#This Row],[X]]=2)),tbal[[#This Row],[DEUDOR]],0)</f>
        <v>0</v>
      </c>
      <c r="J1458" s="18">
        <f>IF((OR(tbal[[#This Row],[X]]=2,tbal[[#This Row],[X]]=3)),tbal[[#This Row],[ACREEDOR]],0)</f>
        <v>0</v>
      </c>
      <c r="K1458" s="16">
        <f>IF((OR(tbal[[#This Row],[X]]=3,tbal[[#This Row],[X]]=5)),tbal[[#This Row],[DEUDOR]],0)</f>
        <v>0</v>
      </c>
      <c r="L1458" s="18">
        <f>IF((OR(tbal[[#This Row],[X]]=3,tbal[[#This Row],[X]]=4)),tbal[[#This Row],[ACREEDOR]],0)</f>
        <v>0</v>
      </c>
      <c r="M1458" s="16">
        <f>IF((OR(tbal[[#This Row],[X]]=0,tbal[[#This Row],[X]]=6)),tbal[[#This Row],[DEUDOR]],0)</f>
        <v>0</v>
      </c>
      <c r="N1458" s="18">
        <f>IF((OR(tbal[[#This Row],[X]]=0,tbal[[#This Row],[X]]=5)),tbal[[#This Row],[ACREEDOR]],0)</f>
        <v>0</v>
      </c>
    </row>
    <row r="1459" spans="1:14" hidden="1" x14ac:dyDescent="0.3">
      <c r="A1459" s="14">
        <f>+'PLAN DE CUENTAS'!A1459</f>
        <v>0</v>
      </c>
      <c r="B1459" s="13">
        <f>+'PLAN DE CUENTAS'!B1459</f>
        <v>0</v>
      </c>
      <c r="C1459" s="13">
        <f>+'PLAN DE CUENTAS'!C1459</f>
        <v>0</v>
      </c>
      <c r="D1459" t="str">
        <f>IF(tbal[[#This Row],[DEBE]]+tbal[[#This Row],[HABER]]=0,"","X")</f>
        <v/>
      </c>
      <c r="E1459" s="16">
        <f>SUMIF(tdiario[CUENTA],tbal[[#This Row],[CUENTA]],tdiario[DEBE])</f>
        <v>0</v>
      </c>
      <c r="F1459" s="17">
        <f>SUMIF(tdiario[CUENTA],tbal[[#This Row],[CUENTA]],tdiario[HABER])</f>
        <v>0</v>
      </c>
      <c r="G1459" s="16">
        <f>IF(tbal[[#This Row],[DEBE]]-tbal[[#This Row],[HABER]]&gt;0,tbal[[#This Row],[DEBE]]-tbal[[#This Row],[HABER]],0)</f>
        <v>0</v>
      </c>
      <c r="H1459" s="18">
        <f>IF(tbal[[#This Row],[HABER]]-tbal[[#This Row],[DEBE]]&gt;0,tbal[[#This Row],[HABER]]-tbal[[#This Row],[DEBE]],0)</f>
        <v>0</v>
      </c>
      <c r="I1459" s="16">
        <f>IF((OR(tbal[[#This Row],[X]]=1,tbal[[#This Row],[X]]=2)),tbal[[#This Row],[DEUDOR]],0)</f>
        <v>0</v>
      </c>
      <c r="J1459" s="18">
        <f>IF((OR(tbal[[#This Row],[X]]=2,tbal[[#This Row],[X]]=3)),tbal[[#This Row],[ACREEDOR]],0)</f>
        <v>0</v>
      </c>
      <c r="K1459" s="16">
        <f>IF((OR(tbal[[#This Row],[X]]=3,tbal[[#This Row],[X]]=5)),tbal[[#This Row],[DEUDOR]],0)</f>
        <v>0</v>
      </c>
      <c r="L1459" s="18">
        <f>IF((OR(tbal[[#This Row],[X]]=3,tbal[[#This Row],[X]]=4)),tbal[[#This Row],[ACREEDOR]],0)</f>
        <v>0</v>
      </c>
      <c r="M1459" s="16">
        <f>IF((OR(tbal[[#This Row],[X]]=0,tbal[[#This Row],[X]]=6)),tbal[[#This Row],[DEUDOR]],0)</f>
        <v>0</v>
      </c>
      <c r="N1459" s="18">
        <f>IF((OR(tbal[[#This Row],[X]]=0,tbal[[#This Row],[X]]=5)),tbal[[#This Row],[ACREEDOR]],0)</f>
        <v>0</v>
      </c>
    </row>
    <row r="1460" spans="1:14" hidden="1" x14ac:dyDescent="0.3">
      <c r="A1460" s="14">
        <f>+'PLAN DE CUENTAS'!A1460</f>
        <v>0</v>
      </c>
      <c r="B1460" s="13">
        <f>+'PLAN DE CUENTAS'!B1460</f>
        <v>0</v>
      </c>
      <c r="C1460" s="13">
        <f>+'PLAN DE CUENTAS'!C1460</f>
        <v>0</v>
      </c>
      <c r="D1460" t="str">
        <f>IF(tbal[[#This Row],[DEBE]]+tbal[[#This Row],[HABER]]=0,"","X")</f>
        <v/>
      </c>
      <c r="E1460" s="16">
        <f>SUMIF(tdiario[CUENTA],tbal[[#This Row],[CUENTA]],tdiario[DEBE])</f>
        <v>0</v>
      </c>
      <c r="F1460" s="17">
        <f>SUMIF(tdiario[CUENTA],tbal[[#This Row],[CUENTA]],tdiario[HABER])</f>
        <v>0</v>
      </c>
      <c r="G1460" s="16">
        <f>IF(tbal[[#This Row],[DEBE]]-tbal[[#This Row],[HABER]]&gt;0,tbal[[#This Row],[DEBE]]-tbal[[#This Row],[HABER]],0)</f>
        <v>0</v>
      </c>
      <c r="H1460" s="18">
        <f>IF(tbal[[#This Row],[HABER]]-tbal[[#This Row],[DEBE]]&gt;0,tbal[[#This Row],[HABER]]-tbal[[#This Row],[DEBE]],0)</f>
        <v>0</v>
      </c>
      <c r="I1460" s="16">
        <f>IF((OR(tbal[[#This Row],[X]]=1,tbal[[#This Row],[X]]=2)),tbal[[#This Row],[DEUDOR]],0)</f>
        <v>0</v>
      </c>
      <c r="J1460" s="18">
        <f>IF((OR(tbal[[#This Row],[X]]=2,tbal[[#This Row],[X]]=3)),tbal[[#This Row],[ACREEDOR]],0)</f>
        <v>0</v>
      </c>
      <c r="K1460" s="16">
        <f>IF((OR(tbal[[#This Row],[X]]=3,tbal[[#This Row],[X]]=5)),tbal[[#This Row],[DEUDOR]],0)</f>
        <v>0</v>
      </c>
      <c r="L1460" s="18">
        <f>IF((OR(tbal[[#This Row],[X]]=3,tbal[[#This Row],[X]]=4)),tbal[[#This Row],[ACREEDOR]],0)</f>
        <v>0</v>
      </c>
      <c r="M1460" s="16">
        <f>IF((OR(tbal[[#This Row],[X]]=0,tbal[[#This Row],[X]]=6)),tbal[[#This Row],[DEUDOR]],0)</f>
        <v>0</v>
      </c>
      <c r="N1460" s="18">
        <f>IF((OR(tbal[[#This Row],[X]]=0,tbal[[#This Row],[X]]=5)),tbal[[#This Row],[ACREEDOR]],0)</f>
        <v>0</v>
      </c>
    </row>
    <row r="1461" spans="1:14" hidden="1" x14ac:dyDescent="0.3">
      <c r="A1461" s="14">
        <f>+'PLAN DE CUENTAS'!A1461</f>
        <v>0</v>
      </c>
      <c r="B1461" s="13">
        <f>+'PLAN DE CUENTAS'!B1461</f>
        <v>0</v>
      </c>
      <c r="C1461" s="13">
        <f>+'PLAN DE CUENTAS'!C1461</f>
        <v>0</v>
      </c>
      <c r="D1461" t="str">
        <f>IF(tbal[[#This Row],[DEBE]]+tbal[[#This Row],[HABER]]=0,"","X")</f>
        <v/>
      </c>
      <c r="E1461" s="16">
        <f>SUMIF(tdiario[CUENTA],tbal[[#This Row],[CUENTA]],tdiario[DEBE])</f>
        <v>0</v>
      </c>
      <c r="F1461" s="17">
        <f>SUMIF(tdiario[CUENTA],tbal[[#This Row],[CUENTA]],tdiario[HABER])</f>
        <v>0</v>
      </c>
      <c r="G1461" s="16">
        <f>IF(tbal[[#This Row],[DEBE]]-tbal[[#This Row],[HABER]]&gt;0,tbal[[#This Row],[DEBE]]-tbal[[#This Row],[HABER]],0)</f>
        <v>0</v>
      </c>
      <c r="H1461" s="18">
        <f>IF(tbal[[#This Row],[HABER]]-tbal[[#This Row],[DEBE]]&gt;0,tbal[[#This Row],[HABER]]-tbal[[#This Row],[DEBE]],0)</f>
        <v>0</v>
      </c>
      <c r="I1461" s="16">
        <f>IF((OR(tbal[[#This Row],[X]]=1,tbal[[#This Row],[X]]=2)),tbal[[#This Row],[DEUDOR]],0)</f>
        <v>0</v>
      </c>
      <c r="J1461" s="18">
        <f>IF((OR(tbal[[#This Row],[X]]=2,tbal[[#This Row],[X]]=3)),tbal[[#This Row],[ACREEDOR]],0)</f>
        <v>0</v>
      </c>
      <c r="K1461" s="16">
        <f>IF((OR(tbal[[#This Row],[X]]=3,tbal[[#This Row],[X]]=5)),tbal[[#This Row],[DEUDOR]],0)</f>
        <v>0</v>
      </c>
      <c r="L1461" s="18">
        <f>IF((OR(tbal[[#This Row],[X]]=3,tbal[[#This Row],[X]]=4)),tbal[[#This Row],[ACREEDOR]],0)</f>
        <v>0</v>
      </c>
      <c r="M1461" s="16">
        <f>IF((OR(tbal[[#This Row],[X]]=0,tbal[[#This Row],[X]]=6)),tbal[[#This Row],[DEUDOR]],0)</f>
        <v>0</v>
      </c>
      <c r="N1461" s="18">
        <f>IF((OR(tbal[[#This Row],[X]]=0,tbal[[#This Row],[X]]=5)),tbal[[#This Row],[ACREEDOR]],0)</f>
        <v>0</v>
      </c>
    </row>
    <row r="1462" spans="1:14" hidden="1" x14ac:dyDescent="0.3">
      <c r="A1462" s="14">
        <f>+'PLAN DE CUENTAS'!A1462</f>
        <v>0</v>
      </c>
      <c r="B1462" s="13">
        <f>+'PLAN DE CUENTAS'!B1462</f>
        <v>0</v>
      </c>
      <c r="C1462" s="13">
        <f>+'PLAN DE CUENTAS'!C1462</f>
        <v>0</v>
      </c>
      <c r="D1462" t="str">
        <f>IF(tbal[[#This Row],[DEBE]]+tbal[[#This Row],[HABER]]=0,"","X")</f>
        <v/>
      </c>
      <c r="E1462" s="16">
        <f>SUMIF(tdiario[CUENTA],tbal[[#This Row],[CUENTA]],tdiario[DEBE])</f>
        <v>0</v>
      </c>
      <c r="F1462" s="17">
        <f>SUMIF(tdiario[CUENTA],tbal[[#This Row],[CUENTA]],tdiario[HABER])</f>
        <v>0</v>
      </c>
      <c r="G1462" s="16">
        <f>IF(tbal[[#This Row],[DEBE]]-tbal[[#This Row],[HABER]]&gt;0,tbal[[#This Row],[DEBE]]-tbal[[#This Row],[HABER]],0)</f>
        <v>0</v>
      </c>
      <c r="H1462" s="18">
        <f>IF(tbal[[#This Row],[HABER]]-tbal[[#This Row],[DEBE]]&gt;0,tbal[[#This Row],[HABER]]-tbal[[#This Row],[DEBE]],0)</f>
        <v>0</v>
      </c>
      <c r="I1462" s="16">
        <f>IF((OR(tbal[[#This Row],[X]]=1,tbal[[#This Row],[X]]=2)),tbal[[#This Row],[DEUDOR]],0)</f>
        <v>0</v>
      </c>
      <c r="J1462" s="18">
        <f>IF((OR(tbal[[#This Row],[X]]=2,tbal[[#This Row],[X]]=3)),tbal[[#This Row],[ACREEDOR]],0)</f>
        <v>0</v>
      </c>
      <c r="K1462" s="16">
        <f>IF((OR(tbal[[#This Row],[X]]=3,tbal[[#This Row],[X]]=5)),tbal[[#This Row],[DEUDOR]],0)</f>
        <v>0</v>
      </c>
      <c r="L1462" s="18">
        <f>IF((OR(tbal[[#This Row],[X]]=3,tbal[[#This Row],[X]]=4)),tbal[[#This Row],[ACREEDOR]],0)</f>
        <v>0</v>
      </c>
      <c r="M1462" s="16">
        <f>IF((OR(tbal[[#This Row],[X]]=0,tbal[[#This Row],[X]]=6)),tbal[[#This Row],[DEUDOR]],0)</f>
        <v>0</v>
      </c>
      <c r="N1462" s="18">
        <f>IF((OR(tbal[[#This Row],[X]]=0,tbal[[#This Row],[X]]=5)),tbal[[#This Row],[ACREEDOR]],0)</f>
        <v>0</v>
      </c>
    </row>
    <row r="1463" spans="1:14" hidden="1" x14ac:dyDescent="0.3">
      <c r="A1463" s="14">
        <f>+'PLAN DE CUENTAS'!A1463</f>
        <v>0</v>
      </c>
      <c r="B1463" s="13">
        <f>+'PLAN DE CUENTAS'!B1463</f>
        <v>0</v>
      </c>
      <c r="C1463" s="13">
        <f>+'PLAN DE CUENTAS'!C1463</f>
        <v>0</v>
      </c>
      <c r="D1463" t="str">
        <f>IF(tbal[[#This Row],[DEBE]]+tbal[[#This Row],[HABER]]=0,"","X")</f>
        <v/>
      </c>
      <c r="E1463" s="16">
        <f>SUMIF(tdiario[CUENTA],tbal[[#This Row],[CUENTA]],tdiario[DEBE])</f>
        <v>0</v>
      </c>
      <c r="F1463" s="17">
        <f>SUMIF(tdiario[CUENTA],tbal[[#This Row],[CUENTA]],tdiario[HABER])</f>
        <v>0</v>
      </c>
      <c r="G1463" s="16">
        <f>IF(tbal[[#This Row],[DEBE]]-tbal[[#This Row],[HABER]]&gt;0,tbal[[#This Row],[DEBE]]-tbal[[#This Row],[HABER]],0)</f>
        <v>0</v>
      </c>
      <c r="H1463" s="18">
        <f>IF(tbal[[#This Row],[HABER]]-tbal[[#This Row],[DEBE]]&gt;0,tbal[[#This Row],[HABER]]-tbal[[#This Row],[DEBE]],0)</f>
        <v>0</v>
      </c>
      <c r="I1463" s="16">
        <f>IF((OR(tbal[[#This Row],[X]]=1,tbal[[#This Row],[X]]=2)),tbal[[#This Row],[DEUDOR]],0)</f>
        <v>0</v>
      </c>
      <c r="J1463" s="18">
        <f>IF((OR(tbal[[#This Row],[X]]=2,tbal[[#This Row],[X]]=3)),tbal[[#This Row],[ACREEDOR]],0)</f>
        <v>0</v>
      </c>
      <c r="K1463" s="16">
        <f>IF((OR(tbal[[#This Row],[X]]=3,tbal[[#This Row],[X]]=5)),tbal[[#This Row],[DEUDOR]],0)</f>
        <v>0</v>
      </c>
      <c r="L1463" s="18">
        <f>IF((OR(tbal[[#This Row],[X]]=3,tbal[[#This Row],[X]]=4)),tbal[[#This Row],[ACREEDOR]],0)</f>
        <v>0</v>
      </c>
      <c r="M1463" s="16">
        <f>IF((OR(tbal[[#This Row],[X]]=0,tbal[[#This Row],[X]]=6)),tbal[[#This Row],[DEUDOR]],0)</f>
        <v>0</v>
      </c>
      <c r="N1463" s="18">
        <f>IF((OR(tbal[[#This Row],[X]]=0,tbal[[#This Row],[X]]=5)),tbal[[#This Row],[ACREEDOR]],0)</f>
        <v>0</v>
      </c>
    </row>
    <row r="1464" spans="1:14" hidden="1" x14ac:dyDescent="0.3">
      <c r="A1464" s="14">
        <f>+'PLAN DE CUENTAS'!A1464</f>
        <v>0</v>
      </c>
      <c r="B1464" s="13">
        <f>+'PLAN DE CUENTAS'!B1464</f>
        <v>0</v>
      </c>
      <c r="C1464" s="13">
        <f>+'PLAN DE CUENTAS'!C1464</f>
        <v>0</v>
      </c>
      <c r="D1464" t="str">
        <f>IF(tbal[[#This Row],[DEBE]]+tbal[[#This Row],[HABER]]=0,"","X")</f>
        <v/>
      </c>
      <c r="E1464" s="16">
        <f>SUMIF(tdiario[CUENTA],tbal[[#This Row],[CUENTA]],tdiario[DEBE])</f>
        <v>0</v>
      </c>
      <c r="F1464" s="17">
        <f>SUMIF(tdiario[CUENTA],tbal[[#This Row],[CUENTA]],tdiario[HABER])</f>
        <v>0</v>
      </c>
      <c r="G1464" s="16">
        <f>IF(tbal[[#This Row],[DEBE]]-tbal[[#This Row],[HABER]]&gt;0,tbal[[#This Row],[DEBE]]-tbal[[#This Row],[HABER]],0)</f>
        <v>0</v>
      </c>
      <c r="H1464" s="18">
        <f>IF(tbal[[#This Row],[HABER]]-tbal[[#This Row],[DEBE]]&gt;0,tbal[[#This Row],[HABER]]-tbal[[#This Row],[DEBE]],0)</f>
        <v>0</v>
      </c>
      <c r="I1464" s="16">
        <f>IF((OR(tbal[[#This Row],[X]]=1,tbal[[#This Row],[X]]=2)),tbal[[#This Row],[DEUDOR]],0)</f>
        <v>0</v>
      </c>
      <c r="J1464" s="18">
        <f>IF((OR(tbal[[#This Row],[X]]=2,tbal[[#This Row],[X]]=3)),tbal[[#This Row],[ACREEDOR]],0)</f>
        <v>0</v>
      </c>
      <c r="K1464" s="16">
        <f>IF((OR(tbal[[#This Row],[X]]=3,tbal[[#This Row],[X]]=5)),tbal[[#This Row],[DEUDOR]],0)</f>
        <v>0</v>
      </c>
      <c r="L1464" s="18">
        <f>IF((OR(tbal[[#This Row],[X]]=3,tbal[[#This Row],[X]]=4)),tbal[[#This Row],[ACREEDOR]],0)</f>
        <v>0</v>
      </c>
      <c r="M1464" s="16">
        <f>IF((OR(tbal[[#This Row],[X]]=0,tbal[[#This Row],[X]]=6)),tbal[[#This Row],[DEUDOR]],0)</f>
        <v>0</v>
      </c>
      <c r="N1464" s="18">
        <f>IF((OR(tbal[[#This Row],[X]]=0,tbal[[#This Row],[X]]=5)),tbal[[#This Row],[ACREEDOR]],0)</f>
        <v>0</v>
      </c>
    </row>
    <row r="1465" spans="1:14" hidden="1" x14ac:dyDescent="0.3">
      <c r="A1465" s="14">
        <f>+'PLAN DE CUENTAS'!A1465</f>
        <v>0</v>
      </c>
      <c r="B1465" s="13">
        <f>+'PLAN DE CUENTAS'!B1465</f>
        <v>0</v>
      </c>
      <c r="C1465" s="13">
        <f>+'PLAN DE CUENTAS'!C1465</f>
        <v>0</v>
      </c>
      <c r="D1465" t="str">
        <f>IF(tbal[[#This Row],[DEBE]]+tbal[[#This Row],[HABER]]=0,"","X")</f>
        <v/>
      </c>
      <c r="E1465" s="16">
        <f>SUMIF(tdiario[CUENTA],tbal[[#This Row],[CUENTA]],tdiario[DEBE])</f>
        <v>0</v>
      </c>
      <c r="F1465" s="17">
        <f>SUMIF(tdiario[CUENTA],tbal[[#This Row],[CUENTA]],tdiario[HABER])</f>
        <v>0</v>
      </c>
      <c r="G1465" s="16">
        <f>IF(tbal[[#This Row],[DEBE]]-tbal[[#This Row],[HABER]]&gt;0,tbal[[#This Row],[DEBE]]-tbal[[#This Row],[HABER]],0)</f>
        <v>0</v>
      </c>
      <c r="H1465" s="18">
        <f>IF(tbal[[#This Row],[HABER]]-tbal[[#This Row],[DEBE]]&gt;0,tbal[[#This Row],[HABER]]-tbal[[#This Row],[DEBE]],0)</f>
        <v>0</v>
      </c>
      <c r="I1465" s="16">
        <f>IF((OR(tbal[[#This Row],[X]]=1,tbal[[#This Row],[X]]=2)),tbal[[#This Row],[DEUDOR]],0)</f>
        <v>0</v>
      </c>
      <c r="J1465" s="18">
        <f>IF((OR(tbal[[#This Row],[X]]=2,tbal[[#This Row],[X]]=3)),tbal[[#This Row],[ACREEDOR]],0)</f>
        <v>0</v>
      </c>
      <c r="K1465" s="16">
        <f>IF((OR(tbal[[#This Row],[X]]=3,tbal[[#This Row],[X]]=5)),tbal[[#This Row],[DEUDOR]],0)</f>
        <v>0</v>
      </c>
      <c r="L1465" s="18">
        <f>IF((OR(tbal[[#This Row],[X]]=3,tbal[[#This Row],[X]]=4)),tbal[[#This Row],[ACREEDOR]],0)</f>
        <v>0</v>
      </c>
      <c r="M1465" s="16">
        <f>IF((OR(tbal[[#This Row],[X]]=0,tbal[[#This Row],[X]]=6)),tbal[[#This Row],[DEUDOR]],0)</f>
        <v>0</v>
      </c>
      <c r="N1465" s="18">
        <f>IF((OR(tbal[[#This Row],[X]]=0,tbal[[#This Row],[X]]=5)),tbal[[#This Row],[ACREEDOR]],0)</f>
        <v>0</v>
      </c>
    </row>
    <row r="1466" spans="1:14" hidden="1" x14ac:dyDescent="0.3">
      <c r="A1466" s="14">
        <f>+'PLAN DE CUENTAS'!A1466</f>
        <v>0</v>
      </c>
      <c r="B1466" s="13">
        <f>+'PLAN DE CUENTAS'!B1466</f>
        <v>0</v>
      </c>
      <c r="C1466" s="13">
        <f>+'PLAN DE CUENTAS'!C1466</f>
        <v>0</v>
      </c>
      <c r="D1466" t="str">
        <f>IF(tbal[[#This Row],[DEBE]]+tbal[[#This Row],[HABER]]=0,"","X")</f>
        <v/>
      </c>
      <c r="E1466" s="16">
        <f>SUMIF(tdiario[CUENTA],tbal[[#This Row],[CUENTA]],tdiario[DEBE])</f>
        <v>0</v>
      </c>
      <c r="F1466" s="17">
        <f>SUMIF(tdiario[CUENTA],tbal[[#This Row],[CUENTA]],tdiario[HABER])</f>
        <v>0</v>
      </c>
      <c r="G1466" s="16">
        <f>IF(tbal[[#This Row],[DEBE]]-tbal[[#This Row],[HABER]]&gt;0,tbal[[#This Row],[DEBE]]-tbal[[#This Row],[HABER]],0)</f>
        <v>0</v>
      </c>
      <c r="H1466" s="18">
        <f>IF(tbal[[#This Row],[HABER]]-tbal[[#This Row],[DEBE]]&gt;0,tbal[[#This Row],[HABER]]-tbal[[#This Row],[DEBE]],0)</f>
        <v>0</v>
      </c>
      <c r="I1466" s="16">
        <f>IF((OR(tbal[[#This Row],[X]]=1,tbal[[#This Row],[X]]=2)),tbal[[#This Row],[DEUDOR]],0)</f>
        <v>0</v>
      </c>
      <c r="J1466" s="18">
        <f>IF((OR(tbal[[#This Row],[X]]=2,tbal[[#This Row],[X]]=3)),tbal[[#This Row],[ACREEDOR]],0)</f>
        <v>0</v>
      </c>
      <c r="K1466" s="16">
        <f>IF((OR(tbal[[#This Row],[X]]=3,tbal[[#This Row],[X]]=5)),tbal[[#This Row],[DEUDOR]],0)</f>
        <v>0</v>
      </c>
      <c r="L1466" s="18">
        <f>IF((OR(tbal[[#This Row],[X]]=3,tbal[[#This Row],[X]]=4)),tbal[[#This Row],[ACREEDOR]],0)</f>
        <v>0</v>
      </c>
      <c r="M1466" s="16">
        <f>IF((OR(tbal[[#This Row],[X]]=0,tbal[[#This Row],[X]]=6)),tbal[[#This Row],[DEUDOR]],0)</f>
        <v>0</v>
      </c>
      <c r="N1466" s="18">
        <f>IF((OR(tbal[[#This Row],[X]]=0,tbal[[#This Row],[X]]=5)),tbal[[#This Row],[ACREEDOR]],0)</f>
        <v>0</v>
      </c>
    </row>
    <row r="1467" spans="1:14" hidden="1" x14ac:dyDescent="0.3">
      <c r="A1467" s="14">
        <f>+'PLAN DE CUENTAS'!A1467</f>
        <v>0</v>
      </c>
      <c r="B1467" s="13">
        <f>+'PLAN DE CUENTAS'!B1467</f>
        <v>0</v>
      </c>
      <c r="C1467" s="13">
        <f>+'PLAN DE CUENTAS'!C1467</f>
        <v>0</v>
      </c>
      <c r="D1467" t="str">
        <f>IF(tbal[[#This Row],[DEBE]]+tbal[[#This Row],[HABER]]=0,"","X")</f>
        <v/>
      </c>
      <c r="E1467" s="16">
        <f>SUMIF(tdiario[CUENTA],tbal[[#This Row],[CUENTA]],tdiario[DEBE])</f>
        <v>0</v>
      </c>
      <c r="F1467" s="17">
        <f>SUMIF(tdiario[CUENTA],tbal[[#This Row],[CUENTA]],tdiario[HABER])</f>
        <v>0</v>
      </c>
      <c r="G1467" s="16">
        <f>IF(tbal[[#This Row],[DEBE]]-tbal[[#This Row],[HABER]]&gt;0,tbal[[#This Row],[DEBE]]-tbal[[#This Row],[HABER]],0)</f>
        <v>0</v>
      </c>
      <c r="H1467" s="18">
        <f>IF(tbal[[#This Row],[HABER]]-tbal[[#This Row],[DEBE]]&gt;0,tbal[[#This Row],[HABER]]-tbal[[#This Row],[DEBE]],0)</f>
        <v>0</v>
      </c>
      <c r="I1467" s="16">
        <f>IF((OR(tbal[[#This Row],[X]]=1,tbal[[#This Row],[X]]=2)),tbal[[#This Row],[DEUDOR]],0)</f>
        <v>0</v>
      </c>
      <c r="J1467" s="18">
        <f>IF((OR(tbal[[#This Row],[X]]=2,tbal[[#This Row],[X]]=3)),tbal[[#This Row],[ACREEDOR]],0)</f>
        <v>0</v>
      </c>
      <c r="K1467" s="16">
        <f>IF((OR(tbal[[#This Row],[X]]=3,tbal[[#This Row],[X]]=5)),tbal[[#This Row],[DEUDOR]],0)</f>
        <v>0</v>
      </c>
      <c r="L1467" s="18">
        <f>IF((OR(tbal[[#This Row],[X]]=3,tbal[[#This Row],[X]]=4)),tbal[[#This Row],[ACREEDOR]],0)</f>
        <v>0</v>
      </c>
      <c r="M1467" s="16">
        <f>IF((OR(tbal[[#This Row],[X]]=0,tbal[[#This Row],[X]]=6)),tbal[[#This Row],[DEUDOR]],0)</f>
        <v>0</v>
      </c>
      <c r="N1467" s="18">
        <f>IF((OR(tbal[[#This Row],[X]]=0,tbal[[#This Row],[X]]=5)),tbal[[#This Row],[ACREEDOR]],0)</f>
        <v>0</v>
      </c>
    </row>
    <row r="1468" spans="1:14" hidden="1" x14ac:dyDescent="0.3">
      <c r="A1468" s="14">
        <f>+'PLAN DE CUENTAS'!A1468</f>
        <v>0</v>
      </c>
      <c r="B1468" s="13">
        <f>+'PLAN DE CUENTAS'!B1468</f>
        <v>0</v>
      </c>
      <c r="C1468" s="13">
        <f>+'PLAN DE CUENTAS'!C1468</f>
        <v>0</v>
      </c>
      <c r="D1468" t="str">
        <f>IF(tbal[[#This Row],[DEBE]]+tbal[[#This Row],[HABER]]=0,"","X")</f>
        <v/>
      </c>
      <c r="E1468" s="16">
        <f>SUMIF(tdiario[CUENTA],tbal[[#This Row],[CUENTA]],tdiario[DEBE])</f>
        <v>0</v>
      </c>
      <c r="F1468" s="17">
        <f>SUMIF(tdiario[CUENTA],tbal[[#This Row],[CUENTA]],tdiario[HABER])</f>
        <v>0</v>
      </c>
      <c r="G1468" s="16">
        <f>IF(tbal[[#This Row],[DEBE]]-tbal[[#This Row],[HABER]]&gt;0,tbal[[#This Row],[DEBE]]-tbal[[#This Row],[HABER]],0)</f>
        <v>0</v>
      </c>
      <c r="H1468" s="18">
        <f>IF(tbal[[#This Row],[HABER]]-tbal[[#This Row],[DEBE]]&gt;0,tbal[[#This Row],[HABER]]-tbal[[#This Row],[DEBE]],0)</f>
        <v>0</v>
      </c>
      <c r="I1468" s="16">
        <f>IF((OR(tbal[[#This Row],[X]]=1,tbal[[#This Row],[X]]=2)),tbal[[#This Row],[DEUDOR]],0)</f>
        <v>0</v>
      </c>
      <c r="J1468" s="18">
        <f>IF((OR(tbal[[#This Row],[X]]=2,tbal[[#This Row],[X]]=3)),tbal[[#This Row],[ACREEDOR]],0)</f>
        <v>0</v>
      </c>
      <c r="K1468" s="16">
        <f>IF((OR(tbal[[#This Row],[X]]=3,tbal[[#This Row],[X]]=5)),tbal[[#This Row],[DEUDOR]],0)</f>
        <v>0</v>
      </c>
      <c r="L1468" s="18">
        <f>IF((OR(tbal[[#This Row],[X]]=3,tbal[[#This Row],[X]]=4)),tbal[[#This Row],[ACREEDOR]],0)</f>
        <v>0</v>
      </c>
      <c r="M1468" s="16">
        <f>IF((OR(tbal[[#This Row],[X]]=0,tbal[[#This Row],[X]]=6)),tbal[[#This Row],[DEUDOR]],0)</f>
        <v>0</v>
      </c>
      <c r="N1468" s="18">
        <f>IF((OR(tbal[[#This Row],[X]]=0,tbal[[#This Row],[X]]=5)),tbal[[#This Row],[ACREEDOR]],0)</f>
        <v>0</v>
      </c>
    </row>
    <row r="1469" spans="1:14" hidden="1" x14ac:dyDescent="0.3">
      <c r="A1469" s="14">
        <f>+'PLAN DE CUENTAS'!A1469</f>
        <v>0</v>
      </c>
      <c r="B1469" s="13">
        <f>+'PLAN DE CUENTAS'!B1469</f>
        <v>0</v>
      </c>
      <c r="C1469" s="13">
        <f>+'PLAN DE CUENTAS'!C1469</f>
        <v>0</v>
      </c>
      <c r="D1469" t="str">
        <f>IF(tbal[[#This Row],[DEBE]]+tbal[[#This Row],[HABER]]=0,"","X")</f>
        <v/>
      </c>
      <c r="E1469" s="16">
        <f>SUMIF(tdiario[CUENTA],tbal[[#This Row],[CUENTA]],tdiario[DEBE])</f>
        <v>0</v>
      </c>
      <c r="F1469" s="17">
        <f>SUMIF(tdiario[CUENTA],tbal[[#This Row],[CUENTA]],tdiario[HABER])</f>
        <v>0</v>
      </c>
      <c r="G1469" s="16">
        <f>IF(tbal[[#This Row],[DEBE]]-tbal[[#This Row],[HABER]]&gt;0,tbal[[#This Row],[DEBE]]-tbal[[#This Row],[HABER]],0)</f>
        <v>0</v>
      </c>
      <c r="H1469" s="18">
        <f>IF(tbal[[#This Row],[HABER]]-tbal[[#This Row],[DEBE]]&gt;0,tbal[[#This Row],[HABER]]-tbal[[#This Row],[DEBE]],0)</f>
        <v>0</v>
      </c>
      <c r="I1469" s="16">
        <f>IF((OR(tbal[[#This Row],[X]]=1,tbal[[#This Row],[X]]=2)),tbal[[#This Row],[DEUDOR]],0)</f>
        <v>0</v>
      </c>
      <c r="J1469" s="18">
        <f>IF((OR(tbal[[#This Row],[X]]=2,tbal[[#This Row],[X]]=3)),tbal[[#This Row],[ACREEDOR]],0)</f>
        <v>0</v>
      </c>
      <c r="K1469" s="16">
        <f>IF((OR(tbal[[#This Row],[X]]=3,tbal[[#This Row],[X]]=5)),tbal[[#This Row],[DEUDOR]],0)</f>
        <v>0</v>
      </c>
      <c r="L1469" s="18">
        <f>IF((OR(tbal[[#This Row],[X]]=3,tbal[[#This Row],[X]]=4)),tbal[[#This Row],[ACREEDOR]],0)</f>
        <v>0</v>
      </c>
      <c r="M1469" s="16">
        <f>IF((OR(tbal[[#This Row],[X]]=0,tbal[[#This Row],[X]]=6)),tbal[[#This Row],[DEUDOR]],0)</f>
        <v>0</v>
      </c>
      <c r="N1469" s="18">
        <f>IF((OR(tbal[[#This Row],[X]]=0,tbal[[#This Row],[X]]=5)),tbal[[#This Row],[ACREEDOR]],0)</f>
        <v>0</v>
      </c>
    </row>
    <row r="1470" spans="1:14" hidden="1" x14ac:dyDescent="0.3">
      <c r="A1470" s="14">
        <f>+'PLAN DE CUENTAS'!A1470</f>
        <v>0</v>
      </c>
      <c r="B1470" s="13">
        <f>+'PLAN DE CUENTAS'!B1470</f>
        <v>0</v>
      </c>
      <c r="C1470" s="13">
        <f>+'PLAN DE CUENTAS'!C1470</f>
        <v>0</v>
      </c>
      <c r="D1470" t="str">
        <f>IF(tbal[[#This Row],[DEBE]]+tbal[[#This Row],[HABER]]=0,"","X")</f>
        <v/>
      </c>
      <c r="E1470" s="16">
        <f>SUMIF(tdiario[CUENTA],tbal[[#This Row],[CUENTA]],tdiario[DEBE])</f>
        <v>0</v>
      </c>
      <c r="F1470" s="17">
        <f>SUMIF(tdiario[CUENTA],tbal[[#This Row],[CUENTA]],tdiario[HABER])</f>
        <v>0</v>
      </c>
      <c r="G1470" s="16">
        <f>IF(tbal[[#This Row],[DEBE]]-tbal[[#This Row],[HABER]]&gt;0,tbal[[#This Row],[DEBE]]-tbal[[#This Row],[HABER]],0)</f>
        <v>0</v>
      </c>
      <c r="H1470" s="18">
        <f>IF(tbal[[#This Row],[HABER]]-tbal[[#This Row],[DEBE]]&gt;0,tbal[[#This Row],[HABER]]-tbal[[#This Row],[DEBE]],0)</f>
        <v>0</v>
      </c>
      <c r="I1470" s="16">
        <f>IF((OR(tbal[[#This Row],[X]]=1,tbal[[#This Row],[X]]=2)),tbal[[#This Row],[DEUDOR]],0)</f>
        <v>0</v>
      </c>
      <c r="J1470" s="18">
        <f>IF((OR(tbal[[#This Row],[X]]=2,tbal[[#This Row],[X]]=3)),tbal[[#This Row],[ACREEDOR]],0)</f>
        <v>0</v>
      </c>
      <c r="K1470" s="16">
        <f>IF((OR(tbal[[#This Row],[X]]=3,tbal[[#This Row],[X]]=5)),tbal[[#This Row],[DEUDOR]],0)</f>
        <v>0</v>
      </c>
      <c r="L1470" s="18">
        <f>IF((OR(tbal[[#This Row],[X]]=3,tbal[[#This Row],[X]]=4)),tbal[[#This Row],[ACREEDOR]],0)</f>
        <v>0</v>
      </c>
      <c r="M1470" s="16">
        <f>IF((OR(tbal[[#This Row],[X]]=0,tbal[[#This Row],[X]]=6)),tbal[[#This Row],[DEUDOR]],0)</f>
        <v>0</v>
      </c>
      <c r="N1470" s="18">
        <f>IF((OR(tbal[[#This Row],[X]]=0,tbal[[#This Row],[X]]=5)),tbal[[#This Row],[ACREEDOR]],0)</f>
        <v>0</v>
      </c>
    </row>
    <row r="1471" spans="1:14" hidden="1" x14ac:dyDescent="0.3">
      <c r="A1471" s="14">
        <f>+'PLAN DE CUENTAS'!A1471</f>
        <v>0</v>
      </c>
      <c r="B1471" s="13">
        <f>+'PLAN DE CUENTAS'!B1471</f>
        <v>0</v>
      </c>
      <c r="C1471" s="13">
        <f>+'PLAN DE CUENTAS'!C1471</f>
        <v>0</v>
      </c>
      <c r="D1471" t="str">
        <f>IF(tbal[[#This Row],[DEBE]]+tbal[[#This Row],[HABER]]=0,"","X")</f>
        <v/>
      </c>
      <c r="E1471" s="16">
        <f>SUMIF(tdiario[CUENTA],tbal[[#This Row],[CUENTA]],tdiario[DEBE])</f>
        <v>0</v>
      </c>
      <c r="F1471" s="17">
        <f>SUMIF(tdiario[CUENTA],tbal[[#This Row],[CUENTA]],tdiario[HABER])</f>
        <v>0</v>
      </c>
      <c r="G1471" s="16">
        <f>IF(tbal[[#This Row],[DEBE]]-tbal[[#This Row],[HABER]]&gt;0,tbal[[#This Row],[DEBE]]-tbal[[#This Row],[HABER]],0)</f>
        <v>0</v>
      </c>
      <c r="H1471" s="18">
        <f>IF(tbal[[#This Row],[HABER]]-tbal[[#This Row],[DEBE]]&gt;0,tbal[[#This Row],[HABER]]-tbal[[#This Row],[DEBE]],0)</f>
        <v>0</v>
      </c>
      <c r="I1471" s="16">
        <f>IF((OR(tbal[[#This Row],[X]]=1,tbal[[#This Row],[X]]=2)),tbal[[#This Row],[DEUDOR]],0)</f>
        <v>0</v>
      </c>
      <c r="J1471" s="18">
        <f>IF((OR(tbal[[#This Row],[X]]=2,tbal[[#This Row],[X]]=3)),tbal[[#This Row],[ACREEDOR]],0)</f>
        <v>0</v>
      </c>
      <c r="K1471" s="16">
        <f>IF((OR(tbal[[#This Row],[X]]=3,tbal[[#This Row],[X]]=5)),tbal[[#This Row],[DEUDOR]],0)</f>
        <v>0</v>
      </c>
      <c r="L1471" s="18">
        <f>IF((OR(tbal[[#This Row],[X]]=3,tbal[[#This Row],[X]]=4)),tbal[[#This Row],[ACREEDOR]],0)</f>
        <v>0</v>
      </c>
      <c r="M1471" s="16">
        <f>IF((OR(tbal[[#This Row],[X]]=0,tbal[[#This Row],[X]]=6)),tbal[[#This Row],[DEUDOR]],0)</f>
        <v>0</v>
      </c>
      <c r="N1471" s="18">
        <f>IF((OR(tbal[[#This Row],[X]]=0,tbal[[#This Row],[X]]=5)),tbal[[#This Row],[ACREEDOR]],0)</f>
        <v>0</v>
      </c>
    </row>
    <row r="1472" spans="1:14" hidden="1" x14ac:dyDescent="0.3">
      <c r="A1472" s="14">
        <f>+'PLAN DE CUENTAS'!A1472</f>
        <v>0</v>
      </c>
      <c r="B1472" s="13">
        <f>+'PLAN DE CUENTAS'!B1472</f>
        <v>0</v>
      </c>
      <c r="C1472" s="13">
        <f>+'PLAN DE CUENTAS'!C1472</f>
        <v>0</v>
      </c>
      <c r="D1472" t="str">
        <f>IF(tbal[[#This Row],[DEBE]]+tbal[[#This Row],[HABER]]=0,"","X")</f>
        <v/>
      </c>
      <c r="E1472" s="16">
        <f>SUMIF(tdiario[CUENTA],tbal[[#This Row],[CUENTA]],tdiario[DEBE])</f>
        <v>0</v>
      </c>
      <c r="F1472" s="17">
        <f>SUMIF(tdiario[CUENTA],tbal[[#This Row],[CUENTA]],tdiario[HABER])</f>
        <v>0</v>
      </c>
      <c r="G1472" s="16">
        <f>IF(tbal[[#This Row],[DEBE]]-tbal[[#This Row],[HABER]]&gt;0,tbal[[#This Row],[DEBE]]-tbal[[#This Row],[HABER]],0)</f>
        <v>0</v>
      </c>
      <c r="H1472" s="18">
        <f>IF(tbal[[#This Row],[HABER]]-tbal[[#This Row],[DEBE]]&gt;0,tbal[[#This Row],[HABER]]-tbal[[#This Row],[DEBE]],0)</f>
        <v>0</v>
      </c>
      <c r="I1472" s="16">
        <f>IF((OR(tbal[[#This Row],[X]]=1,tbal[[#This Row],[X]]=2)),tbal[[#This Row],[DEUDOR]],0)</f>
        <v>0</v>
      </c>
      <c r="J1472" s="18">
        <f>IF((OR(tbal[[#This Row],[X]]=2,tbal[[#This Row],[X]]=3)),tbal[[#This Row],[ACREEDOR]],0)</f>
        <v>0</v>
      </c>
      <c r="K1472" s="16">
        <f>IF((OR(tbal[[#This Row],[X]]=3,tbal[[#This Row],[X]]=5)),tbal[[#This Row],[DEUDOR]],0)</f>
        <v>0</v>
      </c>
      <c r="L1472" s="18">
        <f>IF((OR(tbal[[#This Row],[X]]=3,tbal[[#This Row],[X]]=4)),tbal[[#This Row],[ACREEDOR]],0)</f>
        <v>0</v>
      </c>
      <c r="M1472" s="16">
        <f>IF((OR(tbal[[#This Row],[X]]=0,tbal[[#This Row],[X]]=6)),tbal[[#This Row],[DEUDOR]],0)</f>
        <v>0</v>
      </c>
      <c r="N1472" s="18">
        <f>IF((OR(tbal[[#This Row],[X]]=0,tbal[[#This Row],[X]]=5)),tbal[[#This Row],[ACREEDOR]],0)</f>
        <v>0</v>
      </c>
    </row>
    <row r="1473" spans="1:14" hidden="1" x14ac:dyDescent="0.3">
      <c r="A1473" s="14">
        <f>+'PLAN DE CUENTAS'!A1473</f>
        <v>0</v>
      </c>
      <c r="B1473" s="13">
        <f>+'PLAN DE CUENTAS'!B1473</f>
        <v>0</v>
      </c>
      <c r="C1473" s="13">
        <f>+'PLAN DE CUENTAS'!C1473</f>
        <v>0</v>
      </c>
      <c r="D1473" t="str">
        <f>IF(tbal[[#This Row],[DEBE]]+tbal[[#This Row],[HABER]]=0,"","X")</f>
        <v/>
      </c>
      <c r="E1473" s="16">
        <f>SUMIF(tdiario[CUENTA],tbal[[#This Row],[CUENTA]],tdiario[DEBE])</f>
        <v>0</v>
      </c>
      <c r="F1473" s="17">
        <f>SUMIF(tdiario[CUENTA],tbal[[#This Row],[CUENTA]],tdiario[HABER])</f>
        <v>0</v>
      </c>
      <c r="G1473" s="16">
        <f>IF(tbal[[#This Row],[DEBE]]-tbal[[#This Row],[HABER]]&gt;0,tbal[[#This Row],[DEBE]]-tbal[[#This Row],[HABER]],0)</f>
        <v>0</v>
      </c>
      <c r="H1473" s="18">
        <f>IF(tbal[[#This Row],[HABER]]-tbal[[#This Row],[DEBE]]&gt;0,tbal[[#This Row],[HABER]]-tbal[[#This Row],[DEBE]],0)</f>
        <v>0</v>
      </c>
      <c r="I1473" s="16">
        <f>IF((OR(tbal[[#This Row],[X]]=1,tbal[[#This Row],[X]]=2)),tbal[[#This Row],[DEUDOR]],0)</f>
        <v>0</v>
      </c>
      <c r="J1473" s="18">
        <f>IF((OR(tbal[[#This Row],[X]]=2,tbal[[#This Row],[X]]=3)),tbal[[#This Row],[ACREEDOR]],0)</f>
        <v>0</v>
      </c>
      <c r="K1473" s="16">
        <f>IF((OR(tbal[[#This Row],[X]]=3,tbal[[#This Row],[X]]=5)),tbal[[#This Row],[DEUDOR]],0)</f>
        <v>0</v>
      </c>
      <c r="L1473" s="18">
        <f>IF((OR(tbal[[#This Row],[X]]=3,tbal[[#This Row],[X]]=4)),tbal[[#This Row],[ACREEDOR]],0)</f>
        <v>0</v>
      </c>
      <c r="M1473" s="16">
        <f>IF((OR(tbal[[#This Row],[X]]=0,tbal[[#This Row],[X]]=6)),tbal[[#This Row],[DEUDOR]],0)</f>
        <v>0</v>
      </c>
      <c r="N1473" s="18">
        <f>IF((OR(tbal[[#This Row],[X]]=0,tbal[[#This Row],[X]]=5)),tbal[[#This Row],[ACREEDOR]],0)</f>
        <v>0</v>
      </c>
    </row>
    <row r="1474" spans="1:14" hidden="1" x14ac:dyDescent="0.3">
      <c r="A1474" s="14">
        <f>+'PLAN DE CUENTAS'!A1474</f>
        <v>0</v>
      </c>
      <c r="B1474" s="13">
        <f>+'PLAN DE CUENTAS'!B1474</f>
        <v>0</v>
      </c>
      <c r="C1474" s="13">
        <f>+'PLAN DE CUENTAS'!C1474</f>
        <v>0</v>
      </c>
      <c r="D1474" t="str">
        <f>IF(tbal[[#This Row],[DEBE]]+tbal[[#This Row],[HABER]]=0,"","X")</f>
        <v/>
      </c>
      <c r="E1474" s="16">
        <f>SUMIF(tdiario[CUENTA],tbal[[#This Row],[CUENTA]],tdiario[DEBE])</f>
        <v>0</v>
      </c>
      <c r="F1474" s="17">
        <f>SUMIF(tdiario[CUENTA],tbal[[#This Row],[CUENTA]],tdiario[HABER])</f>
        <v>0</v>
      </c>
      <c r="G1474" s="16">
        <f>IF(tbal[[#This Row],[DEBE]]-tbal[[#This Row],[HABER]]&gt;0,tbal[[#This Row],[DEBE]]-tbal[[#This Row],[HABER]],0)</f>
        <v>0</v>
      </c>
      <c r="H1474" s="18">
        <f>IF(tbal[[#This Row],[HABER]]-tbal[[#This Row],[DEBE]]&gt;0,tbal[[#This Row],[HABER]]-tbal[[#This Row],[DEBE]],0)</f>
        <v>0</v>
      </c>
      <c r="I1474" s="16">
        <f>IF((OR(tbal[[#This Row],[X]]=1,tbal[[#This Row],[X]]=2)),tbal[[#This Row],[DEUDOR]],0)</f>
        <v>0</v>
      </c>
      <c r="J1474" s="18">
        <f>IF((OR(tbal[[#This Row],[X]]=2,tbal[[#This Row],[X]]=3)),tbal[[#This Row],[ACREEDOR]],0)</f>
        <v>0</v>
      </c>
      <c r="K1474" s="16">
        <f>IF((OR(tbal[[#This Row],[X]]=3,tbal[[#This Row],[X]]=5)),tbal[[#This Row],[DEUDOR]],0)</f>
        <v>0</v>
      </c>
      <c r="L1474" s="18">
        <f>IF((OR(tbal[[#This Row],[X]]=3,tbal[[#This Row],[X]]=4)),tbal[[#This Row],[ACREEDOR]],0)</f>
        <v>0</v>
      </c>
      <c r="M1474" s="16">
        <f>IF((OR(tbal[[#This Row],[X]]=0,tbal[[#This Row],[X]]=6)),tbal[[#This Row],[DEUDOR]],0)</f>
        <v>0</v>
      </c>
      <c r="N1474" s="18">
        <f>IF((OR(tbal[[#This Row],[X]]=0,tbal[[#This Row],[X]]=5)),tbal[[#This Row],[ACREEDOR]],0)</f>
        <v>0</v>
      </c>
    </row>
    <row r="1475" spans="1:14" hidden="1" x14ac:dyDescent="0.3">
      <c r="A1475" s="14">
        <f>+'PLAN DE CUENTAS'!A1475</f>
        <v>0</v>
      </c>
      <c r="B1475" s="13">
        <f>+'PLAN DE CUENTAS'!B1475</f>
        <v>0</v>
      </c>
      <c r="C1475" s="13">
        <f>+'PLAN DE CUENTAS'!C1475</f>
        <v>0</v>
      </c>
      <c r="D1475" t="str">
        <f>IF(tbal[[#This Row],[DEBE]]+tbal[[#This Row],[HABER]]=0,"","X")</f>
        <v/>
      </c>
      <c r="E1475" s="16">
        <f>SUMIF(tdiario[CUENTA],tbal[[#This Row],[CUENTA]],tdiario[DEBE])</f>
        <v>0</v>
      </c>
      <c r="F1475" s="17">
        <f>SUMIF(tdiario[CUENTA],tbal[[#This Row],[CUENTA]],tdiario[HABER])</f>
        <v>0</v>
      </c>
      <c r="G1475" s="16">
        <f>IF(tbal[[#This Row],[DEBE]]-tbal[[#This Row],[HABER]]&gt;0,tbal[[#This Row],[DEBE]]-tbal[[#This Row],[HABER]],0)</f>
        <v>0</v>
      </c>
      <c r="H1475" s="18">
        <f>IF(tbal[[#This Row],[HABER]]-tbal[[#This Row],[DEBE]]&gt;0,tbal[[#This Row],[HABER]]-tbal[[#This Row],[DEBE]],0)</f>
        <v>0</v>
      </c>
      <c r="I1475" s="16">
        <f>IF((OR(tbal[[#This Row],[X]]=1,tbal[[#This Row],[X]]=2)),tbal[[#This Row],[DEUDOR]],0)</f>
        <v>0</v>
      </c>
      <c r="J1475" s="18">
        <f>IF((OR(tbal[[#This Row],[X]]=2,tbal[[#This Row],[X]]=3)),tbal[[#This Row],[ACREEDOR]],0)</f>
        <v>0</v>
      </c>
      <c r="K1475" s="16">
        <f>IF((OR(tbal[[#This Row],[X]]=3,tbal[[#This Row],[X]]=5)),tbal[[#This Row],[DEUDOR]],0)</f>
        <v>0</v>
      </c>
      <c r="L1475" s="18">
        <f>IF((OR(tbal[[#This Row],[X]]=3,tbal[[#This Row],[X]]=4)),tbal[[#This Row],[ACREEDOR]],0)</f>
        <v>0</v>
      </c>
      <c r="M1475" s="16">
        <f>IF((OR(tbal[[#This Row],[X]]=0,tbal[[#This Row],[X]]=6)),tbal[[#This Row],[DEUDOR]],0)</f>
        <v>0</v>
      </c>
      <c r="N1475" s="18">
        <f>IF((OR(tbal[[#This Row],[X]]=0,tbal[[#This Row],[X]]=5)),tbal[[#This Row],[ACREEDOR]],0)</f>
        <v>0</v>
      </c>
    </row>
    <row r="1476" spans="1:14" hidden="1" x14ac:dyDescent="0.3">
      <c r="A1476" s="14">
        <f>+'PLAN DE CUENTAS'!A1476</f>
        <v>0</v>
      </c>
      <c r="B1476" s="13">
        <f>+'PLAN DE CUENTAS'!B1476</f>
        <v>0</v>
      </c>
      <c r="C1476" s="13">
        <f>+'PLAN DE CUENTAS'!C1476</f>
        <v>0</v>
      </c>
      <c r="D1476" t="str">
        <f>IF(tbal[[#This Row],[DEBE]]+tbal[[#This Row],[HABER]]=0,"","X")</f>
        <v/>
      </c>
      <c r="E1476" s="16">
        <f>SUMIF(tdiario[CUENTA],tbal[[#This Row],[CUENTA]],tdiario[DEBE])</f>
        <v>0</v>
      </c>
      <c r="F1476" s="17">
        <f>SUMIF(tdiario[CUENTA],tbal[[#This Row],[CUENTA]],tdiario[HABER])</f>
        <v>0</v>
      </c>
      <c r="G1476" s="16">
        <f>IF(tbal[[#This Row],[DEBE]]-tbal[[#This Row],[HABER]]&gt;0,tbal[[#This Row],[DEBE]]-tbal[[#This Row],[HABER]],0)</f>
        <v>0</v>
      </c>
      <c r="H1476" s="18">
        <f>IF(tbal[[#This Row],[HABER]]-tbal[[#This Row],[DEBE]]&gt;0,tbal[[#This Row],[HABER]]-tbal[[#This Row],[DEBE]],0)</f>
        <v>0</v>
      </c>
      <c r="I1476" s="16">
        <f>IF((OR(tbal[[#This Row],[X]]=1,tbal[[#This Row],[X]]=2)),tbal[[#This Row],[DEUDOR]],0)</f>
        <v>0</v>
      </c>
      <c r="J1476" s="18">
        <f>IF((OR(tbal[[#This Row],[X]]=2,tbal[[#This Row],[X]]=3)),tbal[[#This Row],[ACREEDOR]],0)</f>
        <v>0</v>
      </c>
      <c r="K1476" s="16">
        <f>IF((OR(tbal[[#This Row],[X]]=3,tbal[[#This Row],[X]]=5)),tbal[[#This Row],[DEUDOR]],0)</f>
        <v>0</v>
      </c>
      <c r="L1476" s="18">
        <f>IF((OR(tbal[[#This Row],[X]]=3,tbal[[#This Row],[X]]=4)),tbal[[#This Row],[ACREEDOR]],0)</f>
        <v>0</v>
      </c>
      <c r="M1476" s="16">
        <f>IF((OR(tbal[[#This Row],[X]]=0,tbal[[#This Row],[X]]=6)),tbal[[#This Row],[DEUDOR]],0)</f>
        <v>0</v>
      </c>
      <c r="N1476" s="18">
        <f>IF((OR(tbal[[#This Row],[X]]=0,tbal[[#This Row],[X]]=5)),tbal[[#This Row],[ACREEDOR]],0)</f>
        <v>0</v>
      </c>
    </row>
    <row r="1477" spans="1:14" hidden="1" x14ac:dyDescent="0.3">
      <c r="A1477" s="14">
        <f>+'PLAN DE CUENTAS'!A1477</f>
        <v>0</v>
      </c>
      <c r="B1477" s="13">
        <f>+'PLAN DE CUENTAS'!B1477</f>
        <v>0</v>
      </c>
      <c r="C1477" s="13">
        <f>+'PLAN DE CUENTAS'!C1477</f>
        <v>0</v>
      </c>
      <c r="D1477" t="str">
        <f>IF(tbal[[#This Row],[DEBE]]+tbal[[#This Row],[HABER]]=0,"","X")</f>
        <v/>
      </c>
      <c r="E1477" s="16">
        <f>SUMIF(tdiario[CUENTA],tbal[[#This Row],[CUENTA]],tdiario[DEBE])</f>
        <v>0</v>
      </c>
      <c r="F1477" s="17">
        <f>SUMIF(tdiario[CUENTA],tbal[[#This Row],[CUENTA]],tdiario[HABER])</f>
        <v>0</v>
      </c>
      <c r="G1477" s="16">
        <f>IF(tbal[[#This Row],[DEBE]]-tbal[[#This Row],[HABER]]&gt;0,tbal[[#This Row],[DEBE]]-tbal[[#This Row],[HABER]],0)</f>
        <v>0</v>
      </c>
      <c r="H1477" s="18">
        <f>IF(tbal[[#This Row],[HABER]]-tbal[[#This Row],[DEBE]]&gt;0,tbal[[#This Row],[HABER]]-tbal[[#This Row],[DEBE]],0)</f>
        <v>0</v>
      </c>
      <c r="I1477" s="16">
        <f>IF((OR(tbal[[#This Row],[X]]=1,tbal[[#This Row],[X]]=2)),tbal[[#This Row],[DEUDOR]],0)</f>
        <v>0</v>
      </c>
      <c r="J1477" s="18">
        <f>IF((OR(tbal[[#This Row],[X]]=2,tbal[[#This Row],[X]]=3)),tbal[[#This Row],[ACREEDOR]],0)</f>
        <v>0</v>
      </c>
      <c r="K1477" s="16">
        <f>IF((OR(tbal[[#This Row],[X]]=3,tbal[[#This Row],[X]]=5)),tbal[[#This Row],[DEUDOR]],0)</f>
        <v>0</v>
      </c>
      <c r="L1477" s="18">
        <f>IF((OR(tbal[[#This Row],[X]]=3,tbal[[#This Row],[X]]=4)),tbal[[#This Row],[ACREEDOR]],0)</f>
        <v>0</v>
      </c>
      <c r="M1477" s="16">
        <f>IF((OR(tbal[[#This Row],[X]]=0,tbal[[#This Row],[X]]=6)),tbal[[#This Row],[DEUDOR]],0)</f>
        <v>0</v>
      </c>
      <c r="N1477" s="18">
        <f>IF((OR(tbal[[#This Row],[X]]=0,tbal[[#This Row],[X]]=5)),tbal[[#This Row],[ACREEDOR]],0)</f>
        <v>0</v>
      </c>
    </row>
    <row r="1478" spans="1:14" hidden="1" x14ac:dyDescent="0.3">
      <c r="A1478" s="14">
        <f>+'PLAN DE CUENTAS'!A1478</f>
        <v>0</v>
      </c>
      <c r="B1478" s="13">
        <f>+'PLAN DE CUENTAS'!B1478</f>
        <v>0</v>
      </c>
      <c r="C1478" s="13">
        <f>+'PLAN DE CUENTAS'!C1478</f>
        <v>0</v>
      </c>
      <c r="D1478" t="str">
        <f>IF(tbal[[#This Row],[DEBE]]+tbal[[#This Row],[HABER]]=0,"","X")</f>
        <v/>
      </c>
      <c r="E1478" s="16">
        <f>SUMIF(tdiario[CUENTA],tbal[[#This Row],[CUENTA]],tdiario[DEBE])</f>
        <v>0</v>
      </c>
      <c r="F1478" s="17">
        <f>SUMIF(tdiario[CUENTA],tbal[[#This Row],[CUENTA]],tdiario[HABER])</f>
        <v>0</v>
      </c>
      <c r="G1478" s="16">
        <f>IF(tbal[[#This Row],[DEBE]]-tbal[[#This Row],[HABER]]&gt;0,tbal[[#This Row],[DEBE]]-tbal[[#This Row],[HABER]],0)</f>
        <v>0</v>
      </c>
      <c r="H1478" s="18">
        <f>IF(tbal[[#This Row],[HABER]]-tbal[[#This Row],[DEBE]]&gt;0,tbal[[#This Row],[HABER]]-tbal[[#This Row],[DEBE]],0)</f>
        <v>0</v>
      </c>
      <c r="I1478" s="16">
        <f>IF((OR(tbal[[#This Row],[X]]=1,tbal[[#This Row],[X]]=2)),tbal[[#This Row],[DEUDOR]],0)</f>
        <v>0</v>
      </c>
      <c r="J1478" s="18">
        <f>IF((OR(tbal[[#This Row],[X]]=2,tbal[[#This Row],[X]]=3)),tbal[[#This Row],[ACREEDOR]],0)</f>
        <v>0</v>
      </c>
      <c r="K1478" s="16">
        <f>IF((OR(tbal[[#This Row],[X]]=3,tbal[[#This Row],[X]]=5)),tbal[[#This Row],[DEUDOR]],0)</f>
        <v>0</v>
      </c>
      <c r="L1478" s="18">
        <f>IF((OR(tbal[[#This Row],[X]]=3,tbal[[#This Row],[X]]=4)),tbal[[#This Row],[ACREEDOR]],0)</f>
        <v>0</v>
      </c>
      <c r="M1478" s="16">
        <f>IF((OR(tbal[[#This Row],[X]]=0,tbal[[#This Row],[X]]=6)),tbal[[#This Row],[DEUDOR]],0)</f>
        <v>0</v>
      </c>
      <c r="N1478" s="18">
        <f>IF((OR(tbal[[#This Row],[X]]=0,tbal[[#This Row],[X]]=5)),tbal[[#This Row],[ACREEDOR]],0)</f>
        <v>0</v>
      </c>
    </row>
    <row r="1479" spans="1:14" hidden="1" x14ac:dyDescent="0.3">
      <c r="A1479" s="14">
        <f>+'PLAN DE CUENTAS'!A1479</f>
        <v>0</v>
      </c>
      <c r="B1479" s="13">
        <f>+'PLAN DE CUENTAS'!B1479</f>
        <v>0</v>
      </c>
      <c r="C1479" s="13">
        <f>+'PLAN DE CUENTAS'!C1479</f>
        <v>0</v>
      </c>
      <c r="D1479" t="str">
        <f>IF(tbal[[#This Row],[DEBE]]+tbal[[#This Row],[HABER]]=0,"","X")</f>
        <v/>
      </c>
      <c r="E1479" s="16">
        <f>SUMIF(tdiario[CUENTA],tbal[[#This Row],[CUENTA]],tdiario[DEBE])</f>
        <v>0</v>
      </c>
      <c r="F1479" s="17">
        <f>SUMIF(tdiario[CUENTA],tbal[[#This Row],[CUENTA]],tdiario[HABER])</f>
        <v>0</v>
      </c>
      <c r="G1479" s="16">
        <f>IF(tbal[[#This Row],[DEBE]]-tbal[[#This Row],[HABER]]&gt;0,tbal[[#This Row],[DEBE]]-tbal[[#This Row],[HABER]],0)</f>
        <v>0</v>
      </c>
      <c r="H1479" s="18">
        <f>IF(tbal[[#This Row],[HABER]]-tbal[[#This Row],[DEBE]]&gt;0,tbal[[#This Row],[HABER]]-tbal[[#This Row],[DEBE]],0)</f>
        <v>0</v>
      </c>
      <c r="I1479" s="16">
        <f>IF((OR(tbal[[#This Row],[X]]=1,tbal[[#This Row],[X]]=2)),tbal[[#This Row],[DEUDOR]],0)</f>
        <v>0</v>
      </c>
      <c r="J1479" s="18">
        <f>IF((OR(tbal[[#This Row],[X]]=2,tbal[[#This Row],[X]]=3)),tbal[[#This Row],[ACREEDOR]],0)</f>
        <v>0</v>
      </c>
      <c r="K1479" s="16">
        <f>IF((OR(tbal[[#This Row],[X]]=3,tbal[[#This Row],[X]]=5)),tbal[[#This Row],[DEUDOR]],0)</f>
        <v>0</v>
      </c>
      <c r="L1479" s="18">
        <f>IF((OR(tbal[[#This Row],[X]]=3,tbal[[#This Row],[X]]=4)),tbal[[#This Row],[ACREEDOR]],0)</f>
        <v>0</v>
      </c>
      <c r="M1479" s="16">
        <f>IF((OR(tbal[[#This Row],[X]]=0,tbal[[#This Row],[X]]=6)),tbal[[#This Row],[DEUDOR]],0)</f>
        <v>0</v>
      </c>
      <c r="N1479" s="18">
        <f>IF((OR(tbal[[#This Row],[X]]=0,tbal[[#This Row],[X]]=5)),tbal[[#This Row],[ACREEDOR]],0)</f>
        <v>0</v>
      </c>
    </row>
    <row r="1480" spans="1:14" hidden="1" x14ac:dyDescent="0.3">
      <c r="A1480" s="14">
        <f>+'PLAN DE CUENTAS'!A1480</f>
        <v>0</v>
      </c>
      <c r="B1480" s="13">
        <f>+'PLAN DE CUENTAS'!B1480</f>
        <v>0</v>
      </c>
      <c r="C1480" s="13">
        <f>+'PLAN DE CUENTAS'!C1480</f>
        <v>0</v>
      </c>
      <c r="D1480" t="str">
        <f>IF(tbal[[#This Row],[DEBE]]+tbal[[#This Row],[HABER]]=0,"","X")</f>
        <v/>
      </c>
      <c r="E1480" s="16">
        <f>SUMIF(tdiario[CUENTA],tbal[[#This Row],[CUENTA]],tdiario[DEBE])</f>
        <v>0</v>
      </c>
      <c r="F1480" s="17">
        <f>SUMIF(tdiario[CUENTA],tbal[[#This Row],[CUENTA]],tdiario[HABER])</f>
        <v>0</v>
      </c>
      <c r="G1480" s="16">
        <f>IF(tbal[[#This Row],[DEBE]]-tbal[[#This Row],[HABER]]&gt;0,tbal[[#This Row],[DEBE]]-tbal[[#This Row],[HABER]],0)</f>
        <v>0</v>
      </c>
      <c r="H1480" s="18">
        <f>IF(tbal[[#This Row],[HABER]]-tbal[[#This Row],[DEBE]]&gt;0,tbal[[#This Row],[HABER]]-tbal[[#This Row],[DEBE]],0)</f>
        <v>0</v>
      </c>
      <c r="I1480" s="16">
        <f>IF((OR(tbal[[#This Row],[X]]=1,tbal[[#This Row],[X]]=2)),tbal[[#This Row],[DEUDOR]],0)</f>
        <v>0</v>
      </c>
      <c r="J1480" s="18">
        <f>IF((OR(tbal[[#This Row],[X]]=2,tbal[[#This Row],[X]]=3)),tbal[[#This Row],[ACREEDOR]],0)</f>
        <v>0</v>
      </c>
      <c r="K1480" s="16">
        <f>IF((OR(tbal[[#This Row],[X]]=3,tbal[[#This Row],[X]]=5)),tbal[[#This Row],[DEUDOR]],0)</f>
        <v>0</v>
      </c>
      <c r="L1480" s="18">
        <f>IF((OR(tbal[[#This Row],[X]]=3,tbal[[#This Row],[X]]=4)),tbal[[#This Row],[ACREEDOR]],0)</f>
        <v>0</v>
      </c>
      <c r="M1480" s="16">
        <f>IF((OR(tbal[[#This Row],[X]]=0,tbal[[#This Row],[X]]=6)),tbal[[#This Row],[DEUDOR]],0)</f>
        <v>0</v>
      </c>
      <c r="N1480" s="18">
        <f>IF((OR(tbal[[#This Row],[X]]=0,tbal[[#This Row],[X]]=5)),tbal[[#This Row],[ACREEDOR]],0)</f>
        <v>0</v>
      </c>
    </row>
    <row r="1481" spans="1:14" hidden="1" x14ac:dyDescent="0.3">
      <c r="A1481" s="14">
        <f>+'PLAN DE CUENTAS'!A1481</f>
        <v>0</v>
      </c>
      <c r="B1481" s="13">
        <f>+'PLAN DE CUENTAS'!B1481</f>
        <v>0</v>
      </c>
      <c r="C1481" s="13">
        <f>+'PLAN DE CUENTAS'!C1481</f>
        <v>0</v>
      </c>
      <c r="D1481" t="str">
        <f>IF(tbal[[#This Row],[DEBE]]+tbal[[#This Row],[HABER]]=0,"","X")</f>
        <v/>
      </c>
      <c r="E1481" s="16">
        <f>SUMIF(tdiario[CUENTA],tbal[[#This Row],[CUENTA]],tdiario[DEBE])</f>
        <v>0</v>
      </c>
      <c r="F1481" s="17">
        <f>SUMIF(tdiario[CUENTA],tbal[[#This Row],[CUENTA]],tdiario[HABER])</f>
        <v>0</v>
      </c>
      <c r="G1481" s="16">
        <f>IF(tbal[[#This Row],[DEBE]]-tbal[[#This Row],[HABER]]&gt;0,tbal[[#This Row],[DEBE]]-tbal[[#This Row],[HABER]],0)</f>
        <v>0</v>
      </c>
      <c r="H1481" s="18">
        <f>IF(tbal[[#This Row],[HABER]]-tbal[[#This Row],[DEBE]]&gt;0,tbal[[#This Row],[HABER]]-tbal[[#This Row],[DEBE]],0)</f>
        <v>0</v>
      </c>
      <c r="I1481" s="16">
        <f>IF((OR(tbal[[#This Row],[X]]=1,tbal[[#This Row],[X]]=2)),tbal[[#This Row],[DEUDOR]],0)</f>
        <v>0</v>
      </c>
      <c r="J1481" s="18">
        <f>IF((OR(tbal[[#This Row],[X]]=2,tbal[[#This Row],[X]]=3)),tbal[[#This Row],[ACREEDOR]],0)</f>
        <v>0</v>
      </c>
      <c r="K1481" s="16">
        <f>IF((OR(tbal[[#This Row],[X]]=3,tbal[[#This Row],[X]]=5)),tbal[[#This Row],[DEUDOR]],0)</f>
        <v>0</v>
      </c>
      <c r="L1481" s="18">
        <f>IF((OR(tbal[[#This Row],[X]]=3,tbal[[#This Row],[X]]=4)),tbal[[#This Row],[ACREEDOR]],0)</f>
        <v>0</v>
      </c>
      <c r="M1481" s="16">
        <f>IF((OR(tbal[[#This Row],[X]]=0,tbal[[#This Row],[X]]=6)),tbal[[#This Row],[DEUDOR]],0)</f>
        <v>0</v>
      </c>
      <c r="N1481" s="18">
        <f>IF((OR(tbal[[#This Row],[X]]=0,tbal[[#This Row],[X]]=5)),tbal[[#This Row],[ACREEDOR]],0)</f>
        <v>0</v>
      </c>
    </row>
    <row r="1482" spans="1:14" hidden="1" x14ac:dyDescent="0.3">
      <c r="A1482" s="14">
        <f>+'PLAN DE CUENTAS'!A1482</f>
        <v>0</v>
      </c>
      <c r="B1482" s="13">
        <f>+'PLAN DE CUENTAS'!B1482</f>
        <v>0</v>
      </c>
      <c r="C1482" s="13">
        <f>+'PLAN DE CUENTAS'!C1482</f>
        <v>0</v>
      </c>
      <c r="D1482" t="str">
        <f>IF(tbal[[#This Row],[DEBE]]+tbal[[#This Row],[HABER]]=0,"","X")</f>
        <v/>
      </c>
      <c r="E1482" s="16">
        <f>SUMIF(tdiario[CUENTA],tbal[[#This Row],[CUENTA]],tdiario[DEBE])</f>
        <v>0</v>
      </c>
      <c r="F1482" s="17">
        <f>SUMIF(tdiario[CUENTA],tbal[[#This Row],[CUENTA]],tdiario[HABER])</f>
        <v>0</v>
      </c>
      <c r="G1482" s="16">
        <f>IF(tbal[[#This Row],[DEBE]]-tbal[[#This Row],[HABER]]&gt;0,tbal[[#This Row],[DEBE]]-tbal[[#This Row],[HABER]],0)</f>
        <v>0</v>
      </c>
      <c r="H1482" s="18">
        <f>IF(tbal[[#This Row],[HABER]]-tbal[[#This Row],[DEBE]]&gt;0,tbal[[#This Row],[HABER]]-tbal[[#This Row],[DEBE]],0)</f>
        <v>0</v>
      </c>
      <c r="I1482" s="16">
        <f>IF((OR(tbal[[#This Row],[X]]=1,tbal[[#This Row],[X]]=2)),tbal[[#This Row],[DEUDOR]],0)</f>
        <v>0</v>
      </c>
      <c r="J1482" s="18">
        <f>IF((OR(tbal[[#This Row],[X]]=2,tbal[[#This Row],[X]]=3)),tbal[[#This Row],[ACREEDOR]],0)</f>
        <v>0</v>
      </c>
      <c r="K1482" s="16">
        <f>IF((OR(tbal[[#This Row],[X]]=3,tbal[[#This Row],[X]]=5)),tbal[[#This Row],[DEUDOR]],0)</f>
        <v>0</v>
      </c>
      <c r="L1482" s="18">
        <f>IF((OR(tbal[[#This Row],[X]]=3,tbal[[#This Row],[X]]=4)),tbal[[#This Row],[ACREEDOR]],0)</f>
        <v>0</v>
      </c>
      <c r="M1482" s="16">
        <f>IF((OR(tbal[[#This Row],[X]]=0,tbal[[#This Row],[X]]=6)),tbal[[#This Row],[DEUDOR]],0)</f>
        <v>0</v>
      </c>
      <c r="N1482" s="18">
        <f>IF((OR(tbal[[#This Row],[X]]=0,tbal[[#This Row],[X]]=5)),tbal[[#This Row],[ACREEDOR]],0)</f>
        <v>0</v>
      </c>
    </row>
    <row r="1483" spans="1:14" hidden="1" x14ac:dyDescent="0.3">
      <c r="A1483" s="14">
        <f>+'PLAN DE CUENTAS'!A1483</f>
        <v>0</v>
      </c>
      <c r="B1483" s="13">
        <f>+'PLAN DE CUENTAS'!B1483</f>
        <v>0</v>
      </c>
      <c r="C1483" s="13">
        <f>+'PLAN DE CUENTAS'!C1483</f>
        <v>0</v>
      </c>
      <c r="D1483" t="str">
        <f>IF(tbal[[#This Row],[DEBE]]+tbal[[#This Row],[HABER]]=0,"","X")</f>
        <v/>
      </c>
      <c r="E1483" s="16">
        <f>SUMIF(tdiario[CUENTA],tbal[[#This Row],[CUENTA]],tdiario[DEBE])</f>
        <v>0</v>
      </c>
      <c r="F1483" s="17">
        <f>SUMIF(tdiario[CUENTA],tbal[[#This Row],[CUENTA]],tdiario[HABER])</f>
        <v>0</v>
      </c>
      <c r="G1483" s="16">
        <f>IF(tbal[[#This Row],[DEBE]]-tbal[[#This Row],[HABER]]&gt;0,tbal[[#This Row],[DEBE]]-tbal[[#This Row],[HABER]],0)</f>
        <v>0</v>
      </c>
      <c r="H1483" s="18">
        <f>IF(tbal[[#This Row],[HABER]]-tbal[[#This Row],[DEBE]]&gt;0,tbal[[#This Row],[HABER]]-tbal[[#This Row],[DEBE]],0)</f>
        <v>0</v>
      </c>
      <c r="I1483" s="16">
        <f>IF((OR(tbal[[#This Row],[X]]=1,tbal[[#This Row],[X]]=2)),tbal[[#This Row],[DEUDOR]],0)</f>
        <v>0</v>
      </c>
      <c r="J1483" s="18">
        <f>IF((OR(tbal[[#This Row],[X]]=2,tbal[[#This Row],[X]]=3)),tbal[[#This Row],[ACREEDOR]],0)</f>
        <v>0</v>
      </c>
      <c r="K1483" s="16">
        <f>IF((OR(tbal[[#This Row],[X]]=3,tbal[[#This Row],[X]]=5)),tbal[[#This Row],[DEUDOR]],0)</f>
        <v>0</v>
      </c>
      <c r="L1483" s="18">
        <f>IF((OR(tbal[[#This Row],[X]]=3,tbal[[#This Row],[X]]=4)),tbal[[#This Row],[ACREEDOR]],0)</f>
        <v>0</v>
      </c>
      <c r="M1483" s="16">
        <f>IF((OR(tbal[[#This Row],[X]]=0,tbal[[#This Row],[X]]=6)),tbal[[#This Row],[DEUDOR]],0)</f>
        <v>0</v>
      </c>
      <c r="N1483" s="18">
        <f>IF((OR(tbal[[#This Row],[X]]=0,tbal[[#This Row],[X]]=5)),tbal[[#This Row],[ACREEDOR]],0)</f>
        <v>0</v>
      </c>
    </row>
    <row r="1484" spans="1:14" hidden="1" x14ac:dyDescent="0.3">
      <c r="A1484" s="14">
        <f>+'PLAN DE CUENTAS'!A1484</f>
        <v>0</v>
      </c>
      <c r="B1484" s="13">
        <f>+'PLAN DE CUENTAS'!B1484</f>
        <v>0</v>
      </c>
      <c r="C1484" s="13">
        <f>+'PLAN DE CUENTAS'!C1484</f>
        <v>0</v>
      </c>
      <c r="D1484" t="str">
        <f>IF(tbal[[#This Row],[DEBE]]+tbal[[#This Row],[HABER]]=0,"","X")</f>
        <v/>
      </c>
      <c r="E1484" s="16">
        <f>SUMIF(tdiario[CUENTA],tbal[[#This Row],[CUENTA]],tdiario[DEBE])</f>
        <v>0</v>
      </c>
      <c r="F1484" s="17">
        <f>SUMIF(tdiario[CUENTA],tbal[[#This Row],[CUENTA]],tdiario[HABER])</f>
        <v>0</v>
      </c>
      <c r="G1484" s="16">
        <f>IF(tbal[[#This Row],[DEBE]]-tbal[[#This Row],[HABER]]&gt;0,tbal[[#This Row],[DEBE]]-tbal[[#This Row],[HABER]],0)</f>
        <v>0</v>
      </c>
      <c r="H1484" s="18">
        <f>IF(tbal[[#This Row],[HABER]]-tbal[[#This Row],[DEBE]]&gt;0,tbal[[#This Row],[HABER]]-tbal[[#This Row],[DEBE]],0)</f>
        <v>0</v>
      </c>
      <c r="I1484" s="16">
        <f>IF((OR(tbal[[#This Row],[X]]=1,tbal[[#This Row],[X]]=2)),tbal[[#This Row],[DEUDOR]],0)</f>
        <v>0</v>
      </c>
      <c r="J1484" s="18">
        <f>IF((OR(tbal[[#This Row],[X]]=2,tbal[[#This Row],[X]]=3)),tbal[[#This Row],[ACREEDOR]],0)</f>
        <v>0</v>
      </c>
      <c r="K1484" s="16">
        <f>IF((OR(tbal[[#This Row],[X]]=3,tbal[[#This Row],[X]]=5)),tbal[[#This Row],[DEUDOR]],0)</f>
        <v>0</v>
      </c>
      <c r="L1484" s="18">
        <f>IF((OR(tbal[[#This Row],[X]]=3,tbal[[#This Row],[X]]=4)),tbal[[#This Row],[ACREEDOR]],0)</f>
        <v>0</v>
      </c>
      <c r="M1484" s="16">
        <f>IF((OR(tbal[[#This Row],[X]]=0,tbal[[#This Row],[X]]=6)),tbal[[#This Row],[DEUDOR]],0)</f>
        <v>0</v>
      </c>
      <c r="N1484" s="18">
        <f>IF((OR(tbal[[#This Row],[X]]=0,tbal[[#This Row],[X]]=5)),tbal[[#This Row],[ACREEDOR]],0)</f>
        <v>0</v>
      </c>
    </row>
    <row r="1485" spans="1:14" hidden="1" x14ac:dyDescent="0.3">
      <c r="A1485" s="14">
        <f>+'PLAN DE CUENTAS'!A1485</f>
        <v>0</v>
      </c>
      <c r="B1485" s="13">
        <f>+'PLAN DE CUENTAS'!B1485</f>
        <v>0</v>
      </c>
      <c r="C1485" s="13">
        <f>+'PLAN DE CUENTAS'!C1485</f>
        <v>0</v>
      </c>
      <c r="D1485" t="str">
        <f>IF(tbal[[#This Row],[DEBE]]+tbal[[#This Row],[HABER]]=0,"","X")</f>
        <v/>
      </c>
      <c r="E1485" s="16">
        <f>SUMIF(tdiario[CUENTA],tbal[[#This Row],[CUENTA]],tdiario[DEBE])</f>
        <v>0</v>
      </c>
      <c r="F1485" s="17">
        <f>SUMIF(tdiario[CUENTA],tbal[[#This Row],[CUENTA]],tdiario[HABER])</f>
        <v>0</v>
      </c>
      <c r="G1485" s="16">
        <f>IF(tbal[[#This Row],[DEBE]]-tbal[[#This Row],[HABER]]&gt;0,tbal[[#This Row],[DEBE]]-tbal[[#This Row],[HABER]],0)</f>
        <v>0</v>
      </c>
      <c r="H1485" s="18">
        <f>IF(tbal[[#This Row],[HABER]]-tbal[[#This Row],[DEBE]]&gt;0,tbal[[#This Row],[HABER]]-tbal[[#This Row],[DEBE]],0)</f>
        <v>0</v>
      </c>
      <c r="I1485" s="16">
        <f>IF((OR(tbal[[#This Row],[X]]=1,tbal[[#This Row],[X]]=2)),tbal[[#This Row],[DEUDOR]],0)</f>
        <v>0</v>
      </c>
      <c r="J1485" s="18">
        <f>IF((OR(tbal[[#This Row],[X]]=2,tbal[[#This Row],[X]]=3)),tbal[[#This Row],[ACREEDOR]],0)</f>
        <v>0</v>
      </c>
      <c r="K1485" s="16">
        <f>IF((OR(tbal[[#This Row],[X]]=3,tbal[[#This Row],[X]]=5)),tbal[[#This Row],[DEUDOR]],0)</f>
        <v>0</v>
      </c>
      <c r="L1485" s="18">
        <f>IF((OR(tbal[[#This Row],[X]]=3,tbal[[#This Row],[X]]=4)),tbal[[#This Row],[ACREEDOR]],0)</f>
        <v>0</v>
      </c>
      <c r="M1485" s="16">
        <f>IF((OR(tbal[[#This Row],[X]]=0,tbal[[#This Row],[X]]=6)),tbal[[#This Row],[DEUDOR]],0)</f>
        <v>0</v>
      </c>
      <c r="N1485" s="18">
        <f>IF((OR(tbal[[#This Row],[X]]=0,tbal[[#This Row],[X]]=5)),tbal[[#This Row],[ACREEDOR]],0)</f>
        <v>0</v>
      </c>
    </row>
    <row r="1486" spans="1:14" hidden="1" x14ac:dyDescent="0.3">
      <c r="A1486" s="14">
        <f>+'PLAN DE CUENTAS'!A1486</f>
        <v>0</v>
      </c>
      <c r="B1486" s="13">
        <f>+'PLAN DE CUENTAS'!B1486</f>
        <v>0</v>
      </c>
      <c r="C1486" s="13">
        <f>+'PLAN DE CUENTAS'!C1486</f>
        <v>0</v>
      </c>
      <c r="D1486" t="str">
        <f>IF(tbal[[#This Row],[DEBE]]+tbal[[#This Row],[HABER]]=0,"","X")</f>
        <v/>
      </c>
      <c r="E1486" s="16">
        <f>SUMIF(tdiario[CUENTA],tbal[[#This Row],[CUENTA]],tdiario[DEBE])</f>
        <v>0</v>
      </c>
      <c r="F1486" s="17">
        <f>SUMIF(tdiario[CUENTA],tbal[[#This Row],[CUENTA]],tdiario[HABER])</f>
        <v>0</v>
      </c>
      <c r="G1486" s="16">
        <f>IF(tbal[[#This Row],[DEBE]]-tbal[[#This Row],[HABER]]&gt;0,tbal[[#This Row],[DEBE]]-tbal[[#This Row],[HABER]],0)</f>
        <v>0</v>
      </c>
      <c r="H1486" s="18">
        <f>IF(tbal[[#This Row],[HABER]]-tbal[[#This Row],[DEBE]]&gt;0,tbal[[#This Row],[HABER]]-tbal[[#This Row],[DEBE]],0)</f>
        <v>0</v>
      </c>
      <c r="I1486" s="16">
        <f>IF((OR(tbal[[#This Row],[X]]=1,tbal[[#This Row],[X]]=2)),tbal[[#This Row],[DEUDOR]],0)</f>
        <v>0</v>
      </c>
      <c r="J1486" s="18">
        <f>IF((OR(tbal[[#This Row],[X]]=2,tbal[[#This Row],[X]]=3)),tbal[[#This Row],[ACREEDOR]],0)</f>
        <v>0</v>
      </c>
      <c r="K1486" s="16">
        <f>IF((OR(tbal[[#This Row],[X]]=3,tbal[[#This Row],[X]]=5)),tbal[[#This Row],[DEUDOR]],0)</f>
        <v>0</v>
      </c>
      <c r="L1486" s="18">
        <f>IF((OR(tbal[[#This Row],[X]]=3,tbal[[#This Row],[X]]=4)),tbal[[#This Row],[ACREEDOR]],0)</f>
        <v>0</v>
      </c>
      <c r="M1486" s="16">
        <f>IF((OR(tbal[[#This Row],[X]]=0,tbal[[#This Row],[X]]=6)),tbal[[#This Row],[DEUDOR]],0)</f>
        <v>0</v>
      </c>
      <c r="N1486" s="18">
        <f>IF((OR(tbal[[#This Row],[X]]=0,tbal[[#This Row],[X]]=5)),tbal[[#This Row],[ACREEDOR]],0)</f>
        <v>0</v>
      </c>
    </row>
    <row r="1487" spans="1:14" hidden="1" x14ac:dyDescent="0.3">
      <c r="A1487" s="14">
        <f>+'PLAN DE CUENTAS'!A1487</f>
        <v>0</v>
      </c>
      <c r="B1487" s="13">
        <f>+'PLAN DE CUENTAS'!B1487</f>
        <v>0</v>
      </c>
      <c r="C1487" s="13">
        <f>+'PLAN DE CUENTAS'!C1487</f>
        <v>0</v>
      </c>
      <c r="D1487" t="str">
        <f>IF(tbal[[#This Row],[DEBE]]+tbal[[#This Row],[HABER]]=0,"","X")</f>
        <v/>
      </c>
      <c r="E1487" s="16">
        <f>SUMIF(tdiario[CUENTA],tbal[[#This Row],[CUENTA]],tdiario[DEBE])</f>
        <v>0</v>
      </c>
      <c r="F1487" s="17">
        <f>SUMIF(tdiario[CUENTA],tbal[[#This Row],[CUENTA]],tdiario[HABER])</f>
        <v>0</v>
      </c>
      <c r="G1487" s="16">
        <f>IF(tbal[[#This Row],[DEBE]]-tbal[[#This Row],[HABER]]&gt;0,tbal[[#This Row],[DEBE]]-tbal[[#This Row],[HABER]],0)</f>
        <v>0</v>
      </c>
      <c r="H1487" s="18">
        <f>IF(tbal[[#This Row],[HABER]]-tbal[[#This Row],[DEBE]]&gt;0,tbal[[#This Row],[HABER]]-tbal[[#This Row],[DEBE]],0)</f>
        <v>0</v>
      </c>
      <c r="I1487" s="16">
        <f>IF((OR(tbal[[#This Row],[X]]=1,tbal[[#This Row],[X]]=2)),tbal[[#This Row],[DEUDOR]],0)</f>
        <v>0</v>
      </c>
      <c r="J1487" s="18">
        <f>IF((OR(tbal[[#This Row],[X]]=2,tbal[[#This Row],[X]]=3)),tbal[[#This Row],[ACREEDOR]],0)</f>
        <v>0</v>
      </c>
      <c r="K1487" s="16">
        <f>IF((OR(tbal[[#This Row],[X]]=3,tbal[[#This Row],[X]]=5)),tbal[[#This Row],[DEUDOR]],0)</f>
        <v>0</v>
      </c>
      <c r="L1487" s="18">
        <f>IF((OR(tbal[[#This Row],[X]]=3,tbal[[#This Row],[X]]=4)),tbal[[#This Row],[ACREEDOR]],0)</f>
        <v>0</v>
      </c>
      <c r="M1487" s="16">
        <f>IF((OR(tbal[[#This Row],[X]]=0,tbal[[#This Row],[X]]=6)),tbal[[#This Row],[DEUDOR]],0)</f>
        <v>0</v>
      </c>
      <c r="N1487" s="18">
        <f>IF((OR(tbal[[#This Row],[X]]=0,tbal[[#This Row],[X]]=5)),tbal[[#This Row],[ACREEDOR]],0)</f>
        <v>0</v>
      </c>
    </row>
    <row r="1488" spans="1:14" hidden="1" x14ac:dyDescent="0.3">
      <c r="A1488" s="14">
        <f>+'PLAN DE CUENTAS'!A1488</f>
        <v>0</v>
      </c>
      <c r="B1488" s="13">
        <f>+'PLAN DE CUENTAS'!B1488</f>
        <v>0</v>
      </c>
      <c r="C1488" s="13">
        <f>+'PLAN DE CUENTAS'!C1488</f>
        <v>0</v>
      </c>
      <c r="D1488" t="str">
        <f>IF(tbal[[#This Row],[DEBE]]+tbal[[#This Row],[HABER]]=0,"","X")</f>
        <v/>
      </c>
      <c r="E1488" s="16">
        <f>SUMIF(tdiario[CUENTA],tbal[[#This Row],[CUENTA]],tdiario[DEBE])</f>
        <v>0</v>
      </c>
      <c r="F1488" s="17">
        <f>SUMIF(tdiario[CUENTA],tbal[[#This Row],[CUENTA]],tdiario[HABER])</f>
        <v>0</v>
      </c>
      <c r="G1488" s="16">
        <f>IF(tbal[[#This Row],[DEBE]]-tbal[[#This Row],[HABER]]&gt;0,tbal[[#This Row],[DEBE]]-tbal[[#This Row],[HABER]],0)</f>
        <v>0</v>
      </c>
      <c r="H1488" s="18">
        <f>IF(tbal[[#This Row],[HABER]]-tbal[[#This Row],[DEBE]]&gt;0,tbal[[#This Row],[HABER]]-tbal[[#This Row],[DEBE]],0)</f>
        <v>0</v>
      </c>
      <c r="I1488" s="16">
        <f>IF((OR(tbal[[#This Row],[X]]=1,tbal[[#This Row],[X]]=2)),tbal[[#This Row],[DEUDOR]],0)</f>
        <v>0</v>
      </c>
      <c r="J1488" s="18">
        <f>IF((OR(tbal[[#This Row],[X]]=2,tbal[[#This Row],[X]]=3)),tbal[[#This Row],[ACREEDOR]],0)</f>
        <v>0</v>
      </c>
      <c r="K1488" s="16">
        <f>IF((OR(tbal[[#This Row],[X]]=3,tbal[[#This Row],[X]]=5)),tbal[[#This Row],[DEUDOR]],0)</f>
        <v>0</v>
      </c>
      <c r="L1488" s="18">
        <f>IF((OR(tbal[[#This Row],[X]]=3,tbal[[#This Row],[X]]=4)),tbal[[#This Row],[ACREEDOR]],0)</f>
        <v>0</v>
      </c>
      <c r="M1488" s="16">
        <f>IF((OR(tbal[[#This Row],[X]]=0,tbal[[#This Row],[X]]=6)),tbal[[#This Row],[DEUDOR]],0)</f>
        <v>0</v>
      </c>
      <c r="N1488" s="18">
        <f>IF((OR(tbal[[#This Row],[X]]=0,tbal[[#This Row],[X]]=5)),tbal[[#This Row],[ACREEDOR]],0)</f>
        <v>0</v>
      </c>
    </row>
    <row r="1489" spans="1:14" hidden="1" x14ac:dyDescent="0.3">
      <c r="A1489" s="14">
        <f>+'PLAN DE CUENTAS'!A1489</f>
        <v>0</v>
      </c>
      <c r="B1489" s="13">
        <f>+'PLAN DE CUENTAS'!B1489</f>
        <v>0</v>
      </c>
      <c r="C1489" s="13">
        <f>+'PLAN DE CUENTAS'!C1489</f>
        <v>0</v>
      </c>
      <c r="D1489" t="str">
        <f>IF(tbal[[#This Row],[DEBE]]+tbal[[#This Row],[HABER]]=0,"","X")</f>
        <v/>
      </c>
      <c r="E1489" s="16">
        <f>SUMIF(tdiario[CUENTA],tbal[[#This Row],[CUENTA]],tdiario[DEBE])</f>
        <v>0</v>
      </c>
      <c r="F1489" s="17">
        <f>SUMIF(tdiario[CUENTA],tbal[[#This Row],[CUENTA]],tdiario[HABER])</f>
        <v>0</v>
      </c>
      <c r="G1489" s="16">
        <f>IF(tbal[[#This Row],[DEBE]]-tbal[[#This Row],[HABER]]&gt;0,tbal[[#This Row],[DEBE]]-tbal[[#This Row],[HABER]],0)</f>
        <v>0</v>
      </c>
      <c r="H1489" s="18">
        <f>IF(tbal[[#This Row],[HABER]]-tbal[[#This Row],[DEBE]]&gt;0,tbal[[#This Row],[HABER]]-tbal[[#This Row],[DEBE]],0)</f>
        <v>0</v>
      </c>
      <c r="I1489" s="16">
        <f>IF((OR(tbal[[#This Row],[X]]=1,tbal[[#This Row],[X]]=2)),tbal[[#This Row],[DEUDOR]],0)</f>
        <v>0</v>
      </c>
      <c r="J1489" s="18">
        <f>IF((OR(tbal[[#This Row],[X]]=2,tbal[[#This Row],[X]]=3)),tbal[[#This Row],[ACREEDOR]],0)</f>
        <v>0</v>
      </c>
      <c r="K1489" s="16">
        <f>IF((OR(tbal[[#This Row],[X]]=3,tbal[[#This Row],[X]]=5)),tbal[[#This Row],[DEUDOR]],0)</f>
        <v>0</v>
      </c>
      <c r="L1489" s="18">
        <f>IF((OR(tbal[[#This Row],[X]]=3,tbal[[#This Row],[X]]=4)),tbal[[#This Row],[ACREEDOR]],0)</f>
        <v>0</v>
      </c>
      <c r="M1489" s="16">
        <f>IF((OR(tbal[[#This Row],[X]]=0,tbal[[#This Row],[X]]=6)),tbal[[#This Row],[DEUDOR]],0)</f>
        <v>0</v>
      </c>
      <c r="N1489" s="18">
        <f>IF((OR(tbal[[#This Row],[X]]=0,tbal[[#This Row],[X]]=5)),tbal[[#This Row],[ACREEDOR]],0)</f>
        <v>0</v>
      </c>
    </row>
    <row r="1490" spans="1:14" hidden="1" x14ac:dyDescent="0.3">
      <c r="A1490" s="14">
        <f>+'PLAN DE CUENTAS'!A1490</f>
        <v>0</v>
      </c>
      <c r="B1490" s="13">
        <f>+'PLAN DE CUENTAS'!B1490</f>
        <v>0</v>
      </c>
      <c r="C1490" s="13">
        <f>+'PLAN DE CUENTAS'!C1490</f>
        <v>0</v>
      </c>
      <c r="D1490" t="str">
        <f>IF(tbal[[#This Row],[DEBE]]+tbal[[#This Row],[HABER]]=0,"","X")</f>
        <v/>
      </c>
      <c r="E1490" s="16">
        <f>SUMIF(tdiario[CUENTA],tbal[[#This Row],[CUENTA]],tdiario[DEBE])</f>
        <v>0</v>
      </c>
      <c r="F1490" s="17">
        <f>SUMIF(tdiario[CUENTA],tbal[[#This Row],[CUENTA]],tdiario[HABER])</f>
        <v>0</v>
      </c>
      <c r="G1490" s="16">
        <f>IF(tbal[[#This Row],[DEBE]]-tbal[[#This Row],[HABER]]&gt;0,tbal[[#This Row],[DEBE]]-tbal[[#This Row],[HABER]],0)</f>
        <v>0</v>
      </c>
      <c r="H1490" s="18">
        <f>IF(tbal[[#This Row],[HABER]]-tbal[[#This Row],[DEBE]]&gt;0,tbal[[#This Row],[HABER]]-tbal[[#This Row],[DEBE]],0)</f>
        <v>0</v>
      </c>
      <c r="I1490" s="16">
        <f>IF((OR(tbal[[#This Row],[X]]=1,tbal[[#This Row],[X]]=2)),tbal[[#This Row],[DEUDOR]],0)</f>
        <v>0</v>
      </c>
      <c r="J1490" s="18">
        <f>IF((OR(tbal[[#This Row],[X]]=2,tbal[[#This Row],[X]]=3)),tbal[[#This Row],[ACREEDOR]],0)</f>
        <v>0</v>
      </c>
      <c r="K1490" s="16">
        <f>IF((OR(tbal[[#This Row],[X]]=3,tbal[[#This Row],[X]]=5)),tbal[[#This Row],[DEUDOR]],0)</f>
        <v>0</v>
      </c>
      <c r="L1490" s="18">
        <f>IF((OR(tbal[[#This Row],[X]]=3,tbal[[#This Row],[X]]=4)),tbal[[#This Row],[ACREEDOR]],0)</f>
        <v>0</v>
      </c>
      <c r="M1490" s="16">
        <f>IF((OR(tbal[[#This Row],[X]]=0,tbal[[#This Row],[X]]=6)),tbal[[#This Row],[DEUDOR]],0)</f>
        <v>0</v>
      </c>
      <c r="N1490" s="18">
        <f>IF((OR(tbal[[#This Row],[X]]=0,tbal[[#This Row],[X]]=5)),tbal[[#This Row],[ACREEDOR]],0)</f>
        <v>0</v>
      </c>
    </row>
    <row r="1491" spans="1:14" hidden="1" x14ac:dyDescent="0.3">
      <c r="A1491" s="14">
        <f>+'PLAN DE CUENTAS'!A1491</f>
        <v>0</v>
      </c>
      <c r="B1491" s="13">
        <f>+'PLAN DE CUENTAS'!B1491</f>
        <v>0</v>
      </c>
      <c r="C1491" s="13">
        <f>+'PLAN DE CUENTAS'!C1491</f>
        <v>0</v>
      </c>
      <c r="D1491" t="str">
        <f>IF(tbal[[#This Row],[DEBE]]+tbal[[#This Row],[HABER]]=0,"","X")</f>
        <v/>
      </c>
      <c r="E1491" s="16">
        <f>SUMIF(tdiario[CUENTA],tbal[[#This Row],[CUENTA]],tdiario[DEBE])</f>
        <v>0</v>
      </c>
      <c r="F1491" s="17">
        <f>SUMIF(tdiario[CUENTA],tbal[[#This Row],[CUENTA]],tdiario[HABER])</f>
        <v>0</v>
      </c>
      <c r="G1491" s="16">
        <f>IF(tbal[[#This Row],[DEBE]]-tbal[[#This Row],[HABER]]&gt;0,tbal[[#This Row],[DEBE]]-tbal[[#This Row],[HABER]],0)</f>
        <v>0</v>
      </c>
      <c r="H1491" s="18">
        <f>IF(tbal[[#This Row],[HABER]]-tbal[[#This Row],[DEBE]]&gt;0,tbal[[#This Row],[HABER]]-tbal[[#This Row],[DEBE]],0)</f>
        <v>0</v>
      </c>
      <c r="I1491" s="16">
        <f>IF((OR(tbal[[#This Row],[X]]=1,tbal[[#This Row],[X]]=2)),tbal[[#This Row],[DEUDOR]],0)</f>
        <v>0</v>
      </c>
      <c r="J1491" s="18">
        <f>IF((OR(tbal[[#This Row],[X]]=2,tbal[[#This Row],[X]]=3)),tbal[[#This Row],[ACREEDOR]],0)</f>
        <v>0</v>
      </c>
      <c r="K1491" s="16">
        <f>IF((OR(tbal[[#This Row],[X]]=3,tbal[[#This Row],[X]]=5)),tbal[[#This Row],[DEUDOR]],0)</f>
        <v>0</v>
      </c>
      <c r="L1491" s="18">
        <f>IF((OR(tbal[[#This Row],[X]]=3,tbal[[#This Row],[X]]=4)),tbal[[#This Row],[ACREEDOR]],0)</f>
        <v>0</v>
      </c>
      <c r="M1491" s="16">
        <f>IF((OR(tbal[[#This Row],[X]]=0,tbal[[#This Row],[X]]=6)),tbal[[#This Row],[DEUDOR]],0)</f>
        <v>0</v>
      </c>
      <c r="N1491" s="18">
        <f>IF((OR(tbal[[#This Row],[X]]=0,tbal[[#This Row],[X]]=5)),tbal[[#This Row],[ACREEDOR]],0)</f>
        <v>0</v>
      </c>
    </row>
    <row r="1492" spans="1:14" hidden="1" x14ac:dyDescent="0.3">
      <c r="A1492" s="14">
        <f>+'PLAN DE CUENTAS'!A1492</f>
        <v>0</v>
      </c>
      <c r="B1492" s="13">
        <f>+'PLAN DE CUENTAS'!B1492</f>
        <v>0</v>
      </c>
      <c r="C1492" s="13">
        <f>+'PLAN DE CUENTAS'!C1492</f>
        <v>0</v>
      </c>
      <c r="D1492" t="str">
        <f>IF(tbal[[#This Row],[DEBE]]+tbal[[#This Row],[HABER]]=0,"","X")</f>
        <v/>
      </c>
      <c r="E1492" s="16">
        <f>SUMIF(tdiario[CUENTA],tbal[[#This Row],[CUENTA]],tdiario[DEBE])</f>
        <v>0</v>
      </c>
      <c r="F1492" s="17">
        <f>SUMIF(tdiario[CUENTA],tbal[[#This Row],[CUENTA]],tdiario[HABER])</f>
        <v>0</v>
      </c>
      <c r="G1492" s="16">
        <f>IF(tbal[[#This Row],[DEBE]]-tbal[[#This Row],[HABER]]&gt;0,tbal[[#This Row],[DEBE]]-tbal[[#This Row],[HABER]],0)</f>
        <v>0</v>
      </c>
      <c r="H1492" s="18">
        <f>IF(tbal[[#This Row],[HABER]]-tbal[[#This Row],[DEBE]]&gt;0,tbal[[#This Row],[HABER]]-tbal[[#This Row],[DEBE]],0)</f>
        <v>0</v>
      </c>
      <c r="I1492" s="16">
        <f>IF((OR(tbal[[#This Row],[X]]=1,tbal[[#This Row],[X]]=2)),tbal[[#This Row],[DEUDOR]],0)</f>
        <v>0</v>
      </c>
      <c r="J1492" s="18">
        <f>IF((OR(tbal[[#This Row],[X]]=2,tbal[[#This Row],[X]]=3)),tbal[[#This Row],[ACREEDOR]],0)</f>
        <v>0</v>
      </c>
      <c r="K1492" s="16">
        <f>IF((OR(tbal[[#This Row],[X]]=3,tbal[[#This Row],[X]]=5)),tbal[[#This Row],[DEUDOR]],0)</f>
        <v>0</v>
      </c>
      <c r="L1492" s="18">
        <f>IF((OR(tbal[[#This Row],[X]]=3,tbal[[#This Row],[X]]=4)),tbal[[#This Row],[ACREEDOR]],0)</f>
        <v>0</v>
      </c>
      <c r="M1492" s="16">
        <f>IF((OR(tbal[[#This Row],[X]]=0,tbal[[#This Row],[X]]=6)),tbal[[#This Row],[DEUDOR]],0)</f>
        <v>0</v>
      </c>
      <c r="N1492" s="18">
        <f>IF((OR(tbal[[#This Row],[X]]=0,tbal[[#This Row],[X]]=5)),tbal[[#This Row],[ACREEDOR]],0)</f>
        <v>0</v>
      </c>
    </row>
    <row r="1493" spans="1:14" hidden="1" x14ac:dyDescent="0.3">
      <c r="A1493" s="14">
        <f>+'PLAN DE CUENTAS'!A1493</f>
        <v>0</v>
      </c>
      <c r="B1493" s="13">
        <f>+'PLAN DE CUENTAS'!B1493</f>
        <v>0</v>
      </c>
      <c r="C1493" s="13">
        <f>+'PLAN DE CUENTAS'!C1493</f>
        <v>0</v>
      </c>
      <c r="D1493" t="str">
        <f>IF(tbal[[#This Row],[DEBE]]+tbal[[#This Row],[HABER]]=0,"","X")</f>
        <v/>
      </c>
      <c r="E1493" s="16">
        <f>SUMIF(tdiario[CUENTA],tbal[[#This Row],[CUENTA]],tdiario[DEBE])</f>
        <v>0</v>
      </c>
      <c r="F1493" s="17">
        <f>SUMIF(tdiario[CUENTA],tbal[[#This Row],[CUENTA]],tdiario[HABER])</f>
        <v>0</v>
      </c>
      <c r="G1493" s="16">
        <f>IF(tbal[[#This Row],[DEBE]]-tbal[[#This Row],[HABER]]&gt;0,tbal[[#This Row],[DEBE]]-tbal[[#This Row],[HABER]],0)</f>
        <v>0</v>
      </c>
      <c r="H1493" s="18">
        <f>IF(tbal[[#This Row],[HABER]]-tbal[[#This Row],[DEBE]]&gt;0,tbal[[#This Row],[HABER]]-tbal[[#This Row],[DEBE]],0)</f>
        <v>0</v>
      </c>
      <c r="I1493" s="16">
        <f>IF((OR(tbal[[#This Row],[X]]=1,tbal[[#This Row],[X]]=2)),tbal[[#This Row],[DEUDOR]],0)</f>
        <v>0</v>
      </c>
      <c r="J1493" s="18">
        <f>IF((OR(tbal[[#This Row],[X]]=2,tbal[[#This Row],[X]]=3)),tbal[[#This Row],[ACREEDOR]],0)</f>
        <v>0</v>
      </c>
      <c r="K1493" s="16">
        <f>IF((OR(tbal[[#This Row],[X]]=3,tbal[[#This Row],[X]]=5)),tbal[[#This Row],[DEUDOR]],0)</f>
        <v>0</v>
      </c>
      <c r="L1493" s="18">
        <f>IF((OR(tbal[[#This Row],[X]]=3,tbal[[#This Row],[X]]=4)),tbal[[#This Row],[ACREEDOR]],0)</f>
        <v>0</v>
      </c>
      <c r="M1493" s="16">
        <f>IF((OR(tbal[[#This Row],[X]]=0,tbal[[#This Row],[X]]=6)),tbal[[#This Row],[DEUDOR]],0)</f>
        <v>0</v>
      </c>
      <c r="N1493" s="18">
        <f>IF((OR(tbal[[#This Row],[X]]=0,tbal[[#This Row],[X]]=5)),tbal[[#This Row],[ACREEDOR]],0)</f>
        <v>0</v>
      </c>
    </row>
    <row r="1494" spans="1:14" hidden="1" x14ac:dyDescent="0.3">
      <c r="A1494" s="14">
        <f>+'PLAN DE CUENTAS'!A1494</f>
        <v>0</v>
      </c>
      <c r="B1494" s="13">
        <f>+'PLAN DE CUENTAS'!B1494</f>
        <v>0</v>
      </c>
      <c r="C1494" s="13">
        <f>+'PLAN DE CUENTAS'!C1494</f>
        <v>0</v>
      </c>
      <c r="D1494" t="str">
        <f>IF(tbal[[#This Row],[DEBE]]+tbal[[#This Row],[HABER]]=0,"","X")</f>
        <v/>
      </c>
      <c r="E1494" s="16">
        <f>SUMIF(tdiario[CUENTA],tbal[[#This Row],[CUENTA]],tdiario[DEBE])</f>
        <v>0</v>
      </c>
      <c r="F1494" s="17">
        <f>SUMIF(tdiario[CUENTA],tbal[[#This Row],[CUENTA]],tdiario[HABER])</f>
        <v>0</v>
      </c>
      <c r="G1494" s="16">
        <f>IF(tbal[[#This Row],[DEBE]]-tbal[[#This Row],[HABER]]&gt;0,tbal[[#This Row],[DEBE]]-tbal[[#This Row],[HABER]],0)</f>
        <v>0</v>
      </c>
      <c r="H1494" s="18">
        <f>IF(tbal[[#This Row],[HABER]]-tbal[[#This Row],[DEBE]]&gt;0,tbal[[#This Row],[HABER]]-tbal[[#This Row],[DEBE]],0)</f>
        <v>0</v>
      </c>
      <c r="I1494" s="16">
        <f>IF((OR(tbal[[#This Row],[X]]=1,tbal[[#This Row],[X]]=2)),tbal[[#This Row],[DEUDOR]],0)</f>
        <v>0</v>
      </c>
      <c r="J1494" s="18">
        <f>IF((OR(tbal[[#This Row],[X]]=2,tbal[[#This Row],[X]]=3)),tbal[[#This Row],[ACREEDOR]],0)</f>
        <v>0</v>
      </c>
      <c r="K1494" s="16">
        <f>IF((OR(tbal[[#This Row],[X]]=3,tbal[[#This Row],[X]]=5)),tbal[[#This Row],[DEUDOR]],0)</f>
        <v>0</v>
      </c>
      <c r="L1494" s="18">
        <f>IF((OR(tbal[[#This Row],[X]]=3,tbal[[#This Row],[X]]=4)),tbal[[#This Row],[ACREEDOR]],0)</f>
        <v>0</v>
      </c>
      <c r="M1494" s="16">
        <f>IF((OR(tbal[[#This Row],[X]]=0,tbal[[#This Row],[X]]=6)),tbal[[#This Row],[DEUDOR]],0)</f>
        <v>0</v>
      </c>
      <c r="N1494" s="18">
        <f>IF((OR(tbal[[#This Row],[X]]=0,tbal[[#This Row],[X]]=5)),tbal[[#This Row],[ACREEDOR]],0)</f>
        <v>0</v>
      </c>
    </row>
    <row r="1495" spans="1:14" hidden="1" x14ac:dyDescent="0.3">
      <c r="A1495" s="14">
        <f>+'PLAN DE CUENTAS'!A1495</f>
        <v>0</v>
      </c>
      <c r="B1495" s="13">
        <f>+'PLAN DE CUENTAS'!B1495</f>
        <v>0</v>
      </c>
      <c r="C1495" s="13">
        <f>+'PLAN DE CUENTAS'!C1495</f>
        <v>0</v>
      </c>
      <c r="D1495" t="str">
        <f>IF(tbal[[#This Row],[DEBE]]+tbal[[#This Row],[HABER]]=0,"","X")</f>
        <v/>
      </c>
      <c r="E1495" s="16">
        <f>SUMIF(tdiario[CUENTA],tbal[[#This Row],[CUENTA]],tdiario[DEBE])</f>
        <v>0</v>
      </c>
      <c r="F1495" s="17">
        <f>SUMIF(tdiario[CUENTA],tbal[[#This Row],[CUENTA]],tdiario[HABER])</f>
        <v>0</v>
      </c>
      <c r="G1495" s="16">
        <f>IF(tbal[[#This Row],[DEBE]]-tbal[[#This Row],[HABER]]&gt;0,tbal[[#This Row],[DEBE]]-tbal[[#This Row],[HABER]],0)</f>
        <v>0</v>
      </c>
      <c r="H1495" s="18">
        <f>IF(tbal[[#This Row],[HABER]]-tbal[[#This Row],[DEBE]]&gt;0,tbal[[#This Row],[HABER]]-tbal[[#This Row],[DEBE]],0)</f>
        <v>0</v>
      </c>
      <c r="I1495" s="16">
        <f>IF((OR(tbal[[#This Row],[X]]=1,tbal[[#This Row],[X]]=2)),tbal[[#This Row],[DEUDOR]],0)</f>
        <v>0</v>
      </c>
      <c r="J1495" s="18">
        <f>IF((OR(tbal[[#This Row],[X]]=2,tbal[[#This Row],[X]]=3)),tbal[[#This Row],[ACREEDOR]],0)</f>
        <v>0</v>
      </c>
      <c r="K1495" s="16">
        <f>IF((OR(tbal[[#This Row],[X]]=3,tbal[[#This Row],[X]]=5)),tbal[[#This Row],[DEUDOR]],0)</f>
        <v>0</v>
      </c>
      <c r="L1495" s="18">
        <f>IF((OR(tbal[[#This Row],[X]]=3,tbal[[#This Row],[X]]=4)),tbal[[#This Row],[ACREEDOR]],0)</f>
        <v>0</v>
      </c>
      <c r="M1495" s="16">
        <f>IF((OR(tbal[[#This Row],[X]]=0,tbal[[#This Row],[X]]=6)),tbal[[#This Row],[DEUDOR]],0)</f>
        <v>0</v>
      </c>
      <c r="N1495" s="18">
        <f>IF((OR(tbal[[#This Row],[X]]=0,tbal[[#This Row],[X]]=5)),tbal[[#This Row],[ACREEDOR]],0)</f>
        <v>0</v>
      </c>
    </row>
    <row r="1496" spans="1:14" hidden="1" x14ac:dyDescent="0.3">
      <c r="A1496" s="14">
        <f>+'PLAN DE CUENTAS'!A1496</f>
        <v>0</v>
      </c>
      <c r="B1496" s="13">
        <f>+'PLAN DE CUENTAS'!B1496</f>
        <v>0</v>
      </c>
      <c r="C1496" s="13">
        <f>+'PLAN DE CUENTAS'!C1496</f>
        <v>0</v>
      </c>
      <c r="D1496" t="str">
        <f>IF(tbal[[#This Row],[DEBE]]+tbal[[#This Row],[HABER]]=0,"","X")</f>
        <v/>
      </c>
      <c r="E1496" s="16">
        <f>SUMIF(tdiario[CUENTA],tbal[[#This Row],[CUENTA]],tdiario[DEBE])</f>
        <v>0</v>
      </c>
      <c r="F1496" s="17">
        <f>SUMIF(tdiario[CUENTA],tbal[[#This Row],[CUENTA]],tdiario[HABER])</f>
        <v>0</v>
      </c>
      <c r="G1496" s="16">
        <f>IF(tbal[[#This Row],[DEBE]]-tbal[[#This Row],[HABER]]&gt;0,tbal[[#This Row],[DEBE]]-tbal[[#This Row],[HABER]],0)</f>
        <v>0</v>
      </c>
      <c r="H1496" s="18">
        <f>IF(tbal[[#This Row],[HABER]]-tbal[[#This Row],[DEBE]]&gt;0,tbal[[#This Row],[HABER]]-tbal[[#This Row],[DEBE]],0)</f>
        <v>0</v>
      </c>
      <c r="I1496" s="16">
        <f>IF((OR(tbal[[#This Row],[X]]=1,tbal[[#This Row],[X]]=2)),tbal[[#This Row],[DEUDOR]],0)</f>
        <v>0</v>
      </c>
      <c r="J1496" s="18">
        <f>IF((OR(tbal[[#This Row],[X]]=2,tbal[[#This Row],[X]]=3)),tbal[[#This Row],[ACREEDOR]],0)</f>
        <v>0</v>
      </c>
      <c r="K1496" s="16">
        <f>IF((OR(tbal[[#This Row],[X]]=3,tbal[[#This Row],[X]]=5)),tbal[[#This Row],[DEUDOR]],0)</f>
        <v>0</v>
      </c>
      <c r="L1496" s="18">
        <f>IF((OR(tbal[[#This Row],[X]]=3,tbal[[#This Row],[X]]=4)),tbal[[#This Row],[ACREEDOR]],0)</f>
        <v>0</v>
      </c>
      <c r="M1496" s="16">
        <f>IF((OR(tbal[[#This Row],[X]]=0,tbal[[#This Row],[X]]=6)),tbal[[#This Row],[DEUDOR]],0)</f>
        <v>0</v>
      </c>
      <c r="N1496" s="18">
        <f>IF((OR(tbal[[#This Row],[X]]=0,tbal[[#This Row],[X]]=5)),tbal[[#This Row],[ACREEDOR]],0)</f>
        <v>0</v>
      </c>
    </row>
    <row r="1497" spans="1:14" hidden="1" x14ac:dyDescent="0.3">
      <c r="A1497" s="14">
        <f>+'PLAN DE CUENTAS'!A1497</f>
        <v>0</v>
      </c>
      <c r="B1497" s="13">
        <f>+'PLAN DE CUENTAS'!B1497</f>
        <v>0</v>
      </c>
      <c r="C1497" s="13">
        <f>+'PLAN DE CUENTAS'!C1497</f>
        <v>0</v>
      </c>
      <c r="D1497" t="str">
        <f>IF(tbal[[#This Row],[DEBE]]+tbal[[#This Row],[HABER]]=0,"","X")</f>
        <v/>
      </c>
      <c r="E1497" s="16">
        <f>SUMIF(tdiario[CUENTA],tbal[[#This Row],[CUENTA]],tdiario[DEBE])</f>
        <v>0</v>
      </c>
      <c r="F1497" s="17">
        <f>SUMIF(tdiario[CUENTA],tbal[[#This Row],[CUENTA]],tdiario[HABER])</f>
        <v>0</v>
      </c>
      <c r="G1497" s="16">
        <f>IF(tbal[[#This Row],[DEBE]]-tbal[[#This Row],[HABER]]&gt;0,tbal[[#This Row],[DEBE]]-tbal[[#This Row],[HABER]],0)</f>
        <v>0</v>
      </c>
      <c r="H1497" s="18">
        <f>IF(tbal[[#This Row],[HABER]]-tbal[[#This Row],[DEBE]]&gt;0,tbal[[#This Row],[HABER]]-tbal[[#This Row],[DEBE]],0)</f>
        <v>0</v>
      </c>
      <c r="I1497" s="16">
        <f>IF((OR(tbal[[#This Row],[X]]=1,tbal[[#This Row],[X]]=2)),tbal[[#This Row],[DEUDOR]],0)</f>
        <v>0</v>
      </c>
      <c r="J1497" s="18">
        <f>IF((OR(tbal[[#This Row],[X]]=2,tbal[[#This Row],[X]]=3)),tbal[[#This Row],[ACREEDOR]],0)</f>
        <v>0</v>
      </c>
      <c r="K1497" s="16">
        <f>IF((OR(tbal[[#This Row],[X]]=3,tbal[[#This Row],[X]]=5)),tbal[[#This Row],[DEUDOR]],0)</f>
        <v>0</v>
      </c>
      <c r="L1497" s="18">
        <f>IF((OR(tbal[[#This Row],[X]]=3,tbal[[#This Row],[X]]=4)),tbal[[#This Row],[ACREEDOR]],0)</f>
        <v>0</v>
      </c>
      <c r="M1497" s="16">
        <f>IF((OR(tbal[[#This Row],[X]]=0,tbal[[#This Row],[X]]=6)),tbal[[#This Row],[DEUDOR]],0)</f>
        <v>0</v>
      </c>
      <c r="N1497" s="18">
        <f>IF((OR(tbal[[#This Row],[X]]=0,tbal[[#This Row],[X]]=5)),tbal[[#This Row],[ACREEDOR]],0)</f>
        <v>0</v>
      </c>
    </row>
    <row r="1498" spans="1:14" hidden="1" x14ac:dyDescent="0.3">
      <c r="A1498" s="14">
        <f>+'PLAN DE CUENTAS'!A1498</f>
        <v>0</v>
      </c>
      <c r="B1498" s="13">
        <f>+'PLAN DE CUENTAS'!B1498</f>
        <v>0</v>
      </c>
      <c r="C1498" s="13">
        <f>+'PLAN DE CUENTAS'!C1498</f>
        <v>0</v>
      </c>
      <c r="D1498" t="str">
        <f>IF(tbal[[#This Row],[DEBE]]+tbal[[#This Row],[HABER]]=0,"","X")</f>
        <v/>
      </c>
      <c r="E1498" s="16">
        <f>SUMIF(tdiario[CUENTA],tbal[[#This Row],[CUENTA]],tdiario[DEBE])</f>
        <v>0</v>
      </c>
      <c r="F1498" s="17">
        <f>SUMIF(tdiario[CUENTA],tbal[[#This Row],[CUENTA]],tdiario[HABER])</f>
        <v>0</v>
      </c>
      <c r="G1498" s="16">
        <f>IF(tbal[[#This Row],[DEBE]]-tbal[[#This Row],[HABER]]&gt;0,tbal[[#This Row],[DEBE]]-tbal[[#This Row],[HABER]],0)</f>
        <v>0</v>
      </c>
      <c r="H1498" s="18">
        <f>IF(tbal[[#This Row],[HABER]]-tbal[[#This Row],[DEBE]]&gt;0,tbal[[#This Row],[HABER]]-tbal[[#This Row],[DEBE]],0)</f>
        <v>0</v>
      </c>
      <c r="I1498" s="16">
        <f>IF((OR(tbal[[#This Row],[X]]=1,tbal[[#This Row],[X]]=2)),tbal[[#This Row],[DEUDOR]],0)</f>
        <v>0</v>
      </c>
      <c r="J1498" s="18">
        <f>IF((OR(tbal[[#This Row],[X]]=2,tbal[[#This Row],[X]]=3)),tbal[[#This Row],[ACREEDOR]],0)</f>
        <v>0</v>
      </c>
      <c r="K1498" s="16">
        <f>IF((OR(tbal[[#This Row],[X]]=3,tbal[[#This Row],[X]]=5)),tbal[[#This Row],[DEUDOR]],0)</f>
        <v>0</v>
      </c>
      <c r="L1498" s="18">
        <f>IF((OR(tbal[[#This Row],[X]]=3,tbal[[#This Row],[X]]=4)),tbal[[#This Row],[ACREEDOR]],0)</f>
        <v>0</v>
      </c>
      <c r="M1498" s="16">
        <f>IF((OR(tbal[[#This Row],[X]]=0,tbal[[#This Row],[X]]=6)),tbal[[#This Row],[DEUDOR]],0)</f>
        <v>0</v>
      </c>
      <c r="N1498" s="18">
        <f>IF((OR(tbal[[#This Row],[X]]=0,tbal[[#This Row],[X]]=5)),tbal[[#This Row],[ACREEDOR]],0)</f>
        <v>0</v>
      </c>
    </row>
    <row r="1499" spans="1:14" hidden="1" x14ac:dyDescent="0.3">
      <c r="A1499" s="14">
        <f>+'PLAN DE CUENTAS'!A1499</f>
        <v>0</v>
      </c>
      <c r="B1499" s="13">
        <f>+'PLAN DE CUENTAS'!B1499</f>
        <v>0</v>
      </c>
      <c r="C1499" s="13">
        <f>+'PLAN DE CUENTAS'!C1499</f>
        <v>0</v>
      </c>
      <c r="D1499" t="str">
        <f>IF(tbal[[#This Row],[DEBE]]+tbal[[#This Row],[HABER]]=0,"","X")</f>
        <v/>
      </c>
      <c r="E1499" s="16">
        <f>SUMIF(tdiario[CUENTA],tbal[[#This Row],[CUENTA]],tdiario[DEBE])</f>
        <v>0</v>
      </c>
      <c r="F1499" s="17">
        <f>SUMIF(tdiario[CUENTA],tbal[[#This Row],[CUENTA]],tdiario[HABER])</f>
        <v>0</v>
      </c>
      <c r="G1499" s="16">
        <f>IF(tbal[[#This Row],[DEBE]]-tbal[[#This Row],[HABER]]&gt;0,tbal[[#This Row],[DEBE]]-tbal[[#This Row],[HABER]],0)</f>
        <v>0</v>
      </c>
      <c r="H1499" s="18">
        <f>IF(tbal[[#This Row],[HABER]]-tbal[[#This Row],[DEBE]]&gt;0,tbal[[#This Row],[HABER]]-tbal[[#This Row],[DEBE]],0)</f>
        <v>0</v>
      </c>
      <c r="I1499" s="16">
        <f>IF((OR(tbal[[#This Row],[X]]=1,tbal[[#This Row],[X]]=2)),tbal[[#This Row],[DEUDOR]],0)</f>
        <v>0</v>
      </c>
      <c r="J1499" s="18">
        <f>IF((OR(tbal[[#This Row],[X]]=2,tbal[[#This Row],[X]]=3)),tbal[[#This Row],[ACREEDOR]],0)</f>
        <v>0</v>
      </c>
      <c r="K1499" s="16">
        <f>IF((OR(tbal[[#This Row],[X]]=3,tbal[[#This Row],[X]]=5)),tbal[[#This Row],[DEUDOR]],0)</f>
        <v>0</v>
      </c>
      <c r="L1499" s="18">
        <f>IF((OR(tbal[[#This Row],[X]]=3,tbal[[#This Row],[X]]=4)),tbal[[#This Row],[ACREEDOR]],0)</f>
        <v>0</v>
      </c>
      <c r="M1499" s="16">
        <f>IF((OR(tbal[[#This Row],[X]]=0,tbal[[#This Row],[X]]=6)),tbal[[#This Row],[DEUDOR]],0)</f>
        <v>0</v>
      </c>
      <c r="N1499" s="18">
        <f>IF((OR(tbal[[#This Row],[X]]=0,tbal[[#This Row],[X]]=5)),tbal[[#This Row],[ACREEDOR]],0)</f>
        <v>0</v>
      </c>
    </row>
    <row r="1500" spans="1:14" hidden="1" x14ac:dyDescent="0.3">
      <c r="A1500" s="14">
        <f>+'PLAN DE CUENTAS'!A1500</f>
        <v>0</v>
      </c>
      <c r="B1500" s="13">
        <f>+'PLAN DE CUENTAS'!B1500</f>
        <v>0</v>
      </c>
      <c r="C1500" s="13">
        <f>+'PLAN DE CUENTAS'!C1500</f>
        <v>0</v>
      </c>
      <c r="D1500" t="str">
        <f>IF(tbal[[#This Row],[DEBE]]+tbal[[#This Row],[HABER]]=0,"","X")</f>
        <v/>
      </c>
      <c r="E1500" s="16">
        <f>SUMIF(tdiario[CUENTA],tbal[[#This Row],[CUENTA]],tdiario[DEBE])</f>
        <v>0</v>
      </c>
      <c r="F1500" s="17">
        <f>SUMIF(tdiario[CUENTA],tbal[[#This Row],[CUENTA]],tdiario[HABER])</f>
        <v>0</v>
      </c>
      <c r="G1500" s="16">
        <f>IF(tbal[[#This Row],[DEBE]]-tbal[[#This Row],[HABER]]&gt;0,tbal[[#This Row],[DEBE]]-tbal[[#This Row],[HABER]],0)</f>
        <v>0</v>
      </c>
      <c r="H1500" s="18">
        <f>IF(tbal[[#This Row],[HABER]]-tbal[[#This Row],[DEBE]]&gt;0,tbal[[#This Row],[HABER]]-tbal[[#This Row],[DEBE]],0)</f>
        <v>0</v>
      </c>
      <c r="I1500" s="16">
        <f>IF((OR(tbal[[#This Row],[X]]=1,tbal[[#This Row],[X]]=2)),tbal[[#This Row],[DEUDOR]],0)</f>
        <v>0</v>
      </c>
      <c r="J1500" s="18">
        <f>IF((OR(tbal[[#This Row],[X]]=2,tbal[[#This Row],[X]]=3)),tbal[[#This Row],[ACREEDOR]],0)</f>
        <v>0</v>
      </c>
      <c r="K1500" s="16">
        <f>IF((OR(tbal[[#This Row],[X]]=3,tbal[[#This Row],[X]]=5)),tbal[[#This Row],[DEUDOR]],0)</f>
        <v>0</v>
      </c>
      <c r="L1500" s="18">
        <f>IF((OR(tbal[[#This Row],[X]]=3,tbal[[#This Row],[X]]=4)),tbal[[#This Row],[ACREEDOR]],0)</f>
        <v>0</v>
      </c>
      <c r="M1500" s="16">
        <f>IF((OR(tbal[[#This Row],[X]]=0,tbal[[#This Row],[X]]=6)),tbal[[#This Row],[DEUDOR]],0)</f>
        <v>0</v>
      </c>
      <c r="N1500" s="18">
        <f>IF((OR(tbal[[#This Row],[X]]=0,tbal[[#This Row],[X]]=5)),tbal[[#This Row],[ACREEDOR]],0)</f>
        <v>0</v>
      </c>
    </row>
    <row r="1501" spans="1:14" hidden="1" x14ac:dyDescent="0.3">
      <c r="A1501" s="14">
        <f>+'PLAN DE CUENTAS'!A1501</f>
        <v>0</v>
      </c>
      <c r="B1501" s="13">
        <f>+'PLAN DE CUENTAS'!B1501</f>
        <v>0</v>
      </c>
      <c r="C1501" s="13">
        <f>+'PLAN DE CUENTAS'!C1501</f>
        <v>0</v>
      </c>
      <c r="D1501" t="str">
        <f>IF(tbal[[#This Row],[DEBE]]+tbal[[#This Row],[HABER]]=0,"","X")</f>
        <v/>
      </c>
      <c r="E1501" s="16">
        <f>SUMIF(tdiario[CUENTA],tbal[[#This Row],[CUENTA]],tdiario[DEBE])</f>
        <v>0</v>
      </c>
      <c r="F1501" s="17">
        <f>SUMIF(tdiario[CUENTA],tbal[[#This Row],[CUENTA]],tdiario[HABER])</f>
        <v>0</v>
      </c>
      <c r="G1501" s="16">
        <f>IF(tbal[[#This Row],[DEBE]]-tbal[[#This Row],[HABER]]&gt;0,tbal[[#This Row],[DEBE]]-tbal[[#This Row],[HABER]],0)</f>
        <v>0</v>
      </c>
      <c r="H1501" s="18">
        <f>IF(tbal[[#This Row],[HABER]]-tbal[[#This Row],[DEBE]]&gt;0,tbal[[#This Row],[HABER]]-tbal[[#This Row],[DEBE]],0)</f>
        <v>0</v>
      </c>
      <c r="I1501" s="16">
        <f>IF((OR(tbal[[#This Row],[X]]=1,tbal[[#This Row],[X]]=2)),tbal[[#This Row],[DEUDOR]],0)</f>
        <v>0</v>
      </c>
      <c r="J1501" s="18">
        <f>IF((OR(tbal[[#This Row],[X]]=2,tbal[[#This Row],[X]]=3)),tbal[[#This Row],[ACREEDOR]],0)</f>
        <v>0</v>
      </c>
      <c r="K1501" s="16">
        <f>IF((OR(tbal[[#This Row],[X]]=3,tbal[[#This Row],[X]]=5)),tbal[[#This Row],[DEUDOR]],0)</f>
        <v>0</v>
      </c>
      <c r="L1501" s="18">
        <f>IF((OR(tbal[[#This Row],[X]]=3,tbal[[#This Row],[X]]=4)),tbal[[#This Row],[ACREEDOR]],0)</f>
        <v>0</v>
      </c>
      <c r="M1501" s="16">
        <f>IF((OR(tbal[[#This Row],[X]]=0,tbal[[#This Row],[X]]=6)),tbal[[#This Row],[DEUDOR]],0)</f>
        <v>0</v>
      </c>
      <c r="N1501" s="18">
        <f>IF((OR(tbal[[#This Row],[X]]=0,tbal[[#This Row],[X]]=5)),tbal[[#This Row],[ACREEDOR]],0)</f>
        <v>0</v>
      </c>
    </row>
    <row r="1502" spans="1:14" hidden="1" x14ac:dyDescent="0.3">
      <c r="A1502" s="14">
        <f>+'PLAN DE CUENTAS'!A1502</f>
        <v>0</v>
      </c>
      <c r="B1502" s="13">
        <f>+'PLAN DE CUENTAS'!B1502</f>
        <v>0</v>
      </c>
      <c r="C1502" s="13">
        <f>+'PLAN DE CUENTAS'!C1502</f>
        <v>0</v>
      </c>
      <c r="D1502" t="str">
        <f>IF(tbal[[#This Row],[DEBE]]+tbal[[#This Row],[HABER]]=0,"","X")</f>
        <v/>
      </c>
      <c r="E1502" s="16">
        <f>SUMIF(tdiario[CUENTA],tbal[[#This Row],[CUENTA]],tdiario[DEBE])</f>
        <v>0</v>
      </c>
      <c r="F1502" s="17">
        <f>SUMIF(tdiario[CUENTA],tbal[[#This Row],[CUENTA]],tdiario[HABER])</f>
        <v>0</v>
      </c>
      <c r="G1502" s="16">
        <f>IF(tbal[[#This Row],[DEBE]]-tbal[[#This Row],[HABER]]&gt;0,tbal[[#This Row],[DEBE]]-tbal[[#This Row],[HABER]],0)</f>
        <v>0</v>
      </c>
      <c r="H1502" s="18">
        <f>IF(tbal[[#This Row],[HABER]]-tbal[[#This Row],[DEBE]]&gt;0,tbal[[#This Row],[HABER]]-tbal[[#This Row],[DEBE]],0)</f>
        <v>0</v>
      </c>
      <c r="I1502" s="16">
        <f>IF((OR(tbal[[#This Row],[X]]=1,tbal[[#This Row],[X]]=2)),tbal[[#This Row],[DEUDOR]],0)</f>
        <v>0</v>
      </c>
      <c r="J1502" s="18">
        <f>IF((OR(tbal[[#This Row],[X]]=2,tbal[[#This Row],[X]]=3)),tbal[[#This Row],[ACREEDOR]],0)</f>
        <v>0</v>
      </c>
      <c r="K1502" s="16">
        <f>IF((OR(tbal[[#This Row],[X]]=3,tbal[[#This Row],[X]]=5)),tbal[[#This Row],[DEUDOR]],0)</f>
        <v>0</v>
      </c>
      <c r="L1502" s="18">
        <f>IF((OR(tbal[[#This Row],[X]]=3,tbal[[#This Row],[X]]=4)),tbal[[#This Row],[ACREEDOR]],0)</f>
        <v>0</v>
      </c>
      <c r="M1502" s="16">
        <f>IF((OR(tbal[[#This Row],[X]]=0,tbal[[#This Row],[X]]=6)),tbal[[#This Row],[DEUDOR]],0)</f>
        <v>0</v>
      </c>
      <c r="N1502" s="18">
        <f>IF((OR(tbal[[#This Row],[X]]=0,tbal[[#This Row],[X]]=5)),tbal[[#This Row],[ACREEDOR]],0)</f>
        <v>0</v>
      </c>
    </row>
    <row r="1503" spans="1:14" hidden="1" x14ac:dyDescent="0.3">
      <c r="A1503" s="14">
        <f>+'PLAN DE CUENTAS'!A1503</f>
        <v>0</v>
      </c>
      <c r="B1503" s="13">
        <f>+'PLAN DE CUENTAS'!B1503</f>
        <v>0</v>
      </c>
      <c r="C1503" s="13">
        <f>+'PLAN DE CUENTAS'!C1503</f>
        <v>0</v>
      </c>
      <c r="D1503" t="str">
        <f>IF(tbal[[#This Row],[DEBE]]+tbal[[#This Row],[HABER]]=0,"","X")</f>
        <v/>
      </c>
      <c r="E1503" s="16">
        <f>SUMIF(tdiario[CUENTA],tbal[[#This Row],[CUENTA]],tdiario[DEBE])</f>
        <v>0</v>
      </c>
      <c r="F1503" s="17">
        <f>SUMIF(tdiario[CUENTA],tbal[[#This Row],[CUENTA]],tdiario[HABER])</f>
        <v>0</v>
      </c>
      <c r="G1503" s="16">
        <f>IF(tbal[[#This Row],[DEBE]]-tbal[[#This Row],[HABER]]&gt;0,tbal[[#This Row],[DEBE]]-tbal[[#This Row],[HABER]],0)</f>
        <v>0</v>
      </c>
      <c r="H1503" s="18">
        <f>IF(tbal[[#This Row],[HABER]]-tbal[[#This Row],[DEBE]]&gt;0,tbal[[#This Row],[HABER]]-tbal[[#This Row],[DEBE]],0)</f>
        <v>0</v>
      </c>
      <c r="I1503" s="16">
        <f>IF((OR(tbal[[#This Row],[X]]=1,tbal[[#This Row],[X]]=2)),tbal[[#This Row],[DEUDOR]],0)</f>
        <v>0</v>
      </c>
      <c r="J1503" s="18">
        <f>IF((OR(tbal[[#This Row],[X]]=2,tbal[[#This Row],[X]]=3)),tbal[[#This Row],[ACREEDOR]],0)</f>
        <v>0</v>
      </c>
      <c r="K1503" s="16">
        <f>IF((OR(tbal[[#This Row],[X]]=3,tbal[[#This Row],[X]]=5)),tbal[[#This Row],[DEUDOR]],0)</f>
        <v>0</v>
      </c>
      <c r="L1503" s="18">
        <f>IF((OR(tbal[[#This Row],[X]]=3,tbal[[#This Row],[X]]=4)),tbal[[#This Row],[ACREEDOR]],0)</f>
        <v>0</v>
      </c>
      <c r="M1503" s="16">
        <f>IF((OR(tbal[[#This Row],[X]]=0,tbal[[#This Row],[X]]=6)),tbal[[#This Row],[DEUDOR]],0)</f>
        <v>0</v>
      </c>
      <c r="N1503" s="18">
        <f>IF((OR(tbal[[#This Row],[X]]=0,tbal[[#This Row],[X]]=5)),tbal[[#This Row],[ACREEDOR]],0)</f>
        <v>0</v>
      </c>
    </row>
    <row r="1504" spans="1:14" hidden="1" x14ac:dyDescent="0.3">
      <c r="A1504" s="14">
        <f>+'PLAN DE CUENTAS'!A1504</f>
        <v>0</v>
      </c>
      <c r="B1504" s="13">
        <f>+'PLAN DE CUENTAS'!B1504</f>
        <v>0</v>
      </c>
      <c r="C1504" s="13">
        <f>+'PLAN DE CUENTAS'!C1504</f>
        <v>0</v>
      </c>
      <c r="D1504" t="str">
        <f>IF(tbal[[#This Row],[DEBE]]+tbal[[#This Row],[HABER]]=0,"","X")</f>
        <v/>
      </c>
      <c r="E1504" s="16">
        <f>SUMIF(tdiario[CUENTA],tbal[[#This Row],[CUENTA]],tdiario[DEBE])</f>
        <v>0</v>
      </c>
      <c r="F1504" s="17">
        <f>SUMIF(tdiario[CUENTA],tbal[[#This Row],[CUENTA]],tdiario[HABER])</f>
        <v>0</v>
      </c>
      <c r="G1504" s="16">
        <f>IF(tbal[[#This Row],[DEBE]]-tbal[[#This Row],[HABER]]&gt;0,tbal[[#This Row],[DEBE]]-tbal[[#This Row],[HABER]],0)</f>
        <v>0</v>
      </c>
      <c r="H1504" s="18">
        <f>IF(tbal[[#This Row],[HABER]]-tbal[[#This Row],[DEBE]]&gt;0,tbal[[#This Row],[HABER]]-tbal[[#This Row],[DEBE]],0)</f>
        <v>0</v>
      </c>
      <c r="I1504" s="16">
        <f>IF((OR(tbal[[#This Row],[X]]=1,tbal[[#This Row],[X]]=2)),tbal[[#This Row],[DEUDOR]],0)</f>
        <v>0</v>
      </c>
      <c r="J1504" s="18">
        <f>IF((OR(tbal[[#This Row],[X]]=2,tbal[[#This Row],[X]]=3)),tbal[[#This Row],[ACREEDOR]],0)</f>
        <v>0</v>
      </c>
      <c r="K1504" s="16">
        <f>IF((OR(tbal[[#This Row],[X]]=3,tbal[[#This Row],[X]]=5)),tbal[[#This Row],[DEUDOR]],0)</f>
        <v>0</v>
      </c>
      <c r="L1504" s="18">
        <f>IF((OR(tbal[[#This Row],[X]]=3,tbal[[#This Row],[X]]=4)),tbal[[#This Row],[ACREEDOR]],0)</f>
        <v>0</v>
      </c>
      <c r="M1504" s="16">
        <f>IF((OR(tbal[[#This Row],[X]]=0,tbal[[#This Row],[X]]=6)),tbal[[#This Row],[DEUDOR]],0)</f>
        <v>0</v>
      </c>
      <c r="N1504" s="18">
        <f>IF((OR(tbal[[#This Row],[X]]=0,tbal[[#This Row],[X]]=5)),tbal[[#This Row],[ACREEDOR]],0)</f>
        <v>0</v>
      </c>
    </row>
    <row r="1505" spans="1:14" hidden="1" x14ac:dyDescent="0.3">
      <c r="A1505" s="14">
        <f>+'PLAN DE CUENTAS'!A1505</f>
        <v>0</v>
      </c>
      <c r="B1505" s="13">
        <f>+'PLAN DE CUENTAS'!B1505</f>
        <v>0</v>
      </c>
      <c r="C1505" s="13">
        <f>+'PLAN DE CUENTAS'!C1505</f>
        <v>0</v>
      </c>
      <c r="D1505" t="str">
        <f>IF(tbal[[#This Row],[DEBE]]+tbal[[#This Row],[HABER]]=0,"","X")</f>
        <v/>
      </c>
      <c r="E1505" s="16">
        <f>SUMIF(tdiario[CUENTA],tbal[[#This Row],[CUENTA]],tdiario[DEBE])</f>
        <v>0</v>
      </c>
      <c r="F1505" s="17">
        <f>SUMIF(tdiario[CUENTA],tbal[[#This Row],[CUENTA]],tdiario[HABER])</f>
        <v>0</v>
      </c>
      <c r="G1505" s="16">
        <f>IF(tbal[[#This Row],[DEBE]]-tbal[[#This Row],[HABER]]&gt;0,tbal[[#This Row],[DEBE]]-tbal[[#This Row],[HABER]],0)</f>
        <v>0</v>
      </c>
      <c r="H1505" s="18">
        <f>IF(tbal[[#This Row],[HABER]]-tbal[[#This Row],[DEBE]]&gt;0,tbal[[#This Row],[HABER]]-tbal[[#This Row],[DEBE]],0)</f>
        <v>0</v>
      </c>
      <c r="I1505" s="16">
        <f>IF((OR(tbal[[#This Row],[X]]=1,tbal[[#This Row],[X]]=2)),tbal[[#This Row],[DEUDOR]],0)</f>
        <v>0</v>
      </c>
      <c r="J1505" s="18">
        <f>IF((OR(tbal[[#This Row],[X]]=2,tbal[[#This Row],[X]]=3)),tbal[[#This Row],[ACREEDOR]],0)</f>
        <v>0</v>
      </c>
      <c r="K1505" s="16">
        <f>IF((OR(tbal[[#This Row],[X]]=3,tbal[[#This Row],[X]]=5)),tbal[[#This Row],[DEUDOR]],0)</f>
        <v>0</v>
      </c>
      <c r="L1505" s="18">
        <f>IF((OR(tbal[[#This Row],[X]]=3,tbal[[#This Row],[X]]=4)),tbal[[#This Row],[ACREEDOR]],0)</f>
        <v>0</v>
      </c>
      <c r="M1505" s="16">
        <f>IF((OR(tbal[[#This Row],[X]]=0,tbal[[#This Row],[X]]=6)),tbal[[#This Row],[DEUDOR]],0)</f>
        <v>0</v>
      </c>
      <c r="N1505" s="18">
        <f>IF((OR(tbal[[#This Row],[X]]=0,tbal[[#This Row],[X]]=5)),tbal[[#This Row],[ACREEDOR]],0)</f>
        <v>0</v>
      </c>
    </row>
    <row r="1506" spans="1:14" hidden="1" x14ac:dyDescent="0.3">
      <c r="A1506" s="14">
        <f>+'PLAN DE CUENTAS'!A1506</f>
        <v>0</v>
      </c>
      <c r="B1506" s="13">
        <f>+'PLAN DE CUENTAS'!B1506</f>
        <v>0</v>
      </c>
      <c r="C1506" s="13">
        <f>+'PLAN DE CUENTAS'!C1506</f>
        <v>0</v>
      </c>
      <c r="D1506" t="str">
        <f>IF(tbal[[#This Row],[DEBE]]+tbal[[#This Row],[HABER]]=0,"","X")</f>
        <v/>
      </c>
      <c r="E1506" s="16">
        <f>SUMIF(tdiario[CUENTA],tbal[[#This Row],[CUENTA]],tdiario[DEBE])</f>
        <v>0</v>
      </c>
      <c r="F1506" s="17">
        <f>SUMIF(tdiario[CUENTA],tbal[[#This Row],[CUENTA]],tdiario[HABER])</f>
        <v>0</v>
      </c>
      <c r="G1506" s="16">
        <f>IF(tbal[[#This Row],[DEBE]]-tbal[[#This Row],[HABER]]&gt;0,tbal[[#This Row],[DEBE]]-tbal[[#This Row],[HABER]],0)</f>
        <v>0</v>
      </c>
      <c r="H1506" s="18">
        <f>IF(tbal[[#This Row],[HABER]]-tbal[[#This Row],[DEBE]]&gt;0,tbal[[#This Row],[HABER]]-tbal[[#This Row],[DEBE]],0)</f>
        <v>0</v>
      </c>
      <c r="I1506" s="16">
        <f>IF((OR(tbal[[#This Row],[X]]=1,tbal[[#This Row],[X]]=2)),tbal[[#This Row],[DEUDOR]],0)</f>
        <v>0</v>
      </c>
      <c r="J1506" s="18">
        <f>IF((OR(tbal[[#This Row],[X]]=2,tbal[[#This Row],[X]]=3)),tbal[[#This Row],[ACREEDOR]],0)</f>
        <v>0</v>
      </c>
      <c r="K1506" s="16">
        <f>IF((OR(tbal[[#This Row],[X]]=3,tbal[[#This Row],[X]]=5)),tbal[[#This Row],[DEUDOR]],0)</f>
        <v>0</v>
      </c>
      <c r="L1506" s="18">
        <f>IF((OR(tbal[[#This Row],[X]]=3,tbal[[#This Row],[X]]=4)),tbal[[#This Row],[ACREEDOR]],0)</f>
        <v>0</v>
      </c>
      <c r="M1506" s="16">
        <f>IF((OR(tbal[[#This Row],[X]]=0,tbal[[#This Row],[X]]=6)),tbal[[#This Row],[DEUDOR]],0)</f>
        <v>0</v>
      </c>
      <c r="N1506" s="18">
        <f>IF((OR(tbal[[#This Row],[X]]=0,tbal[[#This Row],[X]]=5)),tbal[[#This Row],[ACREEDOR]],0)</f>
        <v>0</v>
      </c>
    </row>
    <row r="1507" spans="1:14" hidden="1" x14ac:dyDescent="0.3">
      <c r="A1507" s="14">
        <f>+'PLAN DE CUENTAS'!A1507</f>
        <v>0</v>
      </c>
      <c r="B1507" s="13">
        <f>+'PLAN DE CUENTAS'!B1507</f>
        <v>0</v>
      </c>
      <c r="C1507" s="13">
        <f>+'PLAN DE CUENTAS'!C1507</f>
        <v>0</v>
      </c>
      <c r="D1507" t="str">
        <f>IF(tbal[[#This Row],[DEBE]]+tbal[[#This Row],[HABER]]=0,"","X")</f>
        <v/>
      </c>
      <c r="E1507" s="16">
        <f>SUMIF(tdiario[CUENTA],tbal[[#This Row],[CUENTA]],tdiario[DEBE])</f>
        <v>0</v>
      </c>
      <c r="F1507" s="17">
        <f>SUMIF(tdiario[CUENTA],tbal[[#This Row],[CUENTA]],tdiario[HABER])</f>
        <v>0</v>
      </c>
      <c r="G1507" s="16">
        <f>IF(tbal[[#This Row],[DEBE]]-tbal[[#This Row],[HABER]]&gt;0,tbal[[#This Row],[DEBE]]-tbal[[#This Row],[HABER]],0)</f>
        <v>0</v>
      </c>
      <c r="H1507" s="18">
        <f>IF(tbal[[#This Row],[HABER]]-tbal[[#This Row],[DEBE]]&gt;0,tbal[[#This Row],[HABER]]-tbal[[#This Row],[DEBE]],0)</f>
        <v>0</v>
      </c>
      <c r="I1507" s="16">
        <f>IF((OR(tbal[[#This Row],[X]]=1,tbal[[#This Row],[X]]=2)),tbal[[#This Row],[DEUDOR]],0)</f>
        <v>0</v>
      </c>
      <c r="J1507" s="18">
        <f>IF((OR(tbal[[#This Row],[X]]=2,tbal[[#This Row],[X]]=3)),tbal[[#This Row],[ACREEDOR]],0)</f>
        <v>0</v>
      </c>
      <c r="K1507" s="16">
        <f>IF((OR(tbal[[#This Row],[X]]=3,tbal[[#This Row],[X]]=5)),tbal[[#This Row],[DEUDOR]],0)</f>
        <v>0</v>
      </c>
      <c r="L1507" s="18">
        <f>IF((OR(tbal[[#This Row],[X]]=3,tbal[[#This Row],[X]]=4)),tbal[[#This Row],[ACREEDOR]],0)</f>
        <v>0</v>
      </c>
      <c r="M1507" s="16">
        <f>IF((OR(tbal[[#This Row],[X]]=0,tbal[[#This Row],[X]]=6)),tbal[[#This Row],[DEUDOR]],0)</f>
        <v>0</v>
      </c>
      <c r="N1507" s="18">
        <f>IF((OR(tbal[[#This Row],[X]]=0,tbal[[#This Row],[X]]=5)),tbal[[#This Row],[ACREEDOR]],0)</f>
        <v>0</v>
      </c>
    </row>
    <row r="1508" spans="1:14" hidden="1" x14ac:dyDescent="0.3">
      <c r="A1508" s="14">
        <f>+'PLAN DE CUENTAS'!A1508</f>
        <v>0</v>
      </c>
      <c r="B1508" s="13">
        <f>+'PLAN DE CUENTAS'!B1508</f>
        <v>0</v>
      </c>
      <c r="C1508" s="13">
        <f>+'PLAN DE CUENTAS'!C1508</f>
        <v>0</v>
      </c>
      <c r="D1508" t="str">
        <f>IF(tbal[[#This Row],[DEBE]]+tbal[[#This Row],[HABER]]=0,"","X")</f>
        <v/>
      </c>
      <c r="E1508" s="16">
        <f>SUMIF(tdiario[CUENTA],tbal[[#This Row],[CUENTA]],tdiario[DEBE])</f>
        <v>0</v>
      </c>
      <c r="F1508" s="17">
        <f>SUMIF(tdiario[CUENTA],tbal[[#This Row],[CUENTA]],tdiario[HABER])</f>
        <v>0</v>
      </c>
      <c r="G1508" s="16">
        <f>IF(tbal[[#This Row],[DEBE]]-tbal[[#This Row],[HABER]]&gt;0,tbal[[#This Row],[DEBE]]-tbal[[#This Row],[HABER]],0)</f>
        <v>0</v>
      </c>
      <c r="H1508" s="18">
        <f>IF(tbal[[#This Row],[HABER]]-tbal[[#This Row],[DEBE]]&gt;0,tbal[[#This Row],[HABER]]-tbal[[#This Row],[DEBE]],0)</f>
        <v>0</v>
      </c>
      <c r="I1508" s="16">
        <f>IF((OR(tbal[[#This Row],[X]]=1,tbal[[#This Row],[X]]=2)),tbal[[#This Row],[DEUDOR]],0)</f>
        <v>0</v>
      </c>
      <c r="J1508" s="18">
        <f>IF((OR(tbal[[#This Row],[X]]=2,tbal[[#This Row],[X]]=3)),tbal[[#This Row],[ACREEDOR]],0)</f>
        <v>0</v>
      </c>
      <c r="K1508" s="16">
        <f>IF((OR(tbal[[#This Row],[X]]=3,tbal[[#This Row],[X]]=5)),tbal[[#This Row],[DEUDOR]],0)</f>
        <v>0</v>
      </c>
      <c r="L1508" s="18">
        <f>IF((OR(tbal[[#This Row],[X]]=3,tbal[[#This Row],[X]]=4)),tbal[[#This Row],[ACREEDOR]],0)</f>
        <v>0</v>
      </c>
      <c r="M1508" s="16">
        <f>IF((OR(tbal[[#This Row],[X]]=0,tbal[[#This Row],[X]]=6)),tbal[[#This Row],[DEUDOR]],0)</f>
        <v>0</v>
      </c>
      <c r="N1508" s="18">
        <f>IF((OR(tbal[[#This Row],[X]]=0,tbal[[#This Row],[X]]=5)),tbal[[#This Row],[ACREEDOR]],0)</f>
        <v>0</v>
      </c>
    </row>
    <row r="1509" spans="1:14" hidden="1" x14ac:dyDescent="0.3">
      <c r="A1509" s="14">
        <f>+'PLAN DE CUENTAS'!A1509</f>
        <v>0</v>
      </c>
      <c r="B1509" s="13">
        <f>+'PLAN DE CUENTAS'!B1509</f>
        <v>0</v>
      </c>
      <c r="C1509" s="13">
        <f>+'PLAN DE CUENTAS'!C1509</f>
        <v>0</v>
      </c>
      <c r="D1509" t="str">
        <f>IF(tbal[[#This Row],[DEBE]]+tbal[[#This Row],[HABER]]=0,"","X")</f>
        <v/>
      </c>
      <c r="E1509" s="16">
        <f>SUMIF(tdiario[CUENTA],tbal[[#This Row],[CUENTA]],tdiario[DEBE])</f>
        <v>0</v>
      </c>
      <c r="F1509" s="17">
        <f>SUMIF(tdiario[CUENTA],tbal[[#This Row],[CUENTA]],tdiario[HABER])</f>
        <v>0</v>
      </c>
      <c r="G1509" s="16">
        <f>IF(tbal[[#This Row],[DEBE]]-tbal[[#This Row],[HABER]]&gt;0,tbal[[#This Row],[DEBE]]-tbal[[#This Row],[HABER]],0)</f>
        <v>0</v>
      </c>
      <c r="H1509" s="18">
        <f>IF(tbal[[#This Row],[HABER]]-tbal[[#This Row],[DEBE]]&gt;0,tbal[[#This Row],[HABER]]-tbal[[#This Row],[DEBE]],0)</f>
        <v>0</v>
      </c>
      <c r="I1509" s="16">
        <f>IF((OR(tbal[[#This Row],[X]]=1,tbal[[#This Row],[X]]=2)),tbal[[#This Row],[DEUDOR]],0)</f>
        <v>0</v>
      </c>
      <c r="J1509" s="18">
        <f>IF((OR(tbal[[#This Row],[X]]=2,tbal[[#This Row],[X]]=3)),tbal[[#This Row],[ACREEDOR]],0)</f>
        <v>0</v>
      </c>
      <c r="K1509" s="16">
        <f>IF((OR(tbal[[#This Row],[X]]=3,tbal[[#This Row],[X]]=5)),tbal[[#This Row],[DEUDOR]],0)</f>
        <v>0</v>
      </c>
      <c r="L1509" s="18">
        <f>IF((OR(tbal[[#This Row],[X]]=3,tbal[[#This Row],[X]]=4)),tbal[[#This Row],[ACREEDOR]],0)</f>
        <v>0</v>
      </c>
      <c r="M1509" s="16">
        <f>IF((OR(tbal[[#This Row],[X]]=0,tbal[[#This Row],[X]]=6)),tbal[[#This Row],[DEUDOR]],0)</f>
        <v>0</v>
      </c>
      <c r="N1509" s="18">
        <f>IF((OR(tbal[[#This Row],[X]]=0,tbal[[#This Row],[X]]=5)),tbal[[#This Row],[ACREEDOR]],0)</f>
        <v>0</v>
      </c>
    </row>
    <row r="1510" spans="1:14" hidden="1" x14ac:dyDescent="0.3">
      <c r="A1510" s="14">
        <f>+'PLAN DE CUENTAS'!A1510</f>
        <v>0</v>
      </c>
      <c r="B1510" s="13">
        <f>+'PLAN DE CUENTAS'!B1510</f>
        <v>0</v>
      </c>
      <c r="C1510" s="13">
        <f>+'PLAN DE CUENTAS'!C1510</f>
        <v>0</v>
      </c>
      <c r="D1510" t="str">
        <f>IF(tbal[[#This Row],[DEBE]]+tbal[[#This Row],[HABER]]=0,"","X")</f>
        <v/>
      </c>
      <c r="E1510" s="16">
        <f>SUMIF(tdiario[CUENTA],tbal[[#This Row],[CUENTA]],tdiario[DEBE])</f>
        <v>0</v>
      </c>
      <c r="F1510" s="17">
        <f>SUMIF(tdiario[CUENTA],tbal[[#This Row],[CUENTA]],tdiario[HABER])</f>
        <v>0</v>
      </c>
      <c r="G1510" s="16">
        <f>IF(tbal[[#This Row],[DEBE]]-tbal[[#This Row],[HABER]]&gt;0,tbal[[#This Row],[DEBE]]-tbal[[#This Row],[HABER]],0)</f>
        <v>0</v>
      </c>
      <c r="H1510" s="18">
        <f>IF(tbal[[#This Row],[HABER]]-tbal[[#This Row],[DEBE]]&gt;0,tbal[[#This Row],[HABER]]-tbal[[#This Row],[DEBE]],0)</f>
        <v>0</v>
      </c>
      <c r="I1510" s="16">
        <f>IF((OR(tbal[[#This Row],[X]]=1,tbal[[#This Row],[X]]=2)),tbal[[#This Row],[DEUDOR]],0)</f>
        <v>0</v>
      </c>
      <c r="J1510" s="18">
        <f>IF((OR(tbal[[#This Row],[X]]=2,tbal[[#This Row],[X]]=3)),tbal[[#This Row],[ACREEDOR]],0)</f>
        <v>0</v>
      </c>
      <c r="K1510" s="16">
        <f>IF((OR(tbal[[#This Row],[X]]=3,tbal[[#This Row],[X]]=5)),tbal[[#This Row],[DEUDOR]],0)</f>
        <v>0</v>
      </c>
      <c r="L1510" s="18">
        <f>IF((OR(tbal[[#This Row],[X]]=3,tbal[[#This Row],[X]]=4)),tbal[[#This Row],[ACREEDOR]],0)</f>
        <v>0</v>
      </c>
      <c r="M1510" s="16">
        <f>IF((OR(tbal[[#This Row],[X]]=0,tbal[[#This Row],[X]]=6)),tbal[[#This Row],[DEUDOR]],0)</f>
        <v>0</v>
      </c>
      <c r="N1510" s="18">
        <f>IF((OR(tbal[[#This Row],[X]]=0,tbal[[#This Row],[X]]=5)),tbal[[#This Row],[ACREEDOR]],0)</f>
        <v>0</v>
      </c>
    </row>
    <row r="1511" spans="1:14" hidden="1" x14ac:dyDescent="0.3">
      <c r="A1511" s="14">
        <f>+'PLAN DE CUENTAS'!A1511</f>
        <v>0</v>
      </c>
      <c r="B1511" s="13">
        <f>+'PLAN DE CUENTAS'!B1511</f>
        <v>0</v>
      </c>
      <c r="C1511" s="13">
        <f>+'PLAN DE CUENTAS'!C1511</f>
        <v>0</v>
      </c>
      <c r="D1511" t="str">
        <f>IF(tbal[[#This Row],[DEBE]]+tbal[[#This Row],[HABER]]=0,"","X")</f>
        <v/>
      </c>
      <c r="E1511" s="16">
        <f>SUMIF(tdiario[CUENTA],tbal[[#This Row],[CUENTA]],tdiario[DEBE])</f>
        <v>0</v>
      </c>
      <c r="F1511" s="17">
        <f>SUMIF(tdiario[CUENTA],tbal[[#This Row],[CUENTA]],tdiario[HABER])</f>
        <v>0</v>
      </c>
      <c r="G1511" s="16">
        <f>IF(tbal[[#This Row],[DEBE]]-tbal[[#This Row],[HABER]]&gt;0,tbal[[#This Row],[DEBE]]-tbal[[#This Row],[HABER]],0)</f>
        <v>0</v>
      </c>
      <c r="H1511" s="18">
        <f>IF(tbal[[#This Row],[HABER]]-tbal[[#This Row],[DEBE]]&gt;0,tbal[[#This Row],[HABER]]-tbal[[#This Row],[DEBE]],0)</f>
        <v>0</v>
      </c>
      <c r="I1511" s="16">
        <f>IF((OR(tbal[[#This Row],[X]]=1,tbal[[#This Row],[X]]=2)),tbal[[#This Row],[DEUDOR]],0)</f>
        <v>0</v>
      </c>
      <c r="J1511" s="18">
        <f>IF((OR(tbal[[#This Row],[X]]=2,tbal[[#This Row],[X]]=3)),tbal[[#This Row],[ACREEDOR]],0)</f>
        <v>0</v>
      </c>
      <c r="K1511" s="16">
        <f>IF((OR(tbal[[#This Row],[X]]=3,tbal[[#This Row],[X]]=5)),tbal[[#This Row],[DEUDOR]],0)</f>
        <v>0</v>
      </c>
      <c r="L1511" s="18">
        <f>IF((OR(tbal[[#This Row],[X]]=3,tbal[[#This Row],[X]]=4)),tbal[[#This Row],[ACREEDOR]],0)</f>
        <v>0</v>
      </c>
      <c r="M1511" s="16">
        <f>IF((OR(tbal[[#This Row],[X]]=0,tbal[[#This Row],[X]]=6)),tbal[[#This Row],[DEUDOR]],0)</f>
        <v>0</v>
      </c>
      <c r="N1511" s="18">
        <f>IF((OR(tbal[[#This Row],[X]]=0,tbal[[#This Row],[X]]=5)),tbal[[#This Row],[ACREEDOR]],0)</f>
        <v>0</v>
      </c>
    </row>
    <row r="1512" spans="1:14" hidden="1" x14ac:dyDescent="0.3">
      <c r="A1512" s="14">
        <f>+'PLAN DE CUENTAS'!A1512</f>
        <v>0</v>
      </c>
      <c r="B1512" s="13">
        <f>+'PLAN DE CUENTAS'!B1512</f>
        <v>0</v>
      </c>
      <c r="C1512" s="13">
        <f>+'PLAN DE CUENTAS'!C1512</f>
        <v>0</v>
      </c>
      <c r="D1512" t="str">
        <f>IF(tbal[[#This Row],[DEBE]]+tbal[[#This Row],[HABER]]=0,"","X")</f>
        <v/>
      </c>
      <c r="E1512" s="16">
        <f>SUMIF(tdiario[CUENTA],tbal[[#This Row],[CUENTA]],tdiario[DEBE])</f>
        <v>0</v>
      </c>
      <c r="F1512" s="17">
        <f>SUMIF(tdiario[CUENTA],tbal[[#This Row],[CUENTA]],tdiario[HABER])</f>
        <v>0</v>
      </c>
      <c r="G1512" s="16">
        <f>IF(tbal[[#This Row],[DEBE]]-tbal[[#This Row],[HABER]]&gt;0,tbal[[#This Row],[DEBE]]-tbal[[#This Row],[HABER]],0)</f>
        <v>0</v>
      </c>
      <c r="H1512" s="18">
        <f>IF(tbal[[#This Row],[HABER]]-tbal[[#This Row],[DEBE]]&gt;0,tbal[[#This Row],[HABER]]-tbal[[#This Row],[DEBE]],0)</f>
        <v>0</v>
      </c>
      <c r="I1512" s="16">
        <f>IF((OR(tbal[[#This Row],[X]]=1,tbal[[#This Row],[X]]=2)),tbal[[#This Row],[DEUDOR]],0)</f>
        <v>0</v>
      </c>
      <c r="J1512" s="18">
        <f>IF((OR(tbal[[#This Row],[X]]=2,tbal[[#This Row],[X]]=3)),tbal[[#This Row],[ACREEDOR]],0)</f>
        <v>0</v>
      </c>
      <c r="K1512" s="16">
        <f>IF((OR(tbal[[#This Row],[X]]=3,tbal[[#This Row],[X]]=5)),tbal[[#This Row],[DEUDOR]],0)</f>
        <v>0</v>
      </c>
      <c r="L1512" s="18">
        <f>IF((OR(tbal[[#This Row],[X]]=3,tbal[[#This Row],[X]]=4)),tbal[[#This Row],[ACREEDOR]],0)</f>
        <v>0</v>
      </c>
      <c r="M1512" s="16">
        <f>IF((OR(tbal[[#This Row],[X]]=0,tbal[[#This Row],[X]]=6)),tbal[[#This Row],[DEUDOR]],0)</f>
        <v>0</v>
      </c>
      <c r="N1512" s="18">
        <f>IF((OR(tbal[[#This Row],[X]]=0,tbal[[#This Row],[X]]=5)),tbal[[#This Row],[ACREEDOR]],0)</f>
        <v>0</v>
      </c>
    </row>
    <row r="1513" spans="1:14" hidden="1" x14ac:dyDescent="0.3">
      <c r="A1513" s="14">
        <f>+'PLAN DE CUENTAS'!A1513</f>
        <v>0</v>
      </c>
      <c r="B1513" s="13">
        <f>+'PLAN DE CUENTAS'!B1513</f>
        <v>0</v>
      </c>
      <c r="C1513" s="13">
        <f>+'PLAN DE CUENTAS'!C1513</f>
        <v>0</v>
      </c>
      <c r="D1513" t="str">
        <f>IF(tbal[[#This Row],[DEBE]]+tbal[[#This Row],[HABER]]=0,"","X")</f>
        <v/>
      </c>
      <c r="E1513" s="16">
        <f>SUMIF(tdiario[CUENTA],tbal[[#This Row],[CUENTA]],tdiario[DEBE])</f>
        <v>0</v>
      </c>
      <c r="F1513" s="17">
        <f>SUMIF(tdiario[CUENTA],tbal[[#This Row],[CUENTA]],tdiario[HABER])</f>
        <v>0</v>
      </c>
      <c r="G1513" s="16">
        <f>IF(tbal[[#This Row],[DEBE]]-tbal[[#This Row],[HABER]]&gt;0,tbal[[#This Row],[DEBE]]-tbal[[#This Row],[HABER]],0)</f>
        <v>0</v>
      </c>
      <c r="H1513" s="18">
        <f>IF(tbal[[#This Row],[HABER]]-tbal[[#This Row],[DEBE]]&gt;0,tbal[[#This Row],[HABER]]-tbal[[#This Row],[DEBE]],0)</f>
        <v>0</v>
      </c>
      <c r="I1513" s="16">
        <f>IF((OR(tbal[[#This Row],[X]]=1,tbal[[#This Row],[X]]=2)),tbal[[#This Row],[DEUDOR]],0)</f>
        <v>0</v>
      </c>
      <c r="J1513" s="18">
        <f>IF((OR(tbal[[#This Row],[X]]=2,tbal[[#This Row],[X]]=3)),tbal[[#This Row],[ACREEDOR]],0)</f>
        <v>0</v>
      </c>
      <c r="K1513" s="16">
        <f>IF((OR(tbal[[#This Row],[X]]=3,tbal[[#This Row],[X]]=5)),tbal[[#This Row],[DEUDOR]],0)</f>
        <v>0</v>
      </c>
      <c r="L1513" s="18">
        <f>IF((OR(tbal[[#This Row],[X]]=3,tbal[[#This Row],[X]]=4)),tbal[[#This Row],[ACREEDOR]],0)</f>
        <v>0</v>
      </c>
      <c r="M1513" s="16">
        <f>IF((OR(tbal[[#This Row],[X]]=0,tbal[[#This Row],[X]]=6)),tbal[[#This Row],[DEUDOR]],0)</f>
        <v>0</v>
      </c>
      <c r="N1513" s="18">
        <f>IF((OR(tbal[[#This Row],[X]]=0,tbal[[#This Row],[X]]=5)),tbal[[#This Row],[ACREEDOR]],0)</f>
        <v>0</v>
      </c>
    </row>
    <row r="1514" spans="1:14" hidden="1" x14ac:dyDescent="0.3">
      <c r="A1514" s="14">
        <f>+'PLAN DE CUENTAS'!A1514</f>
        <v>0</v>
      </c>
      <c r="B1514" s="13">
        <f>+'PLAN DE CUENTAS'!B1514</f>
        <v>0</v>
      </c>
      <c r="C1514" s="13">
        <f>+'PLAN DE CUENTAS'!C1514</f>
        <v>0</v>
      </c>
      <c r="D1514" t="str">
        <f>IF(tbal[[#This Row],[DEBE]]+tbal[[#This Row],[HABER]]=0,"","X")</f>
        <v/>
      </c>
      <c r="E1514" s="16">
        <f>SUMIF(tdiario[CUENTA],tbal[[#This Row],[CUENTA]],tdiario[DEBE])</f>
        <v>0</v>
      </c>
      <c r="F1514" s="17">
        <f>SUMIF(tdiario[CUENTA],tbal[[#This Row],[CUENTA]],tdiario[HABER])</f>
        <v>0</v>
      </c>
      <c r="G1514" s="16">
        <f>IF(tbal[[#This Row],[DEBE]]-tbal[[#This Row],[HABER]]&gt;0,tbal[[#This Row],[DEBE]]-tbal[[#This Row],[HABER]],0)</f>
        <v>0</v>
      </c>
      <c r="H1514" s="18">
        <f>IF(tbal[[#This Row],[HABER]]-tbal[[#This Row],[DEBE]]&gt;0,tbal[[#This Row],[HABER]]-tbal[[#This Row],[DEBE]],0)</f>
        <v>0</v>
      </c>
      <c r="I1514" s="16">
        <f>IF((OR(tbal[[#This Row],[X]]=1,tbal[[#This Row],[X]]=2)),tbal[[#This Row],[DEUDOR]],0)</f>
        <v>0</v>
      </c>
      <c r="J1514" s="18">
        <f>IF((OR(tbal[[#This Row],[X]]=2,tbal[[#This Row],[X]]=3)),tbal[[#This Row],[ACREEDOR]],0)</f>
        <v>0</v>
      </c>
      <c r="K1514" s="16">
        <f>IF((OR(tbal[[#This Row],[X]]=3,tbal[[#This Row],[X]]=5)),tbal[[#This Row],[DEUDOR]],0)</f>
        <v>0</v>
      </c>
      <c r="L1514" s="18">
        <f>IF((OR(tbal[[#This Row],[X]]=3,tbal[[#This Row],[X]]=4)),tbal[[#This Row],[ACREEDOR]],0)</f>
        <v>0</v>
      </c>
      <c r="M1514" s="16">
        <f>IF((OR(tbal[[#This Row],[X]]=0,tbal[[#This Row],[X]]=6)),tbal[[#This Row],[DEUDOR]],0)</f>
        <v>0</v>
      </c>
      <c r="N1514" s="18">
        <f>IF((OR(tbal[[#This Row],[X]]=0,tbal[[#This Row],[X]]=5)),tbal[[#This Row],[ACREEDOR]],0)</f>
        <v>0</v>
      </c>
    </row>
    <row r="1515" spans="1:14" hidden="1" x14ac:dyDescent="0.3">
      <c r="A1515" s="14">
        <f>+'PLAN DE CUENTAS'!A1515</f>
        <v>0</v>
      </c>
      <c r="B1515" s="13">
        <f>+'PLAN DE CUENTAS'!B1515</f>
        <v>0</v>
      </c>
      <c r="C1515" s="13">
        <f>+'PLAN DE CUENTAS'!C1515</f>
        <v>0</v>
      </c>
      <c r="D1515" t="str">
        <f>IF(tbal[[#This Row],[DEBE]]+tbal[[#This Row],[HABER]]=0,"","X")</f>
        <v/>
      </c>
      <c r="E1515" s="16">
        <f>SUMIF(tdiario[CUENTA],tbal[[#This Row],[CUENTA]],tdiario[DEBE])</f>
        <v>0</v>
      </c>
      <c r="F1515" s="17">
        <f>SUMIF(tdiario[CUENTA],tbal[[#This Row],[CUENTA]],tdiario[HABER])</f>
        <v>0</v>
      </c>
      <c r="G1515" s="16">
        <f>IF(tbal[[#This Row],[DEBE]]-tbal[[#This Row],[HABER]]&gt;0,tbal[[#This Row],[DEBE]]-tbal[[#This Row],[HABER]],0)</f>
        <v>0</v>
      </c>
      <c r="H1515" s="18">
        <f>IF(tbal[[#This Row],[HABER]]-tbal[[#This Row],[DEBE]]&gt;0,tbal[[#This Row],[HABER]]-tbal[[#This Row],[DEBE]],0)</f>
        <v>0</v>
      </c>
      <c r="I1515" s="16">
        <f>IF((OR(tbal[[#This Row],[X]]=1,tbal[[#This Row],[X]]=2)),tbal[[#This Row],[DEUDOR]],0)</f>
        <v>0</v>
      </c>
      <c r="J1515" s="18">
        <f>IF((OR(tbal[[#This Row],[X]]=2,tbal[[#This Row],[X]]=3)),tbal[[#This Row],[ACREEDOR]],0)</f>
        <v>0</v>
      </c>
      <c r="K1515" s="16">
        <f>IF((OR(tbal[[#This Row],[X]]=3,tbal[[#This Row],[X]]=5)),tbal[[#This Row],[DEUDOR]],0)</f>
        <v>0</v>
      </c>
      <c r="L1515" s="18">
        <f>IF((OR(tbal[[#This Row],[X]]=3,tbal[[#This Row],[X]]=4)),tbal[[#This Row],[ACREEDOR]],0)</f>
        <v>0</v>
      </c>
      <c r="M1515" s="16">
        <f>IF((OR(tbal[[#This Row],[X]]=0,tbal[[#This Row],[X]]=6)),tbal[[#This Row],[DEUDOR]],0)</f>
        <v>0</v>
      </c>
      <c r="N1515" s="18">
        <f>IF((OR(tbal[[#This Row],[X]]=0,tbal[[#This Row],[X]]=5)),tbal[[#This Row],[ACREEDOR]],0)</f>
        <v>0</v>
      </c>
    </row>
    <row r="1516" spans="1:14" hidden="1" x14ac:dyDescent="0.3">
      <c r="A1516" s="14">
        <f>+'PLAN DE CUENTAS'!A1516</f>
        <v>0</v>
      </c>
      <c r="B1516" s="13">
        <f>+'PLAN DE CUENTAS'!B1516</f>
        <v>0</v>
      </c>
      <c r="C1516" s="13">
        <f>+'PLAN DE CUENTAS'!C1516</f>
        <v>0</v>
      </c>
      <c r="D1516" t="str">
        <f>IF(tbal[[#This Row],[DEBE]]+tbal[[#This Row],[HABER]]=0,"","X")</f>
        <v/>
      </c>
      <c r="E1516" s="16">
        <f>SUMIF(tdiario[CUENTA],tbal[[#This Row],[CUENTA]],tdiario[DEBE])</f>
        <v>0</v>
      </c>
      <c r="F1516" s="17">
        <f>SUMIF(tdiario[CUENTA],tbal[[#This Row],[CUENTA]],tdiario[HABER])</f>
        <v>0</v>
      </c>
      <c r="G1516" s="16">
        <f>IF(tbal[[#This Row],[DEBE]]-tbal[[#This Row],[HABER]]&gt;0,tbal[[#This Row],[DEBE]]-tbal[[#This Row],[HABER]],0)</f>
        <v>0</v>
      </c>
      <c r="H1516" s="18">
        <f>IF(tbal[[#This Row],[HABER]]-tbal[[#This Row],[DEBE]]&gt;0,tbal[[#This Row],[HABER]]-tbal[[#This Row],[DEBE]],0)</f>
        <v>0</v>
      </c>
      <c r="I1516" s="16">
        <f>IF((OR(tbal[[#This Row],[X]]=1,tbal[[#This Row],[X]]=2)),tbal[[#This Row],[DEUDOR]],0)</f>
        <v>0</v>
      </c>
      <c r="J1516" s="18">
        <f>IF((OR(tbal[[#This Row],[X]]=2,tbal[[#This Row],[X]]=3)),tbal[[#This Row],[ACREEDOR]],0)</f>
        <v>0</v>
      </c>
      <c r="K1516" s="16">
        <f>IF((OR(tbal[[#This Row],[X]]=3,tbal[[#This Row],[X]]=5)),tbal[[#This Row],[DEUDOR]],0)</f>
        <v>0</v>
      </c>
      <c r="L1516" s="18">
        <f>IF((OR(tbal[[#This Row],[X]]=3,tbal[[#This Row],[X]]=4)),tbal[[#This Row],[ACREEDOR]],0)</f>
        <v>0</v>
      </c>
      <c r="M1516" s="16">
        <f>IF((OR(tbal[[#This Row],[X]]=0,tbal[[#This Row],[X]]=6)),tbal[[#This Row],[DEUDOR]],0)</f>
        <v>0</v>
      </c>
      <c r="N1516" s="18">
        <f>IF((OR(tbal[[#This Row],[X]]=0,tbal[[#This Row],[X]]=5)),tbal[[#This Row],[ACREEDOR]],0)</f>
        <v>0</v>
      </c>
    </row>
    <row r="1517" spans="1:14" hidden="1" x14ac:dyDescent="0.3">
      <c r="A1517" s="14">
        <f>+'PLAN DE CUENTAS'!A1517</f>
        <v>0</v>
      </c>
      <c r="B1517" s="13">
        <f>+'PLAN DE CUENTAS'!B1517</f>
        <v>0</v>
      </c>
      <c r="C1517" s="13">
        <f>+'PLAN DE CUENTAS'!C1517</f>
        <v>0</v>
      </c>
      <c r="D1517" t="str">
        <f>IF(tbal[[#This Row],[DEBE]]+tbal[[#This Row],[HABER]]=0,"","X")</f>
        <v/>
      </c>
      <c r="E1517" s="16">
        <f>SUMIF(tdiario[CUENTA],tbal[[#This Row],[CUENTA]],tdiario[DEBE])</f>
        <v>0</v>
      </c>
      <c r="F1517" s="17">
        <f>SUMIF(tdiario[CUENTA],tbal[[#This Row],[CUENTA]],tdiario[HABER])</f>
        <v>0</v>
      </c>
      <c r="G1517" s="16">
        <f>IF(tbal[[#This Row],[DEBE]]-tbal[[#This Row],[HABER]]&gt;0,tbal[[#This Row],[DEBE]]-tbal[[#This Row],[HABER]],0)</f>
        <v>0</v>
      </c>
      <c r="H1517" s="18">
        <f>IF(tbal[[#This Row],[HABER]]-tbal[[#This Row],[DEBE]]&gt;0,tbal[[#This Row],[HABER]]-tbal[[#This Row],[DEBE]],0)</f>
        <v>0</v>
      </c>
      <c r="I1517" s="16">
        <f>IF((OR(tbal[[#This Row],[X]]=1,tbal[[#This Row],[X]]=2)),tbal[[#This Row],[DEUDOR]],0)</f>
        <v>0</v>
      </c>
      <c r="J1517" s="18">
        <f>IF((OR(tbal[[#This Row],[X]]=2,tbal[[#This Row],[X]]=3)),tbal[[#This Row],[ACREEDOR]],0)</f>
        <v>0</v>
      </c>
      <c r="K1517" s="16">
        <f>IF((OR(tbal[[#This Row],[X]]=3,tbal[[#This Row],[X]]=5)),tbal[[#This Row],[DEUDOR]],0)</f>
        <v>0</v>
      </c>
      <c r="L1517" s="18">
        <f>IF((OR(tbal[[#This Row],[X]]=3,tbal[[#This Row],[X]]=4)),tbal[[#This Row],[ACREEDOR]],0)</f>
        <v>0</v>
      </c>
      <c r="M1517" s="16">
        <f>IF((OR(tbal[[#This Row],[X]]=0,tbal[[#This Row],[X]]=6)),tbal[[#This Row],[DEUDOR]],0)</f>
        <v>0</v>
      </c>
      <c r="N1517" s="18">
        <f>IF((OR(tbal[[#This Row],[X]]=0,tbal[[#This Row],[X]]=5)),tbal[[#This Row],[ACREEDOR]],0)</f>
        <v>0</v>
      </c>
    </row>
    <row r="1518" spans="1:14" hidden="1" x14ac:dyDescent="0.3">
      <c r="A1518" s="14">
        <f>+'PLAN DE CUENTAS'!A1518</f>
        <v>0</v>
      </c>
      <c r="B1518" s="13">
        <f>+'PLAN DE CUENTAS'!B1518</f>
        <v>0</v>
      </c>
      <c r="C1518" s="13">
        <f>+'PLAN DE CUENTAS'!C1518</f>
        <v>0</v>
      </c>
      <c r="D1518" t="str">
        <f>IF(tbal[[#This Row],[DEBE]]+tbal[[#This Row],[HABER]]=0,"","X")</f>
        <v/>
      </c>
      <c r="E1518" s="16">
        <f>SUMIF(tdiario[CUENTA],tbal[[#This Row],[CUENTA]],tdiario[DEBE])</f>
        <v>0</v>
      </c>
      <c r="F1518" s="17">
        <f>SUMIF(tdiario[CUENTA],tbal[[#This Row],[CUENTA]],tdiario[HABER])</f>
        <v>0</v>
      </c>
      <c r="G1518" s="16">
        <f>IF(tbal[[#This Row],[DEBE]]-tbal[[#This Row],[HABER]]&gt;0,tbal[[#This Row],[DEBE]]-tbal[[#This Row],[HABER]],0)</f>
        <v>0</v>
      </c>
      <c r="H1518" s="18">
        <f>IF(tbal[[#This Row],[HABER]]-tbal[[#This Row],[DEBE]]&gt;0,tbal[[#This Row],[HABER]]-tbal[[#This Row],[DEBE]],0)</f>
        <v>0</v>
      </c>
      <c r="I1518" s="16">
        <f>IF((OR(tbal[[#This Row],[X]]=1,tbal[[#This Row],[X]]=2)),tbal[[#This Row],[DEUDOR]],0)</f>
        <v>0</v>
      </c>
      <c r="J1518" s="18">
        <f>IF((OR(tbal[[#This Row],[X]]=2,tbal[[#This Row],[X]]=3)),tbal[[#This Row],[ACREEDOR]],0)</f>
        <v>0</v>
      </c>
      <c r="K1518" s="16">
        <f>IF((OR(tbal[[#This Row],[X]]=3,tbal[[#This Row],[X]]=5)),tbal[[#This Row],[DEUDOR]],0)</f>
        <v>0</v>
      </c>
      <c r="L1518" s="18">
        <f>IF((OR(tbal[[#This Row],[X]]=3,tbal[[#This Row],[X]]=4)),tbal[[#This Row],[ACREEDOR]],0)</f>
        <v>0</v>
      </c>
      <c r="M1518" s="16">
        <f>IF((OR(tbal[[#This Row],[X]]=0,tbal[[#This Row],[X]]=6)),tbal[[#This Row],[DEUDOR]],0)</f>
        <v>0</v>
      </c>
      <c r="N1518" s="18">
        <f>IF((OR(tbal[[#This Row],[X]]=0,tbal[[#This Row],[X]]=5)),tbal[[#This Row],[ACREEDOR]],0)</f>
        <v>0</v>
      </c>
    </row>
    <row r="1519" spans="1:14" hidden="1" x14ac:dyDescent="0.3">
      <c r="A1519" s="14">
        <f>+'PLAN DE CUENTAS'!A1519</f>
        <v>0</v>
      </c>
      <c r="B1519" s="13">
        <f>+'PLAN DE CUENTAS'!B1519</f>
        <v>0</v>
      </c>
      <c r="C1519" s="13">
        <f>+'PLAN DE CUENTAS'!C1519</f>
        <v>0</v>
      </c>
      <c r="D1519" t="str">
        <f>IF(tbal[[#This Row],[DEBE]]+tbal[[#This Row],[HABER]]=0,"","X")</f>
        <v/>
      </c>
      <c r="E1519" s="16">
        <f>SUMIF(tdiario[CUENTA],tbal[[#This Row],[CUENTA]],tdiario[DEBE])</f>
        <v>0</v>
      </c>
      <c r="F1519" s="17">
        <f>SUMIF(tdiario[CUENTA],tbal[[#This Row],[CUENTA]],tdiario[HABER])</f>
        <v>0</v>
      </c>
      <c r="G1519" s="16">
        <f>IF(tbal[[#This Row],[DEBE]]-tbal[[#This Row],[HABER]]&gt;0,tbal[[#This Row],[DEBE]]-tbal[[#This Row],[HABER]],0)</f>
        <v>0</v>
      </c>
      <c r="H1519" s="18">
        <f>IF(tbal[[#This Row],[HABER]]-tbal[[#This Row],[DEBE]]&gt;0,tbal[[#This Row],[HABER]]-tbal[[#This Row],[DEBE]],0)</f>
        <v>0</v>
      </c>
      <c r="I1519" s="16">
        <f>IF((OR(tbal[[#This Row],[X]]=1,tbal[[#This Row],[X]]=2)),tbal[[#This Row],[DEUDOR]],0)</f>
        <v>0</v>
      </c>
      <c r="J1519" s="18">
        <f>IF((OR(tbal[[#This Row],[X]]=2,tbal[[#This Row],[X]]=3)),tbal[[#This Row],[ACREEDOR]],0)</f>
        <v>0</v>
      </c>
      <c r="K1519" s="16">
        <f>IF((OR(tbal[[#This Row],[X]]=3,tbal[[#This Row],[X]]=5)),tbal[[#This Row],[DEUDOR]],0)</f>
        <v>0</v>
      </c>
      <c r="L1519" s="18">
        <f>IF((OR(tbal[[#This Row],[X]]=3,tbal[[#This Row],[X]]=4)),tbal[[#This Row],[ACREEDOR]],0)</f>
        <v>0</v>
      </c>
      <c r="M1519" s="16">
        <f>IF((OR(tbal[[#This Row],[X]]=0,tbal[[#This Row],[X]]=6)),tbal[[#This Row],[DEUDOR]],0)</f>
        <v>0</v>
      </c>
      <c r="N1519" s="18">
        <f>IF((OR(tbal[[#This Row],[X]]=0,tbal[[#This Row],[X]]=5)),tbal[[#This Row],[ACREEDOR]],0)</f>
        <v>0</v>
      </c>
    </row>
    <row r="1520" spans="1:14" hidden="1" x14ac:dyDescent="0.3">
      <c r="A1520" s="14">
        <f>+'PLAN DE CUENTAS'!A1520</f>
        <v>0</v>
      </c>
      <c r="B1520" s="13">
        <f>+'PLAN DE CUENTAS'!B1520</f>
        <v>0</v>
      </c>
      <c r="C1520" s="13">
        <f>+'PLAN DE CUENTAS'!C1520</f>
        <v>0</v>
      </c>
      <c r="D1520" t="str">
        <f>IF(tbal[[#This Row],[DEBE]]+tbal[[#This Row],[HABER]]=0,"","X")</f>
        <v/>
      </c>
      <c r="E1520" s="16">
        <f>SUMIF(tdiario[CUENTA],tbal[[#This Row],[CUENTA]],tdiario[DEBE])</f>
        <v>0</v>
      </c>
      <c r="F1520" s="17">
        <f>SUMIF(tdiario[CUENTA],tbal[[#This Row],[CUENTA]],tdiario[HABER])</f>
        <v>0</v>
      </c>
      <c r="G1520" s="16">
        <f>IF(tbal[[#This Row],[DEBE]]-tbal[[#This Row],[HABER]]&gt;0,tbal[[#This Row],[DEBE]]-tbal[[#This Row],[HABER]],0)</f>
        <v>0</v>
      </c>
      <c r="H1520" s="18">
        <f>IF(tbal[[#This Row],[HABER]]-tbal[[#This Row],[DEBE]]&gt;0,tbal[[#This Row],[HABER]]-tbal[[#This Row],[DEBE]],0)</f>
        <v>0</v>
      </c>
      <c r="I1520" s="16">
        <f>IF((OR(tbal[[#This Row],[X]]=1,tbal[[#This Row],[X]]=2)),tbal[[#This Row],[DEUDOR]],0)</f>
        <v>0</v>
      </c>
      <c r="J1520" s="18">
        <f>IF((OR(tbal[[#This Row],[X]]=2,tbal[[#This Row],[X]]=3)),tbal[[#This Row],[ACREEDOR]],0)</f>
        <v>0</v>
      </c>
      <c r="K1520" s="16">
        <f>IF((OR(tbal[[#This Row],[X]]=3,tbal[[#This Row],[X]]=5)),tbal[[#This Row],[DEUDOR]],0)</f>
        <v>0</v>
      </c>
      <c r="L1520" s="18">
        <f>IF((OR(tbal[[#This Row],[X]]=3,tbal[[#This Row],[X]]=4)),tbal[[#This Row],[ACREEDOR]],0)</f>
        <v>0</v>
      </c>
      <c r="M1520" s="16">
        <f>IF((OR(tbal[[#This Row],[X]]=0,tbal[[#This Row],[X]]=6)),tbal[[#This Row],[DEUDOR]],0)</f>
        <v>0</v>
      </c>
      <c r="N1520" s="18">
        <f>IF((OR(tbal[[#This Row],[X]]=0,tbal[[#This Row],[X]]=5)),tbal[[#This Row],[ACREEDOR]],0)</f>
        <v>0</v>
      </c>
    </row>
    <row r="1521" spans="1:14" hidden="1" x14ac:dyDescent="0.3">
      <c r="A1521" s="14">
        <f>+'PLAN DE CUENTAS'!A1521</f>
        <v>0</v>
      </c>
      <c r="B1521" s="13">
        <f>+'PLAN DE CUENTAS'!B1521</f>
        <v>0</v>
      </c>
      <c r="C1521" s="13">
        <f>+'PLAN DE CUENTAS'!C1521</f>
        <v>0</v>
      </c>
      <c r="D1521" t="str">
        <f>IF(tbal[[#This Row],[DEBE]]+tbal[[#This Row],[HABER]]=0,"","X")</f>
        <v/>
      </c>
      <c r="E1521" s="16">
        <f>SUMIF(tdiario[CUENTA],tbal[[#This Row],[CUENTA]],tdiario[DEBE])</f>
        <v>0</v>
      </c>
      <c r="F1521" s="17">
        <f>SUMIF(tdiario[CUENTA],tbal[[#This Row],[CUENTA]],tdiario[HABER])</f>
        <v>0</v>
      </c>
      <c r="G1521" s="16">
        <f>IF(tbal[[#This Row],[DEBE]]-tbal[[#This Row],[HABER]]&gt;0,tbal[[#This Row],[DEBE]]-tbal[[#This Row],[HABER]],0)</f>
        <v>0</v>
      </c>
      <c r="H1521" s="18">
        <f>IF(tbal[[#This Row],[HABER]]-tbal[[#This Row],[DEBE]]&gt;0,tbal[[#This Row],[HABER]]-tbal[[#This Row],[DEBE]],0)</f>
        <v>0</v>
      </c>
      <c r="I1521" s="16">
        <f>IF((OR(tbal[[#This Row],[X]]=1,tbal[[#This Row],[X]]=2)),tbal[[#This Row],[DEUDOR]],0)</f>
        <v>0</v>
      </c>
      <c r="J1521" s="18">
        <f>IF((OR(tbal[[#This Row],[X]]=2,tbal[[#This Row],[X]]=3)),tbal[[#This Row],[ACREEDOR]],0)</f>
        <v>0</v>
      </c>
      <c r="K1521" s="16">
        <f>IF((OR(tbal[[#This Row],[X]]=3,tbal[[#This Row],[X]]=5)),tbal[[#This Row],[DEUDOR]],0)</f>
        <v>0</v>
      </c>
      <c r="L1521" s="18">
        <f>IF((OR(tbal[[#This Row],[X]]=3,tbal[[#This Row],[X]]=4)),tbal[[#This Row],[ACREEDOR]],0)</f>
        <v>0</v>
      </c>
      <c r="M1521" s="16">
        <f>IF((OR(tbal[[#This Row],[X]]=0,tbal[[#This Row],[X]]=6)),tbal[[#This Row],[DEUDOR]],0)</f>
        <v>0</v>
      </c>
      <c r="N1521" s="18">
        <f>IF((OR(tbal[[#This Row],[X]]=0,tbal[[#This Row],[X]]=5)),tbal[[#This Row],[ACREEDOR]],0)</f>
        <v>0</v>
      </c>
    </row>
    <row r="1522" spans="1:14" hidden="1" x14ac:dyDescent="0.3">
      <c r="A1522" s="14">
        <f>+'PLAN DE CUENTAS'!A1522</f>
        <v>0</v>
      </c>
      <c r="B1522" s="13">
        <f>+'PLAN DE CUENTAS'!B1522</f>
        <v>0</v>
      </c>
      <c r="C1522" s="13">
        <f>+'PLAN DE CUENTAS'!C1522</f>
        <v>0</v>
      </c>
      <c r="D1522" t="str">
        <f>IF(tbal[[#This Row],[DEBE]]+tbal[[#This Row],[HABER]]=0,"","X")</f>
        <v/>
      </c>
      <c r="E1522" s="16">
        <f>SUMIF(tdiario[CUENTA],tbal[[#This Row],[CUENTA]],tdiario[DEBE])</f>
        <v>0</v>
      </c>
      <c r="F1522" s="17">
        <f>SUMIF(tdiario[CUENTA],tbal[[#This Row],[CUENTA]],tdiario[HABER])</f>
        <v>0</v>
      </c>
      <c r="G1522" s="16">
        <f>IF(tbal[[#This Row],[DEBE]]-tbal[[#This Row],[HABER]]&gt;0,tbal[[#This Row],[DEBE]]-tbal[[#This Row],[HABER]],0)</f>
        <v>0</v>
      </c>
      <c r="H1522" s="18">
        <f>IF(tbal[[#This Row],[HABER]]-tbal[[#This Row],[DEBE]]&gt;0,tbal[[#This Row],[HABER]]-tbal[[#This Row],[DEBE]],0)</f>
        <v>0</v>
      </c>
      <c r="I1522" s="16">
        <f>IF((OR(tbal[[#This Row],[X]]=1,tbal[[#This Row],[X]]=2)),tbal[[#This Row],[DEUDOR]],0)</f>
        <v>0</v>
      </c>
      <c r="J1522" s="18">
        <f>IF((OR(tbal[[#This Row],[X]]=2,tbal[[#This Row],[X]]=3)),tbal[[#This Row],[ACREEDOR]],0)</f>
        <v>0</v>
      </c>
      <c r="K1522" s="16">
        <f>IF((OR(tbal[[#This Row],[X]]=3,tbal[[#This Row],[X]]=5)),tbal[[#This Row],[DEUDOR]],0)</f>
        <v>0</v>
      </c>
      <c r="L1522" s="18">
        <f>IF((OR(tbal[[#This Row],[X]]=3,tbal[[#This Row],[X]]=4)),tbal[[#This Row],[ACREEDOR]],0)</f>
        <v>0</v>
      </c>
      <c r="M1522" s="16">
        <f>IF((OR(tbal[[#This Row],[X]]=0,tbal[[#This Row],[X]]=6)),tbal[[#This Row],[DEUDOR]],0)</f>
        <v>0</v>
      </c>
      <c r="N1522" s="18">
        <f>IF((OR(tbal[[#This Row],[X]]=0,tbal[[#This Row],[X]]=5)),tbal[[#This Row],[ACREEDOR]],0)</f>
        <v>0</v>
      </c>
    </row>
    <row r="1523" spans="1:14" hidden="1" x14ac:dyDescent="0.3">
      <c r="A1523" s="14">
        <f>+'PLAN DE CUENTAS'!A1523</f>
        <v>0</v>
      </c>
      <c r="B1523" s="13">
        <f>+'PLAN DE CUENTAS'!B1523</f>
        <v>0</v>
      </c>
      <c r="C1523" s="13">
        <f>+'PLAN DE CUENTAS'!C1523</f>
        <v>0</v>
      </c>
      <c r="D1523" t="str">
        <f>IF(tbal[[#This Row],[DEBE]]+tbal[[#This Row],[HABER]]=0,"","X")</f>
        <v/>
      </c>
      <c r="E1523" s="16">
        <f>SUMIF(tdiario[CUENTA],tbal[[#This Row],[CUENTA]],tdiario[DEBE])</f>
        <v>0</v>
      </c>
      <c r="F1523" s="17">
        <f>SUMIF(tdiario[CUENTA],tbal[[#This Row],[CUENTA]],tdiario[HABER])</f>
        <v>0</v>
      </c>
      <c r="G1523" s="16">
        <f>IF(tbal[[#This Row],[DEBE]]-tbal[[#This Row],[HABER]]&gt;0,tbal[[#This Row],[DEBE]]-tbal[[#This Row],[HABER]],0)</f>
        <v>0</v>
      </c>
      <c r="H1523" s="18">
        <f>IF(tbal[[#This Row],[HABER]]-tbal[[#This Row],[DEBE]]&gt;0,tbal[[#This Row],[HABER]]-tbal[[#This Row],[DEBE]],0)</f>
        <v>0</v>
      </c>
      <c r="I1523" s="16">
        <f>IF((OR(tbal[[#This Row],[X]]=1,tbal[[#This Row],[X]]=2)),tbal[[#This Row],[DEUDOR]],0)</f>
        <v>0</v>
      </c>
      <c r="J1523" s="18">
        <f>IF((OR(tbal[[#This Row],[X]]=2,tbal[[#This Row],[X]]=3)),tbal[[#This Row],[ACREEDOR]],0)</f>
        <v>0</v>
      </c>
      <c r="K1523" s="16">
        <f>IF((OR(tbal[[#This Row],[X]]=3,tbal[[#This Row],[X]]=5)),tbal[[#This Row],[DEUDOR]],0)</f>
        <v>0</v>
      </c>
      <c r="L1523" s="18">
        <f>IF((OR(tbal[[#This Row],[X]]=3,tbal[[#This Row],[X]]=4)),tbal[[#This Row],[ACREEDOR]],0)</f>
        <v>0</v>
      </c>
      <c r="M1523" s="16">
        <f>IF((OR(tbal[[#This Row],[X]]=0,tbal[[#This Row],[X]]=6)),tbal[[#This Row],[DEUDOR]],0)</f>
        <v>0</v>
      </c>
      <c r="N1523" s="18">
        <f>IF((OR(tbal[[#This Row],[X]]=0,tbal[[#This Row],[X]]=5)),tbal[[#This Row],[ACREEDOR]],0)</f>
        <v>0</v>
      </c>
    </row>
    <row r="1524" spans="1:14" hidden="1" x14ac:dyDescent="0.3">
      <c r="A1524" s="14">
        <f>+'PLAN DE CUENTAS'!A1524</f>
        <v>0</v>
      </c>
      <c r="B1524" s="13">
        <f>+'PLAN DE CUENTAS'!B1524</f>
        <v>0</v>
      </c>
      <c r="C1524" s="13">
        <f>+'PLAN DE CUENTAS'!C1524</f>
        <v>0</v>
      </c>
      <c r="D1524" t="str">
        <f>IF(tbal[[#This Row],[DEBE]]+tbal[[#This Row],[HABER]]=0,"","X")</f>
        <v/>
      </c>
      <c r="E1524" s="16">
        <f>SUMIF(tdiario[CUENTA],tbal[[#This Row],[CUENTA]],tdiario[DEBE])</f>
        <v>0</v>
      </c>
      <c r="F1524" s="17">
        <f>SUMIF(tdiario[CUENTA],tbal[[#This Row],[CUENTA]],tdiario[HABER])</f>
        <v>0</v>
      </c>
      <c r="G1524" s="16">
        <f>IF(tbal[[#This Row],[DEBE]]-tbal[[#This Row],[HABER]]&gt;0,tbal[[#This Row],[DEBE]]-tbal[[#This Row],[HABER]],0)</f>
        <v>0</v>
      </c>
      <c r="H1524" s="18">
        <f>IF(tbal[[#This Row],[HABER]]-tbal[[#This Row],[DEBE]]&gt;0,tbal[[#This Row],[HABER]]-tbal[[#This Row],[DEBE]],0)</f>
        <v>0</v>
      </c>
      <c r="I1524" s="16">
        <f>IF((OR(tbal[[#This Row],[X]]=1,tbal[[#This Row],[X]]=2)),tbal[[#This Row],[DEUDOR]],0)</f>
        <v>0</v>
      </c>
      <c r="J1524" s="18">
        <f>IF((OR(tbal[[#This Row],[X]]=2,tbal[[#This Row],[X]]=3)),tbal[[#This Row],[ACREEDOR]],0)</f>
        <v>0</v>
      </c>
      <c r="K1524" s="16">
        <f>IF((OR(tbal[[#This Row],[X]]=3,tbal[[#This Row],[X]]=5)),tbal[[#This Row],[DEUDOR]],0)</f>
        <v>0</v>
      </c>
      <c r="L1524" s="18">
        <f>IF((OR(tbal[[#This Row],[X]]=3,tbal[[#This Row],[X]]=4)),tbal[[#This Row],[ACREEDOR]],0)</f>
        <v>0</v>
      </c>
      <c r="M1524" s="16">
        <f>IF((OR(tbal[[#This Row],[X]]=0,tbal[[#This Row],[X]]=6)),tbal[[#This Row],[DEUDOR]],0)</f>
        <v>0</v>
      </c>
      <c r="N1524" s="18">
        <f>IF((OR(tbal[[#This Row],[X]]=0,tbal[[#This Row],[X]]=5)),tbal[[#This Row],[ACREEDOR]],0)</f>
        <v>0</v>
      </c>
    </row>
    <row r="1525" spans="1:14" hidden="1" x14ac:dyDescent="0.3">
      <c r="A1525" s="14">
        <f>+'PLAN DE CUENTAS'!A1525</f>
        <v>0</v>
      </c>
      <c r="B1525" s="13">
        <f>+'PLAN DE CUENTAS'!B1525</f>
        <v>0</v>
      </c>
      <c r="C1525" s="13">
        <f>+'PLAN DE CUENTAS'!C1525</f>
        <v>0</v>
      </c>
      <c r="D1525" t="str">
        <f>IF(tbal[[#This Row],[DEBE]]+tbal[[#This Row],[HABER]]=0,"","X")</f>
        <v/>
      </c>
      <c r="E1525" s="16">
        <f>SUMIF(tdiario[CUENTA],tbal[[#This Row],[CUENTA]],tdiario[DEBE])</f>
        <v>0</v>
      </c>
      <c r="F1525" s="17">
        <f>SUMIF(tdiario[CUENTA],tbal[[#This Row],[CUENTA]],tdiario[HABER])</f>
        <v>0</v>
      </c>
      <c r="G1525" s="16">
        <f>IF(tbal[[#This Row],[DEBE]]-tbal[[#This Row],[HABER]]&gt;0,tbal[[#This Row],[DEBE]]-tbal[[#This Row],[HABER]],0)</f>
        <v>0</v>
      </c>
      <c r="H1525" s="18">
        <f>IF(tbal[[#This Row],[HABER]]-tbal[[#This Row],[DEBE]]&gt;0,tbal[[#This Row],[HABER]]-tbal[[#This Row],[DEBE]],0)</f>
        <v>0</v>
      </c>
      <c r="I1525" s="16">
        <f>IF((OR(tbal[[#This Row],[X]]=1,tbal[[#This Row],[X]]=2)),tbal[[#This Row],[DEUDOR]],0)</f>
        <v>0</v>
      </c>
      <c r="J1525" s="18">
        <f>IF((OR(tbal[[#This Row],[X]]=2,tbal[[#This Row],[X]]=3)),tbal[[#This Row],[ACREEDOR]],0)</f>
        <v>0</v>
      </c>
      <c r="K1525" s="16">
        <f>IF((OR(tbal[[#This Row],[X]]=3,tbal[[#This Row],[X]]=5)),tbal[[#This Row],[DEUDOR]],0)</f>
        <v>0</v>
      </c>
      <c r="L1525" s="18">
        <f>IF((OR(tbal[[#This Row],[X]]=3,tbal[[#This Row],[X]]=4)),tbal[[#This Row],[ACREEDOR]],0)</f>
        <v>0</v>
      </c>
      <c r="M1525" s="16">
        <f>IF((OR(tbal[[#This Row],[X]]=0,tbal[[#This Row],[X]]=6)),tbal[[#This Row],[DEUDOR]],0)</f>
        <v>0</v>
      </c>
      <c r="N1525" s="18">
        <f>IF((OR(tbal[[#This Row],[X]]=0,tbal[[#This Row],[X]]=5)),tbal[[#This Row],[ACREEDOR]],0)</f>
        <v>0</v>
      </c>
    </row>
    <row r="1526" spans="1:14" hidden="1" x14ac:dyDescent="0.3">
      <c r="A1526" s="14">
        <f>+'PLAN DE CUENTAS'!A1526</f>
        <v>0</v>
      </c>
      <c r="B1526" s="13">
        <f>+'PLAN DE CUENTAS'!B1526</f>
        <v>0</v>
      </c>
      <c r="C1526" s="13">
        <f>+'PLAN DE CUENTAS'!C1526</f>
        <v>0</v>
      </c>
      <c r="D1526" t="str">
        <f>IF(tbal[[#This Row],[DEBE]]+tbal[[#This Row],[HABER]]=0,"","X")</f>
        <v/>
      </c>
      <c r="E1526" s="16">
        <f>SUMIF(tdiario[CUENTA],tbal[[#This Row],[CUENTA]],tdiario[DEBE])</f>
        <v>0</v>
      </c>
      <c r="F1526" s="17">
        <f>SUMIF(tdiario[CUENTA],tbal[[#This Row],[CUENTA]],tdiario[HABER])</f>
        <v>0</v>
      </c>
      <c r="G1526" s="16">
        <f>IF(tbal[[#This Row],[DEBE]]-tbal[[#This Row],[HABER]]&gt;0,tbal[[#This Row],[DEBE]]-tbal[[#This Row],[HABER]],0)</f>
        <v>0</v>
      </c>
      <c r="H1526" s="18">
        <f>IF(tbal[[#This Row],[HABER]]-tbal[[#This Row],[DEBE]]&gt;0,tbal[[#This Row],[HABER]]-tbal[[#This Row],[DEBE]],0)</f>
        <v>0</v>
      </c>
      <c r="I1526" s="16">
        <f>IF((OR(tbal[[#This Row],[X]]=1,tbal[[#This Row],[X]]=2)),tbal[[#This Row],[DEUDOR]],0)</f>
        <v>0</v>
      </c>
      <c r="J1526" s="18">
        <f>IF((OR(tbal[[#This Row],[X]]=2,tbal[[#This Row],[X]]=3)),tbal[[#This Row],[ACREEDOR]],0)</f>
        <v>0</v>
      </c>
      <c r="K1526" s="16">
        <f>IF((OR(tbal[[#This Row],[X]]=3,tbal[[#This Row],[X]]=5)),tbal[[#This Row],[DEUDOR]],0)</f>
        <v>0</v>
      </c>
      <c r="L1526" s="18">
        <f>IF((OR(tbal[[#This Row],[X]]=3,tbal[[#This Row],[X]]=4)),tbal[[#This Row],[ACREEDOR]],0)</f>
        <v>0</v>
      </c>
      <c r="M1526" s="16">
        <f>IF((OR(tbal[[#This Row],[X]]=0,tbal[[#This Row],[X]]=6)),tbal[[#This Row],[DEUDOR]],0)</f>
        <v>0</v>
      </c>
      <c r="N1526" s="18">
        <f>IF((OR(tbal[[#This Row],[X]]=0,tbal[[#This Row],[X]]=5)),tbal[[#This Row],[ACREEDOR]],0)</f>
        <v>0</v>
      </c>
    </row>
    <row r="1527" spans="1:14" hidden="1" x14ac:dyDescent="0.3">
      <c r="A1527" s="14">
        <f>+'PLAN DE CUENTAS'!A1527</f>
        <v>0</v>
      </c>
      <c r="B1527" s="13">
        <f>+'PLAN DE CUENTAS'!B1527</f>
        <v>0</v>
      </c>
      <c r="C1527" s="13">
        <f>+'PLAN DE CUENTAS'!C1527</f>
        <v>0</v>
      </c>
      <c r="D1527" t="str">
        <f>IF(tbal[[#This Row],[DEBE]]+tbal[[#This Row],[HABER]]=0,"","X")</f>
        <v/>
      </c>
      <c r="E1527" s="16">
        <f>SUMIF(tdiario[CUENTA],tbal[[#This Row],[CUENTA]],tdiario[DEBE])</f>
        <v>0</v>
      </c>
      <c r="F1527" s="17">
        <f>SUMIF(tdiario[CUENTA],tbal[[#This Row],[CUENTA]],tdiario[HABER])</f>
        <v>0</v>
      </c>
      <c r="G1527" s="16">
        <f>IF(tbal[[#This Row],[DEBE]]-tbal[[#This Row],[HABER]]&gt;0,tbal[[#This Row],[DEBE]]-tbal[[#This Row],[HABER]],0)</f>
        <v>0</v>
      </c>
      <c r="H1527" s="18">
        <f>IF(tbal[[#This Row],[HABER]]-tbal[[#This Row],[DEBE]]&gt;0,tbal[[#This Row],[HABER]]-tbal[[#This Row],[DEBE]],0)</f>
        <v>0</v>
      </c>
      <c r="I1527" s="16">
        <f>IF((OR(tbal[[#This Row],[X]]=1,tbal[[#This Row],[X]]=2)),tbal[[#This Row],[DEUDOR]],0)</f>
        <v>0</v>
      </c>
      <c r="J1527" s="18">
        <f>IF((OR(tbal[[#This Row],[X]]=2,tbal[[#This Row],[X]]=3)),tbal[[#This Row],[ACREEDOR]],0)</f>
        <v>0</v>
      </c>
      <c r="K1527" s="16">
        <f>IF((OR(tbal[[#This Row],[X]]=3,tbal[[#This Row],[X]]=5)),tbal[[#This Row],[DEUDOR]],0)</f>
        <v>0</v>
      </c>
      <c r="L1527" s="18">
        <f>IF((OR(tbal[[#This Row],[X]]=3,tbal[[#This Row],[X]]=4)),tbal[[#This Row],[ACREEDOR]],0)</f>
        <v>0</v>
      </c>
      <c r="M1527" s="16">
        <f>IF((OR(tbal[[#This Row],[X]]=0,tbal[[#This Row],[X]]=6)),tbal[[#This Row],[DEUDOR]],0)</f>
        <v>0</v>
      </c>
      <c r="N1527" s="18">
        <f>IF((OR(tbal[[#This Row],[X]]=0,tbal[[#This Row],[X]]=5)),tbal[[#This Row],[ACREEDOR]],0)</f>
        <v>0</v>
      </c>
    </row>
    <row r="1528" spans="1:14" hidden="1" x14ac:dyDescent="0.3">
      <c r="A1528" s="14">
        <f>+'PLAN DE CUENTAS'!A1528</f>
        <v>0</v>
      </c>
      <c r="B1528" s="13">
        <f>+'PLAN DE CUENTAS'!B1528</f>
        <v>0</v>
      </c>
      <c r="C1528" s="13">
        <f>+'PLAN DE CUENTAS'!C1528</f>
        <v>0</v>
      </c>
      <c r="D1528" t="str">
        <f>IF(tbal[[#This Row],[DEBE]]+tbal[[#This Row],[HABER]]=0,"","X")</f>
        <v/>
      </c>
      <c r="E1528" s="16">
        <f>SUMIF(tdiario[CUENTA],tbal[[#This Row],[CUENTA]],tdiario[DEBE])</f>
        <v>0</v>
      </c>
      <c r="F1528" s="17">
        <f>SUMIF(tdiario[CUENTA],tbal[[#This Row],[CUENTA]],tdiario[HABER])</f>
        <v>0</v>
      </c>
      <c r="G1528" s="16">
        <f>IF(tbal[[#This Row],[DEBE]]-tbal[[#This Row],[HABER]]&gt;0,tbal[[#This Row],[DEBE]]-tbal[[#This Row],[HABER]],0)</f>
        <v>0</v>
      </c>
      <c r="H1528" s="18">
        <f>IF(tbal[[#This Row],[HABER]]-tbal[[#This Row],[DEBE]]&gt;0,tbal[[#This Row],[HABER]]-tbal[[#This Row],[DEBE]],0)</f>
        <v>0</v>
      </c>
      <c r="I1528" s="16">
        <f>IF((OR(tbal[[#This Row],[X]]=1,tbal[[#This Row],[X]]=2)),tbal[[#This Row],[DEUDOR]],0)</f>
        <v>0</v>
      </c>
      <c r="J1528" s="18">
        <f>IF((OR(tbal[[#This Row],[X]]=2,tbal[[#This Row],[X]]=3)),tbal[[#This Row],[ACREEDOR]],0)</f>
        <v>0</v>
      </c>
      <c r="K1528" s="16">
        <f>IF((OR(tbal[[#This Row],[X]]=3,tbal[[#This Row],[X]]=5)),tbal[[#This Row],[DEUDOR]],0)</f>
        <v>0</v>
      </c>
      <c r="L1528" s="18">
        <f>IF((OR(tbal[[#This Row],[X]]=3,tbal[[#This Row],[X]]=4)),tbal[[#This Row],[ACREEDOR]],0)</f>
        <v>0</v>
      </c>
      <c r="M1528" s="16">
        <f>IF((OR(tbal[[#This Row],[X]]=0,tbal[[#This Row],[X]]=6)),tbal[[#This Row],[DEUDOR]],0)</f>
        <v>0</v>
      </c>
      <c r="N1528" s="18">
        <f>IF((OR(tbal[[#This Row],[X]]=0,tbal[[#This Row],[X]]=5)),tbal[[#This Row],[ACREEDOR]],0)</f>
        <v>0</v>
      </c>
    </row>
    <row r="1529" spans="1:14" hidden="1" x14ac:dyDescent="0.3">
      <c r="A1529" s="14">
        <f>+'PLAN DE CUENTAS'!A1529</f>
        <v>0</v>
      </c>
      <c r="B1529" s="13">
        <f>+'PLAN DE CUENTAS'!B1529</f>
        <v>0</v>
      </c>
      <c r="C1529" s="13">
        <f>+'PLAN DE CUENTAS'!C1529</f>
        <v>0</v>
      </c>
      <c r="D1529" t="str">
        <f>IF(tbal[[#This Row],[DEBE]]+tbal[[#This Row],[HABER]]=0,"","X")</f>
        <v/>
      </c>
      <c r="E1529" s="16">
        <f>SUMIF(tdiario[CUENTA],tbal[[#This Row],[CUENTA]],tdiario[DEBE])</f>
        <v>0</v>
      </c>
      <c r="F1529" s="17">
        <f>SUMIF(tdiario[CUENTA],tbal[[#This Row],[CUENTA]],tdiario[HABER])</f>
        <v>0</v>
      </c>
      <c r="G1529" s="16">
        <f>IF(tbal[[#This Row],[DEBE]]-tbal[[#This Row],[HABER]]&gt;0,tbal[[#This Row],[DEBE]]-tbal[[#This Row],[HABER]],0)</f>
        <v>0</v>
      </c>
      <c r="H1529" s="18">
        <f>IF(tbal[[#This Row],[HABER]]-tbal[[#This Row],[DEBE]]&gt;0,tbal[[#This Row],[HABER]]-tbal[[#This Row],[DEBE]],0)</f>
        <v>0</v>
      </c>
      <c r="I1529" s="16">
        <f>IF((OR(tbal[[#This Row],[X]]=1,tbal[[#This Row],[X]]=2)),tbal[[#This Row],[DEUDOR]],0)</f>
        <v>0</v>
      </c>
      <c r="J1529" s="18">
        <f>IF((OR(tbal[[#This Row],[X]]=2,tbal[[#This Row],[X]]=3)),tbal[[#This Row],[ACREEDOR]],0)</f>
        <v>0</v>
      </c>
      <c r="K1529" s="16">
        <f>IF((OR(tbal[[#This Row],[X]]=3,tbal[[#This Row],[X]]=5)),tbal[[#This Row],[DEUDOR]],0)</f>
        <v>0</v>
      </c>
      <c r="L1529" s="18">
        <f>IF((OR(tbal[[#This Row],[X]]=3,tbal[[#This Row],[X]]=4)),tbal[[#This Row],[ACREEDOR]],0)</f>
        <v>0</v>
      </c>
      <c r="M1529" s="16">
        <f>IF((OR(tbal[[#This Row],[X]]=0,tbal[[#This Row],[X]]=6)),tbal[[#This Row],[DEUDOR]],0)</f>
        <v>0</v>
      </c>
      <c r="N1529" s="18">
        <f>IF((OR(tbal[[#This Row],[X]]=0,tbal[[#This Row],[X]]=5)),tbal[[#This Row],[ACREEDOR]],0)</f>
        <v>0</v>
      </c>
    </row>
    <row r="1530" spans="1:14" hidden="1" x14ac:dyDescent="0.3">
      <c r="A1530" s="14">
        <f>+'PLAN DE CUENTAS'!A1530</f>
        <v>0</v>
      </c>
      <c r="B1530" s="13">
        <f>+'PLAN DE CUENTAS'!B1530</f>
        <v>0</v>
      </c>
      <c r="C1530" s="13">
        <f>+'PLAN DE CUENTAS'!C1530</f>
        <v>0</v>
      </c>
      <c r="D1530" t="str">
        <f>IF(tbal[[#This Row],[DEBE]]+tbal[[#This Row],[HABER]]=0,"","X")</f>
        <v/>
      </c>
      <c r="E1530" s="16">
        <f>SUMIF(tdiario[CUENTA],tbal[[#This Row],[CUENTA]],tdiario[DEBE])</f>
        <v>0</v>
      </c>
      <c r="F1530" s="17">
        <f>SUMIF(tdiario[CUENTA],tbal[[#This Row],[CUENTA]],tdiario[HABER])</f>
        <v>0</v>
      </c>
      <c r="G1530" s="16">
        <f>IF(tbal[[#This Row],[DEBE]]-tbal[[#This Row],[HABER]]&gt;0,tbal[[#This Row],[DEBE]]-tbal[[#This Row],[HABER]],0)</f>
        <v>0</v>
      </c>
      <c r="H1530" s="18">
        <f>IF(tbal[[#This Row],[HABER]]-tbal[[#This Row],[DEBE]]&gt;0,tbal[[#This Row],[HABER]]-tbal[[#This Row],[DEBE]],0)</f>
        <v>0</v>
      </c>
      <c r="I1530" s="16">
        <f>IF((OR(tbal[[#This Row],[X]]=1,tbal[[#This Row],[X]]=2)),tbal[[#This Row],[DEUDOR]],0)</f>
        <v>0</v>
      </c>
      <c r="J1530" s="18">
        <f>IF((OR(tbal[[#This Row],[X]]=2,tbal[[#This Row],[X]]=3)),tbal[[#This Row],[ACREEDOR]],0)</f>
        <v>0</v>
      </c>
      <c r="K1530" s="16">
        <f>IF((OR(tbal[[#This Row],[X]]=3,tbal[[#This Row],[X]]=5)),tbal[[#This Row],[DEUDOR]],0)</f>
        <v>0</v>
      </c>
      <c r="L1530" s="18">
        <f>IF((OR(tbal[[#This Row],[X]]=3,tbal[[#This Row],[X]]=4)),tbal[[#This Row],[ACREEDOR]],0)</f>
        <v>0</v>
      </c>
      <c r="M1530" s="16">
        <f>IF((OR(tbal[[#This Row],[X]]=0,tbal[[#This Row],[X]]=6)),tbal[[#This Row],[DEUDOR]],0)</f>
        <v>0</v>
      </c>
      <c r="N1530" s="18">
        <f>IF((OR(tbal[[#This Row],[X]]=0,tbal[[#This Row],[X]]=5)),tbal[[#This Row],[ACREEDOR]],0)</f>
        <v>0</v>
      </c>
    </row>
    <row r="1531" spans="1:14" hidden="1" x14ac:dyDescent="0.3">
      <c r="A1531" s="14">
        <f>+'PLAN DE CUENTAS'!A1531</f>
        <v>0</v>
      </c>
      <c r="B1531" s="13">
        <f>+'PLAN DE CUENTAS'!B1531</f>
        <v>0</v>
      </c>
      <c r="C1531" s="13">
        <f>+'PLAN DE CUENTAS'!C1531</f>
        <v>0</v>
      </c>
      <c r="D1531" t="str">
        <f>IF(tbal[[#This Row],[DEBE]]+tbal[[#This Row],[HABER]]=0,"","X")</f>
        <v/>
      </c>
      <c r="E1531" s="16">
        <f>SUMIF(tdiario[CUENTA],tbal[[#This Row],[CUENTA]],tdiario[DEBE])</f>
        <v>0</v>
      </c>
      <c r="F1531" s="17">
        <f>SUMIF(tdiario[CUENTA],tbal[[#This Row],[CUENTA]],tdiario[HABER])</f>
        <v>0</v>
      </c>
      <c r="G1531" s="16">
        <f>IF(tbal[[#This Row],[DEBE]]-tbal[[#This Row],[HABER]]&gt;0,tbal[[#This Row],[DEBE]]-tbal[[#This Row],[HABER]],0)</f>
        <v>0</v>
      </c>
      <c r="H1531" s="18">
        <f>IF(tbal[[#This Row],[HABER]]-tbal[[#This Row],[DEBE]]&gt;0,tbal[[#This Row],[HABER]]-tbal[[#This Row],[DEBE]],0)</f>
        <v>0</v>
      </c>
      <c r="I1531" s="16">
        <f>IF((OR(tbal[[#This Row],[X]]=1,tbal[[#This Row],[X]]=2)),tbal[[#This Row],[DEUDOR]],0)</f>
        <v>0</v>
      </c>
      <c r="J1531" s="18">
        <f>IF((OR(tbal[[#This Row],[X]]=2,tbal[[#This Row],[X]]=3)),tbal[[#This Row],[ACREEDOR]],0)</f>
        <v>0</v>
      </c>
      <c r="K1531" s="16">
        <f>IF((OR(tbal[[#This Row],[X]]=3,tbal[[#This Row],[X]]=5)),tbal[[#This Row],[DEUDOR]],0)</f>
        <v>0</v>
      </c>
      <c r="L1531" s="18">
        <f>IF((OR(tbal[[#This Row],[X]]=3,tbal[[#This Row],[X]]=4)),tbal[[#This Row],[ACREEDOR]],0)</f>
        <v>0</v>
      </c>
      <c r="M1531" s="16">
        <f>IF((OR(tbal[[#This Row],[X]]=0,tbal[[#This Row],[X]]=6)),tbal[[#This Row],[DEUDOR]],0)</f>
        <v>0</v>
      </c>
      <c r="N1531" s="18">
        <f>IF((OR(tbal[[#This Row],[X]]=0,tbal[[#This Row],[X]]=5)),tbal[[#This Row],[ACREEDOR]],0)</f>
        <v>0</v>
      </c>
    </row>
    <row r="1532" spans="1:14" hidden="1" x14ac:dyDescent="0.3">
      <c r="A1532" s="14">
        <f>+'PLAN DE CUENTAS'!A1532</f>
        <v>0</v>
      </c>
      <c r="B1532" s="13">
        <f>+'PLAN DE CUENTAS'!B1532</f>
        <v>0</v>
      </c>
      <c r="C1532" s="13">
        <f>+'PLAN DE CUENTAS'!C1532</f>
        <v>0</v>
      </c>
      <c r="D1532" t="str">
        <f>IF(tbal[[#This Row],[DEBE]]+tbal[[#This Row],[HABER]]=0,"","X")</f>
        <v/>
      </c>
      <c r="E1532" s="16">
        <f>SUMIF(tdiario[CUENTA],tbal[[#This Row],[CUENTA]],tdiario[DEBE])</f>
        <v>0</v>
      </c>
      <c r="F1532" s="17">
        <f>SUMIF(tdiario[CUENTA],tbal[[#This Row],[CUENTA]],tdiario[HABER])</f>
        <v>0</v>
      </c>
      <c r="G1532" s="16">
        <f>IF(tbal[[#This Row],[DEBE]]-tbal[[#This Row],[HABER]]&gt;0,tbal[[#This Row],[DEBE]]-tbal[[#This Row],[HABER]],0)</f>
        <v>0</v>
      </c>
      <c r="H1532" s="18">
        <f>IF(tbal[[#This Row],[HABER]]-tbal[[#This Row],[DEBE]]&gt;0,tbal[[#This Row],[HABER]]-tbal[[#This Row],[DEBE]],0)</f>
        <v>0</v>
      </c>
      <c r="I1532" s="16">
        <f>IF((OR(tbal[[#This Row],[X]]=1,tbal[[#This Row],[X]]=2)),tbal[[#This Row],[DEUDOR]],0)</f>
        <v>0</v>
      </c>
      <c r="J1532" s="18">
        <f>IF((OR(tbal[[#This Row],[X]]=2,tbal[[#This Row],[X]]=3)),tbal[[#This Row],[ACREEDOR]],0)</f>
        <v>0</v>
      </c>
      <c r="K1532" s="16">
        <f>IF((OR(tbal[[#This Row],[X]]=3,tbal[[#This Row],[X]]=5)),tbal[[#This Row],[DEUDOR]],0)</f>
        <v>0</v>
      </c>
      <c r="L1532" s="18">
        <f>IF((OR(tbal[[#This Row],[X]]=3,tbal[[#This Row],[X]]=4)),tbal[[#This Row],[ACREEDOR]],0)</f>
        <v>0</v>
      </c>
      <c r="M1532" s="16">
        <f>IF((OR(tbal[[#This Row],[X]]=0,tbal[[#This Row],[X]]=6)),tbal[[#This Row],[DEUDOR]],0)</f>
        <v>0</v>
      </c>
      <c r="N1532" s="18">
        <f>IF((OR(tbal[[#This Row],[X]]=0,tbal[[#This Row],[X]]=5)),tbal[[#This Row],[ACREEDOR]],0)</f>
        <v>0</v>
      </c>
    </row>
    <row r="1533" spans="1:14" hidden="1" x14ac:dyDescent="0.3">
      <c r="A1533" s="14">
        <f>+'PLAN DE CUENTAS'!A1533</f>
        <v>0</v>
      </c>
      <c r="B1533" s="13">
        <f>+'PLAN DE CUENTAS'!B1533</f>
        <v>0</v>
      </c>
      <c r="C1533" s="13">
        <f>+'PLAN DE CUENTAS'!C1533</f>
        <v>0</v>
      </c>
      <c r="D1533" t="str">
        <f>IF(tbal[[#This Row],[DEBE]]+tbal[[#This Row],[HABER]]=0,"","X")</f>
        <v/>
      </c>
      <c r="E1533" s="16">
        <f>SUMIF(tdiario[CUENTA],tbal[[#This Row],[CUENTA]],tdiario[DEBE])</f>
        <v>0</v>
      </c>
      <c r="F1533" s="17">
        <f>SUMIF(tdiario[CUENTA],tbal[[#This Row],[CUENTA]],tdiario[HABER])</f>
        <v>0</v>
      </c>
      <c r="G1533" s="16">
        <f>IF(tbal[[#This Row],[DEBE]]-tbal[[#This Row],[HABER]]&gt;0,tbal[[#This Row],[DEBE]]-tbal[[#This Row],[HABER]],0)</f>
        <v>0</v>
      </c>
      <c r="H1533" s="18">
        <f>IF(tbal[[#This Row],[HABER]]-tbal[[#This Row],[DEBE]]&gt;0,tbal[[#This Row],[HABER]]-tbal[[#This Row],[DEBE]],0)</f>
        <v>0</v>
      </c>
      <c r="I1533" s="16">
        <f>IF((OR(tbal[[#This Row],[X]]=1,tbal[[#This Row],[X]]=2)),tbal[[#This Row],[DEUDOR]],0)</f>
        <v>0</v>
      </c>
      <c r="J1533" s="18">
        <f>IF((OR(tbal[[#This Row],[X]]=2,tbal[[#This Row],[X]]=3)),tbal[[#This Row],[ACREEDOR]],0)</f>
        <v>0</v>
      </c>
      <c r="K1533" s="16">
        <f>IF((OR(tbal[[#This Row],[X]]=3,tbal[[#This Row],[X]]=5)),tbal[[#This Row],[DEUDOR]],0)</f>
        <v>0</v>
      </c>
      <c r="L1533" s="18">
        <f>IF((OR(tbal[[#This Row],[X]]=3,tbal[[#This Row],[X]]=4)),tbal[[#This Row],[ACREEDOR]],0)</f>
        <v>0</v>
      </c>
      <c r="M1533" s="16">
        <f>IF((OR(tbal[[#This Row],[X]]=0,tbal[[#This Row],[X]]=6)),tbal[[#This Row],[DEUDOR]],0)</f>
        <v>0</v>
      </c>
      <c r="N1533" s="18">
        <f>IF((OR(tbal[[#This Row],[X]]=0,tbal[[#This Row],[X]]=5)),tbal[[#This Row],[ACREEDOR]],0)</f>
        <v>0</v>
      </c>
    </row>
    <row r="1534" spans="1:14" hidden="1" x14ac:dyDescent="0.3">
      <c r="A1534" s="14">
        <f>+'PLAN DE CUENTAS'!A1534</f>
        <v>0</v>
      </c>
      <c r="B1534" s="13">
        <f>+'PLAN DE CUENTAS'!B1534</f>
        <v>0</v>
      </c>
      <c r="C1534" s="13">
        <f>+'PLAN DE CUENTAS'!C1534</f>
        <v>0</v>
      </c>
      <c r="D1534" t="str">
        <f>IF(tbal[[#This Row],[DEBE]]+tbal[[#This Row],[HABER]]=0,"","X")</f>
        <v/>
      </c>
      <c r="E1534" s="16">
        <f>SUMIF(tdiario[CUENTA],tbal[[#This Row],[CUENTA]],tdiario[DEBE])</f>
        <v>0</v>
      </c>
      <c r="F1534" s="17">
        <f>SUMIF(tdiario[CUENTA],tbal[[#This Row],[CUENTA]],tdiario[HABER])</f>
        <v>0</v>
      </c>
      <c r="G1534" s="16">
        <f>IF(tbal[[#This Row],[DEBE]]-tbal[[#This Row],[HABER]]&gt;0,tbal[[#This Row],[DEBE]]-tbal[[#This Row],[HABER]],0)</f>
        <v>0</v>
      </c>
      <c r="H1534" s="18">
        <f>IF(tbal[[#This Row],[HABER]]-tbal[[#This Row],[DEBE]]&gt;0,tbal[[#This Row],[HABER]]-tbal[[#This Row],[DEBE]],0)</f>
        <v>0</v>
      </c>
      <c r="I1534" s="16">
        <f>IF((OR(tbal[[#This Row],[X]]=1,tbal[[#This Row],[X]]=2)),tbal[[#This Row],[DEUDOR]],0)</f>
        <v>0</v>
      </c>
      <c r="J1534" s="18">
        <f>IF((OR(tbal[[#This Row],[X]]=2,tbal[[#This Row],[X]]=3)),tbal[[#This Row],[ACREEDOR]],0)</f>
        <v>0</v>
      </c>
      <c r="K1534" s="16">
        <f>IF((OR(tbal[[#This Row],[X]]=3,tbal[[#This Row],[X]]=5)),tbal[[#This Row],[DEUDOR]],0)</f>
        <v>0</v>
      </c>
      <c r="L1534" s="18">
        <f>IF((OR(tbal[[#This Row],[X]]=3,tbal[[#This Row],[X]]=4)),tbal[[#This Row],[ACREEDOR]],0)</f>
        <v>0</v>
      </c>
      <c r="M1534" s="16">
        <f>IF((OR(tbal[[#This Row],[X]]=0,tbal[[#This Row],[X]]=6)),tbal[[#This Row],[DEUDOR]],0)</f>
        <v>0</v>
      </c>
      <c r="N1534" s="18">
        <f>IF((OR(tbal[[#This Row],[X]]=0,tbal[[#This Row],[X]]=5)),tbal[[#This Row],[ACREEDOR]],0)</f>
        <v>0</v>
      </c>
    </row>
    <row r="1535" spans="1:14" hidden="1" x14ac:dyDescent="0.3">
      <c r="A1535" s="14">
        <f>+'PLAN DE CUENTAS'!A1535</f>
        <v>0</v>
      </c>
      <c r="B1535" s="13">
        <f>+'PLAN DE CUENTAS'!B1535</f>
        <v>0</v>
      </c>
      <c r="C1535" s="13">
        <f>+'PLAN DE CUENTAS'!C1535</f>
        <v>0</v>
      </c>
      <c r="D1535" t="str">
        <f>IF(tbal[[#This Row],[DEBE]]+tbal[[#This Row],[HABER]]=0,"","X")</f>
        <v/>
      </c>
      <c r="E1535" s="16">
        <f>SUMIF(tdiario[CUENTA],tbal[[#This Row],[CUENTA]],tdiario[DEBE])</f>
        <v>0</v>
      </c>
      <c r="F1535" s="17">
        <f>SUMIF(tdiario[CUENTA],tbal[[#This Row],[CUENTA]],tdiario[HABER])</f>
        <v>0</v>
      </c>
      <c r="G1535" s="16">
        <f>IF(tbal[[#This Row],[DEBE]]-tbal[[#This Row],[HABER]]&gt;0,tbal[[#This Row],[DEBE]]-tbal[[#This Row],[HABER]],0)</f>
        <v>0</v>
      </c>
      <c r="H1535" s="18">
        <f>IF(tbal[[#This Row],[HABER]]-tbal[[#This Row],[DEBE]]&gt;0,tbal[[#This Row],[HABER]]-tbal[[#This Row],[DEBE]],0)</f>
        <v>0</v>
      </c>
      <c r="I1535" s="16">
        <f>IF((OR(tbal[[#This Row],[X]]=1,tbal[[#This Row],[X]]=2)),tbal[[#This Row],[DEUDOR]],0)</f>
        <v>0</v>
      </c>
      <c r="J1535" s="18">
        <f>IF((OR(tbal[[#This Row],[X]]=2,tbal[[#This Row],[X]]=3)),tbal[[#This Row],[ACREEDOR]],0)</f>
        <v>0</v>
      </c>
      <c r="K1535" s="16">
        <f>IF((OR(tbal[[#This Row],[X]]=3,tbal[[#This Row],[X]]=5)),tbal[[#This Row],[DEUDOR]],0)</f>
        <v>0</v>
      </c>
      <c r="L1535" s="18">
        <f>IF((OR(tbal[[#This Row],[X]]=3,tbal[[#This Row],[X]]=4)),tbal[[#This Row],[ACREEDOR]],0)</f>
        <v>0</v>
      </c>
      <c r="M1535" s="16">
        <f>IF((OR(tbal[[#This Row],[X]]=0,tbal[[#This Row],[X]]=6)),tbal[[#This Row],[DEUDOR]],0)</f>
        <v>0</v>
      </c>
      <c r="N1535" s="18">
        <f>IF((OR(tbal[[#This Row],[X]]=0,tbal[[#This Row],[X]]=5)),tbal[[#This Row],[ACREEDOR]],0)</f>
        <v>0</v>
      </c>
    </row>
    <row r="1536" spans="1:14" hidden="1" x14ac:dyDescent="0.3">
      <c r="A1536" s="14">
        <f>+'PLAN DE CUENTAS'!A1536</f>
        <v>0</v>
      </c>
      <c r="B1536" s="13">
        <f>+'PLAN DE CUENTAS'!B1536</f>
        <v>0</v>
      </c>
      <c r="C1536" s="13">
        <f>+'PLAN DE CUENTAS'!C1536</f>
        <v>0</v>
      </c>
      <c r="D1536" t="str">
        <f>IF(tbal[[#This Row],[DEBE]]+tbal[[#This Row],[HABER]]=0,"","X")</f>
        <v/>
      </c>
      <c r="E1536" s="16">
        <f>SUMIF(tdiario[CUENTA],tbal[[#This Row],[CUENTA]],tdiario[DEBE])</f>
        <v>0</v>
      </c>
      <c r="F1536" s="17">
        <f>SUMIF(tdiario[CUENTA],tbal[[#This Row],[CUENTA]],tdiario[HABER])</f>
        <v>0</v>
      </c>
      <c r="G1536" s="16">
        <f>IF(tbal[[#This Row],[DEBE]]-tbal[[#This Row],[HABER]]&gt;0,tbal[[#This Row],[DEBE]]-tbal[[#This Row],[HABER]],0)</f>
        <v>0</v>
      </c>
      <c r="H1536" s="18">
        <f>IF(tbal[[#This Row],[HABER]]-tbal[[#This Row],[DEBE]]&gt;0,tbal[[#This Row],[HABER]]-tbal[[#This Row],[DEBE]],0)</f>
        <v>0</v>
      </c>
      <c r="I1536" s="16">
        <f>IF((OR(tbal[[#This Row],[X]]=1,tbal[[#This Row],[X]]=2)),tbal[[#This Row],[DEUDOR]],0)</f>
        <v>0</v>
      </c>
      <c r="J1536" s="18">
        <f>IF((OR(tbal[[#This Row],[X]]=2,tbal[[#This Row],[X]]=3)),tbal[[#This Row],[ACREEDOR]],0)</f>
        <v>0</v>
      </c>
      <c r="K1536" s="16">
        <f>IF((OR(tbal[[#This Row],[X]]=3,tbal[[#This Row],[X]]=5)),tbal[[#This Row],[DEUDOR]],0)</f>
        <v>0</v>
      </c>
      <c r="L1536" s="18">
        <f>IF((OR(tbal[[#This Row],[X]]=3,tbal[[#This Row],[X]]=4)),tbal[[#This Row],[ACREEDOR]],0)</f>
        <v>0</v>
      </c>
      <c r="M1536" s="16">
        <f>IF((OR(tbal[[#This Row],[X]]=0,tbal[[#This Row],[X]]=6)),tbal[[#This Row],[DEUDOR]],0)</f>
        <v>0</v>
      </c>
      <c r="N1536" s="18">
        <f>IF((OR(tbal[[#This Row],[X]]=0,tbal[[#This Row],[X]]=5)),tbal[[#This Row],[ACREEDOR]],0)</f>
        <v>0</v>
      </c>
    </row>
    <row r="1537" spans="1:14" hidden="1" x14ac:dyDescent="0.3">
      <c r="A1537" s="14">
        <f>+'PLAN DE CUENTAS'!A1537</f>
        <v>0</v>
      </c>
      <c r="B1537" s="13">
        <f>+'PLAN DE CUENTAS'!B1537</f>
        <v>0</v>
      </c>
      <c r="C1537" s="13">
        <f>+'PLAN DE CUENTAS'!C1537</f>
        <v>0</v>
      </c>
      <c r="D1537" t="str">
        <f>IF(tbal[[#This Row],[DEBE]]+tbal[[#This Row],[HABER]]=0,"","X")</f>
        <v/>
      </c>
      <c r="E1537" s="16">
        <f>SUMIF(tdiario[CUENTA],tbal[[#This Row],[CUENTA]],tdiario[DEBE])</f>
        <v>0</v>
      </c>
      <c r="F1537" s="17">
        <f>SUMIF(tdiario[CUENTA],tbal[[#This Row],[CUENTA]],tdiario[HABER])</f>
        <v>0</v>
      </c>
      <c r="G1537" s="16">
        <f>IF(tbal[[#This Row],[DEBE]]-tbal[[#This Row],[HABER]]&gt;0,tbal[[#This Row],[DEBE]]-tbal[[#This Row],[HABER]],0)</f>
        <v>0</v>
      </c>
      <c r="H1537" s="18">
        <f>IF(tbal[[#This Row],[HABER]]-tbal[[#This Row],[DEBE]]&gt;0,tbal[[#This Row],[HABER]]-tbal[[#This Row],[DEBE]],0)</f>
        <v>0</v>
      </c>
      <c r="I1537" s="16">
        <f>IF((OR(tbal[[#This Row],[X]]=1,tbal[[#This Row],[X]]=2)),tbal[[#This Row],[DEUDOR]],0)</f>
        <v>0</v>
      </c>
      <c r="J1537" s="18">
        <f>IF((OR(tbal[[#This Row],[X]]=2,tbal[[#This Row],[X]]=3)),tbal[[#This Row],[ACREEDOR]],0)</f>
        <v>0</v>
      </c>
      <c r="K1537" s="16">
        <f>IF((OR(tbal[[#This Row],[X]]=3,tbal[[#This Row],[X]]=5)),tbal[[#This Row],[DEUDOR]],0)</f>
        <v>0</v>
      </c>
      <c r="L1537" s="18">
        <f>IF((OR(tbal[[#This Row],[X]]=3,tbal[[#This Row],[X]]=4)),tbal[[#This Row],[ACREEDOR]],0)</f>
        <v>0</v>
      </c>
      <c r="M1537" s="16">
        <f>IF((OR(tbal[[#This Row],[X]]=0,tbal[[#This Row],[X]]=6)),tbal[[#This Row],[DEUDOR]],0)</f>
        <v>0</v>
      </c>
      <c r="N1537" s="18">
        <f>IF((OR(tbal[[#This Row],[X]]=0,tbal[[#This Row],[X]]=5)),tbal[[#This Row],[ACREEDOR]],0)</f>
        <v>0</v>
      </c>
    </row>
    <row r="1538" spans="1:14" hidden="1" x14ac:dyDescent="0.3">
      <c r="A1538" s="14">
        <f>+'PLAN DE CUENTAS'!A1538</f>
        <v>0</v>
      </c>
      <c r="B1538" s="13">
        <f>+'PLAN DE CUENTAS'!B1538</f>
        <v>0</v>
      </c>
      <c r="C1538" s="13">
        <f>+'PLAN DE CUENTAS'!C1538</f>
        <v>0</v>
      </c>
      <c r="D1538" t="str">
        <f>IF(tbal[[#This Row],[DEBE]]+tbal[[#This Row],[HABER]]=0,"","X")</f>
        <v/>
      </c>
      <c r="E1538" s="16">
        <f>SUMIF(tdiario[CUENTA],tbal[[#This Row],[CUENTA]],tdiario[DEBE])</f>
        <v>0</v>
      </c>
      <c r="F1538" s="17">
        <f>SUMIF(tdiario[CUENTA],tbal[[#This Row],[CUENTA]],tdiario[HABER])</f>
        <v>0</v>
      </c>
      <c r="G1538" s="16">
        <f>IF(tbal[[#This Row],[DEBE]]-tbal[[#This Row],[HABER]]&gt;0,tbal[[#This Row],[DEBE]]-tbal[[#This Row],[HABER]],0)</f>
        <v>0</v>
      </c>
      <c r="H1538" s="18">
        <f>IF(tbal[[#This Row],[HABER]]-tbal[[#This Row],[DEBE]]&gt;0,tbal[[#This Row],[HABER]]-tbal[[#This Row],[DEBE]],0)</f>
        <v>0</v>
      </c>
      <c r="I1538" s="16">
        <f>IF((OR(tbal[[#This Row],[X]]=1,tbal[[#This Row],[X]]=2)),tbal[[#This Row],[DEUDOR]],0)</f>
        <v>0</v>
      </c>
      <c r="J1538" s="18">
        <f>IF((OR(tbal[[#This Row],[X]]=2,tbal[[#This Row],[X]]=3)),tbal[[#This Row],[ACREEDOR]],0)</f>
        <v>0</v>
      </c>
      <c r="K1538" s="16">
        <f>IF((OR(tbal[[#This Row],[X]]=3,tbal[[#This Row],[X]]=5)),tbal[[#This Row],[DEUDOR]],0)</f>
        <v>0</v>
      </c>
      <c r="L1538" s="18">
        <f>IF((OR(tbal[[#This Row],[X]]=3,tbal[[#This Row],[X]]=4)),tbal[[#This Row],[ACREEDOR]],0)</f>
        <v>0</v>
      </c>
      <c r="M1538" s="16">
        <f>IF((OR(tbal[[#This Row],[X]]=0,tbal[[#This Row],[X]]=6)),tbal[[#This Row],[DEUDOR]],0)</f>
        <v>0</v>
      </c>
      <c r="N1538" s="18">
        <f>IF((OR(tbal[[#This Row],[X]]=0,tbal[[#This Row],[X]]=5)),tbal[[#This Row],[ACREEDOR]],0)</f>
        <v>0</v>
      </c>
    </row>
    <row r="1539" spans="1:14" hidden="1" x14ac:dyDescent="0.3">
      <c r="A1539" s="14">
        <f>+'PLAN DE CUENTAS'!A1539</f>
        <v>0</v>
      </c>
      <c r="B1539" s="13">
        <f>+'PLAN DE CUENTAS'!B1539</f>
        <v>0</v>
      </c>
      <c r="C1539" s="13">
        <f>+'PLAN DE CUENTAS'!C1539</f>
        <v>0</v>
      </c>
      <c r="D1539" t="str">
        <f>IF(tbal[[#This Row],[DEBE]]+tbal[[#This Row],[HABER]]=0,"","X")</f>
        <v/>
      </c>
      <c r="E1539" s="16">
        <f>SUMIF(tdiario[CUENTA],tbal[[#This Row],[CUENTA]],tdiario[DEBE])</f>
        <v>0</v>
      </c>
      <c r="F1539" s="17">
        <f>SUMIF(tdiario[CUENTA],tbal[[#This Row],[CUENTA]],tdiario[HABER])</f>
        <v>0</v>
      </c>
      <c r="G1539" s="16">
        <f>IF(tbal[[#This Row],[DEBE]]-tbal[[#This Row],[HABER]]&gt;0,tbal[[#This Row],[DEBE]]-tbal[[#This Row],[HABER]],0)</f>
        <v>0</v>
      </c>
      <c r="H1539" s="18">
        <f>IF(tbal[[#This Row],[HABER]]-tbal[[#This Row],[DEBE]]&gt;0,tbal[[#This Row],[HABER]]-tbal[[#This Row],[DEBE]],0)</f>
        <v>0</v>
      </c>
      <c r="I1539" s="16">
        <f>IF((OR(tbal[[#This Row],[X]]=1,tbal[[#This Row],[X]]=2)),tbal[[#This Row],[DEUDOR]],0)</f>
        <v>0</v>
      </c>
      <c r="J1539" s="18">
        <f>IF((OR(tbal[[#This Row],[X]]=2,tbal[[#This Row],[X]]=3)),tbal[[#This Row],[ACREEDOR]],0)</f>
        <v>0</v>
      </c>
      <c r="K1539" s="16">
        <f>IF((OR(tbal[[#This Row],[X]]=3,tbal[[#This Row],[X]]=5)),tbal[[#This Row],[DEUDOR]],0)</f>
        <v>0</v>
      </c>
      <c r="L1539" s="18">
        <f>IF((OR(tbal[[#This Row],[X]]=3,tbal[[#This Row],[X]]=4)),tbal[[#This Row],[ACREEDOR]],0)</f>
        <v>0</v>
      </c>
      <c r="M1539" s="16">
        <f>IF((OR(tbal[[#This Row],[X]]=0,tbal[[#This Row],[X]]=6)),tbal[[#This Row],[DEUDOR]],0)</f>
        <v>0</v>
      </c>
      <c r="N1539" s="18">
        <f>IF((OR(tbal[[#This Row],[X]]=0,tbal[[#This Row],[X]]=5)),tbal[[#This Row],[ACREEDOR]],0)</f>
        <v>0</v>
      </c>
    </row>
    <row r="1540" spans="1:14" hidden="1" x14ac:dyDescent="0.3">
      <c r="A1540" s="14">
        <f>+'PLAN DE CUENTAS'!A1540</f>
        <v>0</v>
      </c>
      <c r="B1540" s="13">
        <f>+'PLAN DE CUENTAS'!B1540</f>
        <v>0</v>
      </c>
      <c r="C1540" s="13">
        <f>+'PLAN DE CUENTAS'!C1540</f>
        <v>0</v>
      </c>
      <c r="D1540" t="str">
        <f>IF(tbal[[#This Row],[DEBE]]+tbal[[#This Row],[HABER]]=0,"","X")</f>
        <v/>
      </c>
      <c r="E1540" s="16">
        <f>SUMIF(tdiario[CUENTA],tbal[[#This Row],[CUENTA]],tdiario[DEBE])</f>
        <v>0</v>
      </c>
      <c r="F1540" s="17">
        <f>SUMIF(tdiario[CUENTA],tbal[[#This Row],[CUENTA]],tdiario[HABER])</f>
        <v>0</v>
      </c>
      <c r="G1540" s="16">
        <f>IF(tbal[[#This Row],[DEBE]]-tbal[[#This Row],[HABER]]&gt;0,tbal[[#This Row],[DEBE]]-tbal[[#This Row],[HABER]],0)</f>
        <v>0</v>
      </c>
      <c r="H1540" s="18">
        <f>IF(tbal[[#This Row],[HABER]]-tbal[[#This Row],[DEBE]]&gt;0,tbal[[#This Row],[HABER]]-tbal[[#This Row],[DEBE]],0)</f>
        <v>0</v>
      </c>
      <c r="I1540" s="16">
        <f>IF((OR(tbal[[#This Row],[X]]=1,tbal[[#This Row],[X]]=2)),tbal[[#This Row],[DEUDOR]],0)</f>
        <v>0</v>
      </c>
      <c r="J1540" s="18">
        <f>IF((OR(tbal[[#This Row],[X]]=2,tbal[[#This Row],[X]]=3)),tbal[[#This Row],[ACREEDOR]],0)</f>
        <v>0</v>
      </c>
      <c r="K1540" s="16">
        <f>IF((OR(tbal[[#This Row],[X]]=3,tbal[[#This Row],[X]]=5)),tbal[[#This Row],[DEUDOR]],0)</f>
        <v>0</v>
      </c>
      <c r="L1540" s="18">
        <f>IF((OR(tbal[[#This Row],[X]]=3,tbal[[#This Row],[X]]=4)),tbal[[#This Row],[ACREEDOR]],0)</f>
        <v>0</v>
      </c>
      <c r="M1540" s="16">
        <f>IF((OR(tbal[[#This Row],[X]]=0,tbal[[#This Row],[X]]=6)),tbal[[#This Row],[DEUDOR]],0)</f>
        <v>0</v>
      </c>
      <c r="N1540" s="18">
        <f>IF((OR(tbal[[#This Row],[X]]=0,tbal[[#This Row],[X]]=5)),tbal[[#This Row],[ACREEDOR]],0)</f>
        <v>0</v>
      </c>
    </row>
    <row r="1541" spans="1:14" hidden="1" x14ac:dyDescent="0.3">
      <c r="A1541" s="14">
        <f>+'PLAN DE CUENTAS'!A1541</f>
        <v>0</v>
      </c>
      <c r="B1541" s="13">
        <f>+'PLAN DE CUENTAS'!B1541</f>
        <v>0</v>
      </c>
      <c r="C1541" s="13">
        <f>+'PLAN DE CUENTAS'!C1541</f>
        <v>0</v>
      </c>
      <c r="D1541" t="str">
        <f>IF(tbal[[#This Row],[DEBE]]+tbal[[#This Row],[HABER]]=0,"","X")</f>
        <v/>
      </c>
      <c r="E1541" s="16">
        <f>SUMIF(tdiario[CUENTA],tbal[[#This Row],[CUENTA]],tdiario[DEBE])</f>
        <v>0</v>
      </c>
      <c r="F1541" s="17">
        <f>SUMIF(tdiario[CUENTA],tbal[[#This Row],[CUENTA]],tdiario[HABER])</f>
        <v>0</v>
      </c>
      <c r="G1541" s="16">
        <f>IF(tbal[[#This Row],[DEBE]]-tbal[[#This Row],[HABER]]&gt;0,tbal[[#This Row],[DEBE]]-tbal[[#This Row],[HABER]],0)</f>
        <v>0</v>
      </c>
      <c r="H1541" s="18">
        <f>IF(tbal[[#This Row],[HABER]]-tbal[[#This Row],[DEBE]]&gt;0,tbal[[#This Row],[HABER]]-tbal[[#This Row],[DEBE]],0)</f>
        <v>0</v>
      </c>
      <c r="I1541" s="16">
        <f>IF((OR(tbal[[#This Row],[X]]=1,tbal[[#This Row],[X]]=2)),tbal[[#This Row],[DEUDOR]],0)</f>
        <v>0</v>
      </c>
      <c r="J1541" s="18">
        <f>IF((OR(tbal[[#This Row],[X]]=2,tbal[[#This Row],[X]]=3)),tbal[[#This Row],[ACREEDOR]],0)</f>
        <v>0</v>
      </c>
      <c r="K1541" s="16">
        <f>IF((OR(tbal[[#This Row],[X]]=3,tbal[[#This Row],[X]]=5)),tbal[[#This Row],[DEUDOR]],0)</f>
        <v>0</v>
      </c>
      <c r="L1541" s="18">
        <f>IF((OR(tbal[[#This Row],[X]]=3,tbal[[#This Row],[X]]=4)),tbal[[#This Row],[ACREEDOR]],0)</f>
        <v>0</v>
      </c>
      <c r="M1541" s="16">
        <f>IF((OR(tbal[[#This Row],[X]]=0,tbal[[#This Row],[X]]=6)),tbal[[#This Row],[DEUDOR]],0)</f>
        <v>0</v>
      </c>
      <c r="N1541" s="18">
        <f>IF((OR(tbal[[#This Row],[X]]=0,tbal[[#This Row],[X]]=5)),tbal[[#This Row],[ACREEDOR]],0)</f>
        <v>0</v>
      </c>
    </row>
    <row r="1542" spans="1:14" hidden="1" x14ac:dyDescent="0.3">
      <c r="A1542" s="14">
        <f>+'PLAN DE CUENTAS'!A1542</f>
        <v>0</v>
      </c>
      <c r="B1542" s="13">
        <f>+'PLAN DE CUENTAS'!B1542</f>
        <v>0</v>
      </c>
      <c r="C1542" s="13">
        <f>+'PLAN DE CUENTAS'!C1542</f>
        <v>0</v>
      </c>
      <c r="D1542" t="str">
        <f>IF(tbal[[#This Row],[DEBE]]+tbal[[#This Row],[HABER]]=0,"","X")</f>
        <v/>
      </c>
      <c r="E1542" s="16">
        <f>SUMIF(tdiario[CUENTA],tbal[[#This Row],[CUENTA]],tdiario[DEBE])</f>
        <v>0</v>
      </c>
      <c r="F1542" s="17">
        <f>SUMIF(tdiario[CUENTA],tbal[[#This Row],[CUENTA]],tdiario[HABER])</f>
        <v>0</v>
      </c>
      <c r="G1542" s="16">
        <f>IF(tbal[[#This Row],[DEBE]]-tbal[[#This Row],[HABER]]&gt;0,tbal[[#This Row],[DEBE]]-tbal[[#This Row],[HABER]],0)</f>
        <v>0</v>
      </c>
      <c r="H1542" s="18">
        <f>IF(tbal[[#This Row],[HABER]]-tbal[[#This Row],[DEBE]]&gt;0,tbal[[#This Row],[HABER]]-tbal[[#This Row],[DEBE]],0)</f>
        <v>0</v>
      </c>
      <c r="I1542" s="16">
        <f>IF((OR(tbal[[#This Row],[X]]=1,tbal[[#This Row],[X]]=2)),tbal[[#This Row],[DEUDOR]],0)</f>
        <v>0</v>
      </c>
      <c r="J1542" s="18">
        <f>IF((OR(tbal[[#This Row],[X]]=2,tbal[[#This Row],[X]]=3)),tbal[[#This Row],[ACREEDOR]],0)</f>
        <v>0</v>
      </c>
      <c r="K1542" s="16">
        <f>IF((OR(tbal[[#This Row],[X]]=3,tbal[[#This Row],[X]]=5)),tbal[[#This Row],[DEUDOR]],0)</f>
        <v>0</v>
      </c>
      <c r="L1542" s="18">
        <f>IF((OR(tbal[[#This Row],[X]]=3,tbal[[#This Row],[X]]=4)),tbal[[#This Row],[ACREEDOR]],0)</f>
        <v>0</v>
      </c>
      <c r="M1542" s="16">
        <f>IF((OR(tbal[[#This Row],[X]]=0,tbal[[#This Row],[X]]=6)),tbal[[#This Row],[DEUDOR]],0)</f>
        <v>0</v>
      </c>
      <c r="N1542" s="18">
        <f>IF((OR(tbal[[#This Row],[X]]=0,tbal[[#This Row],[X]]=5)),tbal[[#This Row],[ACREEDOR]],0)</f>
        <v>0</v>
      </c>
    </row>
    <row r="1543" spans="1:14" hidden="1" x14ac:dyDescent="0.3">
      <c r="A1543" s="14">
        <f>+'PLAN DE CUENTAS'!A1543</f>
        <v>0</v>
      </c>
      <c r="B1543" s="13">
        <f>+'PLAN DE CUENTAS'!B1543</f>
        <v>0</v>
      </c>
      <c r="C1543" s="13">
        <f>+'PLAN DE CUENTAS'!C1543</f>
        <v>0</v>
      </c>
      <c r="D1543" t="str">
        <f>IF(tbal[[#This Row],[DEBE]]+tbal[[#This Row],[HABER]]=0,"","X")</f>
        <v/>
      </c>
      <c r="E1543" s="16">
        <f>SUMIF(tdiario[CUENTA],tbal[[#This Row],[CUENTA]],tdiario[DEBE])</f>
        <v>0</v>
      </c>
      <c r="F1543" s="17">
        <f>SUMIF(tdiario[CUENTA],tbal[[#This Row],[CUENTA]],tdiario[HABER])</f>
        <v>0</v>
      </c>
      <c r="G1543" s="16">
        <f>IF(tbal[[#This Row],[DEBE]]-tbal[[#This Row],[HABER]]&gt;0,tbal[[#This Row],[DEBE]]-tbal[[#This Row],[HABER]],0)</f>
        <v>0</v>
      </c>
      <c r="H1543" s="18">
        <f>IF(tbal[[#This Row],[HABER]]-tbal[[#This Row],[DEBE]]&gt;0,tbal[[#This Row],[HABER]]-tbal[[#This Row],[DEBE]],0)</f>
        <v>0</v>
      </c>
      <c r="I1543" s="16">
        <f>IF((OR(tbal[[#This Row],[X]]=1,tbal[[#This Row],[X]]=2)),tbal[[#This Row],[DEUDOR]],0)</f>
        <v>0</v>
      </c>
      <c r="J1543" s="18">
        <f>IF((OR(tbal[[#This Row],[X]]=2,tbal[[#This Row],[X]]=3)),tbal[[#This Row],[ACREEDOR]],0)</f>
        <v>0</v>
      </c>
      <c r="K1543" s="16">
        <f>IF((OR(tbal[[#This Row],[X]]=3,tbal[[#This Row],[X]]=5)),tbal[[#This Row],[DEUDOR]],0)</f>
        <v>0</v>
      </c>
      <c r="L1543" s="18">
        <f>IF((OR(tbal[[#This Row],[X]]=3,tbal[[#This Row],[X]]=4)),tbal[[#This Row],[ACREEDOR]],0)</f>
        <v>0</v>
      </c>
      <c r="M1543" s="16">
        <f>IF((OR(tbal[[#This Row],[X]]=0,tbal[[#This Row],[X]]=6)),tbal[[#This Row],[DEUDOR]],0)</f>
        <v>0</v>
      </c>
      <c r="N1543" s="18">
        <f>IF((OR(tbal[[#This Row],[X]]=0,tbal[[#This Row],[X]]=5)),tbal[[#This Row],[ACREEDOR]],0)</f>
        <v>0</v>
      </c>
    </row>
    <row r="1544" spans="1:14" hidden="1" x14ac:dyDescent="0.3">
      <c r="A1544" s="14">
        <f>+'PLAN DE CUENTAS'!A1544</f>
        <v>0</v>
      </c>
      <c r="B1544" s="13">
        <f>+'PLAN DE CUENTAS'!B1544</f>
        <v>0</v>
      </c>
      <c r="C1544" s="13">
        <f>+'PLAN DE CUENTAS'!C1544</f>
        <v>0</v>
      </c>
      <c r="D1544" t="str">
        <f>IF(tbal[[#This Row],[DEBE]]+tbal[[#This Row],[HABER]]=0,"","X")</f>
        <v/>
      </c>
      <c r="E1544" s="16">
        <f>SUMIF(tdiario[CUENTA],tbal[[#This Row],[CUENTA]],tdiario[DEBE])</f>
        <v>0</v>
      </c>
      <c r="F1544" s="17">
        <f>SUMIF(tdiario[CUENTA],tbal[[#This Row],[CUENTA]],tdiario[HABER])</f>
        <v>0</v>
      </c>
      <c r="G1544" s="16">
        <f>IF(tbal[[#This Row],[DEBE]]-tbal[[#This Row],[HABER]]&gt;0,tbal[[#This Row],[DEBE]]-tbal[[#This Row],[HABER]],0)</f>
        <v>0</v>
      </c>
      <c r="H1544" s="18">
        <f>IF(tbal[[#This Row],[HABER]]-tbal[[#This Row],[DEBE]]&gt;0,tbal[[#This Row],[HABER]]-tbal[[#This Row],[DEBE]],0)</f>
        <v>0</v>
      </c>
      <c r="I1544" s="16">
        <f>IF((OR(tbal[[#This Row],[X]]=1,tbal[[#This Row],[X]]=2)),tbal[[#This Row],[DEUDOR]],0)</f>
        <v>0</v>
      </c>
      <c r="J1544" s="18">
        <f>IF((OR(tbal[[#This Row],[X]]=2,tbal[[#This Row],[X]]=3)),tbal[[#This Row],[ACREEDOR]],0)</f>
        <v>0</v>
      </c>
      <c r="K1544" s="16">
        <f>IF((OR(tbal[[#This Row],[X]]=3,tbal[[#This Row],[X]]=5)),tbal[[#This Row],[DEUDOR]],0)</f>
        <v>0</v>
      </c>
      <c r="L1544" s="18">
        <f>IF((OR(tbal[[#This Row],[X]]=3,tbal[[#This Row],[X]]=4)),tbal[[#This Row],[ACREEDOR]],0)</f>
        <v>0</v>
      </c>
      <c r="M1544" s="16">
        <f>IF((OR(tbal[[#This Row],[X]]=0,tbal[[#This Row],[X]]=6)),tbal[[#This Row],[DEUDOR]],0)</f>
        <v>0</v>
      </c>
      <c r="N1544" s="18">
        <f>IF((OR(tbal[[#This Row],[X]]=0,tbal[[#This Row],[X]]=5)),tbal[[#This Row],[ACREEDOR]],0)</f>
        <v>0</v>
      </c>
    </row>
    <row r="1545" spans="1:14" hidden="1" x14ac:dyDescent="0.3">
      <c r="A1545" s="14">
        <f>+'PLAN DE CUENTAS'!A1545</f>
        <v>0</v>
      </c>
      <c r="B1545" s="13">
        <f>+'PLAN DE CUENTAS'!B1545</f>
        <v>0</v>
      </c>
      <c r="C1545" s="13">
        <f>+'PLAN DE CUENTAS'!C1545</f>
        <v>0</v>
      </c>
      <c r="D1545" t="str">
        <f>IF(tbal[[#This Row],[DEBE]]+tbal[[#This Row],[HABER]]=0,"","X")</f>
        <v/>
      </c>
      <c r="E1545" s="16">
        <f>SUMIF(tdiario[CUENTA],tbal[[#This Row],[CUENTA]],tdiario[DEBE])</f>
        <v>0</v>
      </c>
      <c r="F1545" s="17">
        <f>SUMIF(tdiario[CUENTA],tbal[[#This Row],[CUENTA]],tdiario[HABER])</f>
        <v>0</v>
      </c>
      <c r="G1545" s="16">
        <f>IF(tbal[[#This Row],[DEBE]]-tbal[[#This Row],[HABER]]&gt;0,tbal[[#This Row],[DEBE]]-tbal[[#This Row],[HABER]],0)</f>
        <v>0</v>
      </c>
      <c r="H1545" s="18">
        <f>IF(tbal[[#This Row],[HABER]]-tbal[[#This Row],[DEBE]]&gt;0,tbal[[#This Row],[HABER]]-tbal[[#This Row],[DEBE]],0)</f>
        <v>0</v>
      </c>
      <c r="I1545" s="16">
        <f>IF((OR(tbal[[#This Row],[X]]=1,tbal[[#This Row],[X]]=2)),tbal[[#This Row],[DEUDOR]],0)</f>
        <v>0</v>
      </c>
      <c r="J1545" s="18">
        <f>IF((OR(tbal[[#This Row],[X]]=2,tbal[[#This Row],[X]]=3)),tbal[[#This Row],[ACREEDOR]],0)</f>
        <v>0</v>
      </c>
      <c r="K1545" s="16">
        <f>IF((OR(tbal[[#This Row],[X]]=3,tbal[[#This Row],[X]]=5)),tbal[[#This Row],[DEUDOR]],0)</f>
        <v>0</v>
      </c>
      <c r="L1545" s="18">
        <f>IF((OR(tbal[[#This Row],[X]]=3,tbal[[#This Row],[X]]=4)),tbal[[#This Row],[ACREEDOR]],0)</f>
        <v>0</v>
      </c>
      <c r="M1545" s="16">
        <f>IF((OR(tbal[[#This Row],[X]]=0,tbal[[#This Row],[X]]=6)),tbal[[#This Row],[DEUDOR]],0)</f>
        <v>0</v>
      </c>
      <c r="N1545" s="18">
        <f>IF((OR(tbal[[#This Row],[X]]=0,tbal[[#This Row],[X]]=5)),tbal[[#This Row],[ACREEDOR]],0)</f>
        <v>0</v>
      </c>
    </row>
    <row r="1546" spans="1:14" hidden="1" x14ac:dyDescent="0.3">
      <c r="A1546" s="14">
        <f>+'PLAN DE CUENTAS'!A1546</f>
        <v>0</v>
      </c>
      <c r="B1546" s="13">
        <f>+'PLAN DE CUENTAS'!B1546</f>
        <v>0</v>
      </c>
      <c r="C1546" s="13">
        <f>+'PLAN DE CUENTAS'!C1546</f>
        <v>0</v>
      </c>
      <c r="D1546" t="str">
        <f>IF(tbal[[#This Row],[DEBE]]+tbal[[#This Row],[HABER]]=0,"","X")</f>
        <v/>
      </c>
      <c r="E1546" s="16">
        <f>SUMIF(tdiario[CUENTA],tbal[[#This Row],[CUENTA]],tdiario[DEBE])</f>
        <v>0</v>
      </c>
      <c r="F1546" s="17">
        <f>SUMIF(tdiario[CUENTA],tbal[[#This Row],[CUENTA]],tdiario[HABER])</f>
        <v>0</v>
      </c>
      <c r="G1546" s="16">
        <f>IF(tbal[[#This Row],[DEBE]]-tbal[[#This Row],[HABER]]&gt;0,tbal[[#This Row],[DEBE]]-tbal[[#This Row],[HABER]],0)</f>
        <v>0</v>
      </c>
      <c r="H1546" s="18">
        <f>IF(tbal[[#This Row],[HABER]]-tbal[[#This Row],[DEBE]]&gt;0,tbal[[#This Row],[HABER]]-tbal[[#This Row],[DEBE]],0)</f>
        <v>0</v>
      </c>
      <c r="I1546" s="16">
        <f>IF((OR(tbal[[#This Row],[X]]=1,tbal[[#This Row],[X]]=2)),tbal[[#This Row],[DEUDOR]],0)</f>
        <v>0</v>
      </c>
      <c r="J1546" s="18">
        <f>IF((OR(tbal[[#This Row],[X]]=2,tbal[[#This Row],[X]]=3)),tbal[[#This Row],[ACREEDOR]],0)</f>
        <v>0</v>
      </c>
      <c r="K1546" s="16">
        <f>IF((OR(tbal[[#This Row],[X]]=3,tbal[[#This Row],[X]]=5)),tbal[[#This Row],[DEUDOR]],0)</f>
        <v>0</v>
      </c>
      <c r="L1546" s="18">
        <f>IF((OR(tbal[[#This Row],[X]]=3,tbal[[#This Row],[X]]=4)),tbal[[#This Row],[ACREEDOR]],0)</f>
        <v>0</v>
      </c>
      <c r="M1546" s="16">
        <f>IF((OR(tbal[[#This Row],[X]]=0,tbal[[#This Row],[X]]=6)),tbal[[#This Row],[DEUDOR]],0)</f>
        <v>0</v>
      </c>
      <c r="N1546" s="18">
        <f>IF((OR(tbal[[#This Row],[X]]=0,tbal[[#This Row],[X]]=5)),tbal[[#This Row],[ACREEDOR]],0)</f>
        <v>0</v>
      </c>
    </row>
    <row r="1547" spans="1:14" hidden="1" x14ac:dyDescent="0.3">
      <c r="A1547" s="14">
        <f>+'PLAN DE CUENTAS'!A1547</f>
        <v>0</v>
      </c>
      <c r="B1547" s="13">
        <f>+'PLAN DE CUENTAS'!B1547</f>
        <v>0</v>
      </c>
      <c r="C1547" s="13">
        <f>+'PLAN DE CUENTAS'!C1547</f>
        <v>0</v>
      </c>
      <c r="D1547" t="str">
        <f>IF(tbal[[#This Row],[DEBE]]+tbal[[#This Row],[HABER]]=0,"","X")</f>
        <v/>
      </c>
      <c r="E1547" s="16">
        <f>SUMIF(tdiario[CUENTA],tbal[[#This Row],[CUENTA]],tdiario[DEBE])</f>
        <v>0</v>
      </c>
      <c r="F1547" s="17">
        <f>SUMIF(tdiario[CUENTA],tbal[[#This Row],[CUENTA]],tdiario[HABER])</f>
        <v>0</v>
      </c>
      <c r="G1547" s="16">
        <f>IF(tbal[[#This Row],[DEBE]]-tbal[[#This Row],[HABER]]&gt;0,tbal[[#This Row],[DEBE]]-tbal[[#This Row],[HABER]],0)</f>
        <v>0</v>
      </c>
      <c r="H1547" s="18">
        <f>IF(tbal[[#This Row],[HABER]]-tbal[[#This Row],[DEBE]]&gt;0,tbal[[#This Row],[HABER]]-tbal[[#This Row],[DEBE]],0)</f>
        <v>0</v>
      </c>
      <c r="I1547" s="16">
        <f>IF((OR(tbal[[#This Row],[X]]=1,tbal[[#This Row],[X]]=2)),tbal[[#This Row],[DEUDOR]],0)</f>
        <v>0</v>
      </c>
      <c r="J1547" s="18">
        <f>IF((OR(tbal[[#This Row],[X]]=2,tbal[[#This Row],[X]]=3)),tbal[[#This Row],[ACREEDOR]],0)</f>
        <v>0</v>
      </c>
      <c r="K1547" s="16">
        <f>IF((OR(tbal[[#This Row],[X]]=3,tbal[[#This Row],[X]]=5)),tbal[[#This Row],[DEUDOR]],0)</f>
        <v>0</v>
      </c>
      <c r="L1547" s="18">
        <f>IF((OR(tbal[[#This Row],[X]]=3,tbal[[#This Row],[X]]=4)),tbal[[#This Row],[ACREEDOR]],0)</f>
        <v>0</v>
      </c>
      <c r="M1547" s="16">
        <f>IF((OR(tbal[[#This Row],[X]]=0,tbal[[#This Row],[X]]=6)),tbal[[#This Row],[DEUDOR]],0)</f>
        <v>0</v>
      </c>
      <c r="N1547" s="18">
        <f>IF((OR(tbal[[#This Row],[X]]=0,tbal[[#This Row],[X]]=5)),tbal[[#This Row],[ACREEDOR]],0)</f>
        <v>0</v>
      </c>
    </row>
    <row r="1548" spans="1:14" hidden="1" x14ac:dyDescent="0.3">
      <c r="A1548" s="14">
        <f>+'PLAN DE CUENTAS'!A1548</f>
        <v>0</v>
      </c>
      <c r="B1548" s="13">
        <f>+'PLAN DE CUENTAS'!B1548</f>
        <v>0</v>
      </c>
      <c r="C1548" s="13">
        <f>+'PLAN DE CUENTAS'!C1548</f>
        <v>0</v>
      </c>
      <c r="D1548" t="str">
        <f>IF(tbal[[#This Row],[DEBE]]+tbal[[#This Row],[HABER]]=0,"","X")</f>
        <v/>
      </c>
      <c r="E1548" s="16">
        <f>SUMIF(tdiario[CUENTA],tbal[[#This Row],[CUENTA]],tdiario[DEBE])</f>
        <v>0</v>
      </c>
      <c r="F1548" s="17">
        <f>SUMIF(tdiario[CUENTA],tbal[[#This Row],[CUENTA]],tdiario[HABER])</f>
        <v>0</v>
      </c>
      <c r="G1548" s="16">
        <f>IF(tbal[[#This Row],[DEBE]]-tbal[[#This Row],[HABER]]&gt;0,tbal[[#This Row],[DEBE]]-tbal[[#This Row],[HABER]],0)</f>
        <v>0</v>
      </c>
      <c r="H1548" s="18">
        <f>IF(tbal[[#This Row],[HABER]]-tbal[[#This Row],[DEBE]]&gt;0,tbal[[#This Row],[HABER]]-tbal[[#This Row],[DEBE]],0)</f>
        <v>0</v>
      </c>
      <c r="I1548" s="16">
        <f>IF((OR(tbal[[#This Row],[X]]=1,tbal[[#This Row],[X]]=2)),tbal[[#This Row],[DEUDOR]],0)</f>
        <v>0</v>
      </c>
      <c r="J1548" s="18">
        <f>IF((OR(tbal[[#This Row],[X]]=2,tbal[[#This Row],[X]]=3)),tbal[[#This Row],[ACREEDOR]],0)</f>
        <v>0</v>
      </c>
      <c r="K1548" s="16">
        <f>IF((OR(tbal[[#This Row],[X]]=3,tbal[[#This Row],[X]]=5)),tbal[[#This Row],[DEUDOR]],0)</f>
        <v>0</v>
      </c>
      <c r="L1548" s="18">
        <f>IF((OR(tbal[[#This Row],[X]]=3,tbal[[#This Row],[X]]=4)),tbal[[#This Row],[ACREEDOR]],0)</f>
        <v>0</v>
      </c>
      <c r="M1548" s="16">
        <f>IF((OR(tbal[[#This Row],[X]]=0,tbal[[#This Row],[X]]=6)),tbal[[#This Row],[DEUDOR]],0)</f>
        <v>0</v>
      </c>
      <c r="N1548" s="18">
        <f>IF((OR(tbal[[#This Row],[X]]=0,tbal[[#This Row],[X]]=5)),tbal[[#This Row],[ACREEDOR]],0)</f>
        <v>0</v>
      </c>
    </row>
    <row r="1549" spans="1:14" hidden="1" x14ac:dyDescent="0.3">
      <c r="A1549" s="14">
        <f>+'PLAN DE CUENTAS'!A1549</f>
        <v>0</v>
      </c>
      <c r="B1549" s="13">
        <f>+'PLAN DE CUENTAS'!B1549</f>
        <v>0</v>
      </c>
      <c r="C1549" s="13">
        <f>+'PLAN DE CUENTAS'!C1549</f>
        <v>0</v>
      </c>
      <c r="D1549" t="str">
        <f>IF(tbal[[#This Row],[DEBE]]+tbal[[#This Row],[HABER]]=0,"","X")</f>
        <v/>
      </c>
      <c r="E1549" s="16">
        <f>SUMIF(tdiario[CUENTA],tbal[[#This Row],[CUENTA]],tdiario[DEBE])</f>
        <v>0</v>
      </c>
      <c r="F1549" s="17">
        <f>SUMIF(tdiario[CUENTA],tbal[[#This Row],[CUENTA]],tdiario[HABER])</f>
        <v>0</v>
      </c>
      <c r="G1549" s="16">
        <f>IF(tbal[[#This Row],[DEBE]]-tbal[[#This Row],[HABER]]&gt;0,tbal[[#This Row],[DEBE]]-tbal[[#This Row],[HABER]],0)</f>
        <v>0</v>
      </c>
      <c r="H1549" s="18">
        <f>IF(tbal[[#This Row],[HABER]]-tbal[[#This Row],[DEBE]]&gt;0,tbal[[#This Row],[HABER]]-tbal[[#This Row],[DEBE]],0)</f>
        <v>0</v>
      </c>
      <c r="I1549" s="16">
        <f>IF((OR(tbal[[#This Row],[X]]=1,tbal[[#This Row],[X]]=2)),tbal[[#This Row],[DEUDOR]],0)</f>
        <v>0</v>
      </c>
      <c r="J1549" s="18">
        <f>IF((OR(tbal[[#This Row],[X]]=2,tbal[[#This Row],[X]]=3)),tbal[[#This Row],[ACREEDOR]],0)</f>
        <v>0</v>
      </c>
      <c r="K1549" s="16">
        <f>IF((OR(tbal[[#This Row],[X]]=3,tbal[[#This Row],[X]]=5)),tbal[[#This Row],[DEUDOR]],0)</f>
        <v>0</v>
      </c>
      <c r="L1549" s="18">
        <f>IF((OR(tbal[[#This Row],[X]]=3,tbal[[#This Row],[X]]=4)),tbal[[#This Row],[ACREEDOR]],0)</f>
        <v>0</v>
      </c>
      <c r="M1549" s="16">
        <f>IF((OR(tbal[[#This Row],[X]]=0,tbal[[#This Row],[X]]=6)),tbal[[#This Row],[DEUDOR]],0)</f>
        <v>0</v>
      </c>
      <c r="N1549" s="18">
        <f>IF((OR(tbal[[#This Row],[X]]=0,tbal[[#This Row],[X]]=5)),tbal[[#This Row],[ACREEDOR]],0)</f>
        <v>0</v>
      </c>
    </row>
    <row r="1550" spans="1:14" hidden="1" x14ac:dyDescent="0.3">
      <c r="A1550" s="14">
        <f>+'PLAN DE CUENTAS'!A1550</f>
        <v>0</v>
      </c>
      <c r="B1550" s="13">
        <f>+'PLAN DE CUENTAS'!B1550</f>
        <v>0</v>
      </c>
      <c r="C1550" s="13">
        <f>+'PLAN DE CUENTAS'!C1550</f>
        <v>0</v>
      </c>
      <c r="D1550" t="str">
        <f>IF(tbal[[#This Row],[DEBE]]+tbal[[#This Row],[HABER]]=0,"","X")</f>
        <v/>
      </c>
      <c r="E1550" s="16">
        <f>SUMIF(tdiario[CUENTA],tbal[[#This Row],[CUENTA]],tdiario[DEBE])</f>
        <v>0</v>
      </c>
      <c r="F1550" s="17">
        <f>SUMIF(tdiario[CUENTA],tbal[[#This Row],[CUENTA]],tdiario[HABER])</f>
        <v>0</v>
      </c>
      <c r="G1550" s="16">
        <f>IF(tbal[[#This Row],[DEBE]]-tbal[[#This Row],[HABER]]&gt;0,tbal[[#This Row],[DEBE]]-tbal[[#This Row],[HABER]],0)</f>
        <v>0</v>
      </c>
      <c r="H1550" s="18">
        <f>IF(tbal[[#This Row],[HABER]]-tbal[[#This Row],[DEBE]]&gt;0,tbal[[#This Row],[HABER]]-tbal[[#This Row],[DEBE]],0)</f>
        <v>0</v>
      </c>
      <c r="I1550" s="16">
        <f>IF((OR(tbal[[#This Row],[X]]=1,tbal[[#This Row],[X]]=2)),tbal[[#This Row],[DEUDOR]],0)</f>
        <v>0</v>
      </c>
      <c r="J1550" s="18">
        <f>IF((OR(tbal[[#This Row],[X]]=2,tbal[[#This Row],[X]]=3)),tbal[[#This Row],[ACREEDOR]],0)</f>
        <v>0</v>
      </c>
      <c r="K1550" s="16">
        <f>IF((OR(tbal[[#This Row],[X]]=3,tbal[[#This Row],[X]]=5)),tbal[[#This Row],[DEUDOR]],0)</f>
        <v>0</v>
      </c>
      <c r="L1550" s="18">
        <f>IF((OR(tbal[[#This Row],[X]]=3,tbal[[#This Row],[X]]=4)),tbal[[#This Row],[ACREEDOR]],0)</f>
        <v>0</v>
      </c>
      <c r="M1550" s="16">
        <f>IF((OR(tbal[[#This Row],[X]]=0,tbal[[#This Row],[X]]=6)),tbal[[#This Row],[DEUDOR]],0)</f>
        <v>0</v>
      </c>
      <c r="N1550" s="18">
        <f>IF((OR(tbal[[#This Row],[X]]=0,tbal[[#This Row],[X]]=5)),tbal[[#This Row],[ACREEDOR]],0)</f>
        <v>0</v>
      </c>
    </row>
    <row r="1551" spans="1:14" hidden="1" x14ac:dyDescent="0.3">
      <c r="A1551" s="14">
        <f>+'PLAN DE CUENTAS'!A1551</f>
        <v>0</v>
      </c>
      <c r="B1551" s="13">
        <f>+'PLAN DE CUENTAS'!B1551</f>
        <v>0</v>
      </c>
      <c r="C1551" s="13">
        <f>+'PLAN DE CUENTAS'!C1551</f>
        <v>0</v>
      </c>
      <c r="D1551" t="str">
        <f>IF(tbal[[#This Row],[DEBE]]+tbal[[#This Row],[HABER]]=0,"","X")</f>
        <v/>
      </c>
      <c r="E1551" s="16">
        <f>SUMIF(tdiario[CUENTA],tbal[[#This Row],[CUENTA]],tdiario[DEBE])</f>
        <v>0</v>
      </c>
      <c r="F1551" s="17">
        <f>SUMIF(tdiario[CUENTA],tbal[[#This Row],[CUENTA]],tdiario[HABER])</f>
        <v>0</v>
      </c>
      <c r="G1551" s="16">
        <f>IF(tbal[[#This Row],[DEBE]]-tbal[[#This Row],[HABER]]&gt;0,tbal[[#This Row],[DEBE]]-tbal[[#This Row],[HABER]],0)</f>
        <v>0</v>
      </c>
      <c r="H1551" s="18">
        <f>IF(tbal[[#This Row],[HABER]]-tbal[[#This Row],[DEBE]]&gt;0,tbal[[#This Row],[HABER]]-tbal[[#This Row],[DEBE]],0)</f>
        <v>0</v>
      </c>
      <c r="I1551" s="16">
        <f>IF((OR(tbal[[#This Row],[X]]=1,tbal[[#This Row],[X]]=2)),tbal[[#This Row],[DEUDOR]],0)</f>
        <v>0</v>
      </c>
      <c r="J1551" s="18">
        <f>IF((OR(tbal[[#This Row],[X]]=2,tbal[[#This Row],[X]]=3)),tbal[[#This Row],[ACREEDOR]],0)</f>
        <v>0</v>
      </c>
      <c r="K1551" s="16">
        <f>IF((OR(tbal[[#This Row],[X]]=3,tbal[[#This Row],[X]]=5)),tbal[[#This Row],[DEUDOR]],0)</f>
        <v>0</v>
      </c>
      <c r="L1551" s="18">
        <f>IF((OR(tbal[[#This Row],[X]]=3,tbal[[#This Row],[X]]=4)),tbal[[#This Row],[ACREEDOR]],0)</f>
        <v>0</v>
      </c>
      <c r="M1551" s="16">
        <f>IF((OR(tbal[[#This Row],[X]]=0,tbal[[#This Row],[X]]=6)),tbal[[#This Row],[DEUDOR]],0)</f>
        <v>0</v>
      </c>
      <c r="N1551" s="18">
        <f>IF((OR(tbal[[#This Row],[X]]=0,tbal[[#This Row],[X]]=5)),tbal[[#This Row],[ACREEDOR]],0)</f>
        <v>0</v>
      </c>
    </row>
    <row r="1552" spans="1:14" hidden="1" x14ac:dyDescent="0.3">
      <c r="A1552" s="14">
        <f>+'PLAN DE CUENTAS'!A1552</f>
        <v>0</v>
      </c>
      <c r="B1552" s="13">
        <f>+'PLAN DE CUENTAS'!B1552</f>
        <v>0</v>
      </c>
      <c r="C1552" s="13">
        <f>+'PLAN DE CUENTAS'!C1552</f>
        <v>0</v>
      </c>
      <c r="D1552" t="str">
        <f>IF(tbal[[#This Row],[DEBE]]+tbal[[#This Row],[HABER]]=0,"","X")</f>
        <v/>
      </c>
      <c r="E1552" s="16">
        <f>SUMIF(tdiario[CUENTA],tbal[[#This Row],[CUENTA]],tdiario[DEBE])</f>
        <v>0</v>
      </c>
      <c r="F1552" s="17">
        <f>SUMIF(tdiario[CUENTA],tbal[[#This Row],[CUENTA]],tdiario[HABER])</f>
        <v>0</v>
      </c>
      <c r="G1552" s="16">
        <f>IF(tbal[[#This Row],[DEBE]]-tbal[[#This Row],[HABER]]&gt;0,tbal[[#This Row],[DEBE]]-tbal[[#This Row],[HABER]],0)</f>
        <v>0</v>
      </c>
      <c r="H1552" s="18">
        <f>IF(tbal[[#This Row],[HABER]]-tbal[[#This Row],[DEBE]]&gt;0,tbal[[#This Row],[HABER]]-tbal[[#This Row],[DEBE]],0)</f>
        <v>0</v>
      </c>
      <c r="I1552" s="16">
        <f>IF((OR(tbal[[#This Row],[X]]=1,tbal[[#This Row],[X]]=2)),tbal[[#This Row],[DEUDOR]],0)</f>
        <v>0</v>
      </c>
      <c r="J1552" s="18">
        <f>IF((OR(tbal[[#This Row],[X]]=2,tbal[[#This Row],[X]]=3)),tbal[[#This Row],[ACREEDOR]],0)</f>
        <v>0</v>
      </c>
      <c r="K1552" s="16">
        <f>IF((OR(tbal[[#This Row],[X]]=3,tbal[[#This Row],[X]]=5)),tbal[[#This Row],[DEUDOR]],0)</f>
        <v>0</v>
      </c>
      <c r="L1552" s="18">
        <f>IF((OR(tbal[[#This Row],[X]]=3,tbal[[#This Row],[X]]=4)),tbal[[#This Row],[ACREEDOR]],0)</f>
        <v>0</v>
      </c>
      <c r="M1552" s="16">
        <f>IF((OR(tbal[[#This Row],[X]]=0,tbal[[#This Row],[X]]=6)),tbal[[#This Row],[DEUDOR]],0)</f>
        <v>0</v>
      </c>
      <c r="N1552" s="18">
        <f>IF((OR(tbal[[#This Row],[X]]=0,tbal[[#This Row],[X]]=5)),tbal[[#This Row],[ACREEDOR]],0)</f>
        <v>0</v>
      </c>
    </row>
    <row r="1553" spans="1:14" hidden="1" x14ac:dyDescent="0.3">
      <c r="A1553" s="14">
        <f>+'PLAN DE CUENTAS'!A1553</f>
        <v>0</v>
      </c>
      <c r="B1553" s="13">
        <f>+'PLAN DE CUENTAS'!B1553</f>
        <v>0</v>
      </c>
      <c r="C1553" s="13">
        <f>+'PLAN DE CUENTAS'!C1553</f>
        <v>0</v>
      </c>
      <c r="D1553" t="str">
        <f>IF(tbal[[#This Row],[DEBE]]+tbal[[#This Row],[HABER]]=0,"","X")</f>
        <v/>
      </c>
      <c r="E1553" s="16">
        <f>SUMIF(tdiario[CUENTA],tbal[[#This Row],[CUENTA]],tdiario[DEBE])</f>
        <v>0</v>
      </c>
      <c r="F1553" s="17">
        <f>SUMIF(tdiario[CUENTA],tbal[[#This Row],[CUENTA]],tdiario[HABER])</f>
        <v>0</v>
      </c>
      <c r="G1553" s="16">
        <f>IF(tbal[[#This Row],[DEBE]]-tbal[[#This Row],[HABER]]&gt;0,tbal[[#This Row],[DEBE]]-tbal[[#This Row],[HABER]],0)</f>
        <v>0</v>
      </c>
      <c r="H1553" s="18">
        <f>IF(tbal[[#This Row],[HABER]]-tbal[[#This Row],[DEBE]]&gt;0,tbal[[#This Row],[HABER]]-tbal[[#This Row],[DEBE]],0)</f>
        <v>0</v>
      </c>
      <c r="I1553" s="16">
        <f>IF((OR(tbal[[#This Row],[X]]=1,tbal[[#This Row],[X]]=2)),tbal[[#This Row],[DEUDOR]],0)</f>
        <v>0</v>
      </c>
      <c r="J1553" s="18">
        <f>IF((OR(tbal[[#This Row],[X]]=2,tbal[[#This Row],[X]]=3)),tbal[[#This Row],[ACREEDOR]],0)</f>
        <v>0</v>
      </c>
      <c r="K1553" s="16">
        <f>IF((OR(tbal[[#This Row],[X]]=3,tbal[[#This Row],[X]]=5)),tbal[[#This Row],[DEUDOR]],0)</f>
        <v>0</v>
      </c>
      <c r="L1553" s="18">
        <f>IF((OR(tbal[[#This Row],[X]]=3,tbal[[#This Row],[X]]=4)),tbal[[#This Row],[ACREEDOR]],0)</f>
        <v>0</v>
      </c>
      <c r="M1553" s="16">
        <f>IF((OR(tbal[[#This Row],[X]]=0,tbal[[#This Row],[X]]=6)),tbal[[#This Row],[DEUDOR]],0)</f>
        <v>0</v>
      </c>
      <c r="N1553" s="18">
        <f>IF((OR(tbal[[#This Row],[X]]=0,tbal[[#This Row],[X]]=5)),tbal[[#This Row],[ACREEDOR]],0)</f>
        <v>0</v>
      </c>
    </row>
    <row r="1554" spans="1:14" hidden="1" x14ac:dyDescent="0.3">
      <c r="A1554" s="14">
        <f>+'PLAN DE CUENTAS'!A1554</f>
        <v>0</v>
      </c>
      <c r="B1554" s="13">
        <f>+'PLAN DE CUENTAS'!B1554</f>
        <v>0</v>
      </c>
      <c r="C1554" s="13">
        <f>+'PLAN DE CUENTAS'!C1554</f>
        <v>0</v>
      </c>
      <c r="D1554" t="str">
        <f>IF(tbal[[#This Row],[DEBE]]+tbal[[#This Row],[HABER]]=0,"","X")</f>
        <v/>
      </c>
      <c r="E1554" s="16">
        <f>SUMIF(tdiario[CUENTA],tbal[[#This Row],[CUENTA]],tdiario[DEBE])</f>
        <v>0</v>
      </c>
      <c r="F1554" s="17">
        <f>SUMIF(tdiario[CUENTA],tbal[[#This Row],[CUENTA]],tdiario[HABER])</f>
        <v>0</v>
      </c>
      <c r="G1554" s="16">
        <f>IF(tbal[[#This Row],[DEBE]]-tbal[[#This Row],[HABER]]&gt;0,tbal[[#This Row],[DEBE]]-tbal[[#This Row],[HABER]],0)</f>
        <v>0</v>
      </c>
      <c r="H1554" s="18">
        <f>IF(tbal[[#This Row],[HABER]]-tbal[[#This Row],[DEBE]]&gt;0,tbal[[#This Row],[HABER]]-tbal[[#This Row],[DEBE]],0)</f>
        <v>0</v>
      </c>
      <c r="I1554" s="16">
        <f>IF((OR(tbal[[#This Row],[X]]=1,tbal[[#This Row],[X]]=2)),tbal[[#This Row],[DEUDOR]],0)</f>
        <v>0</v>
      </c>
      <c r="J1554" s="18">
        <f>IF((OR(tbal[[#This Row],[X]]=2,tbal[[#This Row],[X]]=3)),tbal[[#This Row],[ACREEDOR]],0)</f>
        <v>0</v>
      </c>
      <c r="K1554" s="16">
        <f>IF((OR(tbal[[#This Row],[X]]=3,tbal[[#This Row],[X]]=5)),tbal[[#This Row],[DEUDOR]],0)</f>
        <v>0</v>
      </c>
      <c r="L1554" s="18">
        <f>IF((OR(tbal[[#This Row],[X]]=3,tbal[[#This Row],[X]]=4)),tbal[[#This Row],[ACREEDOR]],0)</f>
        <v>0</v>
      </c>
      <c r="M1554" s="16">
        <f>IF((OR(tbal[[#This Row],[X]]=0,tbal[[#This Row],[X]]=6)),tbal[[#This Row],[DEUDOR]],0)</f>
        <v>0</v>
      </c>
      <c r="N1554" s="18">
        <f>IF((OR(tbal[[#This Row],[X]]=0,tbal[[#This Row],[X]]=5)),tbal[[#This Row],[ACREEDOR]],0)</f>
        <v>0</v>
      </c>
    </row>
    <row r="1555" spans="1:14" hidden="1" x14ac:dyDescent="0.3">
      <c r="A1555" s="14">
        <f>+'PLAN DE CUENTAS'!A1555</f>
        <v>0</v>
      </c>
      <c r="B1555" s="13">
        <f>+'PLAN DE CUENTAS'!B1555</f>
        <v>0</v>
      </c>
      <c r="C1555" s="13">
        <f>+'PLAN DE CUENTAS'!C1555</f>
        <v>0</v>
      </c>
      <c r="D1555" t="str">
        <f>IF(tbal[[#This Row],[DEBE]]+tbal[[#This Row],[HABER]]=0,"","X")</f>
        <v/>
      </c>
      <c r="E1555" s="16">
        <f>SUMIF(tdiario[CUENTA],tbal[[#This Row],[CUENTA]],tdiario[DEBE])</f>
        <v>0</v>
      </c>
      <c r="F1555" s="17">
        <f>SUMIF(tdiario[CUENTA],tbal[[#This Row],[CUENTA]],tdiario[HABER])</f>
        <v>0</v>
      </c>
      <c r="G1555" s="16">
        <f>IF(tbal[[#This Row],[DEBE]]-tbal[[#This Row],[HABER]]&gt;0,tbal[[#This Row],[DEBE]]-tbal[[#This Row],[HABER]],0)</f>
        <v>0</v>
      </c>
      <c r="H1555" s="18">
        <f>IF(tbal[[#This Row],[HABER]]-tbal[[#This Row],[DEBE]]&gt;0,tbal[[#This Row],[HABER]]-tbal[[#This Row],[DEBE]],0)</f>
        <v>0</v>
      </c>
      <c r="I1555" s="16">
        <f>IF((OR(tbal[[#This Row],[X]]=1,tbal[[#This Row],[X]]=2)),tbal[[#This Row],[DEUDOR]],0)</f>
        <v>0</v>
      </c>
      <c r="J1555" s="18">
        <f>IF((OR(tbal[[#This Row],[X]]=2,tbal[[#This Row],[X]]=3)),tbal[[#This Row],[ACREEDOR]],0)</f>
        <v>0</v>
      </c>
      <c r="K1555" s="16">
        <f>IF((OR(tbal[[#This Row],[X]]=3,tbal[[#This Row],[X]]=5)),tbal[[#This Row],[DEUDOR]],0)</f>
        <v>0</v>
      </c>
      <c r="L1555" s="18">
        <f>IF((OR(tbal[[#This Row],[X]]=3,tbal[[#This Row],[X]]=4)),tbal[[#This Row],[ACREEDOR]],0)</f>
        <v>0</v>
      </c>
      <c r="M1555" s="16">
        <f>IF((OR(tbal[[#This Row],[X]]=0,tbal[[#This Row],[X]]=6)),tbal[[#This Row],[DEUDOR]],0)</f>
        <v>0</v>
      </c>
      <c r="N1555" s="18">
        <f>IF((OR(tbal[[#This Row],[X]]=0,tbal[[#This Row],[X]]=5)),tbal[[#This Row],[ACREEDOR]],0)</f>
        <v>0</v>
      </c>
    </row>
    <row r="1556" spans="1:14" hidden="1" x14ac:dyDescent="0.3">
      <c r="A1556" s="14">
        <f>+'PLAN DE CUENTAS'!A1556</f>
        <v>0</v>
      </c>
      <c r="B1556" s="13">
        <f>+'PLAN DE CUENTAS'!B1556</f>
        <v>0</v>
      </c>
      <c r="C1556" s="13">
        <f>+'PLAN DE CUENTAS'!C1556</f>
        <v>0</v>
      </c>
      <c r="D1556" t="str">
        <f>IF(tbal[[#This Row],[DEBE]]+tbal[[#This Row],[HABER]]=0,"","X")</f>
        <v/>
      </c>
      <c r="E1556" s="16">
        <f>SUMIF(tdiario[CUENTA],tbal[[#This Row],[CUENTA]],tdiario[DEBE])</f>
        <v>0</v>
      </c>
      <c r="F1556" s="17">
        <f>SUMIF(tdiario[CUENTA],tbal[[#This Row],[CUENTA]],tdiario[HABER])</f>
        <v>0</v>
      </c>
      <c r="G1556" s="16">
        <f>IF(tbal[[#This Row],[DEBE]]-tbal[[#This Row],[HABER]]&gt;0,tbal[[#This Row],[DEBE]]-tbal[[#This Row],[HABER]],0)</f>
        <v>0</v>
      </c>
      <c r="H1556" s="18">
        <f>IF(tbal[[#This Row],[HABER]]-tbal[[#This Row],[DEBE]]&gt;0,tbal[[#This Row],[HABER]]-tbal[[#This Row],[DEBE]],0)</f>
        <v>0</v>
      </c>
      <c r="I1556" s="16">
        <f>IF((OR(tbal[[#This Row],[X]]=1,tbal[[#This Row],[X]]=2)),tbal[[#This Row],[DEUDOR]],0)</f>
        <v>0</v>
      </c>
      <c r="J1556" s="18">
        <f>IF((OR(tbal[[#This Row],[X]]=2,tbal[[#This Row],[X]]=3)),tbal[[#This Row],[ACREEDOR]],0)</f>
        <v>0</v>
      </c>
      <c r="K1556" s="16">
        <f>IF((OR(tbal[[#This Row],[X]]=3,tbal[[#This Row],[X]]=5)),tbal[[#This Row],[DEUDOR]],0)</f>
        <v>0</v>
      </c>
      <c r="L1556" s="18">
        <f>IF((OR(tbal[[#This Row],[X]]=3,tbal[[#This Row],[X]]=4)),tbal[[#This Row],[ACREEDOR]],0)</f>
        <v>0</v>
      </c>
      <c r="M1556" s="16">
        <f>IF((OR(tbal[[#This Row],[X]]=0,tbal[[#This Row],[X]]=6)),tbal[[#This Row],[DEUDOR]],0)</f>
        <v>0</v>
      </c>
      <c r="N1556" s="18">
        <f>IF((OR(tbal[[#This Row],[X]]=0,tbal[[#This Row],[X]]=5)),tbal[[#This Row],[ACREEDOR]],0)</f>
        <v>0</v>
      </c>
    </row>
    <row r="1557" spans="1:14" hidden="1" x14ac:dyDescent="0.3">
      <c r="A1557" s="14">
        <f>+'PLAN DE CUENTAS'!A1557</f>
        <v>0</v>
      </c>
      <c r="B1557" s="13">
        <f>+'PLAN DE CUENTAS'!B1557</f>
        <v>0</v>
      </c>
      <c r="C1557" s="13">
        <f>+'PLAN DE CUENTAS'!C1557</f>
        <v>0</v>
      </c>
      <c r="D1557" t="str">
        <f>IF(tbal[[#This Row],[DEBE]]+tbal[[#This Row],[HABER]]=0,"","X")</f>
        <v/>
      </c>
      <c r="E1557" s="16">
        <f>SUMIF(tdiario[CUENTA],tbal[[#This Row],[CUENTA]],tdiario[DEBE])</f>
        <v>0</v>
      </c>
      <c r="F1557" s="17">
        <f>SUMIF(tdiario[CUENTA],tbal[[#This Row],[CUENTA]],tdiario[HABER])</f>
        <v>0</v>
      </c>
      <c r="G1557" s="16">
        <f>IF(tbal[[#This Row],[DEBE]]-tbal[[#This Row],[HABER]]&gt;0,tbal[[#This Row],[DEBE]]-tbal[[#This Row],[HABER]],0)</f>
        <v>0</v>
      </c>
      <c r="H1557" s="18">
        <f>IF(tbal[[#This Row],[HABER]]-tbal[[#This Row],[DEBE]]&gt;0,tbal[[#This Row],[HABER]]-tbal[[#This Row],[DEBE]],0)</f>
        <v>0</v>
      </c>
      <c r="I1557" s="16">
        <f>IF((OR(tbal[[#This Row],[X]]=1,tbal[[#This Row],[X]]=2)),tbal[[#This Row],[DEUDOR]],0)</f>
        <v>0</v>
      </c>
      <c r="J1557" s="18">
        <f>IF((OR(tbal[[#This Row],[X]]=2,tbal[[#This Row],[X]]=3)),tbal[[#This Row],[ACREEDOR]],0)</f>
        <v>0</v>
      </c>
      <c r="K1557" s="16">
        <f>IF((OR(tbal[[#This Row],[X]]=3,tbal[[#This Row],[X]]=5)),tbal[[#This Row],[DEUDOR]],0)</f>
        <v>0</v>
      </c>
      <c r="L1557" s="18">
        <f>IF((OR(tbal[[#This Row],[X]]=3,tbal[[#This Row],[X]]=4)),tbal[[#This Row],[ACREEDOR]],0)</f>
        <v>0</v>
      </c>
      <c r="M1557" s="16">
        <f>IF((OR(tbal[[#This Row],[X]]=0,tbal[[#This Row],[X]]=6)),tbal[[#This Row],[DEUDOR]],0)</f>
        <v>0</v>
      </c>
      <c r="N1557" s="18">
        <f>IF((OR(tbal[[#This Row],[X]]=0,tbal[[#This Row],[X]]=5)),tbal[[#This Row],[ACREEDOR]],0)</f>
        <v>0</v>
      </c>
    </row>
    <row r="1558" spans="1:14" hidden="1" x14ac:dyDescent="0.3">
      <c r="A1558" s="14">
        <f>+'PLAN DE CUENTAS'!A1558</f>
        <v>0</v>
      </c>
      <c r="B1558" s="13">
        <f>+'PLAN DE CUENTAS'!B1558</f>
        <v>0</v>
      </c>
      <c r="C1558" s="13">
        <f>+'PLAN DE CUENTAS'!C1558</f>
        <v>0</v>
      </c>
      <c r="D1558" t="str">
        <f>IF(tbal[[#This Row],[DEBE]]+tbal[[#This Row],[HABER]]=0,"","X")</f>
        <v/>
      </c>
      <c r="E1558" s="16">
        <f>SUMIF(tdiario[CUENTA],tbal[[#This Row],[CUENTA]],tdiario[DEBE])</f>
        <v>0</v>
      </c>
      <c r="F1558" s="17">
        <f>SUMIF(tdiario[CUENTA],tbal[[#This Row],[CUENTA]],tdiario[HABER])</f>
        <v>0</v>
      </c>
      <c r="G1558" s="16">
        <f>IF(tbal[[#This Row],[DEBE]]-tbal[[#This Row],[HABER]]&gt;0,tbal[[#This Row],[DEBE]]-tbal[[#This Row],[HABER]],0)</f>
        <v>0</v>
      </c>
      <c r="H1558" s="18">
        <f>IF(tbal[[#This Row],[HABER]]-tbal[[#This Row],[DEBE]]&gt;0,tbal[[#This Row],[HABER]]-tbal[[#This Row],[DEBE]],0)</f>
        <v>0</v>
      </c>
      <c r="I1558" s="16">
        <f>IF((OR(tbal[[#This Row],[X]]=1,tbal[[#This Row],[X]]=2)),tbal[[#This Row],[DEUDOR]],0)</f>
        <v>0</v>
      </c>
      <c r="J1558" s="18">
        <f>IF((OR(tbal[[#This Row],[X]]=2,tbal[[#This Row],[X]]=3)),tbal[[#This Row],[ACREEDOR]],0)</f>
        <v>0</v>
      </c>
      <c r="K1558" s="16">
        <f>IF((OR(tbal[[#This Row],[X]]=3,tbal[[#This Row],[X]]=5)),tbal[[#This Row],[DEUDOR]],0)</f>
        <v>0</v>
      </c>
      <c r="L1558" s="18">
        <f>IF((OR(tbal[[#This Row],[X]]=3,tbal[[#This Row],[X]]=4)),tbal[[#This Row],[ACREEDOR]],0)</f>
        <v>0</v>
      </c>
      <c r="M1558" s="16">
        <f>IF((OR(tbal[[#This Row],[X]]=0,tbal[[#This Row],[X]]=6)),tbal[[#This Row],[DEUDOR]],0)</f>
        <v>0</v>
      </c>
      <c r="N1558" s="18">
        <f>IF((OR(tbal[[#This Row],[X]]=0,tbal[[#This Row],[X]]=5)),tbal[[#This Row],[ACREEDOR]],0)</f>
        <v>0</v>
      </c>
    </row>
    <row r="1559" spans="1:14" hidden="1" x14ac:dyDescent="0.3">
      <c r="A1559" s="14">
        <f>+'PLAN DE CUENTAS'!A1559</f>
        <v>0</v>
      </c>
      <c r="B1559" s="13">
        <f>+'PLAN DE CUENTAS'!B1559</f>
        <v>0</v>
      </c>
      <c r="C1559" s="13">
        <f>+'PLAN DE CUENTAS'!C1559</f>
        <v>0</v>
      </c>
      <c r="D1559" t="str">
        <f>IF(tbal[[#This Row],[DEBE]]+tbal[[#This Row],[HABER]]=0,"","X")</f>
        <v/>
      </c>
      <c r="E1559" s="16">
        <f>SUMIF(tdiario[CUENTA],tbal[[#This Row],[CUENTA]],tdiario[DEBE])</f>
        <v>0</v>
      </c>
      <c r="F1559" s="17">
        <f>SUMIF(tdiario[CUENTA],tbal[[#This Row],[CUENTA]],tdiario[HABER])</f>
        <v>0</v>
      </c>
      <c r="G1559" s="16">
        <f>IF(tbal[[#This Row],[DEBE]]-tbal[[#This Row],[HABER]]&gt;0,tbal[[#This Row],[DEBE]]-tbal[[#This Row],[HABER]],0)</f>
        <v>0</v>
      </c>
      <c r="H1559" s="18">
        <f>IF(tbal[[#This Row],[HABER]]-tbal[[#This Row],[DEBE]]&gt;0,tbal[[#This Row],[HABER]]-tbal[[#This Row],[DEBE]],0)</f>
        <v>0</v>
      </c>
      <c r="I1559" s="16">
        <f>IF((OR(tbal[[#This Row],[X]]=1,tbal[[#This Row],[X]]=2)),tbal[[#This Row],[DEUDOR]],0)</f>
        <v>0</v>
      </c>
      <c r="J1559" s="18">
        <f>IF((OR(tbal[[#This Row],[X]]=2,tbal[[#This Row],[X]]=3)),tbal[[#This Row],[ACREEDOR]],0)</f>
        <v>0</v>
      </c>
      <c r="K1559" s="16">
        <f>IF((OR(tbal[[#This Row],[X]]=3,tbal[[#This Row],[X]]=5)),tbal[[#This Row],[DEUDOR]],0)</f>
        <v>0</v>
      </c>
      <c r="L1559" s="18">
        <f>IF((OR(tbal[[#This Row],[X]]=3,tbal[[#This Row],[X]]=4)),tbal[[#This Row],[ACREEDOR]],0)</f>
        <v>0</v>
      </c>
      <c r="M1559" s="16">
        <f>IF((OR(tbal[[#This Row],[X]]=0,tbal[[#This Row],[X]]=6)),tbal[[#This Row],[DEUDOR]],0)</f>
        <v>0</v>
      </c>
      <c r="N1559" s="18">
        <f>IF((OR(tbal[[#This Row],[X]]=0,tbal[[#This Row],[X]]=5)),tbal[[#This Row],[ACREEDOR]],0)</f>
        <v>0</v>
      </c>
    </row>
    <row r="1560" spans="1:14" hidden="1" x14ac:dyDescent="0.3">
      <c r="A1560" s="14">
        <f>+'PLAN DE CUENTAS'!A1560</f>
        <v>0</v>
      </c>
      <c r="B1560" s="13">
        <f>+'PLAN DE CUENTAS'!B1560</f>
        <v>0</v>
      </c>
      <c r="C1560" s="13">
        <f>+'PLAN DE CUENTAS'!C1560</f>
        <v>0</v>
      </c>
      <c r="D1560" t="str">
        <f>IF(tbal[[#This Row],[DEBE]]+tbal[[#This Row],[HABER]]=0,"","X")</f>
        <v/>
      </c>
      <c r="E1560" s="16">
        <f>SUMIF(tdiario[CUENTA],tbal[[#This Row],[CUENTA]],tdiario[DEBE])</f>
        <v>0</v>
      </c>
      <c r="F1560" s="17">
        <f>SUMIF(tdiario[CUENTA],tbal[[#This Row],[CUENTA]],tdiario[HABER])</f>
        <v>0</v>
      </c>
      <c r="G1560" s="16">
        <f>IF(tbal[[#This Row],[DEBE]]-tbal[[#This Row],[HABER]]&gt;0,tbal[[#This Row],[DEBE]]-tbal[[#This Row],[HABER]],0)</f>
        <v>0</v>
      </c>
      <c r="H1560" s="18">
        <f>IF(tbal[[#This Row],[HABER]]-tbal[[#This Row],[DEBE]]&gt;0,tbal[[#This Row],[HABER]]-tbal[[#This Row],[DEBE]],0)</f>
        <v>0</v>
      </c>
      <c r="I1560" s="16">
        <f>IF((OR(tbal[[#This Row],[X]]=1,tbal[[#This Row],[X]]=2)),tbal[[#This Row],[DEUDOR]],0)</f>
        <v>0</v>
      </c>
      <c r="J1560" s="18">
        <f>IF((OR(tbal[[#This Row],[X]]=2,tbal[[#This Row],[X]]=3)),tbal[[#This Row],[ACREEDOR]],0)</f>
        <v>0</v>
      </c>
      <c r="K1560" s="16">
        <f>IF((OR(tbal[[#This Row],[X]]=3,tbal[[#This Row],[X]]=5)),tbal[[#This Row],[DEUDOR]],0)</f>
        <v>0</v>
      </c>
      <c r="L1560" s="18">
        <f>IF((OR(tbal[[#This Row],[X]]=3,tbal[[#This Row],[X]]=4)),tbal[[#This Row],[ACREEDOR]],0)</f>
        <v>0</v>
      </c>
      <c r="M1560" s="16">
        <f>IF((OR(tbal[[#This Row],[X]]=0,tbal[[#This Row],[X]]=6)),tbal[[#This Row],[DEUDOR]],0)</f>
        <v>0</v>
      </c>
      <c r="N1560" s="18">
        <f>IF((OR(tbal[[#This Row],[X]]=0,tbal[[#This Row],[X]]=5)),tbal[[#This Row],[ACREEDOR]],0)</f>
        <v>0</v>
      </c>
    </row>
    <row r="1561" spans="1:14" hidden="1" x14ac:dyDescent="0.3">
      <c r="A1561" s="14">
        <f>+'PLAN DE CUENTAS'!A1561</f>
        <v>0</v>
      </c>
      <c r="B1561" s="13">
        <f>+'PLAN DE CUENTAS'!B1561</f>
        <v>0</v>
      </c>
      <c r="C1561" s="13">
        <f>+'PLAN DE CUENTAS'!C1561</f>
        <v>0</v>
      </c>
      <c r="D1561" t="str">
        <f>IF(tbal[[#This Row],[DEBE]]+tbal[[#This Row],[HABER]]=0,"","X")</f>
        <v/>
      </c>
      <c r="E1561" s="16">
        <f>SUMIF(tdiario[CUENTA],tbal[[#This Row],[CUENTA]],tdiario[DEBE])</f>
        <v>0</v>
      </c>
      <c r="F1561" s="17">
        <f>SUMIF(tdiario[CUENTA],tbal[[#This Row],[CUENTA]],tdiario[HABER])</f>
        <v>0</v>
      </c>
      <c r="G1561" s="16">
        <f>IF(tbal[[#This Row],[DEBE]]-tbal[[#This Row],[HABER]]&gt;0,tbal[[#This Row],[DEBE]]-tbal[[#This Row],[HABER]],0)</f>
        <v>0</v>
      </c>
      <c r="H1561" s="18">
        <f>IF(tbal[[#This Row],[HABER]]-tbal[[#This Row],[DEBE]]&gt;0,tbal[[#This Row],[HABER]]-tbal[[#This Row],[DEBE]],0)</f>
        <v>0</v>
      </c>
      <c r="I1561" s="16">
        <f>IF((OR(tbal[[#This Row],[X]]=1,tbal[[#This Row],[X]]=2)),tbal[[#This Row],[DEUDOR]],0)</f>
        <v>0</v>
      </c>
      <c r="J1561" s="18">
        <f>IF((OR(tbal[[#This Row],[X]]=2,tbal[[#This Row],[X]]=3)),tbal[[#This Row],[ACREEDOR]],0)</f>
        <v>0</v>
      </c>
      <c r="K1561" s="16">
        <f>IF((OR(tbal[[#This Row],[X]]=3,tbal[[#This Row],[X]]=5)),tbal[[#This Row],[DEUDOR]],0)</f>
        <v>0</v>
      </c>
      <c r="L1561" s="18">
        <f>IF((OR(tbal[[#This Row],[X]]=3,tbal[[#This Row],[X]]=4)),tbal[[#This Row],[ACREEDOR]],0)</f>
        <v>0</v>
      </c>
      <c r="M1561" s="16">
        <f>IF((OR(tbal[[#This Row],[X]]=0,tbal[[#This Row],[X]]=6)),tbal[[#This Row],[DEUDOR]],0)</f>
        <v>0</v>
      </c>
      <c r="N1561" s="18">
        <f>IF((OR(tbal[[#This Row],[X]]=0,tbal[[#This Row],[X]]=5)),tbal[[#This Row],[ACREEDOR]],0)</f>
        <v>0</v>
      </c>
    </row>
    <row r="1562" spans="1:14" hidden="1" x14ac:dyDescent="0.3">
      <c r="A1562" s="14">
        <f>+'PLAN DE CUENTAS'!A1562</f>
        <v>0</v>
      </c>
      <c r="B1562" s="13">
        <f>+'PLAN DE CUENTAS'!B1562</f>
        <v>0</v>
      </c>
      <c r="C1562" s="13">
        <f>+'PLAN DE CUENTAS'!C1562</f>
        <v>0</v>
      </c>
      <c r="D1562" t="str">
        <f>IF(tbal[[#This Row],[DEBE]]+tbal[[#This Row],[HABER]]=0,"","X")</f>
        <v/>
      </c>
      <c r="E1562" s="16">
        <f>SUMIF(tdiario[CUENTA],tbal[[#This Row],[CUENTA]],tdiario[DEBE])</f>
        <v>0</v>
      </c>
      <c r="F1562" s="17">
        <f>SUMIF(tdiario[CUENTA],tbal[[#This Row],[CUENTA]],tdiario[HABER])</f>
        <v>0</v>
      </c>
      <c r="G1562" s="16">
        <f>IF(tbal[[#This Row],[DEBE]]-tbal[[#This Row],[HABER]]&gt;0,tbal[[#This Row],[DEBE]]-tbal[[#This Row],[HABER]],0)</f>
        <v>0</v>
      </c>
      <c r="H1562" s="18">
        <f>IF(tbal[[#This Row],[HABER]]-tbal[[#This Row],[DEBE]]&gt;0,tbal[[#This Row],[HABER]]-tbal[[#This Row],[DEBE]],0)</f>
        <v>0</v>
      </c>
      <c r="I1562" s="16">
        <f>IF((OR(tbal[[#This Row],[X]]=1,tbal[[#This Row],[X]]=2)),tbal[[#This Row],[DEUDOR]],0)</f>
        <v>0</v>
      </c>
      <c r="J1562" s="18">
        <f>IF((OR(tbal[[#This Row],[X]]=2,tbal[[#This Row],[X]]=3)),tbal[[#This Row],[ACREEDOR]],0)</f>
        <v>0</v>
      </c>
      <c r="K1562" s="16">
        <f>IF((OR(tbal[[#This Row],[X]]=3,tbal[[#This Row],[X]]=5)),tbal[[#This Row],[DEUDOR]],0)</f>
        <v>0</v>
      </c>
      <c r="L1562" s="18">
        <f>IF((OR(tbal[[#This Row],[X]]=3,tbal[[#This Row],[X]]=4)),tbal[[#This Row],[ACREEDOR]],0)</f>
        <v>0</v>
      </c>
      <c r="M1562" s="16">
        <f>IF((OR(tbal[[#This Row],[X]]=0,tbal[[#This Row],[X]]=6)),tbal[[#This Row],[DEUDOR]],0)</f>
        <v>0</v>
      </c>
      <c r="N1562" s="18">
        <f>IF((OR(tbal[[#This Row],[X]]=0,tbal[[#This Row],[X]]=5)),tbal[[#This Row],[ACREEDOR]],0)</f>
        <v>0</v>
      </c>
    </row>
    <row r="1563" spans="1:14" hidden="1" x14ac:dyDescent="0.3">
      <c r="A1563" s="14">
        <f>+'PLAN DE CUENTAS'!A1563</f>
        <v>0</v>
      </c>
      <c r="B1563" s="13">
        <f>+'PLAN DE CUENTAS'!B1563</f>
        <v>0</v>
      </c>
      <c r="C1563" s="13">
        <f>+'PLAN DE CUENTAS'!C1563</f>
        <v>0</v>
      </c>
      <c r="D1563" t="str">
        <f>IF(tbal[[#This Row],[DEBE]]+tbal[[#This Row],[HABER]]=0,"","X")</f>
        <v/>
      </c>
      <c r="E1563" s="16">
        <f>SUMIF(tdiario[CUENTA],tbal[[#This Row],[CUENTA]],tdiario[DEBE])</f>
        <v>0</v>
      </c>
      <c r="F1563" s="17">
        <f>SUMIF(tdiario[CUENTA],tbal[[#This Row],[CUENTA]],tdiario[HABER])</f>
        <v>0</v>
      </c>
      <c r="G1563" s="16">
        <f>IF(tbal[[#This Row],[DEBE]]-tbal[[#This Row],[HABER]]&gt;0,tbal[[#This Row],[DEBE]]-tbal[[#This Row],[HABER]],0)</f>
        <v>0</v>
      </c>
      <c r="H1563" s="18">
        <f>IF(tbal[[#This Row],[HABER]]-tbal[[#This Row],[DEBE]]&gt;0,tbal[[#This Row],[HABER]]-tbal[[#This Row],[DEBE]],0)</f>
        <v>0</v>
      </c>
      <c r="I1563" s="16">
        <f>IF((OR(tbal[[#This Row],[X]]=1,tbal[[#This Row],[X]]=2)),tbal[[#This Row],[DEUDOR]],0)</f>
        <v>0</v>
      </c>
      <c r="J1563" s="18">
        <f>IF((OR(tbal[[#This Row],[X]]=2,tbal[[#This Row],[X]]=3)),tbal[[#This Row],[ACREEDOR]],0)</f>
        <v>0</v>
      </c>
      <c r="K1563" s="16">
        <f>IF((OR(tbal[[#This Row],[X]]=3,tbal[[#This Row],[X]]=5)),tbal[[#This Row],[DEUDOR]],0)</f>
        <v>0</v>
      </c>
      <c r="L1563" s="18">
        <f>IF((OR(tbal[[#This Row],[X]]=3,tbal[[#This Row],[X]]=4)),tbal[[#This Row],[ACREEDOR]],0)</f>
        <v>0</v>
      </c>
      <c r="M1563" s="16">
        <f>IF((OR(tbal[[#This Row],[X]]=0,tbal[[#This Row],[X]]=6)),tbal[[#This Row],[DEUDOR]],0)</f>
        <v>0</v>
      </c>
      <c r="N1563" s="18">
        <f>IF((OR(tbal[[#This Row],[X]]=0,tbal[[#This Row],[X]]=5)),tbal[[#This Row],[ACREEDOR]],0)</f>
        <v>0</v>
      </c>
    </row>
    <row r="1564" spans="1:14" hidden="1" x14ac:dyDescent="0.3">
      <c r="A1564" s="14">
        <f>+'PLAN DE CUENTAS'!A1564</f>
        <v>0</v>
      </c>
      <c r="B1564" s="13">
        <f>+'PLAN DE CUENTAS'!B1564</f>
        <v>0</v>
      </c>
      <c r="C1564" s="13">
        <f>+'PLAN DE CUENTAS'!C1564</f>
        <v>0</v>
      </c>
      <c r="D1564" t="str">
        <f>IF(tbal[[#This Row],[DEBE]]+tbal[[#This Row],[HABER]]=0,"","X")</f>
        <v/>
      </c>
      <c r="E1564" s="16">
        <f>SUMIF(tdiario[CUENTA],tbal[[#This Row],[CUENTA]],tdiario[DEBE])</f>
        <v>0</v>
      </c>
      <c r="F1564" s="17">
        <f>SUMIF(tdiario[CUENTA],tbal[[#This Row],[CUENTA]],tdiario[HABER])</f>
        <v>0</v>
      </c>
      <c r="G1564" s="16">
        <f>IF(tbal[[#This Row],[DEBE]]-tbal[[#This Row],[HABER]]&gt;0,tbal[[#This Row],[DEBE]]-tbal[[#This Row],[HABER]],0)</f>
        <v>0</v>
      </c>
      <c r="H1564" s="18">
        <f>IF(tbal[[#This Row],[HABER]]-tbal[[#This Row],[DEBE]]&gt;0,tbal[[#This Row],[HABER]]-tbal[[#This Row],[DEBE]],0)</f>
        <v>0</v>
      </c>
      <c r="I1564" s="16">
        <f>IF((OR(tbal[[#This Row],[X]]=1,tbal[[#This Row],[X]]=2)),tbal[[#This Row],[DEUDOR]],0)</f>
        <v>0</v>
      </c>
      <c r="J1564" s="18">
        <f>IF((OR(tbal[[#This Row],[X]]=2,tbal[[#This Row],[X]]=3)),tbal[[#This Row],[ACREEDOR]],0)</f>
        <v>0</v>
      </c>
      <c r="K1564" s="16">
        <f>IF((OR(tbal[[#This Row],[X]]=3,tbal[[#This Row],[X]]=5)),tbal[[#This Row],[DEUDOR]],0)</f>
        <v>0</v>
      </c>
      <c r="L1564" s="18">
        <f>IF((OR(tbal[[#This Row],[X]]=3,tbal[[#This Row],[X]]=4)),tbal[[#This Row],[ACREEDOR]],0)</f>
        <v>0</v>
      </c>
      <c r="M1564" s="16">
        <f>IF((OR(tbal[[#This Row],[X]]=0,tbal[[#This Row],[X]]=6)),tbal[[#This Row],[DEUDOR]],0)</f>
        <v>0</v>
      </c>
      <c r="N1564" s="18">
        <f>IF((OR(tbal[[#This Row],[X]]=0,tbal[[#This Row],[X]]=5)),tbal[[#This Row],[ACREEDOR]],0)</f>
        <v>0</v>
      </c>
    </row>
    <row r="1565" spans="1:14" hidden="1" x14ac:dyDescent="0.3">
      <c r="A1565" s="14">
        <f>+'PLAN DE CUENTAS'!A1565</f>
        <v>0</v>
      </c>
      <c r="B1565" s="13">
        <f>+'PLAN DE CUENTAS'!B1565</f>
        <v>0</v>
      </c>
      <c r="C1565" s="13">
        <f>+'PLAN DE CUENTAS'!C1565</f>
        <v>0</v>
      </c>
      <c r="D1565" t="str">
        <f>IF(tbal[[#This Row],[DEBE]]+tbal[[#This Row],[HABER]]=0,"","X")</f>
        <v/>
      </c>
      <c r="E1565" s="16">
        <f>SUMIF(tdiario[CUENTA],tbal[[#This Row],[CUENTA]],tdiario[DEBE])</f>
        <v>0</v>
      </c>
      <c r="F1565" s="17">
        <f>SUMIF(tdiario[CUENTA],tbal[[#This Row],[CUENTA]],tdiario[HABER])</f>
        <v>0</v>
      </c>
      <c r="G1565" s="16">
        <f>IF(tbal[[#This Row],[DEBE]]-tbal[[#This Row],[HABER]]&gt;0,tbal[[#This Row],[DEBE]]-tbal[[#This Row],[HABER]],0)</f>
        <v>0</v>
      </c>
      <c r="H1565" s="18">
        <f>IF(tbal[[#This Row],[HABER]]-tbal[[#This Row],[DEBE]]&gt;0,tbal[[#This Row],[HABER]]-tbal[[#This Row],[DEBE]],0)</f>
        <v>0</v>
      </c>
      <c r="I1565" s="16">
        <f>IF((OR(tbal[[#This Row],[X]]=1,tbal[[#This Row],[X]]=2)),tbal[[#This Row],[DEUDOR]],0)</f>
        <v>0</v>
      </c>
      <c r="J1565" s="18">
        <f>IF((OR(tbal[[#This Row],[X]]=2,tbal[[#This Row],[X]]=3)),tbal[[#This Row],[ACREEDOR]],0)</f>
        <v>0</v>
      </c>
      <c r="K1565" s="16">
        <f>IF((OR(tbal[[#This Row],[X]]=3,tbal[[#This Row],[X]]=5)),tbal[[#This Row],[DEUDOR]],0)</f>
        <v>0</v>
      </c>
      <c r="L1565" s="18">
        <f>IF((OR(tbal[[#This Row],[X]]=3,tbal[[#This Row],[X]]=4)),tbal[[#This Row],[ACREEDOR]],0)</f>
        <v>0</v>
      </c>
      <c r="M1565" s="16">
        <f>IF((OR(tbal[[#This Row],[X]]=0,tbal[[#This Row],[X]]=6)),tbal[[#This Row],[DEUDOR]],0)</f>
        <v>0</v>
      </c>
      <c r="N1565" s="18">
        <f>IF((OR(tbal[[#This Row],[X]]=0,tbal[[#This Row],[X]]=5)),tbal[[#This Row],[ACREEDOR]],0)</f>
        <v>0</v>
      </c>
    </row>
    <row r="1566" spans="1:14" hidden="1" x14ac:dyDescent="0.3">
      <c r="A1566" s="14">
        <f>+'PLAN DE CUENTAS'!A1566</f>
        <v>0</v>
      </c>
      <c r="B1566" s="13">
        <f>+'PLAN DE CUENTAS'!B1566</f>
        <v>0</v>
      </c>
      <c r="C1566" s="13">
        <f>+'PLAN DE CUENTAS'!C1566</f>
        <v>0</v>
      </c>
      <c r="D1566" t="str">
        <f>IF(tbal[[#This Row],[DEBE]]+tbal[[#This Row],[HABER]]=0,"","X")</f>
        <v/>
      </c>
      <c r="E1566" s="16">
        <f>SUMIF(tdiario[CUENTA],tbal[[#This Row],[CUENTA]],tdiario[DEBE])</f>
        <v>0</v>
      </c>
      <c r="F1566" s="17">
        <f>SUMIF(tdiario[CUENTA],tbal[[#This Row],[CUENTA]],tdiario[HABER])</f>
        <v>0</v>
      </c>
      <c r="G1566" s="16">
        <f>IF(tbal[[#This Row],[DEBE]]-tbal[[#This Row],[HABER]]&gt;0,tbal[[#This Row],[DEBE]]-tbal[[#This Row],[HABER]],0)</f>
        <v>0</v>
      </c>
      <c r="H1566" s="18">
        <f>IF(tbal[[#This Row],[HABER]]-tbal[[#This Row],[DEBE]]&gt;0,tbal[[#This Row],[HABER]]-tbal[[#This Row],[DEBE]],0)</f>
        <v>0</v>
      </c>
      <c r="I1566" s="16">
        <f>IF((OR(tbal[[#This Row],[X]]=1,tbal[[#This Row],[X]]=2)),tbal[[#This Row],[DEUDOR]],0)</f>
        <v>0</v>
      </c>
      <c r="J1566" s="18">
        <f>IF((OR(tbal[[#This Row],[X]]=2,tbal[[#This Row],[X]]=3)),tbal[[#This Row],[ACREEDOR]],0)</f>
        <v>0</v>
      </c>
      <c r="K1566" s="16">
        <f>IF((OR(tbal[[#This Row],[X]]=3,tbal[[#This Row],[X]]=5)),tbal[[#This Row],[DEUDOR]],0)</f>
        <v>0</v>
      </c>
      <c r="L1566" s="18">
        <f>IF((OR(tbal[[#This Row],[X]]=3,tbal[[#This Row],[X]]=4)),tbal[[#This Row],[ACREEDOR]],0)</f>
        <v>0</v>
      </c>
      <c r="M1566" s="16">
        <f>IF((OR(tbal[[#This Row],[X]]=0,tbal[[#This Row],[X]]=6)),tbal[[#This Row],[DEUDOR]],0)</f>
        <v>0</v>
      </c>
      <c r="N1566" s="18">
        <f>IF((OR(tbal[[#This Row],[X]]=0,tbal[[#This Row],[X]]=5)),tbal[[#This Row],[ACREEDOR]],0)</f>
        <v>0</v>
      </c>
    </row>
    <row r="1567" spans="1:14" hidden="1" x14ac:dyDescent="0.3">
      <c r="A1567" s="14">
        <f>+'PLAN DE CUENTAS'!A1567</f>
        <v>0</v>
      </c>
      <c r="B1567" s="13">
        <f>+'PLAN DE CUENTAS'!B1567</f>
        <v>0</v>
      </c>
      <c r="C1567" s="13">
        <f>+'PLAN DE CUENTAS'!C1567</f>
        <v>0</v>
      </c>
      <c r="D1567" t="str">
        <f>IF(tbal[[#This Row],[DEBE]]+tbal[[#This Row],[HABER]]=0,"","X")</f>
        <v/>
      </c>
      <c r="E1567" s="16">
        <f>SUMIF(tdiario[CUENTA],tbal[[#This Row],[CUENTA]],tdiario[DEBE])</f>
        <v>0</v>
      </c>
      <c r="F1567" s="17">
        <f>SUMIF(tdiario[CUENTA],tbal[[#This Row],[CUENTA]],tdiario[HABER])</f>
        <v>0</v>
      </c>
      <c r="G1567" s="16">
        <f>IF(tbal[[#This Row],[DEBE]]-tbal[[#This Row],[HABER]]&gt;0,tbal[[#This Row],[DEBE]]-tbal[[#This Row],[HABER]],0)</f>
        <v>0</v>
      </c>
      <c r="H1567" s="18">
        <f>IF(tbal[[#This Row],[HABER]]-tbal[[#This Row],[DEBE]]&gt;0,tbal[[#This Row],[HABER]]-tbal[[#This Row],[DEBE]],0)</f>
        <v>0</v>
      </c>
      <c r="I1567" s="16">
        <f>IF((OR(tbal[[#This Row],[X]]=1,tbal[[#This Row],[X]]=2)),tbal[[#This Row],[DEUDOR]],0)</f>
        <v>0</v>
      </c>
      <c r="J1567" s="18">
        <f>IF((OR(tbal[[#This Row],[X]]=2,tbal[[#This Row],[X]]=3)),tbal[[#This Row],[ACREEDOR]],0)</f>
        <v>0</v>
      </c>
      <c r="K1567" s="16">
        <f>IF((OR(tbal[[#This Row],[X]]=3,tbal[[#This Row],[X]]=5)),tbal[[#This Row],[DEUDOR]],0)</f>
        <v>0</v>
      </c>
      <c r="L1567" s="18">
        <f>IF((OR(tbal[[#This Row],[X]]=3,tbal[[#This Row],[X]]=4)),tbal[[#This Row],[ACREEDOR]],0)</f>
        <v>0</v>
      </c>
      <c r="M1567" s="16">
        <f>IF((OR(tbal[[#This Row],[X]]=0,tbal[[#This Row],[X]]=6)),tbal[[#This Row],[DEUDOR]],0)</f>
        <v>0</v>
      </c>
      <c r="N1567" s="18">
        <f>IF((OR(tbal[[#This Row],[X]]=0,tbal[[#This Row],[X]]=5)),tbal[[#This Row],[ACREEDOR]],0)</f>
        <v>0</v>
      </c>
    </row>
    <row r="1568" spans="1:14" hidden="1" x14ac:dyDescent="0.3">
      <c r="A1568" s="14">
        <f>+'PLAN DE CUENTAS'!A1568</f>
        <v>0</v>
      </c>
      <c r="B1568" s="13">
        <f>+'PLAN DE CUENTAS'!B1568</f>
        <v>0</v>
      </c>
      <c r="C1568" s="13">
        <f>+'PLAN DE CUENTAS'!C1568</f>
        <v>0</v>
      </c>
      <c r="D1568" t="str">
        <f>IF(tbal[[#This Row],[DEBE]]+tbal[[#This Row],[HABER]]=0,"","X")</f>
        <v/>
      </c>
      <c r="E1568" s="16">
        <f>SUMIF(tdiario[CUENTA],tbal[[#This Row],[CUENTA]],tdiario[DEBE])</f>
        <v>0</v>
      </c>
      <c r="F1568" s="17">
        <f>SUMIF(tdiario[CUENTA],tbal[[#This Row],[CUENTA]],tdiario[HABER])</f>
        <v>0</v>
      </c>
      <c r="G1568" s="16">
        <f>IF(tbal[[#This Row],[DEBE]]-tbal[[#This Row],[HABER]]&gt;0,tbal[[#This Row],[DEBE]]-tbal[[#This Row],[HABER]],0)</f>
        <v>0</v>
      </c>
      <c r="H1568" s="18">
        <f>IF(tbal[[#This Row],[HABER]]-tbal[[#This Row],[DEBE]]&gt;0,tbal[[#This Row],[HABER]]-tbal[[#This Row],[DEBE]],0)</f>
        <v>0</v>
      </c>
      <c r="I1568" s="16">
        <f>IF((OR(tbal[[#This Row],[X]]=1,tbal[[#This Row],[X]]=2)),tbal[[#This Row],[DEUDOR]],0)</f>
        <v>0</v>
      </c>
      <c r="J1568" s="18">
        <f>IF((OR(tbal[[#This Row],[X]]=2,tbal[[#This Row],[X]]=3)),tbal[[#This Row],[ACREEDOR]],0)</f>
        <v>0</v>
      </c>
      <c r="K1568" s="16">
        <f>IF((OR(tbal[[#This Row],[X]]=3,tbal[[#This Row],[X]]=5)),tbal[[#This Row],[DEUDOR]],0)</f>
        <v>0</v>
      </c>
      <c r="L1568" s="18">
        <f>IF((OR(tbal[[#This Row],[X]]=3,tbal[[#This Row],[X]]=4)),tbal[[#This Row],[ACREEDOR]],0)</f>
        <v>0</v>
      </c>
      <c r="M1568" s="16">
        <f>IF((OR(tbal[[#This Row],[X]]=0,tbal[[#This Row],[X]]=6)),tbal[[#This Row],[DEUDOR]],0)</f>
        <v>0</v>
      </c>
      <c r="N1568" s="18">
        <f>IF((OR(tbal[[#This Row],[X]]=0,tbal[[#This Row],[X]]=5)),tbal[[#This Row],[ACREEDOR]],0)</f>
        <v>0</v>
      </c>
    </row>
    <row r="1569" spans="1:14" hidden="1" x14ac:dyDescent="0.3">
      <c r="A1569" s="14">
        <f>+'PLAN DE CUENTAS'!A1569</f>
        <v>0</v>
      </c>
      <c r="B1569" s="13">
        <f>+'PLAN DE CUENTAS'!B1569</f>
        <v>0</v>
      </c>
      <c r="C1569" s="13">
        <f>+'PLAN DE CUENTAS'!C1569</f>
        <v>0</v>
      </c>
      <c r="D1569" t="str">
        <f>IF(tbal[[#This Row],[DEBE]]+tbal[[#This Row],[HABER]]=0,"","X")</f>
        <v/>
      </c>
      <c r="E1569" s="16">
        <f>SUMIF(tdiario[CUENTA],tbal[[#This Row],[CUENTA]],tdiario[DEBE])</f>
        <v>0</v>
      </c>
      <c r="F1569" s="17">
        <f>SUMIF(tdiario[CUENTA],tbal[[#This Row],[CUENTA]],tdiario[HABER])</f>
        <v>0</v>
      </c>
      <c r="G1569" s="16">
        <f>IF(tbal[[#This Row],[DEBE]]-tbal[[#This Row],[HABER]]&gt;0,tbal[[#This Row],[DEBE]]-tbal[[#This Row],[HABER]],0)</f>
        <v>0</v>
      </c>
      <c r="H1569" s="18">
        <f>IF(tbal[[#This Row],[HABER]]-tbal[[#This Row],[DEBE]]&gt;0,tbal[[#This Row],[HABER]]-tbal[[#This Row],[DEBE]],0)</f>
        <v>0</v>
      </c>
      <c r="I1569" s="16">
        <f>IF((OR(tbal[[#This Row],[X]]=1,tbal[[#This Row],[X]]=2)),tbal[[#This Row],[DEUDOR]],0)</f>
        <v>0</v>
      </c>
      <c r="J1569" s="18">
        <f>IF((OR(tbal[[#This Row],[X]]=2,tbal[[#This Row],[X]]=3)),tbal[[#This Row],[ACREEDOR]],0)</f>
        <v>0</v>
      </c>
      <c r="K1569" s="16">
        <f>IF((OR(tbal[[#This Row],[X]]=3,tbal[[#This Row],[X]]=5)),tbal[[#This Row],[DEUDOR]],0)</f>
        <v>0</v>
      </c>
      <c r="L1569" s="18">
        <f>IF((OR(tbal[[#This Row],[X]]=3,tbal[[#This Row],[X]]=4)),tbal[[#This Row],[ACREEDOR]],0)</f>
        <v>0</v>
      </c>
      <c r="M1569" s="16">
        <f>IF((OR(tbal[[#This Row],[X]]=0,tbal[[#This Row],[X]]=6)),tbal[[#This Row],[DEUDOR]],0)</f>
        <v>0</v>
      </c>
      <c r="N1569" s="18">
        <f>IF((OR(tbal[[#This Row],[X]]=0,tbal[[#This Row],[X]]=5)),tbal[[#This Row],[ACREEDOR]],0)</f>
        <v>0</v>
      </c>
    </row>
    <row r="1570" spans="1:14" hidden="1" x14ac:dyDescent="0.3">
      <c r="A1570" s="14">
        <f>+'PLAN DE CUENTAS'!A1570</f>
        <v>0</v>
      </c>
      <c r="B1570" s="13">
        <f>+'PLAN DE CUENTAS'!B1570</f>
        <v>0</v>
      </c>
      <c r="C1570" s="13">
        <f>+'PLAN DE CUENTAS'!C1570</f>
        <v>0</v>
      </c>
      <c r="D1570" t="str">
        <f>IF(tbal[[#This Row],[DEBE]]+tbal[[#This Row],[HABER]]=0,"","X")</f>
        <v/>
      </c>
      <c r="E1570" s="16">
        <f>SUMIF(tdiario[CUENTA],tbal[[#This Row],[CUENTA]],tdiario[DEBE])</f>
        <v>0</v>
      </c>
      <c r="F1570" s="17">
        <f>SUMIF(tdiario[CUENTA],tbal[[#This Row],[CUENTA]],tdiario[HABER])</f>
        <v>0</v>
      </c>
      <c r="G1570" s="16">
        <f>IF(tbal[[#This Row],[DEBE]]-tbal[[#This Row],[HABER]]&gt;0,tbal[[#This Row],[DEBE]]-tbal[[#This Row],[HABER]],0)</f>
        <v>0</v>
      </c>
      <c r="H1570" s="18">
        <f>IF(tbal[[#This Row],[HABER]]-tbal[[#This Row],[DEBE]]&gt;0,tbal[[#This Row],[HABER]]-tbal[[#This Row],[DEBE]],0)</f>
        <v>0</v>
      </c>
      <c r="I1570" s="16">
        <f>IF((OR(tbal[[#This Row],[X]]=1,tbal[[#This Row],[X]]=2)),tbal[[#This Row],[DEUDOR]],0)</f>
        <v>0</v>
      </c>
      <c r="J1570" s="18">
        <f>IF((OR(tbal[[#This Row],[X]]=2,tbal[[#This Row],[X]]=3)),tbal[[#This Row],[ACREEDOR]],0)</f>
        <v>0</v>
      </c>
      <c r="K1570" s="16">
        <f>IF((OR(tbal[[#This Row],[X]]=3,tbal[[#This Row],[X]]=5)),tbal[[#This Row],[DEUDOR]],0)</f>
        <v>0</v>
      </c>
      <c r="L1570" s="18">
        <f>IF((OR(tbal[[#This Row],[X]]=3,tbal[[#This Row],[X]]=4)),tbal[[#This Row],[ACREEDOR]],0)</f>
        <v>0</v>
      </c>
      <c r="M1570" s="16">
        <f>IF((OR(tbal[[#This Row],[X]]=0,tbal[[#This Row],[X]]=6)),tbal[[#This Row],[DEUDOR]],0)</f>
        <v>0</v>
      </c>
      <c r="N1570" s="18">
        <f>IF((OR(tbal[[#This Row],[X]]=0,tbal[[#This Row],[X]]=5)),tbal[[#This Row],[ACREEDOR]],0)</f>
        <v>0</v>
      </c>
    </row>
    <row r="1571" spans="1:14" hidden="1" x14ac:dyDescent="0.3">
      <c r="A1571" s="14">
        <f>+'PLAN DE CUENTAS'!A1571</f>
        <v>0</v>
      </c>
      <c r="B1571" s="13">
        <f>+'PLAN DE CUENTAS'!B1571</f>
        <v>0</v>
      </c>
      <c r="C1571" s="13">
        <f>+'PLAN DE CUENTAS'!C1571</f>
        <v>0</v>
      </c>
      <c r="D1571" t="str">
        <f>IF(tbal[[#This Row],[DEBE]]+tbal[[#This Row],[HABER]]=0,"","X")</f>
        <v/>
      </c>
      <c r="E1571" s="16">
        <f>SUMIF(tdiario[CUENTA],tbal[[#This Row],[CUENTA]],tdiario[DEBE])</f>
        <v>0</v>
      </c>
      <c r="F1571" s="17">
        <f>SUMIF(tdiario[CUENTA],tbal[[#This Row],[CUENTA]],tdiario[HABER])</f>
        <v>0</v>
      </c>
      <c r="G1571" s="16">
        <f>IF(tbal[[#This Row],[DEBE]]-tbal[[#This Row],[HABER]]&gt;0,tbal[[#This Row],[DEBE]]-tbal[[#This Row],[HABER]],0)</f>
        <v>0</v>
      </c>
      <c r="H1571" s="18">
        <f>IF(tbal[[#This Row],[HABER]]-tbal[[#This Row],[DEBE]]&gt;0,tbal[[#This Row],[HABER]]-tbal[[#This Row],[DEBE]],0)</f>
        <v>0</v>
      </c>
      <c r="I1571" s="16">
        <f>IF((OR(tbal[[#This Row],[X]]=1,tbal[[#This Row],[X]]=2)),tbal[[#This Row],[DEUDOR]],0)</f>
        <v>0</v>
      </c>
      <c r="J1571" s="18">
        <f>IF((OR(tbal[[#This Row],[X]]=2,tbal[[#This Row],[X]]=3)),tbal[[#This Row],[ACREEDOR]],0)</f>
        <v>0</v>
      </c>
      <c r="K1571" s="16">
        <f>IF((OR(tbal[[#This Row],[X]]=3,tbal[[#This Row],[X]]=5)),tbal[[#This Row],[DEUDOR]],0)</f>
        <v>0</v>
      </c>
      <c r="L1571" s="18">
        <f>IF((OR(tbal[[#This Row],[X]]=3,tbal[[#This Row],[X]]=4)),tbal[[#This Row],[ACREEDOR]],0)</f>
        <v>0</v>
      </c>
      <c r="M1571" s="16">
        <f>IF((OR(tbal[[#This Row],[X]]=0,tbal[[#This Row],[X]]=6)),tbal[[#This Row],[DEUDOR]],0)</f>
        <v>0</v>
      </c>
      <c r="N1571" s="18">
        <f>IF((OR(tbal[[#This Row],[X]]=0,tbal[[#This Row],[X]]=5)),tbal[[#This Row],[ACREEDOR]],0)</f>
        <v>0</v>
      </c>
    </row>
    <row r="1572" spans="1:14" hidden="1" x14ac:dyDescent="0.3">
      <c r="A1572" s="14">
        <f>+'PLAN DE CUENTAS'!A1572</f>
        <v>0</v>
      </c>
      <c r="B1572" s="13">
        <f>+'PLAN DE CUENTAS'!B1572</f>
        <v>0</v>
      </c>
      <c r="C1572" s="13">
        <f>+'PLAN DE CUENTAS'!C1572</f>
        <v>0</v>
      </c>
      <c r="D1572" t="str">
        <f>IF(tbal[[#This Row],[DEBE]]+tbal[[#This Row],[HABER]]=0,"","X")</f>
        <v/>
      </c>
      <c r="E1572" s="16">
        <f>SUMIF(tdiario[CUENTA],tbal[[#This Row],[CUENTA]],tdiario[DEBE])</f>
        <v>0</v>
      </c>
      <c r="F1572" s="17">
        <f>SUMIF(tdiario[CUENTA],tbal[[#This Row],[CUENTA]],tdiario[HABER])</f>
        <v>0</v>
      </c>
      <c r="G1572" s="16">
        <f>IF(tbal[[#This Row],[DEBE]]-tbal[[#This Row],[HABER]]&gt;0,tbal[[#This Row],[DEBE]]-tbal[[#This Row],[HABER]],0)</f>
        <v>0</v>
      </c>
      <c r="H1572" s="18">
        <f>IF(tbal[[#This Row],[HABER]]-tbal[[#This Row],[DEBE]]&gt;0,tbal[[#This Row],[HABER]]-tbal[[#This Row],[DEBE]],0)</f>
        <v>0</v>
      </c>
      <c r="I1572" s="16">
        <f>IF((OR(tbal[[#This Row],[X]]=1,tbal[[#This Row],[X]]=2)),tbal[[#This Row],[DEUDOR]],0)</f>
        <v>0</v>
      </c>
      <c r="J1572" s="18">
        <f>IF((OR(tbal[[#This Row],[X]]=2,tbal[[#This Row],[X]]=3)),tbal[[#This Row],[ACREEDOR]],0)</f>
        <v>0</v>
      </c>
      <c r="K1572" s="16">
        <f>IF((OR(tbal[[#This Row],[X]]=3,tbal[[#This Row],[X]]=5)),tbal[[#This Row],[DEUDOR]],0)</f>
        <v>0</v>
      </c>
      <c r="L1572" s="18">
        <f>IF((OR(tbal[[#This Row],[X]]=3,tbal[[#This Row],[X]]=4)),tbal[[#This Row],[ACREEDOR]],0)</f>
        <v>0</v>
      </c>
      <c r="M1572" s="16">
        <f>IF((OR(tbal[[#This Row],[X]]=0,tbal[[#This Row],[X]]=6)),tbal[[#This Row],[DEUDOR]],0)</f>
        <v>0</v>
      </c>
      <c r="N1572" s="18">
        <f>IF((OR(tbal[[#This Row],[X]]=0,tbal[[#This Row],[X]]=5)),tbal[[#This Row],[ACREEDOR]],0)</f>
        <v>0</v>
      </c>
    </row>
    <row r="1573" spans="1:14" hidden="1" x14ac:dyDescent="0.3">
      <c r="A1573" s="14">
        <f>+'PLAN DE CUENTAS'!A1573</f>
        <v>0</v>
      </c>
      <c r="B1573" s="13">
        <f>+'PLAN DE CUENTAS'!B1573</f>
        <v>0</v>
      </c>
      <c r="C1573" s="13">
        <f>+'PLAN DE CUENTAS'!C1573</f>
        <v>0</v>
      </c>
      <c r="D1573" t="str">
        <f>IF(tbal[[#This Row],[DEBE]]+tbal[[#This Row],[HABER]]=0,"","X")</f>
        <v/>
      </c>
      <c r="E1573" s="16">
        <f>SUMIF(tdiario[CUENTA],tbal[[#This Row],[CUENTA]],tdiario[DEBE])</f>
        <v>0</v>
      </c>
      <c r="F1573" s="17">
        <f>SUMIF(tdiario[CUENTA],tbal[[#This Row],[CUENTA]],tdiario[HABER])</f>
        <v>0</v>
      </c>
      <c r="G1573" s="16">
        <f>IF(tbal[[#This Row],[DEBE]]-tbal[[#This Row],[HABER]]&gt;0,tbal[[#This Row],[DEBE]]-tbal[[#This Row],[HABER]],0)</f>
        <v>0</v>
      </c>
      <c r="H1573" s="18">
        <f>IF(tbal[[#This Row],[HABER]]-tbal[[#This Row],[DEBE]]&gt;0,tbal[[#This Row],[HABER]]-tbal[[#This Row],[DEBE]],0)</f>
        <v>0</v>
      </c>
      <c r="I1573" s="16">
        <f>IF((OR(tbal[[#This Row],[X]]=1,tbal[[#This Row],[X]]=2)),tbal[[#This Row],[DEUDOR]],0)</f>
        <v>0</v>
      </c>
      <c r="J1573" s="18">
        <f>IF((OR(tbal[[#This Row],[X]]=2,tbal[[#This Row],[X]]=3)),tbal[[#This Row],[ACREEDOR]],0)</f>
        <v>0</v>
      </c>
      <c r="K1573" s="16">
        <f>IF((OR(tbal[[#This Row],[X]]=3,tbal[[#This Row],[X]]=5)),tbal[[#This Row],[DEUDOR]],0)</f>
        <v>0</v>
      </c>
      <c r="L1573" s="18">
        <f>IF((OR(tbal[[#This Row],[X]]=3,tbal[[#This Row],[X]]=4)),tbal[[#This Row],[ACREEDOR]],0)</f>
        <v>0</v>
      </c>
      <c r="M1573" s="16">
        <f>IF((OR(tbal[[#This Row],[X]]=0,tbal[[#This Row],[X]]=6)),tbal[[#This Row],[DEUDOR]],0)</f>
        <v>0</v>
      </c>
      <c r="N1573" s="18">
        <f>IF((OR(tbal[[#This Row],[X]]=0,tbal[[#This Row],[X]]=5)),tbal[[#This Row],[ACREEDOR]],0)</f>
        <v>0</v>
      </c>
    </row>
    <row r="1574" spans="1:14" hidden="1" x14ac:dyDescent="0.3">
      <c r="A1574" s="14">
        <f>+'PLAN DE CUENTAS'!A1574</f>
        <v>0</v>
      </c>
      <c r="B1574" s="13">
        <f>+'PLAN DE CUENTAS'!B1574</f>
        <v>0</v>
      </c>
      <c r="C1574" s="13">
        <f>+'PLAN DE CUENTAS'!C1574</f>
        <v>0</v>
      </c>
      <c r="D1574" t="str">
        <f>IF(tbal[[#This Row],[DEBE]]+tbal[[#This Row],[HABER]]=0,"","X")</f>
        <v/>
      </c>
      <c r="E1574" s="16">
        <f>SUMIF(tdiario[CUENTA],tbal[[#This Row],[CUENTA]],tdiario[DEBE])</f>
        <v>0</v>
      </c>
      <c r="F1574" s="17">
        <f>SUMIF(tdiario[CUENTA],tbal[[#This Row],[CUENTA]],tdiario[HABER])</f>
        <v>0</v>
      </c>
      <c r="G1574" s="16">
        <f>IF(tbal[[#This Row],[DEBE]]-tbal[[#This Row],[HABER]]&gt;0,tbal[[#This Row],[DEBE]]-tbal[[#This Row],[HABER]],0)</f>
        <v>0</v>
      </c>
      <c r="H1574" s="18">
        <f>IF(tbal[[#This Row],[HABER]]-tbal[[#This Row],[DEBE]]&gt;0,tbal[[#This Row],[HABER]]-tbal[[#This Row],[DEBE]],0)</f>
        <v>0</v>
      </c>
      <c r="I1574" s="16">
        <f>IF((OR(tbal[[#This Row],[X]]=1,tbal[[#This Row],[X]]=2)),tbal[[#This Row],[DEUDOR]],0)</f>
        <v>0</v>
      </c>
      <c r="J1574" s="18">
        <f>IF((OR(tbal[[#This Row],[X]]=2,tbal[[#This Row],[X]]=3)),tbal[[#This Row],[ACREEDOR]],0)</f>
        <v>0</v>
      </c>
      <c r="K1574" s="16">
        <f>IF((OR(tbal[[#This Row],[X]]=3,tbal[[#This Row],[X]]=5)),tbal[[#This Row],[DEUDOR]],0)</f>
        <v>0</v>
      </c>
      <c r="L1574" s="18">
        <f>IF((OR(tbal[[#This Row],[X]]=3,tbal[[#This Row],[X]]=4)),tbal[[#This Row],[ACREEDOR]],0)</f>
        <v>0</v>
      </c>
      <c r="M1574" s="16">
        <f>IF((OR(tbal[[#This Row],[X]]=0,tbal[[#This Row],[X]]=6)),tbal[[#This Row],[DEUDOR]],0)</f>
        <v>0</v>
      </c>
      <c r="N1574" s="18">
        <f>IF((OR(tbal[[#This Row],[X]]=0,tbal[[#This Row],[X]]=5)),tbal[[#This Row],[ACREEDOR]],0)</f>
        <v>0</v>
      </c>
    </row>
    <row r="1575" spans="1:14" hidden="1" x14ac:dyDescent="0.3">
      <c r="A1575" s="14">
        <f>+'PLAN DE CUENTAS'!A1575</f>
        <v>0</v>
      </c>
      <c r="B1575" s="13">
        <f>+'PLAN DE CUENTAS'!B1575</f>
        <v>0</v>
      </c>
      <c r="C1575" s="13">
        <f>+'PLAN DE CUENTAS'!C1575</f>
        <v>0</v>
      </c>
      <c r="D1575" t="str">
        <f>IF(tbal[[#This Row],[DEBE]]+tbal[[#This Row],[HABER]]=0,"","X")</f>
        <v/>
      </c>
      <c r="E1575" s="16">
        <f>SUMIF(tdiario[CUENTA],tbal[[#This Row],[CUENTA]],tdiario[DEBE])</f>
        <v>0</v>
      </c>
      <c r="F1575" s="17">
        <f>SUMIF(tdiario[CUENTA],tbal[[#This Row],[CUENTA]],tdiario[HABER])</f>
        <v>0</v>
      </c>
      <c r="G1575" s="16">
        <f>IF(tbal[[#This Row],[DEBE]]-tbal[[#This Row],[HABER]]&gt;0,tbal[[#This Row],[DEBE]]-tbal[[#This Row],[HABER]],0)</f>
        <v>0</v>
      </c>
      <c r="H1575" s="18">
        <f>IF(tbal[[#This Row],[HABER]]-tbal[[#This Row],[DEBE]]&gt;0,tbal[[#This Row],[HABER]]-tbal[[#This Row],[DEBE]],0)</f>
        <v>0</v>
      </c>
      <c r="I1575" s="16">
        <f>IF((OR(tbal[[#This Row],[X]]=1,tbal[[#This Row],[X]]=2)),tbal[[#This Row],[DEUDOR]],0)</f>
        <v>0</v>
      </c>
      <c r="J1575" s="18">
        <f>IF((OR(tbal[[#This Row],[X]]=2,tbal[[#This Row],[X]]=3)),tbal[[#This Row],[ACREEDOR]],0)</f>
        <v>0</v>
      </c>
      <c r="K1575" s="16">
        <f>IF((OR(tbal[[#This Row],[X]]=3,tbal[[#This Row],[X]]=5)),tbal[[#This Row],[DEUDOR]],0)</f>
        <v>0</v>
      </c>
      <c r="L1575" s="18">
        <f>IF((OR(tbal[[#This Row],[X]]=3,tbal[[#This Row],[X]]=4)),tbal[[#This Row],[ACREEDOR]],0)</f>
        <v>0</v>
      </c>
      <c r="M1575" s="16">
        <f>IF((OR(tbal[[#This Row],[X]]=0,tbal[[#This Row],[X]]=6)),tbal[[#This Row],[DEUDOR]],0)</f>
        <v>0</v>
      </c>
      <c r="N1575" s="18">
        <f>IF((OR(tbal[[#This Row],[X]]=0,tbal[[#This Row],[X]]=5)),tbal[[#This Row],[ACREEDOR]],0)</f>
        <v>0</v>
      </c>
    </row>
    <row r="1576" spans="1:14" hidden="1" x14ac:dyDescent="0.3">
      <c r="A1576" s="14">
        <f>+'PLAN DE CUENTAS'!A1576</f>
        <v>0</v>
      </c>
      <c r="B1576" s="13">
        <f>+'PLAN DE CUENTAS'!B1576</f>
        <v>0</v>
      </c>
      <c r="C1576" s="13">
        <f>+'PLAN DE CUENTAS'!C1576</f>
        <v>0</v>
      </c>
      <c r="D1576" t="str">
        <f>IF(tbal[[#This Row],[DEBE]]+tbal[[#This Row],[HABER]]=0,"","X")</f>
        <v/>
      </c>
      <c r="E1576" s="16">
        <f>SUMIF(tdiario[CUENTA],tbal[[#This Row],[CUENTA]],tdiario[DEBE])</f>
        <v>0</v>
      </c>
      <c r="F1576" s="17">
        <f>SUMIF(tdiario[CUENTA],tbal[[#This Row],[CUENTA]],tdiario[HABER])</f>
        <v>0</v>
      </c>
      <c r="G1576" s="16">
        <f>IF(tbal[[#This Row],[DEBE]]-tbal[[#This Row],[HABER]]&gt;0,tbal[[#This Row],[DEBE]]-tbal[[#This Row],[HABER]],0)</f>
        <v>0</v>
      </c>
      <c r="H1576" s="18">
        <f>IF(tbal[[#This Row],[HABER]]-tbal[[#This Row],[DEBE]]&gt;0,tbal[[#This Row],[HABER]]-tbal[[#This Row],[DEBE]],0)</f>
        <v>0</v>
      </c>
      <c r="I1576" s="16">
        <f>IF((OR(tbal[[#This Row],[X]]=1,tbal[[#This Row],[X]]=2)),tbal[[#This Row],[DEUDOR]],0)</f>
        <v>0</v>
      </c>
      <c r="J1576" s="18">
        <f>IF((OR(tbal[[#This Row],[X]]=2,tbal[[#This Row],[X]]=3)),tbal[[#This Row],[ACREEDOR]],0)</f>
        <v>0</v>
      </c>
      <c r="K1576" s="16">
        <f>IF((OR(tbal[[#This Row],[X]]=3,tbal[[#This Row],[X]]=5)),tbal[[#This Row],[DEUDOR]],0)</f>
        <v>0</v>
      </c>
      <c r="L1576" s="18">
        <f>IF((OR(tbal[[#This Row],[X]]=3,tbal[[#This Row],[X]]=4)),tbal[[#This Row],[ACREEDOR]],0)</f>
        <v>0</v>
      </c>
      <c r="M1576" s="16">
        <f>IF((OR(tbal[[#This Row],[X]]=0,tbal[[#This Row],[X]]=6)),tbal[[#This Row],[DEUDOR]],0)</f>
        <v>0</v>
      </c>
      <c r="N1576" s="18">
        <f>IF((OR(tbal[[#This Row],[X]]=0,tbal[[#This Row],[X]]=5)),tbal[[#This Row],[ACREEDOR]],0)</f>
        <v>0</v>
      </c>
    </row>
    <row r="1577" spans="1:14" hidden="1" x14ac:dyDescent="0.3">
      <c r="A1577" s="14">
        <f>+'PLAN DE CUENTAS'!A1577</f>
        <v>0</v>
      </c>
      <c r="B1577" s="13">
        <f>+'PLAN DE CUENTAS'!B1577</f>
        <v>0</v>
      </c>
      <c r="C1577" s="13">
        <f>+'PLAN DE CUENTAS'!C1577</f>
        <v>0</v>
      </c>
      <c r="D1577" t="str">
        <f>IF(tbal[[#This Row],[DEBE]]+tbal[[#This Row],[HABER]]=0,"","X")</f>
        <v/>
      </c>
      <c r="E1577" s="16">
        <f>SUMIF(tdiario[CUENTA],tbal[[#This Row],[CUENTA]],tdiario[DEBE])</f>
        <v>0</v>
      </c>
      <c r="F1577" s="17">
        <f>SUMIF(tdiario[CUENTA],tbal[[#This Row],[CUENTA]],tdiario[HABER])</f>
        <v>0</v>
      </c>
      <c r="G1577" s="16">
        <f>IF(tbal[[#This Row],[DEBE]]-tbal[[#This Row],[HABER]]&gt;0,tbal[[#This Row],[DEBE]]-tbal[[#This Row],[HABER]],0)</f>
        <v>0</v>
      </c>
      <c r="H1577" s="18">
        <f>IF(tbal[[#This Row],[HABER]]-tbal[[#This Row],[DEBE]]&gt;0,tbal[[#This Row],[HABER]]-tbal[[#This Row],[DEBE]],0)</f>
        <v>0</v>
      </c>
      <c r="I1577" s="16">
        <f>IF((OR(tbal[[#This Row],[X]]=1,tbal[[#This Row],[X]]=2)),tbal[[#This Row],[DEUDOR]],0)</f>
        <v>0</v>
      </c>
      <c r="J1577" s="18">
        <f>IF((OR(tbal[[#This Row],[X]]=2,tbal[[#This Row],[X]]=3)),tbal[[#This Row],[ACREEDOR]],0)</f>
        <v>0</v>
      </c>
      <c r="K1577" s="16">
        <f>IF((OR(tbal[[#This Row],[X]]=3,tbal[[#This Row],[X]]=5)),tbal[[#This Row],[DEUDOR]],0)</f>
        <v>0</v>
      </c>
      <c r="L1577" s="18">
        <f>IF((OR(tbal[[#This Row],[X]]=3,tbal[[#This Row],[X]]=4)),tbal[[#This Row],[ACREEDOR]],0)</f>
        <v>0</v>
      </c>
      <c r="M1577" s="16">
        <f>IF((OR(tbal[[#This Row],[X]]=0,tbal[[#This Row],[X]]=6)),tbal[[#This Row],[DEUDOR]],0)</f>
        <v>0</v>
      </c>
      <c r="N1577" s="18">
        <f>IF((OR(tbal[[#This Row],[X]]=0,tbal[[#This Row],[X]]=5)),tbal[[#This Row],[ACREEDOR]],0)</f>
        <v>0</v>
      </c>
    </row>
    <row r="1578" spans="1:14" hidden="1" x14ac:dyDescent="0.3">
      <c r="A1578" s="14">
        <f>+'PLAN DE CUENTAS'!A1578</f>
        <v>0</v>
      </c>
      <c r="B1578" s="13">
        <f>+'PLAN DE CUENTAS'!B1578</f>
        <v>0</v>
      </c>
      <c r="C1578" s="13">
        <f>+'PLAN DE CUENTAS'!C1578</f>
        <v>0</v>
      </c>
      <c r="D1578" t="str">
        <f>IF(tbal[[#This Row],[DEBE]]+tbal[[#This Row],[HABER]]=0,"","X")</f>
        <v/>
      </c>
      <c r="E1578" s="16">
        <f>SUMIF(tdiario[CUENTA],tbal[[#This Row],[CUENTA]],tdiario[DEBE])</f>
        <v>0</v>
      </c>
      <c r="F1578" s="17">
        <f>SUMIF(tdiario[CUENTA],tbal[[#This Row],[CUENTA]],tdiario[HABER])</f>
        <v>0</v>
      </c>
      <c r="G1578" s="16">
        <f>IF(tbal[[#This Row],[DEBE]]-tbal[[#This Row],[HABER]]&gt;0,tbal[[#This Row],[DEBE]]-tbal[[#This Row],[HABER]],0)</f>
        <v>0</v>
      </c>
      <c r="H1578" s="18">
        <f>IF(tbal[[#This Row],[HABER]]-tbal[[#This Row],[DEBE]]&gt;0,tbal[[#This Row],[HABER]]-tbal[[#This Row],[DEBE]],0)</f>
        <v>0</v>
      </c>
      <c r="I1578" s="16">
        <f>IF((OR(tbal[[#This Row],[X]]=1,tbal[[#This Row],[X]]=2)),tbal[[#This Row],[DEUDOR]],0)</f>
        <v>0</v>
      </c>
      <c r="J1578" s="18">
        <f>IF((OR(tbal[[#This Row],[X]]=2,tbal[[#This Row],[X]]=3)),tbal[[#This Row],[ACREEDOR]],0)</f>
        <v>0</v>
      </c>
      <c r="K1578" s="16">
        <f>IF((OR(tbal[[#This Row],[X]]=3,tbal[[#This Row],[X]]=5)),tbal[[#This Row],[DEUDOR]],0)</f>
        <v>0</v>
      </c>
      <c r="L1578" s="18">
        <f>IF((OR(tbal[[#This Row],[X]]=3,tbal[[#This Row],[X]]=4)),tbal[[#This Row],[ACREEDOR]],0)</f>
        <v>0</v>
      </c>
      <c r="M1578" s="16">
        <f>IF((OR(tbal[[#This Row],[X]]=0,tbal[[#This Row],[X]]=6)),tbal[[#This Row],[DEUDOR]],0)</f>
        <v>0</v>
      </c>
      <c r="N1578" s="18">
        <f>IF((OR(tbal[[#This Row],[X]]=0,tbal[[#This Row],[X]]=5)),tbal[[#This Row],[ACREEDOR]],0)</f>
        <v>0</v>
      </c>
    </row>
    <row r="1579" spans="1:14" hidden="1" x14ac:dyDescent="0.3">
      <c r="A1579" s="14">
        <f>+'PLAN DE CUENTAS'!A1579</f>
        <v>0</v>
      </c>
      <c r="B1579" s="13">
        <f>+'PLAN DE CUENTAS'!B1579</f>
        <v>0</v>
      </c>
      <c r="C1579" s="13">
        <f>+'PLAN DE CUENTAS'!C1579</f>
        <v>0</v>
      </c>
      <c r="D1579" t="str">
        <f>IF(tbal[[#This Row],[DEBE]]+tbal[[#This Row],[HABER]]=0,"","X")</f>
        <v/>
      </c>
      <c r="E1579" s="16">
        <f>SUMIF(tdiario[CUENTA],tbal[[#This Row],[CUENTA]],tdiario[DEBE])</f>
        <v>0</v>
      </c>
      <c r="F1579" s="17">
        <f>SUMIF(tdiario[CUENTA],tbal[[#This Row],[CUENTA]],tdiario[HABER])</f>
        <v>0</v>
      </c>
      <c r="G1579" s="16">
        <f>IF(tbal[[#This Row],[DEBE]]-tbal[[#This Row],[HABER]]&gt;0,tbal[[#This Row],[DEBE]]-tbal[[#This Row],[HABER]],0)</f>
        <v>0</v>
      </c>
      <c r="H1579" s="18">
        <f>IF(tbal[[#This Row],[HABER]]-tbal[[#This Row],[DEBE]]&gt;0,tbal[[#This Row],[HABER]]-tbal[[#This Row],[DEBE]],0)</f>
        <v>0</v>
      </c>
      <c r="I1579" s="16">
        <f>IF((OR(tbal[[#This Row],[X]]=1,tbal[[#This Row],[X]]=2)),tbal[[#This Row],[DEUDOR]],0)</f>
        <v>0</v>
      </c>
      <c r="J1579" s="18">
        <f>IF((OR(tbal[[#This Row],[X]]=2,tbal[[#This Row],[X]]=3)),tbal[[#This Row],[ACREEDOR]],0)</f>
        <v>0</v>
      </c>
      <c r="K1579" s="16">
        <f>IF((OR(tbal[[#This Row],[X]]=3,tbal[[#This Row],[X]]=5)),tbal[[#This Row],[DEUDOR]],0)</f>
        <v>0</v>
      </c>
      <c r="L1579" s="18">
        <f>IF((OR(tbal[[#This Row],[X]]=3,tbal[[#This Row],[X]]=4)),tbal[[#This Row],[ACREEDOR]],0)</f>
        <v>0</v>
      </c>
      <c r="M1579" s="16">
        <f>IF((OR(tbal[[#This Row],[X]]=0,tbal[[#This Row],[X]]=6)),tbal[[#This Row],[DEUDOR]],0)</f>
        <v>0</v>
      </c>
      <c r="N1579" s="18">
        <f>IF((OR(tbal[[#This Row],[X]]=0,tbal[[#This Row],[X]]=5)),tbal[[#This Row],[ACREEDOR]],0)</f>
        <v>0</v>
      </c>
    </row>
    <row r="1580" spans="1:14" hidden="1" x14ac:dyDescent="0.3">
      <c r="A1580" s="14">
        <f>+'PLAN DE CUENTAS'!A1580</f>
        <v>0</v>
      </c>
      <c r="B1580" s="13">
        <f>+'PLAN DE CUENTAS'!B1580</f>
        <v>0</v>
      </c>
      <c r="C1580" s="13">
        <f>+'PLAN DE CUENTAS'!C1580</f>
        <v>0</v>
      </c>
      <c r="D1580" t="str">
        <f>IF(tbal[[#This Row],[DEBE]]+tbal[[#This Row],[HABER]]=0,"","X")</f>
        <v/>
      </c>
      <c r="E1580" s="16">
        <f>SUMIF(tdiario[CUENTA],tbal[[#This Row],[CUENTA]],tdiario[DEBE])</f>
        <v>0</v>
      </c>
      <c r="F1580" s="17">
        <f>SUMIF(tdiario[CUENTA],tbal[[#This Row],[CUENTA]],tdiario[HABER])</f>
        <v>0</v>
      </c>
      <c r="G1580" s="16">
        <f>IF(tbal[[#This Row],[DEBE]]-tbal[[#This Row],[HABER]]&gt;0,tbal[[#This Row],[DEBE]]-tbal[[#This Row],[HABER]],0)</f>
        <v>0</v>
      </c>
      <c r="H1580" s="18">
        <f>IF(tbal[[#This Row],[HABER]]-tbal[[#This Row],[DEBE]]&gt;0,tbal[[#This Row],[HABER]]-tbal[[#This Row],[DEBE]],0)</f>
        <v>0</v>
      </c>
      <c r="I1580" s="16">
        <f>IF((OR(tbal[[#This Row],[X]]=1,tbal[[#This Row],[X]]=2)),tbal[[#This Row],[DEUDOR]],0)</f>
        <v>0</v>
      </c>
      <c r="J1580" s="18">
        <f>IF((OR(tbal[[#This Row],[X]]=2,tbal[[#This Row],[X]]=3)),tbal[[#This Row],[ACREEDOR]],0)</f>
        <v>0</v>
      </c>
      <c r="K1580" s="16">
        <f>IF((OR(tbal[[#This Row],[X]]=3,tbal[[#This Row],[X]]=5)),tbal[[#This Row],[DEUDOR]],0)</f>
        <v>0</v>
      </c>
      <c r="L1580" s="18">
        <f>IF((OR(tbal[[#This Row],[X]]=3,tbal[[#This Row],[X]]=4)),tbal[[#This Row],[ACREEDOR]],0)</f>
        <v>0</v>
      </c>
      <c r="M1580" s="16">
        <f>IF((OR(tbal[[#This Row],[X]]=0,tbal[[#This Row],[X]]=6)),tbal[[#This Row],[DEUDOR]],0)</f>
        <v>0</v>
      </c>
      <c r="N1580" s="18">
        <f>IF((OR(tbal[[#This Row],[X]]=0,tbal[[#This Row],[X]]=5)),tbal[[#This Row],[ACREEDOR]],0)</f>
        <v>0</v>
      </c>
    </row>
    <row r="1581" spans="1:14" hidden="1" x14ac:dyDescent="0.3">
      <c r="A1581" s="14">
        <f>+'PLAN DE CUENTAS'!A1581</f>
        <v>0</v>
      </c>
      <c r="B1581" s="13">
        <f>+'PLAN DE CUENTAS'!B1581</f>
        <v>0</v>
      </c>
      <c r="C1581" s="13">
        <f>+'PLAN DE CUENTAS'!C1581</f>
        <v>0</v>
      </c>
      <c r="D1581" t="str">
        <f>IF(tbal[[#This Row],[DEBE]]+tbal[[#This Row],[HABER]]=0,"","X")</f>
        <v/>
      </c>
      <c r="E1581" s="16">
        <f>SUMIF(tdiario[CUENTA],tbal[[#This Row],[CUENTA]],tdiario[DEBE])</f>
        <v>0</v>
      </c>
      <c r="F1581" s="17">
        <f>SUMIF(tdiario[CUENTA],tbal[[#This Row],[CUENTA]],tdiario[HABER])</f>
        <v>0</v>
      </c>
      <c r="G1581" s="16">
        <f>IF(tbal[[#This Row],[DEBE]]-tbal[[#This Row],[HABER]]&gt;0,tbal[[#This Row],[DEBE]]-tbal[[#This Row],[HABER]],0)</f>
        <v>0</v>
      </c>
      <c r="H1581" s="18">
        <f>IF(tbal[[#This Row],[HABER]]-tbal[[#This Row],[DEBE]]&gt;0,tbal[[#This Row],[HABER]]-tbal[[#This Row],[DEBE]],0)</f>
        <v>0</v>
      </c>
      <c r="I1581" s="16">
        <f>IF((OR(tbal[[#This Row],[X]]=1,tbal[[#This Row],[X]]=2)),tbal[[#This Row],[DEUDOR]],0)</f>
        <v>0</v>
      </c>
      <c r="J1581" s="18">
        <f>IF((OR(tbal[[#This Row],[X]]=2,tbal[[#This Row],[X]]=3)),tbal[[#This Row],[ACREEDOR]],0)</f>
        <v>0</v>
      </c>
      <c r="K1581" s="16">
        <f>IF((OR(tbal[[#This Row],[X]]=3,tbal[[#This Row],[X]]=5)),tbal[[#This Row],[DEUDOR]],0)</f>
        <v>0</v>
      </c>
      <c r="L1581" s="18">
        <f>IF((OR(tbal[[#This Row],[X]]=3,tbal[[#This Row],[X]]=4)),tbal[[#This Row],[ACREEDOR]],0)</f>
        <v>0</v>
      </c>
      <c r="M1581" s="16">
        <f>IF((OR(tbal[[#This Row],[X]]=0,tbal[[#This Row],[X]]=6)),tbal[[#This Row],[DEUDOR]],0)</f>
        <v>0</v>
      </c>
      <c r="N1581" s="18">
        <f>IF((OR(tbal[[#This Row],[X]]=0,tbal[[#This Row],[X]]=5)),tbal[[#This Row],[ACREEDOR]],0)</f>
        <v>0</v>
      </c>
    </row>
    <row r="1582" spans="1:14" hidden="1" x14ac:dyDescent="0.3">
      <c r="A1582" s="14">
        <f>+'PLAN DE CUENTAS'!A1582</f>
        <v>0</v>
      </c>
      <c r="B1582" s="13">
        <f>+'PLAN DE CUENTAS'!B1582</f>
        <v>0</v>
      </c>
      <c r="C1582" s="13">
        <f>+'PLAN DE CUENTAS'!C1582</f>
        <v>0</v>
      </c>
      <c r="D1582" t="str">
        <f>IF(tbal[[#This Row],[DEBE]]+tbal[[#This Row],[HABER]]=0,"","X")</f>
        <v/>
      </c>
      <c r="E1582" s="16">
        <f>SUMIF(tdiario[CUENTA],tbal[[#This Row],[CUENTA]],tdiario[DEBE])</f>
        <v>0</v>
      </c>
      <c r="F1582" s="17">
        <f>SUMIF(tdiario[CUENTA],tbal[[#This Row],[CUENTA]],tdiario[HABER])</f>
        <v>0</v>
      </c>
      <c r="G1582" s="16">
        <f>IF(tbal[[#This Row],[DEBE]]-tbal[[#This Row],[HABER]]&gt;0,tbal[[#This Row],[DEBE]]-tbal[[#This Row],[HABER]],0)</f>
        <v>0</v>
      </c>
      <c r="H1582" s="18">
        <f>IF(tbal[[#This Row],[HABER]]-tbal[[#This Row],[DEBE]]&gt;0,tbal[[#This Row],[HABER]]-tbal[[#This Row],[DEBE]],0)</f>
        <v>0</v>
      </c>
      <c r="I1582" s="16">
        <f>IF((OR(tbal[[#This Row],[X]]=1,tbal[[#This Row],[X]]=2)),tbal[[#This Row],[DEUDOR]],0)</f>
        <v>0</v>
      </c>
      <c r="J1582" s="18">
        <f>IF((OR(tbal[[#This Row],[X]]=2,tbal[[#This Row],[X]]=3)),tbal[[#This Row],[ACREEDOR]],0)</f>
        <v>0</v>
      </c>
      <c r="K1582" s="16">
        <f>IF((OR(tbal[[#This Row],[X]]=3,tbal[[#This Row],[X]]=5)),tbal[[#This Row],[DEUDOR]],0)</f>
        <v>0</v>
      </c>
      <c r="L1582" s="18">
        <f>IF((OR(tbal[[#This Row],[X]]=3,tbal[[#This Row],[X]]=4)),tbal[[#This Row],[ACREEDOR]],0)</f>
        <v>0</v>
      </c>
      <c r="M1582" s="16">
        <f>IF((OR(tbal[[#This Row],[X]]=0,tbal[[#This Row],[X]]=6)),tbal[[#This Row],[DEUDOR]],0)</f>
        <v>0</v>
      </c>
      <c r="N1582" s="18">
        <f>IF((OR(tbal[[#This Row],[X]]=0,tbal[[#This Row],[X]]=5)),tbal[[#This Row],[ACREEDOR]],0)</f>
        <v>0</v>
      </c>
    </row>
    <row r="1583" spans="1:14" hidden="1" x14ac:dyDescent="0.3">
      <c r="A1583" s="14">
        <f>+'PLAN DE CUENTAS'!A1583</f>
        <v>0</v>
      </c>
      <c r="B1583" s="13">
        <f>+'PLAN DE CUENTAS'!B1583</f>
        <v>0</v>
      </c>
      <c r="C1583" s="13">
        <f>+'PLAN DE CUENTAS'!C1583</f>
        <v>0</v>
      </c>
      <c r="D1583" t="str">
        <f>IF(tbal[[#This Row],[DEBE]]+tbal[[#This Row],[HABER]]=0,"","X")</f>
        <v/>
      </c>
      <c r="E1583" s="16">
        <f>SUMIF(tdiario[CUENTA],tbal[[#This Row],[CUENTA]],tdiario[DEBE])</f>
        <v>0</v>
      </c>
      <c r="F1583" s="17">
        <f>SUMIF(tdiario[CUENTA],tbal[[#This Row],[CUENTA]],tdiario[HABER])</f>
        <v>0</v>
      </c>
      <c r="G1583" s="16">
        <f>IF(tbal[[#This Row],[DEBE]]-tbal[[#This Row],[HABER]]&gt;0,tbal[[#This Row],[DEBE]]-tbal[[#This Row],[HABER]],0)</f>
        <v>0</v>
      </c>
      <c r="H1583" s="18">
        <f>IF(tbal[[#This Row],[HABER]]-tbal[[#This Row],[DEBE]]&gt;0,tbal[[#This Row],[HABER]]-tbal[[#This Row],[DEBE]],0)</f>
        <v>0</v>
      </c>
      <c r="I1583" s="16">
        <f>IF((OR(tbal[[#This Row],[X]]=1,tbal[[#This Row],[X]]=2)),tbal[[#This Row],[DEUDOR]],0)</f>
        <v>0</v>
      </c>
      <c r="J1583" s="18">
        <f>IF((OR(tbal[[#This Row],[X]]=2,tbal[[#This Row],[X]]=3)),tbal[[#This Row],[ACREEDOR]],0)</f>
        <v>0</v>
      </c>
      <c r="K1583" s="16">
        <f>IF((OR(tbal[[#This Row],[X]]=3,tbal[[#This Row],[X]]=5)),tbal[[#This Row],[DEUDOR]],0)</f>
        <v>0</v>
      </c>
      <c r="L1583" s="18">
        <f>IF((OR(tbal[[#This Row],[X]]=3,tbal[[#This Row],[X]]=4)),tbal[[#This Row],[ACREEDOR]],0)</f>
        <v>0</v>
      </c>
      <c r="M1583" s="16">
        <f>IF((OR(tbal[[#This Row],[X]]=0,tbal[[#This Row],[X]]=6)),tbal[[#This Row],[DEUDOR]],0)</f>
        <v>0</v>
      </c>
      <c r="N1583" s="18">
        <f>IF((OR(tbal[[#This Row],[X]]=0,tbal[[#This Row],[X]]=5)),tbal[[#This Row],[ACREEDOR]],0)</f>
        <v>0</v>
      </c>
    </row>
    <row r="1584" spans="1:14" hidden="1" x14ac:dyDescent="0.3">
      <c r="A1584" s="14">
        <f>+'PLAN DE CUENTAS'!A1584</f>
        <v>0</v>
      </c>
      <c r="B1584" s="13">
        <f>+'PLAN DE CUENTAS'!B1584</f>
        <v>0</v>
      </c>
      <c r="C1584" s="13">
        <f>+'PLAN DE CUENTAS'!C1584</f>
        <v>0</v>
      </c>
      <c r="D1584" t="str">
        <f>IF(tbal[[#This Row],[DEBE]]+tbal[[#This Row],[HABER]]=0,"","X")</f>
        <v/>
      </c>
      <c r="E1584" s="16">
        <f>SUMIF(tdiario[CUENTA],tbal[[#This Row],[CUENTA]],tdiario[DEBE])</f>
        <v>0</v>
      </c>
      <c r="F1584" s="17">
        <f>SUMIF(tdiario[CUENTA],tbal[[#This Row],[CUENTA]],tdiario[HABER])</f>
        <v>0</v>
      </c>
      <c r="G1584" s="16">
        <f>IF(tbal[[#This Row],[DEBE]]-tbal[[#This Row],[HABER]]&gt;0,tbal[[#This Row],[DEBE]]-tbal[[#This Row],[HABER]],0)</f>
        <v>0</v>
      </c>
      <c r="H1584" s="18">
        <f>IF(tbal[[#This Row],[HABER]]-tbal[[#This Row],[DEBE]]&gt;0,tbal[[#This Row],[HABER]]-tbal[[#This Row],[DEBE]],0)</f>
        <v>0</v>
      </c>
      <c r="I1584" s="16">
        <f>IF((OR(tbal[[#This Row],[X]]=1,tbal[[#This Row],[X]]=2)),tbal[[#This Row],[DEUDOR]],0)</f>
        <v>0</v>
      </c>
      <c r="J1584" s="18">
        <f>IF((OR(tbal[[#This Row],[X]]=2,tbal[[#This Row],[X]]=3)),tbal[[#This Row],[ACREEDOR]],0)</f>
        <v>0</v>
      </c>
      <c r="K1584" s="16">
        <f>IF((OR(tbal[[#This Row],[X]]=3,tbal[[#This Row],[X]]=5)),tbal[[#This Row],[DEUDOR]],0)</f>
        <v>0</v>
      </c>
      <c r="L1584" s="18">
        <f>IF((OR(tbal[[#This Row],[X]]=3,tbal[[#This Row],[X]]=4)),tbal[[#This Row],[ACREEDOR]],0)</f>
        <v>0</v>
      </c>
      <c r="M1584" s="16">
        <f>IF((OR(tbal[[#This Row],[X]]=0,tbal[[#This Row],[X]]=6)),tbal[[#This Row],[DEUDOR]],0)</f>
        <v>0</v>
      </c>
      <c r="N1584" s="18">
        <f>IF((OR(tbal[[#This Row],[X]]=0,tbal[[#This Row],[X]]=5)),tbal[[#This Row],[ACREEDOR]],0)</f>
        <v>0</v>
      </c>
    </row>
    <row r="1585" spans="1:14" hidden="1" x14ac:dyDescent="0.3">
      <c r="A1585" s="14">
        <f>+'PLAN DE CUENTAS'!A1585</f>
        <v>0</v>
      </c>
      <c r="B1585" s="13">
        <f>+'PLAN DE CUENTAS'!B1585</f>
        <v>0</v>
      </c>
      <c r="C1585" s="13">
        <f>+'PLAN DE CUENTAS'!C1585</f>
        <v>0</v>
      </c>
      <c r="D1585" t="str">
        <f>IF(tbal[[#This Row],[DEBE]]+tbal[[#This Row],[HABER]]=0,"","X")</f>
        <v/>
      </c>
      <c r="E1585" s="16">
        <f>SUMIF(tdiario[CUENTA],tbal[[#This Row],[CUENTA]],tdiario[DEBE])</f>
        <v>0</v>
      </c>
      <c r="F1585" s="17">
        <f>SUMIF(tdiario[CUENTA],tbal[[#This Row],[CUENTA]],tdiario[HABER])</f>
        <v>0</v>
      </c>
      <c r="G1585" s="16">
        <f>IF(tbal[[#This Row],[DEBE]]-tbal[[#This Row],[HABER]]&gt;0,tbal[[#This Row],[DEBE]]-tbal[[#This Row],[HABER]],0)</f>
        <v>0</v>
      </c>
      <c r="H1585" s="18">
        <f>IF(tbal[[#This Row],[HABER]]-tbal[[#This Row],[DEBE]]&gt;0,tbal[[#This Row],[HABER]]-tbal[[#This Row],[DEBE]],0)</f>
        <v>0</v>
      </c>
      <c r="I1585" s="16">
        <f>IF((OR(tbal[[#This Row],[X]]=1,tbal[[#This Row],[X]]=2)),tbal[[#This Row],[DEUDOR]],0)</f>
        <v>0</v>
      </c>
      <c r="J1585" s="18">
        <f>IF((OR(tbal[[#This Row],[X]]=2,tbal[[#This Row],[X]]=3)),tbal[[#This Row],[ACREEDOR]],0)</f>
        <v>0</v>
      </c>
      <c r="K1585" s="16">
        <f>IF((OR(tbal[[#This Row],[X]]=3,tbal[[#This Row],[X]]=5)),tbal[[#This Row],[DEUDOR]],0)</f>
        <v>0</v>
      </c>
      <c r="L1585" s="18">
        <f>IF((OR(tbal[[#This Row],[X]]=3,tbal[[#This Row],[X]]=4)),tbal[[#This Row],[ACREEDOR]],0)</f>
        <v>0</v>
      </c>
      <c r="M1585" s="16">
        <f>IF((OR(tbal[[#This Row],[X]]=0,tbal[[#This Row],[X]]=6)),tbal[[#This Row],[DEUDOR]],0)</f>
        <v>0</v>
      </c>
      <c r="N1585" s="18">
        <f>IF((OR(tbal[[#This Row],[X]]=0,tbal[[#This Row],[X]]=5)),tbal[[#This Row],[ACREEDOR]],0)</f>
        <v>0</v>
      </c>
    </row>
    <row r="1586" spans="1:14" hidden="1" x14ac:dyDescent="0.3">
      <c r="A1586" s="14">
        <f>+'PLAN DE CUENTAS'!A1586</f>
        <v>0</v>
      </c>
      <c r="B1586" s="13">
        <f>+'PLAN DE CUENTAS'!B1586</f>
        <v>0</v>
      </c>
      <c r="C1586" s="13">
        <f>+'PLAN DE CUENTAS'!C1586</f>
        <v>0</v>
      </c>
      <c r="D1586" t="str">
        <f>IF(tbal[[#This Row],[DEBE]]+tbal[[#This Row],[HABER]]=0,"","X")</f>
        <v/>
      </c>
      <c r="E1586" s="16">
        <f>SUMIF(tdiario[CUENTA],tbal[[#This Row],[CUENTA]],tdiario[DEBE])</f>
        <v>0</v>
      </c>
      <c r="F1586" s="17">
        <f>SUMIF(tdiario[CUENTA],tbal[[#This Row],[CUENTA]],tdiario[HABER])</f>
        <v>0</v>
      </c>
      <c r="G1586" s="16">
        <f>IF(tbal[[#This Row],[DEBE]]-tbal[[#This Row],[HABER]]&gt;0,tbal[[#This Row],[DEBE]]-tbal[[#This Row],[HABER]],0)</f>
        <v>0</v>
      </c>
      <c r="H1586" s="18">
        <f>IF(tbal[[#This Row],[HABER]]-tbal[[#This Row],[DEBE]]&gt;0,tbal[[#This Row],[HABER]]-tbal[[#This Row],[DEBE]],0)</f>
        <v>0</v>
      </c>
      <c r="I1586" s="16">
        <f>IF((OR(tbal[[#This Row],[X]]=1,tbal[[#This Row],[X]]=2)),tbal[[#This Row],[DEUDOR]],0)</f>
        <v>0</v>
      </c>
      <c r="J1586" s="18">
        <f>IF((OR(tbal[[#This Row],[X]]=2,tbal[[#This Row],[X]]=3)),tbal[[#This Row],[ACREEDOR]],0)</f>
        <v>0</v>
      </c>
      <c r="K1586" s="16">
        <f>IF((OR(tbal[[#This Row],[X]]=3,tbal[[#This Row],[X]]=5)),tbal[[#This Row],[DEUDOR]],0)</f>
        <v>0</v>
      </c>
      <c r="L1586" s="18">
        <f>IF((OR(tbal[[#This Row],[X]]=3,tbal[[#This Row],[X]]=4)),tbal[[#This Row],[ACREEDOR]],0)</f>
        <v>0</v>
      </c>
      <c r="M1586" s="16">
        <f>IF((OR(tbal[[#This Row],[X]]=0,tbal[[#This Row],[X]]=6)),tbal[[#This Row],[DEUDOR]],0)</f>
        <v>0</v>
      </c>
      <c r="N1586" s="18">
        <f>IF((OR(tbal[[#This Row],[X]]=0,tbal[[#This Row],[X]]=5)),tbal[[#This Row],[ACREEDOR]],0)</f>
        <v>0</v>
      </c>
    </row>
    <row r="1587" spans="1:14" hidden="1" x14ac:dyDescent="0.3">
      <c r="A1587" s="14">
        <f>+'PLAN DE CUENTAS'!A1587</f>
        <v>0</v>
      </c>
      <c r="B1587" s="13">
        <f>+'PLAN DE CUENTAS'!B1587</f>
        <v>0</v>
      </c>
      <c r="C1587" s="13">
        <f>+'PLAN DE CUENTAS'!C1587</f>
        <v>0</v>
      </c>
      <c r="D1587" t="str">
        <f>IF(tbal[[#This Row],[DEBE]]+tbal[[#This Row],[HABER]]=0,"","X")</f>
        <v/>
      </c>
      <c r="E1587" s="16">
        <f>SUMIF(tdiario[CUENTA],tbal[[#This Row],[CUENTA]],tdiario[DEBE])</f>
        <v>0</v>
      </c>
      <c r="F1587" s="17">
        <f>SUMIF(tdiario[CUENTA],tbal[[#This Row],[CUENTA]],tdiario[HABER])</f>
        <v>0</v>
      </c>
      <c r="G1587" s="16">
        <f>IF(tbal[[#This Row],[DEBE]]-tbal[[#This Row],[HABER]]&gt;0,tbal[[#This Row],[DEBE]]-tbal[[#This Row],[HABER]],0)</f>
        <v>0</v>
      </c>
      <c r="H1587" s="18">
        <f>IF(tbal[[#This Row],[HABER]]-tbal[[#This Row],[DEBE]]&gt;0,tbal[[#This Row],[HABER]]-tbal[[#This Row],[DEBE]],0)</f>
        <v>0</v>
      </c>
      <c r="I1587" s="16">
        <f>IF((OR(tbal[[#This Row],[X]]=1,tbal[[#This Row],[X]]=2)),tbal[[#This Row],[DEUDOR]],0)</f>
        <v>0</v>
      </c>
      <c r="J1587" s="18">
        <f>IF((OR(tbal[[#This Row],[X]]=2,tbal[[#This Row],[X]]=3)),tbal[[#This Row],[ACREEDOR]],0)</f>
        <v>0</v>
      </c>
      <c r="K1587" s="16">
        <f>IF((OR(tbal[[#This Row],[X]]=3,tbal[[#This Row],[X]]=5)),tbal[[#This Row],[DEUDOR]],0)</f>
        <v>0</v>
      </c>
      <c r="L1587" s="18">
        <f>IF((OR(tbal[[#This Row],[X]]=3,tbal[[#This Row],[X]]=4)),tbal[[#This Row],[ACREEDOR]],0)</f>
        <v>0</v>
      </c>
      <c r="M1587" s="16">
        <f>IF((OR(tbal[[#This Row],[X]]=0,tbal[[#This Row],[X]]=6)),tbal[[#This Row],[DEUDOR]],0)</f>
        <v>0</v>
      </c>
      <c r="N1587" s="18">
        <f>IF((OR(tbal[[#This Row],[X]]=0,tbal[[#This Row],[X]]=5)),tbal[[#This Row],[ACREEDOR]],0)</f>
        <v>0</v>
      </c>
    </row>
    <row r="1588" spans="1:14" hidden="1" x14ac:dyDescent="0.3">
      <c r="A1588" s="14">
        <f>+'PLAN DE CUENTAS'!A1588</f>
        <v>0</v>
      </c>
      <c r="B1588" s="13">
        <f>+'PLAN DE CUENTAS'!B1588</f>
        <v>0</v>
      </c>
      <c r="C1588" s="13">
        <f>+'PLAN DE CUENTAS'!C1588</f>
        <v>0</v>
      </c>
      <c r="D1588" t="str">
        <f>IF(tbal[[#This Row],[DEBE]]+tbal[[#This Row],[HABER]]=0,"","X")</f>
        <v/>
      </c>
      <c r="E1588" s="16">
        <f>SUMIF(tdiario[CUENTA],tbal[[#This Row],[CUENTA]],tdiario[DEBE])</f>
        <v>0</v>
      </c>
      <c r="F1588" s="17">
        <f>SUMIF(tdiario[CUENTA],tbal[[#This Row],[CUENTA]],tdiario[HABER])</f>
        <v>0</v>
      </c>
      <c r="G1588" s="16">
        <f>IF(tbal[[#This Row],[DEBE]]-tbal[[#This Row],[HABER]]&gt;0,tbal[[#This Row],[DEBE]]-tbal[[#This Row],[HABER]],0)</f>
        <v>0</v>
      </c>
      <c r="H1588" s="18">
        <f>IF(tbal[[#This Row],[HABER]]-tbal[[#This Row],[DEBE]]&gt;0,tbal[[#This Row],[HABER]]-tbal[[#This Row],[DEBE]],0)</f>
        <v>0</v>
      </c>
      <c r="I1588" s="16">
        <f>IF((OR(tbal[[#This Row],[X]]=1,tbal[[#This Row],[X]]=2)),tbal[[#This Row],[DEUDOR]],0)</f>
        <v>0</v>
      </c>
      <c r="J1588" s="18">
        <f>IF((OR(tbal[[#This Row],[X]]=2,tbal[[#This Row],[X]]=3)),tbal[[#This Row],[ACREEDOR]],0)</f>
        <v>0</v>
      </c>
      <c r="K1588" s="16">
        <f>IF((OR(tbal[[#This Row],[X]]=3,tbal[[#This Row],[X]]=5)),tbal[[#This Row],[DEUDOR]],0)</f>
        <v>0</v>
      </c>
      <c r="L1588" s="18">
        <f>IF((OR(tbal[[#This Row],[X]]=3,tbal[[#This Row],[X]]=4)),tbal[[#This Row],[ACREEDOR]],0)</f>
        <v>0</v>
      </c>
      <c r="M1588" s="16">
        <f>IF((OR(tbal[[#This Row],[X]]=0,tbal[[#This Row],[X]]=6)),tbal[[#This Row],[DEUDOR]],0)</f>
        <v>0</v>
      </c>
      <c r="N1588" s="18">
        <f>IF((OR(tbal[[#This Row],[X]]=0,tbal[[#This Row],[X]]=5)),tbal[[#This Row],[ACREEDOR]],0)</f>
        <v>0</v>
      </c>
    </row>
    <row r="1589" spans="1:14" hidden="1" x14ac:dyDescent="0.3">
      <c r="A1589" s="14">
        <f>+'PLAN DE CUENTAS'!A1589</f>
        <v>0</v>
      </c>
      <c r="B1589" s="13">
        <f>+'PLAN DE CUENTAS'!B1589</f>
        <v>0</v>
      </c>
      <c r="C1589" s="13">
        <f>+'PLAN DE CUENTAS'!C1589</f>
        <v>0</v>
      </c>
      <c r="D1589" t="str">
        <f>IF(tbal[[#This Row],[DEBE]]+tbal[[#This Row],[HABER]]=0,"","X")</f>
        <v/>
      </c>
      <c r="E1589" s="16">
        <f>SUMIF(tdiario[CUENTA],tbal[[#This Row],[CUENTA]],tdiario[DEBE])</f>
        <v>0</v>
      </c>
      <c r="F1589" s="17">
        <f>SUMIF(tdiario[CUENTA],tbal[[#This Row],[CUENTA]],tdiario[HABER])</f>
        <v>0</v>
      </c>
      <c r="G1589" s="16">
        <f>IF(tbal[[#This Row],[DEBE]]-tbal[[#This Row],[HABER]]&gt;0,tbal[[#This Row],[DEBE]]-tbal[[#This Row],[HABER]],0)</f>
        <v>0</v>
      </c>
      <c r="H1589" s="18">
        <f>IF(tbal[[#This Row],[HABER]]-tbal[[#This Row],[DEBE]]&gt;0,tbal[[#This Row],[HABER]]-tbal[[#This Row],[DEBE]],0)</f>
        <v>0</v>
      </c>
      <c r="I1589" s="16">
        <f>IF((OR(tbal[[#This Row],[X]]=1,tbal[[#This Row],[X]]=2)),tbal[[#This Row],[DEUDOR]],0)</f>
        <v>0</v>
      </c>
      <c r="J1589" s="18">
        <f>IF((OR(tbal[[#This Row],[X]]=2,tbal[[#This Row],[X]]=3)),tbal[[#This Row],[ACREEDOR]],0)</f>
        <v>0</v>
      </c>
      <c r="K1589" s="16">
        <f>IF((OR(tbal[[#This Row],[X]]=3,tbal[[#This Row],[X]]=5)),tbal[[#This Row],[DEUDOR]],0)</f>
        <v>0</v>
      </c>
      <c r="L1589" s="18">
        <f>IF((OR(tbal[[#This Row],[X]]=3,tbal[[#This Row],[X]]=4)),tbal[[#This Row],[ACREEDOR]],0)</f>
        <v>0</v>
      </c>
      <c r="M1589" s="16">
        <f>IF((OR(tbal[[#This Row],[X]]=0,tbal[[#This Row],[X]]=6)),tbal[[#This Row],[DEUDOR]],0)</f>
        <v>0</v>
      </c>
      <c r="N1589" s="18">
        <f>IF((OR(tbal[[#This Row],[X]]=0,tbal[[#This Row],[X]]=5)),tbal[[#This Row],[ACREEDOR]],0)</f>
        <v>0</v>
      </c>
    </row>
    <row r="1590" spans="1:14" hidden="1" x14ac:dyDescent="0.3">
      <c r="A1590" s="14">
        <f>+'PLAN DE CUENTAS'!A1590</f>
        <v>0</v>
      </c>
      <c r="B1590" s="13">
        <f>+'PLAN DE CUENTAS'!B1590</f>
        <v>0</v>
      </c>
      <c r="C1590" s="13">
        <f>+'PLAN DE CUENTAS'!C1590</f>
        <v>0</v>
      </c>
      <c r="D1590" t="str">
        <f>IF(tbal[[#This Row],[DEBE]]+tbal[[#This Row],[HABER]]=0,"","X")</f>
        <v/>
      </c>
      <c r="E1590" s="16">
        <f>SUMIF(tdiario[CUENTA],tbal[[#This Row],[CUENTA]],tdiario[DEBE])</f>
        <v>0</v>
      </c>
      <c r="F1590" s="17">
        <f>SUMIF(tdiario[CUENTA],tbal[[#This Row],[CUENTA]],tdiario[HABER])</f>
        <v>0</v>
      </c>
      <c r="G1590" s="16">
        <f>IF(tbal[[#This Row],[DEBE]]-tbal[[#This Row],[HABER]]&gt;0,tbal[[#This Row],[DEBE]]-tbal[[#This Row],[HABER]],0)</f>
        <v>0</v>
      </c>
      <c r="H1590" s="18">
        <f>IF(tbal[[#This Row],[HABER]]-tbal[[#This Row],[DEBE]]&gt;0,tbal[[#This Row],[HABER]]-tbal[[#This Row],[DEBE]],0)</f>
        <v>0</v>
      </c>
      <c r="I1590" s="16">
        <f>IF((OR(tbal[[#This Row],[X]]=1,tbal[[#This Row],[X]]=2)),tbal[[#This Row],[DEUDOR]],0)</f>
        <v>0</v>
      </c>
      <c r="J1590" s="18">
        <f>IF((OR(tbal[[#This Row],[X]]=2,tbal[[#This Row],[X]]=3)),tbal[[#This Row],[ACREEDOR]],0)</f>
        <v>0</v>
      </c>
      <c r="K1590" s="16">
        <f>IF((OR(tbal[[#This Row],[X]]=3,tbal[[#This Row],[X]]=5)),tbal[[#This Row],[DEUDOR]],0)</f>
        <v>0</v>
      </c>
      <c r="L1590" s="18">
        <f>IF((OR(tbal[[#This Row],[X]]=3,tbal[[#This Row],[X]]=4)),tbal[[#This Row],[ACREEDOR]],0)</f>
        <v>0</v>
      </c>
      <c r="M1590" s="16">
        <f>IF((OR(tbal[[#This Row],[X]]=0,tbal[[#This Row],[X]]=6)),tbal[[#This Row],[DEUDOR]],0)</f>
        <v>0</v>
      </c>
      <c r="N1590" s="18">
        <f>IF((OR(tbal[[#This Row],[X]]=0,tbal[[#This Row],[X]]=5)),tbal[[#This Row],[ACREEDOR]],0)</f>
        <v>0</v>
      </c>
    </row>
    <row r="1591" spans="1:14" hidden="1" x14ac:dyDescent="0.3">
      <c r="A1591" s="14">
        <f>+'PLAN DE CUENTAS'!A1591</f>
        <v>0</v>
      </c>
      <c r="B1591" s="13">
        <f>+'PLAN DE CUENTAS'!B1591</f>
        <v>0</v>
      </c>
      <c r="C1591" s="13">
        <f>+'PLAN DE CUENTAS'!C1591</f>
        <v>0</v>
      </c>
      <c r="D1591" t="str">
        <f>IF(tbal[[#This Row],[DEBE]]+tbal[[#This Row],[HABER]]=0,"","X")</f>
        <v/>
      </c>
      <c r="E1591" s="16">
        <f>SUMIF(tdiario[CUENTA],tbal[[#This Row],[CUENTA]],tdiario[DEBE])</f>
        <v>0</v>
      </c>
      <c r="F1591" s="17">
        <f>SUMIF(tdiario[CUENTA],tbal[[#This Row],[CUENTA]],tdiario[HABER])</f>
        <v>0</v>
      </c>
      <c r="G1591" s="16">
        <f>IF(tbal[[#This Row],[DEBE]]-tbal[[#This Row],[HABER]]&gt;0,tbal[[#This Row],[DEBE]]-tbal[[#This Row],[HABER]],0)</f>
        <v>0</v>
      </c>
      <c r="H1591" s="18">
        <f>IF(tbal[[#This Row],[HABER]]-tbal[[#This Row],[DEBE]]&gt;0,tbal[[#This Row],[HABER]]-tbal[[#This Row],[DEBE]],0)</f>
        <v>0</v>
      </c>
      <c r="I1591" s="16">
        <f>IF((OR(tbal[[#This Row],[X]]=1,tbal[[#This Row],[X]]=2)),tbal[[#This Row],[DEUDOR]],0)</f>
        <v>0</v>
      </c>
      <c r="J1591" s="18">
        <f>IF((OR(tbal[[#This Row],[X]]=2,tbal[[#This Row],[X]]=3)),tbal[[#This Row],[ACREEDOR]],0)</f>
        <v>0</v>
      </c>
      <c r="K1591" s="16">
        <f>IF((OR(tbal[[#This Row],[X]]=3,tbal[[#This Row],[X]]=5)),tbal[[#This Row],[DEUDOR]],0)</f>
        <v>0</v>
      </c>
      <c r="L1591" s="18">
        <f>IF((OR(tbal[[#This Row],[X]]=3,tbal[[#This Row],[X]]=4)),tbal[[#This Row],[ACREEDOR]],0)</f>
        <v>0</v>
      </c>
      <c r="M1591" s="16">
        <f>IF((OR(tbal[[#This Row],[X]]=0,tbal[[#This Row],[X]]=6)),tbal[[#This Row],[DEUDOR]],0)</f>
        <v>0</v>
      </c>
      <c r="N1591" s="18">
        <f>IF((OR(tbal[[#This Row],[X]]=0,tbal[[#This Row],[X]]=5)),tbal[[#This Row],[ACREEDOR]],0)</f>
        <v>0</v>
      </c>
    </row>
    <row r="1592" spans="1:14" hidden="1" x14ac:dyDescent="0.3">
      <c r="A1592" s="14">
        <f>+'PLAN DE CUENTAS'!A1592</f>
        <v>0</v>
      </c>
      <c r="B1592" s="13">
        <f>+'PLAN DE CUENTAS'!B1592</f>
        <v>0</v>
      </c>
      <c r="C1592" s="13">
        <f>+'PLAN DE CUENTAS'!C1592</f>
        <v>0</v>
      </c>
      <c r="D1592" t="str">
        <f>IF(tbal[[#This Row],[DEBE]]+tbal[[#This Row],[HABER]]=0,"","X")</f>
        <v/>
      </c>
      <c r="E1592" s="16">
        <f>SUMIF(tdiario[CUENTA],tbal[[#This Row],[CUENTA]],tdiario[DEBE])</f>
        <v>0</v>
      </c>
      <c r="F1592" s="17">
        <f>SUMIF(tdiario[CUENTA],tbal[[#This Row],[CUENTA]],tdiario[HABER])</f>
        <v>0</v>
      </c>
      <c r="G1592" s="16">
        <f>IF(tbal[[#This Row],[DEBE]]-tbal[[#This Row],[HABER]]&gt;0,tbal[[#This Row],[DEBE]]-tbal[[#This Row],[HABER]],0)</f>
        <v>0</v>
      </c>
      <c r="H1592" s="18">
        <f>IF(tbal[[#This Row],[HABER]]-tbal[[#This Row],[DEBE]]&gt;0,tbal[[#This Row],[HABER]]-tbal[[#This Row],[DEBE]],0)</f>
        <v>0</v>
      </c>
      <c r="I1592" s="16">
        <f>IF((OR(tbal[[#This Row],[X]]=1,tbal[[#This Row],[X]]=2)),tbal[[#This Row],[DEUDOR]],0)</f>
        <v>0</v>
      </c>
      <c r="J1592" s="18">
        <f>IF((OR(tbal[[#This Row],[X]]=2,tbal[[#This Row],[X]]=3)),tbal[[#This Row],[ACREEDOR]],0)</f>
        <v>0</v>
      </c>
      <c r="K1592" s="16">
        <f>IF((OR(tbal[[#This Row],[X]]=3,tbal[[#This Row],[X]]=5)),tbal[[#This Row],[DEUDOR]],0)</f>
        <v>0</v>
      </c>
      <c r="L1592" s="18">
        <f>IF((OR(tbal[[#This Row],[X]]=3,tbal[[#This Row],[X]]=4)),tbal[[#This Row],[ACREEDOR]],0)</f>
        <v>0</v>
      </c>
      <c r="M1592" s="16">
        <f>IF((OR(tbal[[#This Row],[X]]=0,tbal[[#This Row],[X]]=6)),tbal[[#This Row],[DEUDOR]],0)</f>
        <v>0</v>
      </c>
      <c r="N1592" s="18">
        <f>IF((OR(tbal[[#This Row],[X]]=0,tbal[[#This Row],[X]]=5)),tbal[[#This Row],[ACREEDOR]],0)</f>
        <v>0</v>
      </c>
    </row>
    <row r="1593" spans="1:14" hidden="1" x14ac:dyDescent="0.3">
      <c r="A1593" s="14">
        <f>+'PLAN DE CUENTAS'!A1593</f>
        <v>0</v>
      </c>
      <c r="B1593" s="13">
        <f>+'PLAN DE CUENTAS'!B1593</f>
        <v>0</v>
      </c>
      <c r="C1593" s="13">
        <f>+'PLAN DE CUENTAS'!C1593</f>
        <v>0</v>
      </c>
      <c r="D1593" t="str">
        <f>IF(tbal[[#This Row],[DEBE]]+tbal[[#This Row],[HABER]]=0,"","X")</f>
        <v/>
      </c>
      <c r="E1593" s="16">
        <f>SUMIF(tdiario[CUENTA],tbal[[#This Row],[CUENTA]],tdiario[DEBE])</f>
        <v>0</v>
      </c>
      <c r="F1593" s="17">
        <f>SUMIF(tdiario[CUENTA],tbal[[#This Row],[CUENTA]],tdiario[HABER])</f>
        <v>0</v>
      </c>
      <c r="G1593" s="16">
        <f>IF(tbal[[#This Row],[DEBE]]-tbal[[#This Row],[HABER]]&gt;0,tbal[[#This Row],[DEBE]]-tbal[[#This Row],[HABER]],0)</f>
        <v>0</v>
      </c>
      <c r="H1593" s="18">
        <f>IF(tbal[[#This Row],[HABER]]-tbal[[#This Row],[DEBE]]&gt;0,tbal[[#This Row],[HABER]]-tbal[[#This Row],[DEBE]],0)</f>
        <v>0</v>
      </c>
      <c r="I1593" s="16">
        <f>IF((OR(tbal[[#This Row],[X]]=1,tbal[[#This Row],[X]]=2)),tbal[[#This Row],[DEUDOR]],0)</f>
        <v>0</v>
      </c>
      <c r="J1593" s="18">
        <f>IF((OR(tbal[[#This Row],[X]]=2,tbal[[#This Row],[X]]=3)),tbal[[#This Row],[ACREEDOR]],0)</f>
        <v>0</v>
      </c>
      <c r="K1593" s="16">
        <f>IF((OR(tbal[[#This Row],[X]]=3,tbal[[#This Row],[X]]=5)),tbal[[#This Row],[DEUDOR]],0)</f>
        <v>0</v>
      </c>
      <c r="L1593" s="18">
        <f>IF((OR(tbal[[#This Row],[X]]=3,tbal[[#This Row],[X]]=4)),tbal[[#This Row],[ACREEDOR]],0)</f>
        <v>0</v>
      </c>
      <c r="M1593" s="16">
        <f>IF((OR(tbal[[#This Row],[X]]=0,tbal[[#This Row],[X]]=6)),tbal[[#This Row],[DEUDOR]],0)</f>
        <v>0</v>
      </c>
      <c r="N1593" s="18">
        <f>IF((OR(tbal[[#This Row],[X]]=0,tbal[[#This Row],[X]]=5)),tbal[[#This Row],[ACREEDOR]],0)</f>
        <v>0</v>
      </c>
    </row>
    <row r="1594" spans="1:14" hidden="1" x14ac:dyDescent="0.3">
      <c r="A1594" s="14">
        <f>+'PLAN DE CUENTAS'!A1594</f>
        <v>0</v>
      </c>
      <c r="B1594" s="13">
        <f>+'PLAN DE CUENTAS'!B1594</f>
        <v>0</v>
      </c>
      <c r="C1594" s="13">
        <f>+'PLAN DE CUENTAS'!C1594</f>
        <v>0</v>
      </c>
      <c r="D1594" t="str">
        <f>IF(tbal[[#This Row],[DEBE]]+tbal[[#This Row],[HABER]]=0,"","X")</f>
        <v/>
      </c>
      <c r="E1594" s="16">
        <f>SUMIF(tdiario[CUENTA],tbal[[#This Row],[CUENTA]],tdiario[DEBE])</f>
        <v>0</v>
      </c>
      <c r="F1594" s="17">
        <f>SUMIF(tdiario[CUENTA],tbal[[#This Row],[CUENTA]],tdiario[HABER])</f>
        <v>0</v>
      </c>
      <c r="G1594" s="16">
        <f>IF(tbal[[#This Row],[DEBE]]-tbal[[#This Row],[HABER]]&gt;0,tbal[[#This Row],[DEBE]]-tbal[[#This Row],[HABER]],0)</f>
        <v>0</v>
      </c>
      <c r="H1594" s="18">
        <f>IF(tbal[[#This Row],[HABER]]-tbal[[#This Row],[DEBE]]&gt;0,tbal[[#This Row],[HABER]]-tbal[[#This Row],[DEBE]],0)</f>
        <v>0</v>
      </c>
      <c r="I1594" s="16">
        <f>IF((OR(tbal[[#This Row],[X]]=1,tbal[[#This Row],[X]]=2)),tbal[[#This Row],[DEUDOR]],0)</f>
        <v>0</v>
      </c>
      <c r="J1594" s="18">
        <f>IF((OR(tbal[[#This Row],[X]]=2,tbal[[#This Row],[X]]=3)),tbal[[#This Row],[ACREEDOR]],0)</f>
        <v>0</v>
      </c>
      <c r="K1594" s="16">
        <f>IF((OR(tbal[[#This Row],[X]]=3,tbal[[#This Row],[X]]=5)),tbal[[#This Row],[DEUDOR]],0)</f>
        <v>0</v>
      </c>
      <c r="L1594" s="18">
        <f>IF((OR(tbal[[#This Row],[X]]=3,tbal[[#This Row],[X]]=4)),tbal[[#This Row],[ACREEDOR]],0)</f>
        <v>0</v>
      </c>
      <c r="M1594" s="16">
        <f>IF((OR(tbal[[#This Row],[X]]=0,tbal[[#This Row],[X]]=6)),tbal[[#This Row],[DEUDOR]],0)</f>
        <v>0</v>
      </c>
      <c r="N1594" s="18">
        <f>IF((OR(tbal[[#This Row],[X]]=0,tbal[[#This Row],[X]]=5)),tbal[[#This Row],[ACREEDOR]],0)</f>
        <v>0</v>
      </c>
    </row>
    <row r="1595" spans="1:14" hidden="1" x14ac:dyDescent="0.3">
      <c r="A1595" s="14">
        <f>+'PLAN DE CUENTAS'!A1595</f>
        <v>0</v>
      </c>
      <c r="B1595" s="13">
        <f>+'PLAN DE CUENTAS'!B1595</f>
        <v>0</v>
      </c>
      <c r="C1595" s="13">
        <f>+'PLAN DE CUENTAS'!C1595</f>
        <v>0</v>
      </c>
      <c r="D1595" t="str">
        <f>IF(tbal[[#This Row],[DEBE]]+tbal[[#This Row],[HABER]]=0,"","X")</f>
        <v/>
      </c>
      <c r="E1595" s="16">
        <f>SUMIF(tdiario[CUENTA],tbal[[#This Row],[CUENTA]],tdiario[DEBE])</f>
        <v>0</v>
      </c>
      <c r="F1595" s="17">
        <f>SUMIF(tdiario[CUENTA],tbal[[#This Row],[CUENTA]],tdiario[HABER])</f>
        <v>0</v>
      </c>
      <c r="G1595" s="16">
        <f>IF(tbal[[#This Row],[DEBE]]-tbal[[#This Row],[HABER]]&gt;0,tbal[[#This Row],[DEBE]]-tbal[[#This Row],[HABER]],0)</f>
        <v>0</v>
      </c>
      <c r="H1595" s="18">
        <f>IF(tbal[[#This Row],[HABER]]-tbal[[#This Row],[DEBE]]&gt;0,tbal[[#This Row],[HABER]]-tbal[[#This Row],[DEBE]],0)</f>
        <v>0</v>
      </c>
      <c r="I1595" s="16">
        <f>IF((OR(tbal[[#This Row],[X]]=1,tbal[[#This Row],[X]]=2)),tbal[[#This Row],[DEUDOR]],0)</f>
        <v>0</v>
      </c>
      <c r="J1595" s="18">
        <f>IF((OR(tbal[[#This Row],[X]]=2,tbal[[#This Row],[X]]=3)),tbal[[#This Row],[ACREEDOR]],0)</f>
        <v>0</v>
      </c>
      <c r="K1595" s="16">
        <f>IF((OR(tbal[[#This Row],[X]]=3,tbal[[#This Row],[X]]=5)),tbal[[#This Row],[DEUDOR]],0)</f>
        <v>0</v>
      </c>
      <c r="L1595" s="18">
        <f>IF((OR(tbal[[#This Row],[X]]=3,tbal[[#This Row],[X]]=4)),tbal[[#This Row],[ACREEDOR]],0)</f>
        <v>0</v>
      </c>
      <c r="M1595" s="16">
        <f>IF((OR(tbal[[#This Row],[X]]=0,tbal[[#This Row],[X]]=6)),tbal[[#This Row],[DEUDOR]],0)</f>
        <v>0</v>
      </c>
      <c r="N1595" s="18">
        <f>IF((OR(tbal[[#This Row],[X]]=0,tbal[[#This Row],[X]]=5)),tbal[[#This Row],[ACREEDOR]],0)</f>
        <v>0</v>
      </c>
    </row>
    <row r="1596" spans="1:14" hidden="1" x14ac:dyDescent="0.3">
      <c r="A1596" s="14">
        <f>+'PLAN DE CUENTAS'!A1596</f>
        <v>0</v>
      </c>
      <c r="B1596" s="13">
        <f>+'PLAN DE CUENTAS'!B1596</f>
        <v>0</v>
      </c>
      <c r="C1596" s="13">
        <f>+'PLAN DE CUENTAS'!C1596</f>
        <v>0</v>
      </c>
      <c r="D1596" t="str">
        <f>IF(tbal[[#This Row],[DEBE]]+tbal[[#This Row],[HABER]]=0,"","X")</f>
        <v/>
      </c>
      <c r="E1596" s="16">
        <f>SUMIF(tdiario[CUENTA],tbal[[#This Row],[CUENTA]],tdiario[DEBE])</f>
        <v>0</v>
      </c>
      <c r="F1596" s="17">
        <f>SUMIF(tdiario[CUENTA],tbal[[#This Row],[CUENTA]],tdiario[HABER])</f>
        <v>0</v>
      </c>
      <c r="G1596" s="16">
        <f>IF(tbal[[#This Row],[DEBE]]-tbal[[#This Row],[HABER]]&gt;0,tbal[[#This Row],[DEBE]]-tbal[[#This Row],[HABER]],0)</f>
        <v>0</v>
      </c>
      <c r="H1596" s="18">
        <f>IF(tbal[[#This Row],[HABER]]-tbal[[#This Row],[DEBE]]&gt;0,tbal[[#This Row],[HABER]]-tbal[[#This Row],[DEBE]],0)</f>
        <v>0</v>
      </c>
      <c r="I1596" s="16">
        <f>IF((OR(tbal[[#This Row],[X]]=1,tbal[[#This Row],[X]]=2)),tbal[[#This Row],[DEUDOR]],0)</f>
        <v>0</v>
      </c>
      <c r="J1596" s="18">
        <f>IF((OR(tbal[[#This Row],[X]]=2,tbal[[#This Row],[X]]=3)),tbal[[#This Row],[ACREEDOR]],0)</f>
        <v>0</v>
      </c>
      <c r="K1596" s="16">
        <f>IF((OR(tbal[[#This Row],[X]]=3,tbal[[#This Row],[X]]=5)),tbal[[#This Row],[DEUDOR]],0)</f>
        <v>0</v>
      </c>
      <c r="L1596" s="18">
        <f>IF((OR(tbal[[#This Row],[X]]=3,tbal[[#This Row],[X]]=4)),tbal[[#This Row],[ACREEDOR]],0)</f>
        <v>0</v>
      </c>
      <c r="M1596" s="16">
        <f>IF((OR(tbal[[#This Row],[X]]=0,tbal[[#This Row],[X]]=6)),tbal[[#This Row],[DEUDOR]],0)</f>
        <v>0</v>
      </c>
      <c r="N1596" s="18">
        <f>IF((OR(tbal[[#This Row],[X]]=0,tbal[[#This Row],[X]]=5)),tbal[[#This Row],[ACREEDOR]],0)</f>
        <v>0</v>
      </c>
    </row>
    <row r="1597" spans="1:14" hidden="1" x14ac:dyDescent="0.3">
      <c r="A1597" s="14">
        <f>+'PLAN DE CUENTAS'!A1597</f>
        <v>0</v>
      </c>
      <c r="B1597" s="13">
        <f>+'PLAN DE CUENTAS'!B1597</f>
        <v>0</v>
      </c>
      <c r="C1597" s="13">
        <f>+'PLAN DE CUENTAS'!C1597</f>
        <v>0</v>
      </c>
      <c r="D1597" t="str">
        <f>IF(tbal[[#This Row],[DEBE]]+tbal[[#This Row],[HABER]]=0,"","X")</f>
        <v/>
      </c>
      <c r="E1597" s="16">
        <f>SUMIF(tdiario[CUENTA],tbal[[#This Row],[CUENTA]],tdiario[DEBE])</f>
        <v>0</v>
      </c>
      <c r="F1597" s="17">
        <f>SUMIF(tdiario[CUENTA],tbal[[#This Row],[CUENTA]],tdiario[HABER])</f>
        <v>0</v>
      </c>
      <c r="G1597" s="16">
        <f>IF(tbal[[#This Row],[DEBE]]-tbal[[#This Row],[HABER]]&gt;0,tbal[[#This Row],[DEBE]]-tbal[[#This Row],[HABER]],0)</f>
        <v>0</v>
      </c>
      <c r="H1597" s="18">
        <f>IF(tbal[[#This Row],[HABER]]-tbal[[#This Row],[DEBE]]&gt;0,tbal[[#This Row],[HABER]]-tbal[[#This Row],[DEBE]],0)</f>
        <v>0</v>
      </c>
      <c r="I1597" s="16">
        <f>IF((OR(tbal[[#This Row],[X]]=1,tbal[[#This Row],[X]]=2)),tbal[[#This Row],[DEUDOR]],0)</f>
        <v>0</v>
      </c>
      <c r="J1597" s="18">
        <f>IF((OR(tbal[[#This Row],[X]]=2,tbal[[#This Row],[X]]=3)),tbal[[#This Row],[ACREEDOR]],0)</f>
        <v>0</v>
      </c>
      <c r="K1597" s="16">
        <f>IF((OR(tbal[[#This Row],[X]]=3,tbal[[#This Row],[X]]=5)),tbal[[#This Row],[DEUDOR]],0)</f>
        <v>0</v>
      </c>
      <c r="L1597" s="18">
        <f>IF((OR(tbal[[#This Row],[X]]=3,tbal[[#This Row],[X]]=4)),tbal[[#This Row],[ACREEDOR]],0)</f>
        <v>0</v>
      </c>
      <c r="M1597" s="16">
        <f>IF((OR(tbal[[#This Row],[X]]=0,tbal[[#This Row],[X]]=6)),tbal[[#This Row],[DEUDOR]],0)</f>
        <v>0</v>
      </c>
      <c r="N1597" s="18">
        <f>IF((OR(tbal[[#This Row],[X]]=0,tbal[[#This Row],[X]]=5)),tbal[[#This Row],[ACREEDOR]],0)</f>
        <v>0</v>
      </c>
    </row>
    <row r="1598" spans="1:14" hidden="1" x14ac:dyDescent="0.3">
      <c r="A1598" s="14">
        <f>+'PLAN DE CUENTAS'!A1598</f>
        <v>0</v>
      </c>
      <c r="B1598" s="13">
        <f>+'PLAN DE CUENTAS'!B1598</f>
        <v>0</v>
      </c>
      <c r="C1598" s="13">
        <f>+'PLAN DE CUENTAS'!C1598</f>
        <v>0</v>
      </c>
      <c r="D1598" t="str">
        <f>IF(tbal[[#This Row],[DEBE]]+tbal[[#This Row],[HABER]]=0,"","X")</f>
        <v/>
      </c>
      <c r="E1598" s="16">
        <f>SUMIF(tdiario[CUENTA],tbal[[#This Row],[CUENTA]],tdiario[DEBE])</f>
        <v>0</v>
      </c>
      <c r="F1598" s="17">
        <f>SUMIF(tdiario[CUENTA],tbal[[#This Row],[CUENTA]],tdiario[HABER])</f>
        <v>0</v>
      </c>
      <c r="G1598" s="16">
        <f>IF(tbal[[#This Row],[DEBE]]-tbal[[#This Row],[HABER]]&gt;0,tbal[[#This Row],[DEBE]]-tbal[[#This Row],[HABER]],0)</f>
        <v>0</v>
      </c>
      <c r="H1598" s="18">
        <f>IF(tbal[[#This Row],[HABER]]-tbal[[#This Row],[DEBE]]&gt;0,tbal[[#This Row],[HABER]]-tbal[[#This Row],[DEBE]],0)</f>
        <v>0</v>
      </c>
      <c r="I1598" s="16">
        <f>IF((OR(tbal[[#This Row],[X]]=1,tbal[[#This Row],[X]]=2)),tbal[[#This Row],[DEUDOR]],0)</f>
        <v>0</v>
      </c>
      <c r="J1598" s="18">
        <f>IF((OR(tbal[[#This Row],[X]]=2,tbal[[#This Row],[X]]=3)),tbal[[#This Row],[ACREEDOR]],0)</f>
        <v>0</v>
      </c>
      <c r="K1598" s="16">
        <f>IF((OR(tbal[[#This Row],[X]]=3,tbal[[#This Row],[X]]=5)),tbal[[#This Row],[DEUDOR]],0)</f>
        <v>0</v>
      </c>
      <c r="L1598" s="18">
        <f>IF((OR(tbal[[#This Row],[X]]=3,tbal[[#This Row],[X]]=4)),tbal[[#This Row],[ACREEDOR]],0)</f>
        <v>0</v>
      </c>
      <c r="M1598" s="16">
        <f>IF((OR(tbal[[#This Row],[X]]=0,tbal[[#This Row],[X]]=6)),tbal[[#This Row],[DEUDOR]],0)</f>
        <v>0</v>
      </c>
      <c r="N1598" s="18">
        <f>IF((OR(tbal[[#This Row],[X]]=0,tbal[[#This Row],[X]]=5)),tbal[[#This Row],[ACREEDOR]],0)</f>
        <v>0</v>
      </c>
    </row>
    <row r="1599" spans="1:14" hidden="1" x14ac:dyDescent="0.3">
      <c r="A1599" s="14">
        <f>+'PLAN DE CUENTAS'!A1599</f>
        <v>0</v>
      </c>
      <c r="B1599" s="13">
        <f>+'PLAN DE CUENTAS'!B1599</f>
        <v>0</v>
      </c>
      <c r="C1599" s="13">
        <f>+'PLAN DE CUENTAS'!C1599</f>
        <v>0</v>
      </c>
      <c r="D1599" t="str">
        <f>IF(tbal[[#This Row],[DEBE]]+tbal[[#This Row],[HABER]]=0,"","X")</f>
        <v/>
      </c>
      <c r="E1599" s="16">
        <f>SUMIF(tdiario[CUENTA],tbal[[#This Row],[CUENTA]],tdiario[DEBE])</f>
        <v>0</v>
      </c>
      <c r="F1599" s="17">
        <f>SUMIF(tdiario[CUENTA],tbal[[#This Row],[CUENTA]],tdiario[HABER])</f>
        <v>0</v>
      </c>
      <c r="G1599" s="16">
        <f>IF(tbal[[#This Row],[DEBE]]-tbal[[#This Row],[HABER]]&gt;0,tbal[[#This Row],[DEBE]]-tbal[[#This Row],[HABER]],0)</f>
        <v>0</v>
      </c>
      <c r="H1599" s="18">
        <f>IF(tbal[[#This Row],[HABER]]-tbal[[#This Row],[DEBE]]&gt;0,tbal[[#This Row],[HABER]]-tbal[[#This Row],[DEBE]],0)</f>
        <v>0</v>
      </c>
      <c r="I1599" s="16">
        <f>IF((OR(tbal[[#This Row],[X]]=1,tbal[[#This Row],[X]]=2)),tbal[[#This Row],[DEUDOR]],0)</f>
        <v>0</v>
      </c>
      <c r="J1599" s="18">
        <f>IF((OR(tbal[[#This Row],[X]]=2,tbal[[#This Row],[X]]=3)),tbal[[#This Row],[ACREEDOR]],0)</f>
        <v>0</v>
      </c>
      <c r="K1599" s="16">
        <f>IF((OR(tbal[[#This Row],[X]]=3,tbal[[#This Row],[X]]=5)),tbal[[#This Row],[DEUDOR]],0)</f>
        <v>0</v>
      </c>
      <c r="L1599" s="18">
        <f>IF((OR(tbal[[#This Row],[X]]=3,tbal[[#This Row],[X]]=4)),tbal[[#This Row],[ACREEDOR]],0)</f>
        <v>0</v>
      </c>
      <c r="M1599" s="16">
        <f>IF((OR(tbal[[#This Row],[X]]=0,tbal[[#This Row],[X]]=6)),tbal[[#This Row],[DEUDOR]],0)</f>
        <v>0</v>
      </c>
      <c r="N1599" s="18">
        <f>IF((OR(tbal[[#This Row],[X]]=0,tbal[[#This Row],[X]]=5)),tbal[[#This Row],[ACREEDOR]],0)</f>
        <v>0</v>
      </c>
    </row>
    <row r="1600" spans="1:14" hidden="1" x14ac:dyDescent="0.3">
      <c r="A1600" s="14">
        <f>+'PLAN DE CUENTAS'!A1600</f>
        <v>0</v>
      </c>
      <c r="B1600" s="13">
        <f>+'PLAN DE CUENTAS'!B1600</f>
        <v>0</v>
      </c>
      <c r="C1600" s="13">
        <f>+'PLAN DE CUENTAS'!C1600</f>
        <v>0</v>
      </c>
      <c r="D1600" t="str">
        <f>IF(tbal[[#This Row],[DEBE]]+tbal[[#This Row],[HABER]]=0,"","X")</f>
        <v/>
      </c>
      <c r="E1600" s="16">
        <f>SUMIF(tdiario[CUENTA],tbal[[#This Row],[CUENTA]],tdiario[DEBE])</f>
        <v>0</v>
      </c>
      <c r="F1600" s="17">
        <f>SUMIF(tdiario[CUENTA],tbal[[#This Row],[CUENTA]],tdiario[HABER])</f>
        <v>0</v>
      </c>
      <c r="G1600" s="16">
        <f>IF(tbal[[#This Row],[DEBE]]-tbal[[#This Row],[HABER]]&gt;0,tbal[[#This Row],[DEBE]]-tbal[[#This Row],[HABER]],0)</f>
        <v>0</v>
      </c>
      <c r="H1600" s="18">
        <f>IF(tbal[[#This Row],[HABER]]-tbal[[#This Row],[DEBE]]&gt;0,tbal[[#This Row],[HABER]]-tbal[[#This Row],[DEBE]],0)</f>
        <v>0</v>
      </c>
      <c r="I1600" s="16">
        <f>IF((OR(tbal[[#This Row],[X]]=1,tbal[[#This Row],[X]]=2)),tbal[[#This Row],[DEUDOR]],0)</f>
        <v>0</v>
      </c>
      <c r="J1600" s="18">
        <f>IF((OR(tbal[[#This Row],[X]]=2,tbal[[#This Row],[X]]=3)),tbal[[#This Row],[ACREEDOR]],0)</f>
        <v>0</v>
      </c>
      <c r="K1600" s="16">
        <f>IF((OR(tbal[[#This Row],[X]]=3,tbal[[#This Row],[X]]=5)),tbal[[#This Row],[DEUDOR]],0)</f>
        <v>0</v>
      </c>
      <c r="L1600" s="18">
        <f>IF((OR(tbal[[#This Row],[X]]=3,tbal[[#This Row],[X]]=4)),tbal[[#This Row],[ACREEDOR]],0)</f>
        <v>0</v>
      </c>
      <c r="M1600" s="16">
        <f>IF((OR(tbal[[#This Row],[X]]=0,tbal[[#This Row],[X]]=6)),tbal[[#This Row],[DEUDOR]],0)</f>
        <v>0</v>
      </c>
      <c r="N1600" s="18">
        <f>IF((OR(tbal[[#This Row],[X]]=0,tbal[[#This Row],[X]]=5)),tbal[[#This Row],[ACREEDOR]],0)</f>
        <v>0</v>
      </c>
    </row>
    <row r="1601" spans="1:14" hidden="1" x14ac:dyDescent="0.3">
      <c r="A1601" s="14">
        <f>+'PLAN DE CUENTAS'!A1601</f>
        <v>0</v>
      </c>
      <c r="B1601" s="13">
        <f>+'PLAN DE CUENTAS'!B1601</f>
        <v>0</v>
      </c>
      <c r="C1601" s="13">
        <f>+'PLAN DE CUENTAS'!C1601</f>
        <v>0</v>
      </c>
      <c r="D1601" t="str">
        <f>IF(tbal[[#This Row],[DEBE]]+tbal[[#This Row],[HABER]]=0,"","X")</f>
        <v/>
      </c>
      <c r="E1601" s="16">
        <f>SUMIF(tdiario[CUENTA],tbal[[#This Row],[CUENTA]],tdiario[DEBE])</f>
        <v>0</v>
      </c>
      <c r="F1601" s="17">
        <f>SUMIF(tdiario[CUENTA],tbal[[#This Row],[CUENTA]],tdiario[HABER])</f>
        <v>0</v>
      </c>
      <c r="G1601" s="16">
        <f>IF(tbal[[#This Row],[DEBE]]-tbal[[#This Row],[HABER]]&gt;0,tbal[[#This Row],[DEBE]]-tbal[[#This Row],[HABER]],0)</f>
        <v>0</v>
      </c>
      <c r="H1601" s="18">
        <f>IF(tbal[[#This Row],[HABER]]-tbal[[#This Row],[DEBE]]&gt;0,tbal[[#This Row],[HABER]]-tbal[[#This Row],[DEBE]],0)</f>
        <v>0</v>
      </c>
      <c r="I1601" s="16">
        <f>IF((OR(tbal[[#This Row],[X]]=1,tbal[[#This Row],[X]]=2)),tbal[[#This Row],[DEUDOR]],0)</f>
        <v>0</v>
      </c>
      <c r="J1601" s="18">
        <f>IF((OR(tbal[[#This Row],[X]]=2,tbal[[#This Row],[X]]=3)),tbal[[#This Row],[ACREEDOR]],0)</f>
        <v>0</v>
      </c>
      <c r="K1601" s="16">
        <f>IF((OR(tbal[[#This Row],[X]]=3,tbal[[#This Row],[X]]=5)),tbal[[#This Row],[DEUDOR]],0)</f>
        <v>0</v>
      </c>
      <c r="L1601" s="18">
        <f>IF((OR(tbal[[#This Row],[X]]=3,tbal[[#This Row],[X]]=4)),tbal[[#This Row],[ACREEDOR]],0)</f>
        <v>0</v>
      </c>
      <c r="M1601" s="16">
        <f>IF((OR(tbal[[#This Row],[X]]=0,tbal[[#This Row],[X]]=6)),tbal[[#This Row],[DEUDOR]],0)</f>
        <v>0</v>
      </c>
      <c r="N1601" s="18">
        <f>IF((OR(tbal[[#This Row],[X]]=0,tbal[[#This Row],[X]]=5)),tbal[[#This Row],[ACREEDOR]],0)</f>
        <v>0</v>
      </c>
    </row>
    <row r="1602" spans="1:14" hidden="1" x14ac:dyDescent="0.3">
      <c r="A1602" s="14">
        <f>+'PLAN DE CUENTAS'!A1602</f>
        <v>0</v>
      </c>
      <c r="B1602" s="13">
        <f>+'PLAN DE CUENTAS'!B1602</f>
        <v>0</v>
      </c>
      <c r="C1602" s="13">
        <f>+'PLAN DE CUENTAS'!C1602</f>
        <v>0</v>
      </c>
      <c r="D1602" t="str">
        <f>IF(tbal[[#This Row],[DEBE]]+tbal[[#This Row],[HABER]]=0,"","X")</f>
        <v/>
      </c>
      <c r="E1602" s="16">
        <f>SUMIF(tdiario[CUENTA],tbal[[#This Row],[CUENTA]],tdiario[DEBE])</f>
        <v>0</v>
      </c>
      <c r="F1602" s="17">
        <f>SUMIF(tdiario[CUENTA],tbal[[#This Row],[CUENTA]],tdiario[HABER])</f>
        <v>0</v>
      </c>
      <c r="G1602" s="16">
        <f>IF(tbal[[#This Row],[DEBE]]-tbal[[#This Row],[HABER]]&gt;0,tbal[[#This Row],[DEBE]]-tbal[[#This Row],[HABER]],0)</f>
        <v>0</v>
      </c>
      <c r="H1602" s="18">
        <f>IF(tbal[[#This Row],[HABER]]-tbal[[#This Row],[DEBE]]&gt;0,tbal[[#This Row],[HABER]]-tbal[[#This Row],[DEBE]],0)</f>
        <v>0</v>
      </c>
      <c r="I1602" s="16">
        <f>IF((OR(tbal[[#This Row],[X]]=1,tbal[[#This Row],[X]]=2)),tbal[[#This Row],[DEUDOR]],0)</f>
        <v>0</v>
      </c>
      <c r="J1602" s="18">
        <f>IF((OR(tbal[[#This Row],[X]]=2,tbal[[#This Row],[X]]=3)),tbal[[#This Row],[ACREEDOR]],0)</f>
        <v>0</v>
      </c>
      <c r="K1602" s="16">
        <f>IF((OR(tbal[[#This Row],[X]]=3,tbal[[#This Row],[X]]=5)),tbal[[#This Row],[DEUDOR]],0)</f>
        <v>0</v>
      </c>
      <c r="L1602" s="18">
        <f>IF((OR(tbal[[#This Row],[X]]=3,tbal[[#This Row],[X]]=4)),tbal[[#This Row],[ACREEDOR]],0)</f>
        <v>0</v>
      </c>
      <c r="M1602" s="16">
        <f>IF((OR(tbal[[#This Row],[X]]=0,tbal[[#This Row],[X]]=6)),tbal[[#This Row],[DEUDOR]],0)</f>
        <v>0</v>
      </c>
      <c r="N1602" s="18">
        <f>IF((OR(tbal[[#This Row],[X]]=0,tbal[[#This Row],[X]]=5)),tbal[[#This Row],[ACREEDOR]],0)</f>
        <v>0</v>
      </c>
    </row>
    <row r="1603" spans="1:14" hidden="1" x14ac:dyDescent="0.3">
      <c r="A1603" s="14">
        <f>+'PLAN DE CUENTAS'!A1603</f>
        <v>0</v>
      </c>
      <c r="B1603" s="13">
        <f>+'PLAN DE CUENTAS'!B1603</f>
        <v>0</v>
      </c>
      <c r="C1603" s="13">
        <f>+'PLAN DE CUENTAS'!C1603</f>
        <v>0</v>
      </c>
      <c r="D1603" t="str">
        <f>IF(tbal[[#This Row],[DEBE]]+tbal[[#This Row],[HABER]]=0,"","X")</f>
        <v/>
      </c>
      <c r="E1603" s="16">
        <f>SUMIF(tdiario[CUENTA],tbal[[#This Row],[CUENTA]],tdiario[DEBE])</f>
        <v>0</v>
      </c>
      <c r="F1603" s="17">
        <f>SUMIF(tdiario[CUENTA],tbal[[#This Row],[CUENTA]],tdiario[HABER])</f>
        <v>0</v>
      </c>
      <c r="G1603" s="16">
        <f>IF(tbal[[#This Row],[DEBE]]-tbal[[#This Row],[HABER]]&gt;0,tbal[[#This Row],[DEBE]]-tbal[[#This Row],[HABER]],0)</f>
        <v>0</v>
      </c>
      <c r="H1603" s="18">
        <f>IF(tbal[[#This Row],[HABER]]-tbal[[#This Row],[DEBE]]&gt;0,tbal[[#This Row],[HABER]]-tbal[[#This Row],[DEBE]],0)</f>
        <v>0</v>
      </c>
      <c r="I1603" s="16">
        <f>IF((OR(tbal[[#This Row],[X]]=1,tbal[[#This Row],[X]]=2)),tbal[[#This Row],[DEUDOR]],0)</f>
        <v>0</v>
      </c>
      <c r="J1603" s="18">
        <f>IF((OR(tbal[[#This Row],[X]]=2,tbal[[#This Row],[X]]=3)),tbal[[#This Row],[ACREEDOR]],0)</f>
        <v>0</v>
      </c>
      <c r="K1603" s="16">
        <f>IF((OR(tbal[[#This Row],[X]]=3,tbal[[#This Row],[X]]=5)),tbal[[#This Row],[DEUDOR]],0)</f>
        <v>0</v>
      </c>
      <c r="L1603" s="18">
        <f>IF((OR(tbal[[#This Row],[X]]=3,tbal[[#This Row],[X]]=4)),tbal[[#This Row],[ACREEDOR]],0)</f>
        <v>0</v>
      </c>
      <c r="M1603" s="16">
        <f>IF((OR(tbal[[#This Row],[X]]=0,tbal[[#This Row],[X]]=6)),tbal[[#This Row],[DEUDOR]],0)</f>
        <v>0</v>
      </c>
      <c r="N1603" s="18">
        <f>IF((OR(tbal[[#This Row],[X]]=0,tbal[[#This Row],[X]]=5)),tbal[[#This Row],[ACREEDOR]],0)</f>
        <v>0</v>
      </c>
    </row>
    <row r="1604" spans="1:14" hidden="1" x14ac:dyDescent="0.3">
      <c r="A1604" s="14">
        <f>+'PLAN DE CUENTAS'!A1604</f>
        <v>0</v>
      </c>
      <c r="B1604" s="13">
        <f>+'PLAN DE CUENTAS'!B1604</f>
        <v>0</v>
      </c>
      <c r="C1604" s="13">
        <f>+'PLAN DE CUENTAS'!C1604</f>
        <v>0</v>
      </c>
      <c r="D1604" t="str">
        <f>IF(tbal[[#This Row],[DEBE]]+tbal[[#This Row],[HABER]]=0,"","X")</f>
        <v/>
      </c>
      <c r="E1604" s="16">
        <f>SUMIF(tdiario[CUENTA],tbal[[#This Row],[CUENTA]],tdiario[DEBE])</f>
        <v>0</v>
      </c>
      <c r="F1604" s="17">
        <f>SUMIF(tdiario[CUENTA],tbal[[#This Row],[CUENTA]],tdiario[HABER])</f>
        <v>0</v>
      </c>
      <c r="G1604" s="16">
        <f>IF(tbal[[#This Row],[DEBE]]-tbal[[#This Row],[HABER]]&gt;0,tbal[[#This Row],[DEBE]]-tbal[[#This Row],[HABER]],0)</f>
        <v>0</v>
      </c>
      <c r="H1604" s="18">
        <f>IF(tbal[[#This Row],[HABER]]-tbal[[#This Row],[DEBE]]&gt;0,tbal[[#This Row],[HABER]]-tbal[[#This Row],[DEBE]],0)</f>
        <v>0</v>
      </c>
      <c r="I1604" s="16">
        <f>IF((OR(tbal[[#This Row],[X]]=1,tbal[[#This Row],[X]]=2)),tbal[[#This Row],[DEUDOR]],0)</f>
        <v>0</v>
      </c>
      <c r="J1604" s="18">
        <f>IF((OR(tbal[[#This Row],[X]]=2,tbal[[#This Row],[X]]=3)),tbal[[#This Row],[ACREEDOR]],0)</f>
        <v>0</v>
      </c>
      <c r="K1604" s="16">
        <f>IF((OR(tbal[[#This Row],[X]]=3,tbal[[#This Row],[X]]=5)),tbal[[#This Row],[DEUDOR]],0)</f>
        <v>0</v>
      </c>
      <c r="L1604" s="18">
        <f>IF((OR(tbal[[#This Row],[X]]=3,tbal[[#This Row],[X]]=4)),tbal[[#This Row],[ACREEDOR]],0)</f>
        <v>0</v>
      </c>
      <c r="M1604" s="16">
        <f>IF((OR(tbal[[#This Row],[X]]=0,tbal[[#This Row],[X]]=6)),tbal[[#This Row],[DEUDOR]],0)</f>
        <v>0</v>
      </c>
      <c r="N1604" s="18">
        <f>IF((OR(tbal[[#This Row],[X]]=0,tbal[[#This Row],[X]]=5)),tbal[[#This Row],[ACREEDOR]],0)</f>
        <v>0</v>
      </c>
    </row>
    <row r="1605" spans="1:14" hidden="1" x14ac:dyDescent="0.3">
      <c r="A1605" s="14">
        <f>+'PLAN DE CUENTAS'!A1605</f>
        <v>0</v>
      </c>
      <c r="B1605" s="13">
        <f>+'PLAN DE CUENTAS'!B1605</f>
        <v>0</v>
      </c>
      <c r="C1605" s="13">
        <f>+'PLAN DE CUENTAS'!C1605</f>
        <v>0</v>
      </c>
      <c r="D1605" t="str">
        <f>IF(tbal[[#This Row],[DEBE]]+tbal[[#This Row],[HABER]]=0,"","X")</f>
        <v/>
      </c>
      <c r="E1605" s="16">
        <f>SUMIF(tdiario[CUENTA],tbal[[#This Row],[CUENTA]],tdiario[DEBE])</f>
        <v>0</v>
      </c>
      <c r="F1605" s="17">
        <f>SUMIF(tdiario[CUENTA],tbal[[#This Row],[CUENTA]],tdiario[HABER])</f>
        <v>0</v>
      </c>
      <c r="G1605" s="16">
        <f>IF(tbal[[#This Row],[DEBE]]-tbal[[#This Row],[HABER]]&gt;0,tbal[[#This Row],[DEBE]]-tbal[[#This Row],[HABER]],0)</f>
        <v>0</v>
      </c>
      <c r="H1605" s="18">
        <f>IF(tbal[[#This Row],[HABER]]-tbal[[#This Row],[DEBE]]&gt;0,tbal[[#This Row],[HABER]]-tbal[[#This Row],[DEBE]],0)</f>
        <v>0</v>
      </c>
      <c r="I1605" s="16">
        <f>IF((OR(tbal[[#This Row],[X]]=1,tbal[[#This Row],[X]]=2)),tbal[[#This Row],[DEUDOR]],0)</f>
        <v>0</v>
      </c>
      <c r="J1605" s="18">
        <f>IF((OR(tbal[[#This Row],[X]]=2,tbal[[#This Row],[X]]=3)),tbal[[#This Row],[ACREEDOR]],0)</f>
        <v>0</v>
      </c>
      <c r="K1605" s="16">
        <f>IF((OR(tbal[[#This Row],[X]]=3,tbal[[#This Row],[X]]=5)),tbal[[#This Row],[DEUDOR]],0)</f>
        <v>0</v>
      </c>
      <c r="L1605" s="18">
        <f>IF((OR(tbal[[#This Row],[X]]=3,tbal[[#This Row],[X]]=4)),tbal[[#This Row],[ACREEDOR]],0)</f>
        <v>0</v>
      </c>
      <c r="M1605" s="16">
        <f>IF((OR(tbal[[#This Row],[X]]=0,tbal[[#This Row],[X]]=6)),tbal[[#This Row],[DEUDOR]],0)</f>
        <v>0</v>
      </c>
      <c r="N1605" s="18">
        <f>IF((OR(tbal[[#This Row],[X]]=0,tbal[[#This Row],[X]]=5)),tbal[[#This Row],[ACREEDOR]],0)</f>
        <v>0</v>
      </c>
    </row>
    <row r="1606" spans="1:14" hidden="1" x14ac:dyDescent="0.3">
      <c r="A1606" s="14">
        <f>+'PLAN DE CUENTAS'!A1606</f>
        <v>0</v>
      </c>
      <c r="B1606" s="13">
        <f>+'PLAN DE CUENTAS'!B1606</f>
        <v>0</v>
      </c>
      <c r="C1606" s="13">
        <f>+'PLAN DE CUENTAS'!C1606</f>
        <v>0</v>
      </c>
      <c r="D1606" t="str">
        <f>IF(tbal[[#This Row],[DEBE]]+tbal[[#This Row],[HABER]]=0,"","X")</f>
        <v/>
      </c>
      <c r="E1606" s="16">
        <f>SUMIF(tdiario[CUENTA],tbal[[#This Row],[CUENTA]],tdiario[DEBE])</f>
        <v>0</v>
      </c>
      <c r="F1606" s="17">
        <f>SUMIF(tdiario[CUENTA],tbal[[#This Row],[CUENTA]],tdiario[HABER])</f>
        <v>0</v>
      </c>
      <c r="G1606" s="16">
        <f>IF(tbal[[#This Row],[DEBE]]-tbal[[#This Row],[HABER]]&gt;0,tbal[[#This Row],[DEBE]]-tbal[[#This Row],[HABER]],0)</f>
        <v>0</v>
      </c>
      <c r="H1606" s="18">
        <f>IF(tbal[[#This Row],[HABER]]-tbal[[#This Row],[DEBE]]&gt;0,tbal[[#This Row],[HABER]]-tbal[[#This Row],[DEBE]],0)</f>
        <v>0</v>
      </c>
      <c r="I1606" s="16">
        <f>IF((OR(tbal[[#This Row],[X]]=1,tbal[[#This Row],[X]]=2)),tbal[[#This Row],[DEUDOR]],0)</f>
        <v>0</v>
      </c>
      <c r="J1606" s="18">
        <f>IF((OR(tbal[[#This Row],[X]]=2,tbal[[#This Row],[X]]=3)),tbal[[#This Row],[ACREEDOR]],0)</f>
        <v>0</v>
      </c>
      <c r="K1606" s="16">
        <f>IF((OR(tbal[[#This Row],[X]]=3,tbal[[#This Row],[X]]=5)),tbal[[#This Row],[DEUDOR]],0)</f>
        <v>0</v>
      </c>
      <c r="L1606" s="18">
        <f>IF((OR(tbal[[#This Row],[X]]=3,tbal[[#This Row],[X]]=4)),tbal[[#This Row],[ACREEDOR]],0)</f>
        <v>0</v>
      </c>
      <c r="M1606" s="16">
        <f>IF((OR(tbal[[#This Row],[X]]=0,tbal[[#This Row],[X]]=6)),tbal[[#This Row],[DEUDOR]],0)</f>
        <v>0</v>
      </c>
      <c r="N1606" s="18">
        <f>IF((OR(tbal[[#This Row],[X]]=0,tbal[[#This Row],[X]]=5)),tbal[[#This Row],[ACREEDOR]],0)</f>
        <v>0</v>
      </c>
    </row>
    <row r="1607" spans="1:14" hidden="1" x14ac:dyDescent="0.3">
      <c r="A1607" s="14">
        <f>+'PLAN DE CUENTAS'!A1607</f>
        <v>0</v>
      </c>
      <c r="B1607" s="13">
        <f>+'PLAN DE CUENTAS'!B1607</f>
        <v>0</v>
      </c>
      <c r="C1607" s="13">
        <f>+'PLAN DE CUENTAS'!C1607</f>
        <v>0</v>
      </c>
      <c r="D1607" t="str">
        <f>IF(tbal[[#This Row],[DEBE]]+tbal[[#This Row],[HABER]]=0,"","X")</f>
        <v/>
      </c>
      <c r="E1607" s="16">
        <f>SUMIF(tdiario[CUENTA],tbal[[#This Row],[CUENTA]],tdiario[DEBE])</f>
        <v>0</v>
      </c>
      <c r="F1607" s="17">
        <f>SUMIF(tdiario[CUENTA],tbal[[#This Row],[CUENTA]],tdiario[HABER])</f>
        <v>0</v>
      </c>
      <c r="G1607" s="16">
        <f>IF(tbal[[#This Row],[DEBE]]-tbal[[#This Row],[HABER]]&gt;0,tbal[[#This Row],[DEBE]]-tbal[[#This Row],[HABER]],0)</f>
        <v>0</v>
      </c>
      <c r="H1607" s="18">
        <f>IF(tbal[[#This Row],[HABER]]-tbal[[#This Row],[DEBE]]&gt;0,tbal[[#This Row],[HABER]]-tbal[[#This Row],[DEBE]],0)</f>
        <v>0</v>
      </c>
      <c r="I1607" s="16">
        <f>IF((OR(tbal[[#This Row],[X]]=1,tbal[[#This Row],[X]]=2)),tbal[[#This Row],[DEUDOR]],0)</f>
        <v>0</v>
      </c>
      <c r="J1607" s="18">
        <f>IF((OR(tbal[[#This Row],[X]]=2,tbal[[#This Row],[X]]=3)),tbal[[#This Row],[ACREEDOR]],0)</f>
        <v>0</v>
      </c>
      <c r="K1607" s="16">
        <f>IF((OR(tbal[[#This Row],[X]]=3,tbal[[#This Row],[X]]=5)),tbal[[#This Row],[DEUDOR]],0)</f>
        <v>0</v>
      </c>
      <c r="L1607" s="18">
        <f>IF((OR(tbal[[#This Row],[X]]=3,tbal[[#This Row],[X]]=4)),tbal[[#This Row],[ACREEDOR]],0)</f>
        <v>0</v>
      </c>
      <c r="M1607" s="16">
        <f>IF((OR(tbal[[#This Row],[X]]=0,tbal[[#This Row],[X]]=6)),tbal[[#This Row],[DEUDOR]],0)</f>
        <v>0</v>
      </c>
      <c r="N1607" s="18">
        <f>IF((OR(tbal[[#This Row],[X]]=0,tbal[[#This Row],[X]]=5)),tbal[[#This Row],[ACREEDOR]],0)</f>
        <v>0</v>
      </c>
    </row>
    <row r="1608" spans="1:14" hidden="1" x14ac:dyDescent="0.3">
      <c r="A1608" s="14">
        <f>+'PLAN DE CUENTAS'!A1608</f>
        <v>0</v>
      </c>
      <c r="B1608" s="13">
        <f>+'PLAN DE CUENTAS'!B1608</f>
        <v>0</v>
      </c>
      <c r="C1608" s="13">
        <f>+'PLAN DE CUENTAS'!C1608</f>
        <v>0</v>
      </c>
      <c r="D1608" t="str">
        <f>IF(tbal[[#This Row],[DEBE]]+tbal[[#This Row],[HABER]]=0,"","X")</f>
        <v/>
      </c>
      <c r="E1608" s="16">
        <f>SUMIF(tdiario[CUENTA],tbal[[#This Row],[CUENTA]],tdiario[DEBE])</f>
        <v>0</v>
      </c>
      <c r="F1608" s="17">
        <f>SUMIF(tdiario[CUENTA],tbal[[#This Row],[CUENTA]],tdiario[HABER])</f>
        <v>0</v>
      </c>
      <c r="G1608" s="16">
        <f>IF(tbal[[#This Row],[DEBE]]-tbal[[#This Row],[HABER]]&gt;0,tbal[[#This Row],[DEBE]]-tbal[[#This Row],[HABER]],0)</f>
        <v>0</v>
      </c>
      <c r="H1608" s="18">
        <f>IF(tbal[[#This Row],[HABER]]-tbal[[#This Row],[DEBE]]&gt;0,tbal[[#This Row],[HABER]]-tbal[[#This Row],[DEBE]],0)</f>
        <v>0</v>
      </c>
      <c r="I1608" s="16">
        <f>IF((OR(tbal[[#This Row],[X]]=1,tbal[[#This Row],[X]]=2)),tbal[[#This Row],[DEUDOR]],0)</f>
        <v>0</v>
      </c>
      <c r="J1608" s="18">
        <f>IF((OR(tbal[[#This Row],[X]]=2,tbal[[#This Row],[X]]=3)),tbal[[#This Row],[ACREEDOR]],0)</f>
        <v>0</v>
      </c>
      <c r="K1608" s="16">
        <f>IF((OR(tbal[[#This Row],[X]]=3,tbal[[#This Row],[X]]=5)),tbal[[#This Row],[DEUDOR]],0)</f>
        <v>0</v>
      </c>
      <c r="L1608" s="18">
        <f>IF((OR(tbal[[#This Row],[X]]=3,tbal[[#This Row],[X]]=4)),tbal[[#This Row],[ACREEDOR]],0)</f>
        <v>0</v>
      </c>
      <c r="M1608" s="16">
        <f>IF((OR(tbal[[#This Row],[X]]=0,tbal[[#This Row],[X]]=6)),tbal[[#This Row],[DEUDOR]],0)</f>
        <v>0</v>
      </c>
      <c r="N1608" s="18">
        <f>IF((OR(tbal[[#This Row],[X]]=0,tbal[[#This Row],[X]]=5)),tbal[[#This Row],[ACREEDOR]],0)</f>
        <v>0</v>
      </c>
    </row>
    <row r="1609" spans="1:14" hidden="1" x14ac:dyDescent="0.3">
      <c r="A1609" s="14">
        <f>+'PLAN DE CUENTAS'!A1609</f>
        <v>0</v>
      </c>
      <c r="B1609" s="13">
        <f>+'PLAN DE CUENTAS'!B1609</f>
        <v>0</v>
      </c>
      <c r="C1609" s="13">
        <f>+'PLAN DE CUENTAS'!C1609</f>
        <v>0</v>
      </c>
      <c r="D1609" t="str">
        <f>IF(tbal[[#This Row],[DEBE]]+tbal[[#This Row],[HABER]]=0,"","X")</f>
        <v/>
      </c>
      <c r="E1609" s="16">
        <f>SUMIF(tdiario[CUENTA],tbal[[#This Row],[CUENTA]],tdiario[DEBE])</f>
        <v>0</v>
      </c>
      <c r="F1609" s="17">
        <f>SUMIF(tdiario[CUENTA],tbal[[#This Row],[CUENTA]],tdiario[HABER])</f>
        <v>0</v>
      </c>
      <c r="G1609" s="16">
        <f>IF(tbal[[#This Row],[DEBE]]-tbal[[#This Row],[HABER]]&gt;0,tbal[[#This Row],[DEBE]]-tbal[[#This Row],[HABER]],0)</f>
        <v>0</v>
      </c>
      <c r="H1609" s="18">
        <f>IF(tbal[[#This Row],[HABER]]-tbal[[#This Row],[DEBE]]&gt;0,tbal[[#This Row],[HABER]]-tbal[[#This Row],[DEBE]],0)</f>
        <v>0</v>
      </c>
      <c r="I1609" s="16">
        <f>IF((OR(tbal[[#This Row],[X]]=1,tbal[[#This Row],[X]]=2)),tbal[[#This Row],[DEUDOR]],0)</f>
        <v>0</v>
      </c>
      <c r="J1609" s="18">
        <f>IF((OR(tbal[[#This Row],[X]]=2,tbal[[#This Row],[X]]=3)),tbal[[#This Row],[ACREEDOR]],0)</f>
        <v>0</v>
      </c>
      <c r="K1609" s="16">
        <f>IF((OR(tbal[[#This Row],[X]]=3,tbal[[#This Row],[X]]=5)),tbal[[#This Row],[DEUDOR]],0)</f>
        <v>0</v>
      </c>
      <c r="L1609" s="18">
        <f>IF((OR(tbal[[#This Row],[X]]=3,tbal[[#This Row],[X]]=4)),tbal[[#This Row],[ACREEDOR]],0)</f>
        <v>0</v>
      </c>
      <c r="M1609" s="16">
        <f>IF((OR(tbal[[#This Row],[X]]=0,tbal[[#This Row],[X]]=6)),tbal[[#This Row],[DEUDOR]],0)</f>
        <v>0</v>
      </c>
      <c r="N1609" s="18">
        <f>IF((OR(tbal[[#This Row],[X]]=0,tbal[[#This Row],[X]]=5)),tbal[[#This Row],[ACREEDOR]],0)</f>
        <v>0</v>
      </c>
    </row>
    <row r="1610" spans="1:14" hidden="1" x14ac:dyDescent="0.3">
      <c r="A1610" s="14">
        <f>+'PLAN DE CUENTAS'!A1610</f>
        <v>0</v>
      </c>
      <c r="B1610" s="13">
        <f>+'PLAN DE CUENTAS'!B1610</f>
        <v>0</v>
      </c>
      <c r="C1610" s="13">
        <f>+'PLAN DE CUENTAS'!C1610</f>
        <v>0</v>
      </c>
      <c r="D1610" t="str">
        <f>IF(tbal[[#This Row],[DEBE]]+tbal[[#This Row],[HABER]]=0,"","X")</f>
        <v/>
      </c>
      <c r="E1610" s="16">
        <f>SUMIF(tdiario[CUENTA],tbal[[#This Row],[CUENTA]],tdiario[DEBE])</f>
        <v>0</v>
      </c>
      <c r="F1610" s="17">
        <f>SUMIF(tdiario[CUENTA],tbal[[#This Row],[CUENTA]],tdiario[HABER])</f>
        <v>0</v>
      </c>
      <c r="G1610" s="16">
        <f>IF(tbal[[#This Row],[DEBE]]-tbal[[#This Row],[HABER]]&gt;0,tbal[[#This Row],[DEBE]]-tbal[[#This Row],[HABER]],0)</f>
        <v>0</v>
      </c>
      <c r="H1610" s="18">
        <f>IF(tbal[[#This Row],[HABER]]-tbal[[#This Row],[DEBE]]&gt;0,tbal[[#This Row],[HABER]]-tbal[[#This Row],[DEBE]],0)</f>
        <v>0</v>
      </c>
      <c r="I1610" s="16">
        <f>IF((OR(tbal[[#This Row],[X]]=1,tbal[[#This Row],[X]]=2)),tbal[[#This Row],[DEUDOR]],0)</f>
        <v>0</v>
      </c>
      <c r="J1610" s="18">
        <f>IF((OR(tbal[[#This Row],[X]]=2,tbal[[#This Row],[X]]=3)),tbal[[#This Row],[ACREEDOR]],0)</f>
        <v>0</v>
      </c>
      <c r="K1610" s="16">
        <f>IF((OR(tbal[[#This Row],[X]]=3,tbal[[#This Row],[X]]=5)),tbal[[#This Row],[DEUDOR]],0)</f>
        <v>0</v>
      </c>
      <c r="L1610" s="18">
        <f>IF((OR(tbal[[#This Row],[X]]=3,tbal[[#This Row],[X]]=4)),tbal[[#This Row],[ACREEDOR]],0)</f>
        <v>0</v>
      </c>
      <c r="M1610" s="16">
        <f>IF((OR(tbal[[#This Row],[X]]=0,tbal[[#This Row],[X]]=6)),tbal[[#This Row],[DEUDOR]],0)</f>
        <v>0</v>
      </c>
      <c r="N1610" s="18">
        <f>IF((OR(tbal[[#This Row],[X]]=0,tbal[[#This Row],[X]]=5)),tbal[[#This Row],[ACREEDOR]],0)</f>
        <v>0</v>
      </c>
    </row>
    <row r="1611" spans="1:14" hidden="1" x14ac:dyDescent="0.3">
      <c r="A1611" s="14">
        <f>+'PLAN DE CUENTAS'!A1611</f>
        <v>0</v>
      </c>
      <c r="B1611" s="13">
        <f>+'PLAN DE CUENTAS'!B1611</f>
        <v>0</v>
      </c>
      <c r="C1611" s="13">
        <f>+'PLAN DE CUENTAS'!C1611</f>
        <v>0</v>
      </c>
      <c r="D1611" t="str">
        <f>IF(tbal[[#This Row],[DEBE]]+tbal[[#This Row],[HABER]]=0,"","X")</f>
        <v/>
      </c>
      <c r="E1611" s="16">
        <f>SUMIF(tdiario[CUENTA],tbal[[#This Row],[CUENTA]],tdiario[DEBE])</f>
        <v>0</v>
      </c>
      <c r="F1611" s="17">
        <f>SUMIF(tdiario[CUENTA],tbal[[#This Row],[CUENTA]],tdiario[HABER])</f>
        <v>0</v>
      </c>
      <c r="G1611" s="16">
        <f>IF(tbal[[#This Row],[DEBE]]-tbal[[#This Row],[HABER]]&gt;0,tbal[[#This Row],[DEBE]]-tbal[[#This Row],[HABER]],0)</f>
        <v>0</v>
      </c>
      <c r="H1611" s="18">
        <f>IF(tbal[[#This Row],[HABER]]-tbal[[#This Row],[DEBE]]&gt;0,tbal[[#This Row],[HABER]]-tbal[[#This Row],[DEBE]],0)</f>
        <v>0</v>
      </c>
      <c r="I1611" s="16">
        <f>IF((OR(tbal[[#This Row],[X]]=1,tbal[[#This Row],[X]]=2)),tbal[[#This Row],[DEUDOR]],0)</f>
        <v>0</v>
      </c>
      <c r="J1611" s="18">
        <f>IF((OR(tbal[[#This Row],[X]]=2,tbal[[#This Row],[X]]=3)),tbal[[#This Row],[ACREEDOR]],0)</f>
        <v>0</v>
      </c>
      <c r="K1611" s="16">
        <f>IF((OR(tbal[[#This Row],[X]]=3,tbal[[#This Row],[X]]=5)),tbal[[#This Row],[DEUDOR]],0)</f>
        <v>0</v>
      </c>
      <c r="L1611" s="18">
        <f>IF((OR(tbal[[#This Row],[X]]=3,tbal[[#This Row],[X]]=4)),tbal[[#This Row],[ACREEDOR]],0)</f>
        <v>0</v>
      </c>
      <c r="M1611" s="16">
        <f>IF((OR(tbal[[#This Row],[X]]=0,tbal[[#This Row],[X]]=6)),tbal[[#This Row],[DEUDOR]],0)</f>
        <v>0</v>
      </c>
      <c r="N1611" s="18">
        <f>IF((OR(tbal[[#This Row],[X]]=0,tbal[[#This Row],[X]]=5)),tbal[[#This Row],[ACREEDOR]],0)</f>
        <v>0</v>
      </c>
    </row>
    <row r="1612" spans="1:14" hidden="1" x14ac:dyDescent="0.3">
      <c r="A1612" s="14">
        <f>+'PLAN DE CUENTAS'!A1612</f>
        <v>0</v>
      </c>
      <c r="B1612" s="13">
        <f>+'PLAN DE CUENTAS'!B1612</f>
        <v>0</v>
      </c>
      <c r="C1612" s="13">
        <f>+'PLAN DE CUENTAS'!C1612</f>
        <v>0</v>
      </c>
      <c r="D1612" t="str">
        <f>IF(tbal[[#This Row],[DEBE]]+tbal[[#This Row],[HABER]]=0,"","X")</f>
        <v/>
      </c>
      <c r="E1612" s="16">
        <f>SUMIF(tdiario[CUENTA],tbal[[#This Row],[CUENTA]],tdiario[DEBE])</f>
        <v>0</v>
      </c>
      <c r="F1612" s="17">
        <f>SUMIF(tdiario[CUENTA],tbal[[#This Row],[CUENTA]],tdiario[HABER])</f>
        <v>0</v>
      </c>
      <c r="G1612" s="16">
        <f>IF(tbal[[#This Row],[DEBE]]-tbal[[#This Row],[HABER]]&gt;0,tbal[[#This Row],[DEBE]]-tbal[[#This Row],[HABER]],0)</f>
        <v>0</v>
      </c>
      <c r="H1612" s="18">
        <f>IF(tbal[[#This Row],[HABER]]-tbal[[#This Row],[DEBE]]&gt;0,tbal[[#This Row],[HABER]]-tbal[[#This Row],[DEBE]],0)</f>
        <v>0</v>
      </c>
      <c r="I1612" s="16">
        <f>IF((OR(tbal[[#This Row],[X]]=1,tbal[[#This Row],[X]]=2)),tbal[[#This Row],[DEUDOR]],0)</f>
        <v>0</v>
      </c>
      <c r="J1612" s="18">
        <f>IF((OR(tbal[[#This Row],[X]]=2,tbal[[#This Row],[X]]=3)),tbal[[#This Row],[ACREEDOR]],0)</f>
        <v>0</v>
      </c>
      <c r="K1612" s="16">
        <f>IF((OR(tbal[[#This Row],[X]]=3,tbal[[#This Row],[X]]=5)),tbal[[#This Row],[DEUDOR]],0)</f>
        <v>0</v>
      </c>
      <c r="L1612" s="18">
        <f>IF((OR(tbal[[#This Row],[X]]=3,tbal[[#This Row],[X]]=4)),tbal[[#This Row],[ACREEDOR]],0)</f>
        <v>0</v>
      </c>
      <c r="M1612" s="16">
        <f>IF((OR(tbal[[#This Row],[X]]=0,tbal[[#This Row],[X]]=6)),tbal[[#This Row],[DEUDOR]],0)</f>
        <v>0</v>
      </c>
      <c r="N1612" s="18">
        <f>IF((OR(tbal[[#This Row],[X]]=0,tbal[[#This Row],[X]]=5)),tbal[[#This Row],[ACREEDOR]],0)</f>
        <v>0</v>
      </c>
    </row>
    <row r="1613" spans="1:14" hidden="1" x14ac:dyDescent="0.3">
      <c r="A1613" s="14">
        <f>+'PLAN DE CUENTAS'!A1613</f>
        <v>0</v>
      </c>
      <c r="B1613" s="13">
        <f>+'PLAN DE CUENTAS'!B1613</f>
        <v>0</v>
      </c>
      <c r="C1613" s="13">
        <f>+'PLAN DE CUENTAS'!C1613</f>
        <v>0</v>
      </c>
      <c r="D1613" t="str">
        <f>IF(tbal[[#This Row],[DEBE]]+tbal[[#This Row],[HABER]]=0,"","X")</f>
        <v/>
      </c>
      <c r="E1613" s="16">
        <f>SUMIF(tdiario[CUENTA],tbal[[#This Row],[CUENTA]],tdiario[DEBE])</f>
        <v>0</v>
      </c>
      <c r="F1613" s="17">
        <f>SUMIF(tdiario[CUENTA],tbal[[#This Row],[CUENTA]],tdiario[HABER])</f>
        <v>0</v>
      </c>
      <c r="G1613" s="16">
        <f>IF(tbal[[#This Row],[DEBE]]-tbal[[#This Row],[HABER]]&gt;0,tbal[[#This Row],[DEBE]]-tbal[[#This Row],[HABER]],0)</f>
        <v>0</v>
      </c>
      <c r="H1613" s="18">
        <f>IF(tbal[[#This Row],[HABER]]-tbal[[#This Row],[DEBE]]&gt;0,tbal[[#This Row],[HABER]]-tbal[[#This Row],[DEBE]],0)</f>
        <v>0</v>
      </c>
      <c r="I1613" s="16">
        <f>IF((OR(tbal[[#This Row],[X]]=1,tbal[[#This Row],[X]]=2)),tbal[[#This Row],[DEUDOR]],0)</f>
        <v>0</v>
      </c>
      <c r="J1613" s="18">
        <f>IF((OR(tbal[[#This Row],[X]]=2,tbal[[#This Row],[X]]=3)),tbal[[#This Row],[ACREEDOR]],0)</f>
        <v>0</v>
      </c>
      <c r="K1613" s="16">
        <f>IF((OR(tbal[[#This Row],[X]]=3,tbal[[#This Row],[X]]=5)),tbal[[#This Row],[DEUDOR]],0)</f>
        <v>0</v>
      </c>
      <c r="L1613" s="18">
        <f>IF((OR(tbal[[#This Row],[X]]=3,tbal[[#This Row],[X]]=4)),tbal[[#This Row],[ACREEDOR]],0)</f>
        <v>0</v>
      </c>
      <c r="M1613" s="16">
        <f>IF((OR(tbal[[#This Row],[X]]=0,tbal[[#This Row],[X]]=6)),tbal[[#This Row],[DEUDOR]],0)</f>
        <v>0</v>
      </c>
      <c r="N1613" s="18">
        <f>IF((OR(tbal[[#This Row],[X]]=0,tbal[[#This Row],[X]]=5)),tbal[[#This Row],[ACREEDOR]],0)</f>
        <v>0</v>
      </c>
    </row>
    <row r="1614" spans="1:14" hidden="1" x14ac:dyDescent="0.3">
      <c r="A1614" s="14">
        <f>+'PLAN DE CUENTAS'!A1614</f>
        <v>0</v>
      </c>
      <c r="B1614" s="13">
        <f>+'PLAN DE CUENTAS'!B1614</f>
        <v>0</v>
      </c>
      <c r="C1614" s="13">
        <f>+'PLAN DE CUENTAS'!C1614</f>
        <v>0</v>
      </c>
      <c r="D1614" t="str">
        <f>IF(tbal[[#This Row],[DEBE]]+tbal[[#This Row],[HABER]]=0,"","X")</f>
        <v/>
      </c>
      <c r="E1614" s="16">
        <f>SUMIF(tdiario[CUENTA],tbal[[#This Row],[CUENTA]],tdiario[DEBE])</f>
        <v>0</v>
      </c>
      <c r="F1614" s="17">
        <f>SUMIF(tdiario[CUENTA],tbal[[#This Row],[CUENTA]],tdiario[HABER])</f>
        <v>0</v>
      </c>
      <c r="G1614" s="16">
        <f>IF(tbal[[#This Row],[DEBE]]-tbal[[#This Row],[HABER]]&gt;0,tbal[[#This Row],[DEBE]]-tbal[[#This Row],[HABER]],0)</f>
        <v>0</v>
      </c>
      <c r="H1614" s="18">
        <f>IF(tbal[[#This Row],[HABER]]-tbal[[#This Row],[DEBE]]&gt;0,tbal[[#This Row],[HABER]]-tbal[[#This Row],[DEBE]],0)</f>
        <v>0</v>
      </c>
      <c r="I1614" s="16">
        <f>IF((OR(tbal[[#This Row],[X]]=1,tbal[[#This Row],[X]]=2)),tbal[[#This Row],[DEUDOR]],0)</f>
        <v>0</v>
      </c>
      <c r="J1614" s="18">
        <f>IF((OR(tbal[[#This Row],[X]]=2,tbal[[#This Row],[X]]=3)),tbal[[#This Row],[ACREEDOR]],0)</f>
        <v>0</v>
      </c>
      <c r="K1614" s="16">
        <f>IF((OR(tbal[[#This Row],[X]]=3,tbal[[#This Row],[X]]=5)),tbal[[#This Row],[DEUDOR]],0)</f>
        <v>0</v>
      </c>
      <c r="L1614" s="18">
        <f>IF((OR(tbal[[#This Row],[X]]=3,tbal[[#This Row],[X]]=4)),tbal[[#This Row],[ACREEDOR]],0)</f>
        <v>0</v>
      </c>
      <c r="M1614" s="16">
        <f>IF((OR(tbal[[#This Row],[X]]=0,tbal[[#This Row],[X]]=6)),tbal[[#This Row],[DEUDOR]],0)</f>
        <v>0</v>
      </c>
      <c r="N1614" s="18">
        <f>IF((OR(tbal[[#This Row],[X]]=0,tbal[[#This Row],[X]]=5)),tbal[[#This Row],[ACREEDOR]],0)</f>
        <v>0</v>
      </c>
    </row>
    <row r="1615" spans="1:14" hidden="1" x14ac:dyDescent="0.3">
      <c r="A1615" s="14">
        <f>+'PLAN DE CUENTAS'!A1615</f>
        <v>0</v>
      </c>
      <c r="B1615" s="13">
        <f>+'PLAN DE CUENTAS'!B1615</f>
        <v>0</v>
      </c>
      <c r="C1615" s="13">
        <f>+'PLAN DE CUENTAS'!C1615</f>
        <v>0</v>
      </c>
      <c r="D1615" t="str">
        <f>IF(tbal[[#This Row],[DEBE]]+tbal[[#This Row],[HABER]]=0,"","X")</f>
        <v/>
      </c>
      <c r="E1615" s="16">
        <f>SUMIF(tdiario[CUENTA],tbal[[#This Row],[CUENTA]],tdiario[DEBE])</f>
        <v>0</v>
      </c>
      <c r="F1615" s="17">
        <f>SUMIF(tdiario[CUENTA],tbal[[#This Row],[CUENTA]],tdiario[HABER])</f>
        <v>0</v>
      </c>
      <c r="G1615" s="16">
        <f>IF(tbal[[#This Row],[DEBE]]-tbal[[#This Row],[HABER]]&gt;0,tbal[[#This Row],[DEBE]]-tbal[[#This Row],[HABER]],0)</f>
        <v>0</v>
      </c>
      <c r="H1615" s="18">
        <f>IF(tbal[[#This Row],[HABER]]-tbal[[#This Row],[DEBE]]&gt;0,tbal[[#This Row],[HABER]]-tbal[[#This Row],[DEBE]],0)</f>
        <v>0</v>
      </c>
      <c r="I1615" s="16">
        <f>IF((OR(tbal[[#This Row],[X]]=1,tbal[[#This Row],[X]]=2)),tbal[[#This Row],[DEUDOR]],0)</f>
        <v>0</v>
      </c>
      <c r="J1615" s="18">
        <f>IF((OR(tbal[[#This Row],[X]]=2,tbal[[#This Row],[X]]=3)),tbal[[#This Row],[ACREEDOR]],0)</f>
        <v>0</v>
      </c>
      <c r="K1615" s="16">
        <f>IF((OR(tbal[[#This Row],[X]]=3,tbal[[#This Row],[X]]=5)),tbal[[#This Row],[DEUDOR]],0)</f>
        <v>0</v>
      </c>
      <c r="L1615" s="18">
        <f>IF((OR(tbal[[#This Row],[X]]=3,tbal[[#This Row],[X]]=4)),tbal[[#This Row],[ACREEDOR]],0)</f>
        <v>0</v>
      </c>
      <c r="M1615" s="16">
        <f>IF((OR(tbal[[#This Row],[X]]=0,tbal[[#This Row],[X]]=6)),tbal[[#This Row],[DEUDOR]],0)</f>
        <v>0</v>
      </c>
      <c r="N1615" s="18">
        <f>IF((OR(tbal[[#This Row],[X]]=0,tbal[[#This Row],[X]]=5)),tbal[[#This Row],[ACREEDOR]],0)</f>
        <v>0</v>
      </c>
    </row>
    <row r="1616" spans="1:14" hidden="1" x14ac:dyDescent="0.3">
      <c r="A1616" s="14">
        <f>+'PLAN DE CUENTAS'!A1616</f>
        <v>0</v>
      </c>
      <c r="B1616" s="13">
        <f>+'PLAN DE CUENTAS'!B1616</f>
        <v>0</v>
      </c>
      <c r="C1616" s="13">
        <f>+'PLAN DE CUENTAS'!C1616</f>
        <v>0</v>
      </c>
      <c r="D1616" t="str">
        <f>IF(tbal[[#This Row],[DEBE]]+tbal[[#This Row],[HABER]]=0,"","X")</f>
        <v/>
      </c>
      <c r="E1616" s="16">
        <f>SUMIF(tdiario[CUENTA],tbal[[#This Row],[CUENTA]],tdiario[DEBE])</f>
        <v>0</v>
      </c>
      <c r="F1616" s="17">
        <f>SUMIF(tdiario[CUENTA],tbal[[#This Row],[CUENTA]],tdiario[HABER])</f>
        <v>0</v>
      </c>
      <c r="G1616" s="16">
        <f>IF(tbal[[#This Row],[DEBE]]-tbal[[#This Row],[HABER]]&gt;0,tbal[[#This Row],[DEBE]]-tbal[[#This Row],[HABER]],0)</f>
        <v>0</v>
      </c>
      <c r="H1616" s="18">
        <f>IF(tbal[[#This Row],[HABER]]-tbal[[#This Row],[DEBE]]&gt;0,tbal[[#This Row],[HABER]]-tbal[[#This Row],[DEBE]],0)</f>
        <v>0</v>
      </c>
      <c r="I1616" s="16">
        <f>IF((OR(tbal[[#This Row],[X]]=1,tbal[[#This Row],[X]]=2)),tbal[[#This Row],[DEUDOR]],0)</f>
        <v>0</v>
      </c>
      <c r="J1616" s="18">
        <f>IF((OR(tbal[[#This Row],[X]]=2,tbal[[#This Row],[X]]=3)),tbal[[#This Row],[ACREEDOR]],0)</f>
        <v>0</v>
      </c>
      <c r="K1616" s="16">
        <f>IF((OR(tbal[[#This Row],[X]]=3,tbal[[#This Row],[X]]=5)),tbal[[#This Row],[DEUDOR]],0)</f>
        <v>0</v>
      </c>
      <c r="L1616" s="18">
        <f>IF((OR(tbal[[#This Row],[X]]=3,tbal[[#This Row],[X]]=4)),tbal[[#This Row],[ACREEDOR]],0)</f>
        <v>0</v>
      </c>
      <c r="M1616" s="16">
        <f>IF((OR(tbal[[#This Row],[X]]=0,tbal[[#This Row],[X]]=6)),tbal[[#This Row],[DEUDOR]],0)</f>
        <v>0</v>
      </c>
      <c r="N1616" s="18">
        <f>IF((OR(tbal[[#This Row],[X]]=0,tbal[[#This Row],[X]]=5)),tbal[[#This Row],[ACREEDOR]],0)</f>
        <v>0</v>
      </c>
    </row>
    <row r="1617" spans="1:14" hidden="1" x14ac:dyDescent="0.3">
      <c r="A1617" s="14">
        <f>+'PLAN DE CUENTAS'!A1617</f>
        <v>0</v>
      </c>
      <c r="B1617" s="13">
        <f>+'PLAN DE CUENTAS'!B1617</f>
        <v>0</v>
      </c>
      <c r="C1617" s="13">
        <f>+'PLAN DE CUENTAS'!C1617</f>
        <v>0</v>
      </c>
      <c r="D1617" t="str">
        <f>IF(tbal[[#This Row],[DEBE]]+tbal[[#This Row],[HABER]]=0,"","X")</f>
        <v/>
      </c>
      <c r="E1617" s="16">
        <f>SUMIF(tdiario[CUENTA],tbal[[#This Row],[CUENTA]],tdiario[DEBE])</f>
        <v>0</v>
      </c>
      <c r="F1617" s="17">
        <f>SUMIF(tdiario[CUENTA],tbal[[#This Row],[CUENTA]],tdiario[HABER])</f>
        <v>0</v>
      </c>
      <c r="G1617" s="16">
        <f>IF(tbal[[#This Row],[DEBE]]-tbal[[#This Row],[HABER]]&gt;0,tbal[[#This Row],[DEBE]]-tbal[[#This Row],[HABER]],0)</f>
        <v>0</v>
      </c>
      <c r="H1617" s="18">
        <f>IF(tbal[[#This Row],[HABER]]-tbal[[#This Row],[DEBE]]&gt;0,tbal[[#This Row],[HABER]]-tbal[[#This Row],[DEBE]],0)</f>
        <v>0</v>
      </c>
      <c r="I1617" s="16">
        <f>IF((OR(tbal[[#This Row],[X]]=1,tbal[[#This Row],[X]]=2)),tbal[[#This Row],[DEUDOR]],0)</f>
        <v>0</v>
      </c>
      <c r="J1617" s="18">
        <f>IF((OR(tbal[[#This Row],[X]]=2,tbal[[#This Row],[X]]=3)),tbal[[#This Row],[ACREEDOR]],0)</f>
        <v>0</v>
      </c>
      <c r="K1617" s="16">
        <f>IF((OR(tbal[[#This Row],[X]]=3,tbal[[#This Row],[X]]=5)),tbal[[#This Row],[DEUDOR]],0)</f>
        <v>0</v>
      </c>
      <c r="L1617" s="18">
        <f>IF((OR(tbal[[#This Row],[X]]=3,tbal[[#This Row],[X]]=4)),tbal[[#This Row],[ACREEDOR]],0)</f>
        <v>0</v>
      </c>
      <c r="M1617" s="16">
        <f>IF((OR(tbal[[#This Row],[X]]=0,tbal[[#This Row],[X]]=6)),tbal[[#This Row],[DEUDOR]],0)</f>
        <v>0</v>
      </c>
      <c r="N1617" s="18">
        <f>IF((OR(tbal[[#This Row],[X]]=0,tbal[[#This Row],[X]]=5)),tbal[[#This Row],[ACREEDOR]],0)</f>
        <v>0</v>
      </c>
    </row>
    <row r="1618" spans="1:14" hidden="1" x14ac:dyDescent="0.3">
      <c r="A1618" s="14">
        <f>+'PLAN DE CUENTAS'!A1618</f>
        <v>0</v>
      </c>
      <c r="B1618" s="13">
        <f>+'PLAN DE CUENTAS'!B1618</f>
        <v>0</v>
      </c>
      <c r="C1618" s="13">
        <f>+'PLAN DE CUENTAS'!C1618</f>
        <v>0</v>
      </c>
      <c r="D1618" t="str">
        <f>IF(tbal[[#This Row],[DEBE]]+tbal[[#This Row],[HABER]]=0,"","X")</f>
        <v/>
      </c>
      <c r="E1618" s="16">
        <f>SUMIF(tdiario[CUENTA],tbal[[#This Row],[CUENTA]],tdiario[DEBE])</f>
        <v>0</v>
      </c>
      <c r="F1618" s="17">
        <f>SUMIF(tdiario[CUENTA],tbal[[#This Row],[CUENTA]],tdiario[HABER])</f>
        <v>0</v>
      </c>
      <c r="G1618" s="16">
        <f>IF(tbal[[#This Row],[DEBE]]-tbal[[#This Row],[HABER]]&gt;0,tbal[[#This Row],[DEBE]]-tbal[[#This Row],[HABER]],0)</f>
        <v>0</v>
      </c>
      <c r="H1618" s="18">
        <f>IF(tbal[[#This Row],[HABER]]-tbal[[#This Row],[DEBE]]&gt;0,tbal[[#This Row],[HABER]]-tbal[[#This Row],[DEBE]],0)</f>
        <v>0</v>
      </c>
      <c r="I1618" s="16">
        <f>IF((OR(tbal[[#This Row],[X]]=1,tbal[[#This Row],[X]]=2)),tbal[[#This Row],[DEUDOR]],0)</f>
        <v>0</v>
      </c>
      <c r="J1618" s="18">
        <f>IF((OR(tbal[[#This Row],[X]]=2,tbal[[#This Row],[X]]=3)),tbal[[#This Row],[ACREEDOR]],0)</f>
        <v>0</v>
      </c>
      <c r="K1618" s="16">
        <f>IF((OR(tbal[[#This Row],[X]]=3,tbal[[#This Row],[X]]=5)),tbal[[#This Row],[DEUDOR]],0)</f>
        <v>0</v>
      </c>
      <c r="L1618" s="18">
        <f>IF((OR(tbal[[#This Row],[X]]=3,tbal[[#This Row],[X]]=4)),tbal[[#This Row],[ACREEDOR]],0)</f>
        <v>0</v>
      </c>
      <c r="M1618" s="16">
        <f>IF((OR(tbal[[#This Row],[X]]=0,tbal[[#This Row],[X]]=6)),tbal[[#This Row],[DEUDOR]],0)</f>
        <v>0</v>
      </c>
      <c r="N1618" s="18">
        <f>IF((OR(tbal[[#This Row],[X]]=0,tbal[[#This Row],[X]]=5)),tbal[[#This Row],[ACREEDOR]],0)</f>
        <v>0</v>
      </c>
    </row>
    <row r="1619" spans="1:14" hidden="1" x14ac:dyDescent="0.3">
      <c r="A1619" s="14">
        <f>+'PLAN DE CUENTAS'!A1619</f>
        <v>0</v>
      </c>
      <c r="B1619" s="13">
        <f>+'PLAN DE CUENTAS'!B1619</f>
        <v>0</v>
      </c>
      <c r="C1619" s="13">
        <f>+'PLAN DE CUENTAS'!C1619</f>
        <v>0</v>
      </c>
      <c r="D1619" t="str">
        <f>IF(tbal[[#This Row],[DEBE]]+tbal[[#This Row],[HABER]]=0,"","X")</f>
        <v/>
      </c>
      <c r="E1619" s="16">
        <f>SUMIF(tdiario[CUENTA],tbal[[#This Row],[CUENTA]],tdiario[DEBE])</f>
        <v>0</v>
      </c>
      <c r="F1619" s="17">
        <f>SUMIF(tdiario[CUENTA],tbal[[#This Row],[CUENTA]],tdiario[HABER])</f>
        <v>0</v>
      </c>
      <c r="G1619" s="16">
        <f>IF(tbal[[#This Row],[DEBE]]-tbal[[#This Row],[HABER]]&gt;0,tbal[[#This Row],[DEBE]]-tbal[[#This Row],[HABER]],0)</f>
        <v>0</v>
      </c>
      <c r="H1619" s="18">
        <f>IF(tbal[[#This Row],[HABER]]-tbal[[#This Row],[DEBE]]&gt;0,tbal[[#This Row],[HABER]]-tbal[[#This Row],[DEBE]],0)</f>
        <v>0</v>
      </c>
      <c r="I1619" s="16">
        <f>IF((OR(tbal[[#This Row],[X]]=1,tbal[[#This Row],[X]]=2)),tbal[[#This Row],[DEUDOR]],0)</f>
        <v>0</v>
      </c>
      <c r="J1619" s="18">
        <f>IF((OR(tbal[[#This Row],[X]]=2,tbal[[#This Row],[X]]=3)),tbal[[#This Row],[ACREEDOR]],0)</f>
        <v>0</v>
      </c>
      <c r="K1619" s="16">
        <f>IF((OR(tbal[[#This Row],[X]]=3,tbal[[#This Row],[X]]=5)),tbal[[#This Row],[DEUDOR]],0)</f>
        <v>0</v>
      </c>
      <c r="L1619" s="18">
        <f>IF((OR(tbal[[#This Row],[X]]=3,tbal[[#This Row],[X]]=4)),tbal[[#This Row],[ACREEDOR]],0)</f>
        <v>0</v>
      </c>
      <c r="M1619" s="16">
        <f>IF((OR(tbal[[#This Row],[X]]=0,tbal[[#This Row],[X]]=6)),tbal[[#This Row],[DEUDOR]],0)</f>
        <v>0</v>
      </c>
      <c r="N1619" s="18">
        <f>IF((OR(tbal[[#This Row],[X]]=0,tbal[[#This Row],[X]]=5)),tbal[[#This Row],[ACREEDOR]],0)</f>
        <v>0</v>
      </c>
    </row>
    <row r="1620" spans="1:14" hidden="1" x14ac:dyDescent="0.3">
      <c r="A1620" s="14">
        <f>+'PLAN DE CUENTAS'!A1620</f>
        <v>0</v>
      </c>
      <c r="B1620" s="13">
        <f>+'PLAN DE CUENTAS'!B1620</f>
        <v>0</v>
      </c>
      <c r="C1620" s="13">
        <f>+'PLAN DE CUENTAS'!C1620</f>
        <v>0</v>
      </c>
      <c r="D1620" t="str">
        <f>IF(tbal[[#This Row],[DEBE]]+tbal[[#This Row],[HABER]]=0,"","X")</f>
        <v/>
      </c>
      <c r="E1620" s="16">
        <f>SUMIF(tdiario[CUENTA],tbal[[#This Row],[CUENTA]],tdiario[DEBE])</f>
        <v>0</v>
      </c>
      <c r="F1620" s="17">
        <f>SUMIF(tdiario[CUENTA],tbal[[#This Row],[CUENTA]],tdiario[HABER])</f>
        <v>0</v>
      </c>
      <c r="G1620" s="16">
        <f>IF(tbal[[#This Row],[DEBE]]-tbal[[#This Row],[HABER]]&gt;0,tbal[[#This Row],[DEBE]]-tbal[[#This Row],[HABER]],0)</f>
        <v>0</v>
      </c>
      <c r="H1620" s="18">
        <f>IF(tbal[[#This Row],[HABER]]-tbal[[#This Row],[DEBE]]&gt;0,tbal[[#This Row],[HABER]]-tbal[[#This Row],[DEBE]],0)</f>
        <v>0</v>
      </c>
      <c r="I1620" s="16">
        <f>IF((OR(tbal[[#This Row],[X]]=1,tbal[[#This Row],[X]]=2)),tbal[[#This Row],[DEUDOR]],0)</f>
        <v>0</v>
      </c>
      <c r="J1620" s="18">
        <f>IF((OR(tbal[[#This Row],[X]]=2,tbal[[#This Row],[X]]=3)),tbal[[#This Row],[ACREEDOR]],0)</f>
        <v>0</v>
      </c>
      <c r="K1620" s="16">
        <f>IF((OR(tbal[[#This Row],[X]]=3,tbal[[#This Row],[X]]=5)),tbal[[#This Row],[DEUDOR]],0)</f>
        <v>0</v>
      </c>
      <c r="L1620" s="18">
        <f>IF((OR(tbal[[#This Row],[X]]=3,tbal[[#This Row],[X]]=4)),tbal[[#This Row],[ACREEDOR]],0)</f>
        <v>0</v>
      </c>
      <c r="M1620" s="16">
        <f>IF((OR(tbal[[#This Row],[X]]=0,tbal[[#This Row],[X]]=6)),tbal[[#This Row],[DEUDOR]],0)</f>
        <v>0</v>
      </c>
      <c r="N1620" s="18">
        <f>IF((OR(tbal[[#This Row],[X]]=0,tbal[[#This Row],[X]]=5)),tbal[[#This Row],[ACREEDOR]],0)</f>
        <v>0</v>
      </c>
    </row>
    <row r="1621" spans="1:14" hidden="1" x14ac:dyDescent="0.3">
      <c r="A1621" s="14">
        <f>+'PLAN DE CUENTAS'!A1621</f>
        <v>0</v>
      </c>
      <c r="B1621" s="13">
        <f>+'PLAN DE CUENTAS'!B1621</f>
        <v>0</v>
      </c>
      <c r="C1621" s="13">
        <f>+'PLAN DE CUENTAS'!C1621</f>
        <v>0</v>
      </c>
      <c r="D1621" t="str">
        <f>IF(tbal[[#This Row],[DEBE]]+tbal[[#This Row],[HABER]]=0,"","X")</f>
        <v/>
      </c>
      <c r="E1621" s="16">
        <f>SUMIF(tdiario[CUENTA],tbal[[#This Row],[CUENTA]],tdiario[DEBE])</f>
        <v>0</v>
      </c>
      <c r="F1621" s="17">
        <f>SUMIF(tdiario[CUENTA],tbal[[#This Row],[CUENTA]],tdiario[HABER])</f>
        <v>0</v>
      </c>
      <c r="G1621" s="16">
        <f>IF(tbal[[#This Row],[DEBE]]-tbal[[#This Row],[HABER]]&gt;0,tbal[[#This Row],[DEBE]]-tbal[[#This Row],[HABER]],0)</f>
        <v>0</v>
      </c>
      <c r="H1621" s="18">
        <f>IF(tbal[[#This Row],[HABER]]-tbal[[#This Row],[DEBE]]&gt;0,tbal[[#This Row],[HABER]]-tbal[[#This Row],[DEBE]],0)</f>
        <v>0</v>
      </c>
      <c r="I1621" s="16">
        <f>IF((OR(tbal[[#This Row],[X]]=1,tbal[[#This Row],[X]]=2)),tbal[[#This Row],[DEUDOR]],0)</f>
        <v>0</v>
      </c>
      <c r="J1621" s="18">
        <f>IF((OR(tbal[[#This Row],[X]]=2,tbal[[#This Row],[X]]=3)),tbal[[#This Row],[ACREEDOR]],0)</f>
        <v>0</v>
      </c>
      <c r="K1621" s="16">
        <f>IF((OR(tbal[[#This Row],[X]]=3,tbal[[#This Row],[X]]=5)),tbal[[#This Row],[DEUDOR]],0)</f>
        <v>0</v>
      </c>
      <c r="L1621" s="18">
        <f>IF((OR(tbal[[#This Row],[X]]=3,tbal[[#This Row],[X]]=4)),tbal[[#This Row],[ACREEDOR]],0)</f>
        <v>0</v>
      </c>
      <c r="M1621" s="16">
        <f>IF((OR(tbal[[#This Row],[X]]=0,tbal[[#This Row],[X]]=6)),tbal[[#This Row],[DEUDOR]],0)</f>
        <v>0</v>
      </c>
      <c r="N1621" s="18">
        <f>IF((OR(tbal[[#This Row],[X]]=0,tbal[[#This Row],[X]]=5)),tbal[[#This Row],[ACREEDOR]],0)</f>
        <v>0</v>
      </c>
    </row>
    <row r="1622" spans="1:14" hidden="1" x14ac:dyDescent="0.3">
      <c r="A1622" s="14">
        <f>+'PLAN DE CUENTAS'!A1622</f>
        <v>0</v>
      </c>
      <c r="B1622" s="13">
        <f>+'PLAN DE CUENTAS'!B1622</f>
        <v>0</v>
      </c>
      <c r="C1622" s="13">
        <f>+'PLAN DE CUENTAS'!C1622</f>
        <v>0</v>
      </c>
      <c r="D1622" t="str">
        <f>IF(tbal[[#This Row],[DEBE]]+tbal[[#This Row],[HABER]]=0,"","X")</f>
        <v/>
      </c>
      <c r="E1622" s="16">
        <f>SUMIF(tdiario[CUENTA],tbal[[#This Row],[CUENTA]],tdiario[DEBE])</f>
        <v>0</v>
      </c>
      <c r="F1622" s="17">
        <f>SUMIF(tdiario[CUENTA],tbal[[#This Row],[CUENTA]],tdiario[HABER])</f>
        <v>0</v>
      </c>
      <c r="G1622" s="16">
        <f>IF(tbal[[#This Row],[DEBE]]-tbal[[#This Row],[HABER]]&gt;0,tbal[[#This Row],[DEBE]]-tbal[[#This Row],[HABER]],0)</f>
        <v>0</v>
      </c>
      <c r="H1622" s="18">
        <f>IF(tbal[[#This Row],[HABER]]-tbal[[#This Row],[DEBE]]&gt;0,tbal[[#This Row],[HABER]]-tbal[[#This Row],[DEBE]],0)</f>
        <v>0</v>
      </c>
      <c r="I1622" s="16">
        <f>IF((OR(tbal[[#This Row],[X]]=1,tbal[[#This Row],[X]]=2)),tbal[[#This Row],[DEUDOR]],0)</f>
        <v>0</v>
      </c>
      <c r="J1622" s="18">
        <f>IF((OR(tbal[[#This Row],[X]]=2,tbal[[#This Row],[X]]=3)),tbal[[#This Row],[ACREEDOR]],0)</f>
        <v>0</v>
      </c>
      <c r="K1622" s="16">
        <f>IF((OR(tbal[[#This Row],[X]]=3,tbal[[#This Row],[X]]=5)),tbal[[#This Row],[DEUDOR]],0)</f>
        <v>0</v>
      </c>
      <c r="L1622" s="18">
        <f>IF((OR(tbal[[#This Row],[X]]=3,tbal[[#This Row],[X]]=4)),tbal[[#This Row],[ACREEDOR]],0)</f>
        <v>0</v>
      </c>
      <c r="M1622" s="16">
        <f>IF((OR(tbal[[#This Row],[X]]=0,tbal[[#This Row],[X]]=6)),tbal[[#This Row],[DEUDOR]],0)</f>
        <v>0</v>
      </c>
      <c r="N1622" s="18">
        <f>IF((OR(tbal[[#This Row],[X]]=0,tbal[[#This Row],[X]]=5)),tbal[[#This Row],[ACREEDOR]],0)</f>
        <v>0</v>
      </c>
    </row>
    <row r="1623" spans="1:14" hidden="1" x14ac:dyDescent="0.3">
      <c r="A1623" s="14">
        <f>+'PLAN DE CUENTAS'!A1623</f>
        <v>0</v>
      </c>
      <c r="B1623" s="13">
        <f>+'PLAN DE CUENTAS'!B1623</f>
        <v>0</v>
      </c>
      <c r="C1623" s="13">
        <f>+'PLAN DE CUENTAS'!C1623</f>
        <v>0</v>
      </c>
      <c r="D1623" t="str">
        <f>IF(tbal[[#This Row],[DEBE]]+tbal[[#This Row],[HABER]]=0,"","X")</f>
        <v/>
      </c>
      <c r="E1623" s="16">
        <f>SUMIF(tdiario[CUENTA],tbal[[#This Row],[CUENTA]],tdiario[DEBE])</f>
        <v>0</v>
      </c>
      <c r="F1623" s="17">
        <f>SUMIF(tdiario[CUENTA],tbal[[#This Row],[CUENTA]],tdiario[HABER])</f>
        <v>0</v>
      </c>
      <c r="G1623" s="16">
        <f>IF(tbal[[#This Row],[DEBE]]-tbal[[#This Row],[HABER]]&gt;0,tbal[[#This Row],[DEBE]]-tbal[[#This Row],[HABER]],0)</f>
        <v>0</v>
      </c>
      <c r="H1623" s="18">
        <f>IF(tbal[[#This Row],[HABER]]-tbal[[#This Row],[DEBE]]&gt;0,tbal[[#This Row],[HABER]]-tbal[[#This Row],[DEBE]],0)</f>
        <v>0</v>
      </c>
      <c r="I1623" s="16">
        <f>IF((OR(tbal[[#This Row],[X]]=1,tbal[[#This Row],[X]]=2)),tbal[[#This Row],[DEUDOR]],0)</f>
        <v>0</v>
      </c>
      <c r="J1623" s="18">
        <f>IF((OR(tbal[[#This Row],[X]]=2,tbal[[#This Row],[X]]=3)),tbal[[#This Row],[ACREEDOR]],0)</f>
        <v>0</v>
      </c>
      <c r="K1623" s="16">
        <f>IF((OR(tbal[[#This Row],[X]]=3,tbal[[#This Row],[X]]=5)),tbal[[#This Row],[DEUDOR]],0)</f>
        <v>0</v>
      </c>
      <c r="L1623" s="18">
        <f>IF((OR(tbal[[#This Row],[X]]=3,tbal[[#This Row],[X]]=4)),tbal[[#This Row],[ACREEDOR]],0)</f>
        <v>0</v>
      </c>
      <c r="M1623" s="16">
        <f>IF((OR(tbal[[#This Row],[X]]=0,tbal[[#This Row],[X]]=6)),tbal[[#This Row],[DEUDOR]],0)</f>
        <v>0</v>
      </c>
      <c r="N1623" s="18">
        <f>IF((OR(tbal[[#This Row],[X]]=0,tbal[[#This Row],[X]]=5)),tbal[[#This Row],[ACREEDOR]],0)</f>
        <v>0</v>
      </c>
    </row>
    <row r="1624" spans="1:14" hidden="1" x14ac:dyDescent="0.3">
      <c r="A1624" s="14">
        <f>+'PLAN DE CUENTAS'!A1624</f>
        <v>0</v>
      </c>
      <c r="B1624" s="13">
        <f>+'PLAN DE CUENTAS'!B1624</f>
        <v>0</v>
      </c>
      <c r="C1624" s="13">
        <f>+'PLAN DE CUENTAS'!C1624</f>
        <v>0</v>
      </c>
      <c r="D1624" t="str">
        <f>IF(tbal[[#This Row],[DEBE]]+tbal[[#This Row],[HABER]]=0,"","X")</f>
        <v/>
      </c>
      <c r="E1624" s="16">
        <f>SUMIF(tdiario[CUENTA],tbal[[#This Row],[CUENTA]],tdiario[DEBE])</f>
        <v>0</v>
      </c>
      <c r="F1624" s="17">
        <f>SUMIF(tdiario[CUENTA],tbal[[#This Row],[CUENTA]],tdiario[HABER])</f>
        <v>0</v>
      </c>
      <c r="G1624" s="16">
        <f>IF(tbal[[#This Row],[DEBE]]-tbal[[#This Row],[HABER]]&gt;0,tbal[[#This Row],[DEBE]]-tbal[[#This Row],[HABER]],0)</f>
        <v>0</v>
      </c>
      <c r="H1624" s="18">
        <f>IF(tbal[[#This Row],[HABER]]-tbal[[#This Row],[DEBE]]&gt;0,tbal[[#This Row],[HABER]]-tbal[[#This Row],[DEBE]],0)</f>
        <v>0</v>
      </c>
      <c r="I1624" s="16">
        <f>IF((OR(tbal[[#This Row],[X]]=1,tbal[[#This Row],[X]]=2)),tbal[[#This Row],[DEUDOR]],0)</f>
        <v>0</v>
      </c>
      <c r="J1624" s="18">
        <f>IF((OR(tbal[[#This Row],[X]]=2,tbal[[#This Row],[X]]=3)),tbal[[#This Row],[ACREEDOR]],0)</f>
        <v>0</v>
      </c>
      <c r="K1624" s="16">
        <f>IF((OR(tbal[[#This Row],[X]]=3,tbal[[#This Row],[X]]=5)),tbal[[#This Row],[DEUDOR]],0)</f>
        <v>0</v>
      </c>
      <c r="L1624" s="18">
        <f>IF((OR(tbal[[#This Row],[X]]=3,tbal[[#This Row],[X]]=4)),tbal[[#This Row],[ACREEDOR]],0)</f>
        <v>0</v>
      </c>
      <c r="M1624" s="16">
        <f>IF((OR(tbal[[#This Row],[X]]=0,tbal[[#This Row],[X]]=6)),tbal[[#This Row],[DEUDOR]],0)</f>
        <v>0</v>
      </c>
      <c r="N1624" s="18">
        <f>IF((OR(tbal[[#This Row],[X]]=0,tbal[[#This Row],[X]]=5)),tbal[[#This Row],[ACREEDOR]],0)</f>
        <v>0</v>
      </c>
    </row>
    <row r="1625" spans="1:14" hidden="1" x14ac:dyDescent="0.3">
      <c r="A1625" s="14">
        <f>+'PLAN DE CUENTAS'!A1625</f>
        <v>0</v>
      </c>
      <c r="B1625" s="13">
        <f>+'PLAN DE CUENTAS'!B1625</f>
        <v>0</v>
      </c>
      <c r="C1625" s="13">
        <f>+'PLAN DE CUENTAS'!C1625</f>
        <v>0</v>
      </c>
      <c r="D1625" t="str">
        <f>IF(tbal[[#This Row],[DEBE]]+tbal[[#This Row],[HABER]]=0,"","X")</f>
        <v/>
      </c>
      <c r="E1625" s="16">
        <f>SUMIF(tdiario[CUENTA],tbal[[#This Row],[CUENTA]],tdiario[DEBE])</f>
        <v>0</v>
      </c>
      <c r="F1625" s="17">
        <f>SUMIF(tdiario[CUENTA],tbal[[#This Row],[CUENTA]],tdiario[HABER])</f>
        <v>0</v>
      </c>
      <c r="G1625" s="16">
        <f>IF(tbal[[#This Row],[DEBE]]-tbal[[#This Row],[HABER]]&gt;0,tbal[[#This Row],[DEBE]]-tbal[[#This Row],[HABER]],0)</f>
        <v>0</v>
      </c>
      <c r="H1625" s="18">
        <f>IF(tbal[[#This Row],[HABER]]-tbal[[#This Row],[DEBE]]&gt;0,tbal[[#This Row],[HABER]]-tbal[[#This Row],[DEBE]],0)</f>
        <v>0</v>
      </c>
      <c r="I1625" s="16">
        <f>IF((OR(tbal[[#This Row],[X]]=1,tbal[[#This Row],[X]]=2)),tbal[[#This Row],[DEUDOR]],0)</f>
        <v>0</v>
      </c>
      <c r="J1625" s="18">
        <f>IF((OR(tbal[[#This Row],[X]]=2,tbal[[#This Row],[X]]=3)),tbal[[#This Row],[ACREEDOR]],0)</f>
        <v>0</v>
      </c>
      <c r="K1625" s="16">
        <f>IF((OR(tbal[[#This Row],[X]]=3,tbal[[#This Row],[X]]=5)),tbal[[#This Row],[DEUDOR]],0)</f>
        <v>0</v>
      </c>
      <c r="L1625" s="18">
        <f>IF((OR(tbal[[#This Row],[X]]=3,tbal[[#This Row],[X]]=4)),tbal[[#This Row],[ACREEDOR]],0)</f>
        <v>0</v>
      </c>
      <c r="M1625" s="16">
        <f>IF((OR(tbal[[#This Row],[X]]=0,tbal[[#This Row],[X]]=6)),tbal[[#This Row],[DEUDOR]],0)</f>
        <v>0</v>
      </c>
      <c r="N1625" s="18">
        <f>IF((OR(tbal[[#This Row],[X]]=0,tbal[[#This Row],[X]]=5)),tbal[[#This Row],[ACREEDOR]],0)</f>
        <v>0</v>
      </c>
    </row>
    <row r="1626" spans="1:14" hidden="1" x14ac:dyDescent="0.3">
      <c r="A1626" s="14">
        <f>+'PLAN DE CUENTAS'!A1626</f>
        <v>0</v>
      </c>
      <c r="B1626" s="13">
        <f>+'PLAN DE CUENTAS'!B1626</f>
        <v>0</v>
      </c>
      <c r="C1626" s="13">
        <f>+'PLAN DE CUENTAS'!C1626</f>
        <v>0</v>
      </c>
      <c r="D1626" t="str">
        <f>IF(tbal[[#This Row],[DEBE]]+tbal[[#This Row],[HABER]]=0,"","X")</f>
        <v/>
      </c>
      <c r="E1626" s="16">
        <f>SUMIF(tdiario[CUENTA],tbal[[#This Row],[CUENTA]],tdiario[DEBE])</f>
        <v>0</v>
      </c>
      <c r="F1626" s="17">
        <f>SUMIF(tdiario[CUENTA],tbal[[#This Row],[CUENTA]],tdiario[HABER])</f>
        <v>0</v>
      </c>
      <c r="G1626" s="16">
        <f>IF(tbal[[#This Row],[DEBE]]-tbal[[#This Row],[HABER]]&gt;0,tbal[[#This Row],[DEBE]]-tbal[[#This Row],[HABER]],0)</f>
        <v>0</v>
      </c>
      <c r="H1626" s="18">
        <f>IF(tbal[[#This Row],[HABER]]-tbal[[#This Row],[DEBE]]&gt;0,tbal[[#This Row],[HABER]]-tbal[[#This Row],[DEBE]],0)</f>
        <v>0</v>
      </c>
      <c r="I1626" s="16">
        <f>IF((OR(tbal[[#This Row],[X]]=1,tbal[[#This Row],[X]]=2)),tbal[[#This Row],[DEUDOR]],0)</f>
        <v>0</v>
      </c>
      <c r="J1626" s="18">
        <f>IF((OR(tbal[[#This Row],[X]]=2,tbal[[#This Row],[X]]=3)),tbal[[#This Row],[ACREEDOR]],0)</f>
        <v>0</v>
      </c>
      <c r="K1626" s="16">
        <f>IF((OR(tbal[[#This Row],[X]]=3,tbal[[#This Row],[X]]=5)),tbal[[#This Row],[DEUDOR]],0)</f>
        <v>0</v>
      </c>
      <c r="L1626" s="18">
        <f>IF((OR(tbal[[#This Row],[X]]=3,tbal[[#This Row],[X]]=4)),tbal[[#This Row],[ACREEDOR]],0)</f>
        <v>0</v>
      </c>
      <c r="M1626" s="16">
        <f>IF((OR(tbal[[#This Row],[X]]=0,tbal[[#This Row],[X]]=6)),tbal[[#This Row],[DEUDOR]],0)</f>
        <v>0</v>
      </c>
      <c r="N1626" s="18">
        <f>IF((OR(tbal[[#This Row],[X]]=0,tbal[[#This Row],[X]]=5)),tbal[[#This Row],[ACREEDOR]],0)</f>
        <v>0</v>
      </c>
    </row>
    <row r="1627" spans="1:14" hidden="1" x14ac:dyDescent="0.3">
      <c r="A1627" s="14">
        <f>+'PLAN DE CUENTAS'!A1627</f>
        <v>0</v>
      </c>
      <c r="B1627" s="13">
        <f>+'PLAN DE CUENTAS'!B1627</f>
        <v>0</v>
      </c>
      <c r="C1627" s="13">
        <f>+'PLAN DE CUENTAS'!C1627</f>
        <v>0</v>
      </c>
      <c r="D1627" t="str">
        <f>IF(tbal[[#This Row],[DEBE]]+tbal[[#This Row],[HABER]]=0,"","X")</f>
        <v/>
      </c>
      <c r="E1627" s="16">
        <f>SUMIF(tdiario[CUENTA],tbal[[#This Row],[CUENTA]],tdiario[DEBE])</f>
        <v>0</v>
      </c>
      <c r="F1627" s="17">
        <f>SUMIF(tdiario[CUENTA],tbal[[#This Row],[CUENTA]],tdiario[HABER])</f>
        <v>0</v>
      </c>
      <c r="G1627" s="16">
        <f>IF(tbal[[#This Row],[DEBE]]-tbal[[#This Row],[HABER]]&gt;0,tbal[[#This Row],[DEBE]]-tbal[[#This Row],[HABER]],0)</f>
        <v>0</v>
      </c>
      <c r="H1627" s="18">
        <f>IF(tbal[[#This Row],[HABER]]-tbal[[#This Row],[DEBE]]&gt;0,tbal[[#This Row],[HABER]]-tbal[[#This Row],[DEBE]],0)</f>
        <v>0</v>
      </c>
      <c r="I1627" s="16">
        <f>IF((OR(tbal[[#This Row],[X]]=1,tbal[[#This Row],[X]]=2)),tbal[[#This Row],[DEUDOR]],0)</f>
        <v>0</v>
      </c>
      <c r="J1627" s="18">
        <f>IF((OR(tbal[[#This Row],[X]]=2,tbal[[#This Row],[X]]=3)),tbal[[#This Row],[ACREEDOR]],0)</f>
        <v>0</v>
      </c>
      <c r="K1627" s="16">
        <f>IF((OR(tbal[[#This Row],[X]]=3,tbal[[#This Row],[X]]=5)),tbal[[#This Row],[DEUDOR]],0)</f>
        <v>0</v>
      </c>
      <c r="L1627" s="18">
        <f>IF((OR(tbal[[#This Row],[X]]=3,tbal[[#This Row],[X]]=4)),tbal[[#This Row],[ACREEDOR]],0)</f>
        <v>0</v>
      </c>
      <c r="M1627" s="16">
        <f>IF((OR(tbal[[#This Row],[X]]=0,tbal[[#This Row],[X]]=6)),tbal[[#This Row],[DEUDOR]],0)</f>
        <v>0</v>
      </c>
      <c r="N1627" s="18">
        <f>IF((OR(tbal[[#This Row],[X]]=0,tbal[[#This Row],[X]]=5)),tbal[[#This Row],[ACREEDOR]],0)</f>
        <v>0</v>
      </c>
    </row>
    <row r="1628" spans="1:14" hidden="1" x14ac:dyDescent="0.3">
      <c r="A1628" s="14">
        <f>+'PLAN DE CUENTAS'!A1628</f>
        <v>0</v>
      </c>
      <c r="B1628" s="13">
        <f>+'PLAN DE CUENTAS'!B1628</f>
        <v>0</v>
      </c>
      <c r="C1628" s="13">
        <f>+'PLAN DE CUENTAS'!C1628</f>
        <v>0</v>
      </c>
      <c r="D1628" t="str">
        <f>IF(tbal[[#This Row],[DEBE]]+tbal[[#This Row],[HABER]]=0,"","X")</f>
        <v/>
      </c>
      <c r="E1628" s="16">
        <f>SUMIF(tdiario[CUENTA],tbal[[#This Row],[CUENTA]],tdiario[DEBE])</f>
        <v>0</v>
      </c>
      <c r="F1628" s="17">
        <f>SUMIF(tdiario[CUENTA],tbal[[#This Row],[CUENTA]],tdiario[HABER])</f>
        <v>0</v>
      </c>
      <c r="G1628" s="16">
        <f>IF(tbal[[#This Row],[DEBE]]-tbal[[#This Row],[HABER]]&gt;0,tbal[[#This Row],[DEBE]]-tbal[[#This Row],[HABER]],0)</f>
        <v>0</v>
      </c>
      <c r="H1628" s="18">
        <f>IF(tbal[[#This Row],[HABER]]-tbal[[#This Row],[DEBE]]&gt;0,tbal[[#This Row],[HABER]]-tbal[[#This Row],[DEBE]],0)</f>
        <v>0</v>
      </c>
      <c r="I1628" s="16">
        <f>IF((OR(tbal[[#This Row],[X]]=1,tbal[[#This Row],[X]]=2)),tbal[[#This Row],[DEUDOR]],0)</f>
        <v>0</v>
      </c>
      <c r="J1628" s="18">
        <f>IF((OR(tbal[[#This Row],[X]]=2,tbal[[#This Row],[X]]=3)),tbal[[#This Row],[ACREEDOR]],0)</f>
        <v>0</v>
      </c>
      <c r="K1628" s="16">
        <f>IF((OR(tbal[[#This Row],[X]]=3,tbal[[#This Row],[X]]=5)),tbal[[#This Row],[DEUDOR]],0)</f>
        <v>0</v>
      </c>
      <c r="L1628" s="18">
        <f>IF((OR(tbal[[#This Row],[X]]=3,tbal[[#This Row],[X]]=4)),tbal[[#This Row],[ACREEDOR]],0)</f>
        <v>0</v>
      </c>
      <c r="M1628" s="16">
        <f>IF((OR(tbal[[#This Row],[X]]=0,tbal[[#This Row],[X]]=6)),tbal[[#This Row],[DEUDOR]],0)</f>
        <v>0</v>
      </c>
      <c r="N1628" s="18">
        <f>IF((OR(tbal[[#This Row],[X]]=0,tbal[[#This Row],[X]]=5)),tbal[[#This Row],[ACREEDOR]],0)</f>
        <v>0</v>
      </c>
    </row>
    <row r="1629" spans="1:14" hidden="1" x14ac:dyDescent="0.3">
      <c r="A1629" s="14">
        <f>+'PLAN DE CUENTAS'!A1629</f>
        <v>0</v>
      </c>
      <c r="B1629" s="13">
        <f>+'PLAN DE CUENTAS'!B1629</f>
        <v>0</v>
      </c>
      <c r="C1629" s="13">
        <f>+'PLAN DE CUENTAS'!C1629</f>
        <v>0</v>
      </c>
      <c r="D1629" t="str">
        <f>IF(tbal[[#This Row],[DEBE]]+tbal[[#This Row],[HABER]]=0,"","X")</f>
        <v/>
      </c>
      <c r="E1629" s="16">
        <f>SUMIF(tdiario[CUENTA],tbal[[#This Row],[CUENTA]],tdiario[DEBE])</f>
        <v>0</v>
      </c>
      <c r="F1629" s="17">
        <f>SUMIF(tdiario[CUENTA],tbal[[#This Row],[CUENTA]],tdiario[HABER])</f>
        <v>0</v>
      </c>
      <c r="G1629" s="16">
        <f>IF(tbal[[#This Row],[DEBE]]-tbal[[#This Row],[HABER]]&gt;0,tbal[[#This Row],[DEBE]]-tbal[[#This Row],[HABER]],0)</f>
        <v>0</v>
      </c>
      <c r="H1629" s="18">
        <f>IF(tbal[[#This Row],[HABER]]-tbal[[#This Row],[DEBE]]&gt;0,tbal[[#This Row],[HABER]]-tbal[[#This Row],[DEBE]],0)</f>
        <v>0</v>
      </c>
      <c r="I1629" s="16">
        <f>IF((OR(tbal[[#This Row],[X]]=1,tbal[[#This Row],[X]]=2)),tbal[[#This Row],[DEUDOR]],0)</f>
        <v>0</v>
      </c>
      <c r="J1629" s="18">
        <f>IF((OR(tbal[[#This Row],[X]]=2,tbal[[#This Row],[X]]=3)),tbal[[#This Row],[ACREEDOR]],0)</f>
        <v>0</v>
      </c>
      <c r="K1629" s="16">
        <f>IF((OR(tbal[[#This Row],[X]]=3,tbal[[#This Row],[X]]=5)),tbal[[#This Row],[DEUDOR]],0)</f>
        <v>0</v>
      </c>
      <c r="L1629" s="18">
        <f>IF((OR(tbal[[#This Row],[X]]=3,tbal[[#This Row],[X]]=4)),tbal[[#This Row],[ACREEDOR]],0)</f>
        <v>0</v>
      </c>
      <c r="M1629" s="16">
        <f>IF((OR(tbal[[#This Row],[X]]=0,tbal[[#This Row],[X]]=6)),tbal[[#This Row],[DEUDOR]],0)</f>
        <v>0</v>
      </c>
      <c r="N1629" s="18">
        <f>IF((OR(tbal[[#This Row],[X]]=0,tbal[[#This Row],[X]]=5)),tbal[[#This Row],[ACREEDOR]],0)</f>
        <v>0</v>
      </c>
    </row>
    <row r="1630" spans="1:14" hidden="1" x14ac:dyDescent="0.3">
      <c r="A1630" s="14">
        <f>+'PLAN DE CUENTAS'!A1630</f>
        <v>0</v>
      </c>
      <c r="B1630" s="13">
        <f>+'PLAN DE CUENTAS'!B1630</f>
        <v>0</v>
      </c>
      <c r="C1630" s="13">
        <f>+'PLAN DE CUENTAS'!C1630</f>
        <v>0</v>
      </c>
      <c r="D1630" t="str">
        <f>IF(tbal[[#This Row],[DEBE]]+tbal[[#This Row],[HABER]]=0,"","X")</f>
        <v/>
      </c>
      <c r="E1630" s="16">
        <f>SUMIF(tdiario[CUENTA],tbal[[#This Row],[CUENTA]],tdiario[DEBE])</f>
        <v>0</v>
      </c>
      <c r="F1630" s="17">
        <f>SUMIF(tdiario[CUENTA],tbal[[#This Row],[CUENTA]],tdiario[HABER])</f>
        <v>0</v>
      </c>
      <c r="G1630" s="16">
        <f>IF(tbal[[#This Row],[DEBE]]-tbal[[#This Row],[HABER]]&gt;0,tbal[[#This Row],[DEBE]]-tbal[[#This Row],[HABER]],0)</f>
        <v>0</v>
      </c>
      <c r="H1630" s="18">
        <f>IF(tbal[[#This Row],[HABER]]-tbal[[#This Row],[DEBE]]&gt;0,tbal[[#This Row],[HABER]]-tbal[[#This Row],[DEBE]],0)</f>
        <v>0</v>
      </c>
      <c r="I1630" s="16">
        <f>IF((OR(tbal[[#This Row],[X]]=1,tbal[[#This Row],[X]]=2)),tbal[[#This Row],[DEUDOR]],0)</f>
        <v>0</v>
      </c>
      <c r="J1630" s="18">
        <f>IF((OR(tbal[[#This Row],[X]]=2,tbal[[#This Row],[X]]=3)),tbal[[#This Row],[ACREEDOR]],0)</f>
        <v>0</v>
      </c>
      <c r="K1630" s="16">
        <f>IF((OR(tbal[[#This Row],[X]]=3,tbal[[#This Row],[X]]=5)),tbal[[#This Row],[DEUDOR]],0)</f>
        <v>0</v>
      </c>
      <c r="L1630" s="18">
        <f>IF((OR(tbal[[#This Row],[X]]=3,tbal[[#This Row],[X]]=4)),tbal[[#This Row],[ACREEDOR]],0)</f>
        <v>0</v>
      </c>
      <c r="M1630" s="16">
        <f>IF((OR(tbal[[#This Row],[X]]=0,tbal[[#This Row],[X]]=6)),tbal[[#This Row],[DEUDOR]],0)</f>
        <v>0</v>
      </c>
      <c r="N1630" s="18">
        <f>IF((OR(tbal[[#This Row],[X]]=0,tbal[[#This Row],[X]]=5)),tbal[[#This Row],[ACREEDOR]],0)</f>
        <v>0</v>
      </c>
    </row>
    <row r="1631" spans="1:14" hidden="1" x14ac:dyDescent="0.3">
      <c r="A1631" s="14">
        <f>+'PLAN DE CUENTAS'!A1631</f>
        <v>0</v>
      </c>
      <c r="B1631" s="13">
        <f>+'PLAN DE CUENTAS'!B1631</f>
        <v>0</v>
      </c>
      <c r="C1631" s="13">
        <f>+'PLAN DE CUENTAS'!C1631</f>
        <v>0</v>
      </c>
      <c r="D1631" t="str">
        <f>IF(tbal[[#This Row],[DEBE]]+tbal[[#This Row],[HABER]]=0,"","X")</f>
        <v/>
      </c>
      <c r="E1631" s="16">
        <f>SUMIF(tdiario[CUENTA],tbal[[#This Row],[CUENTA]],tdiario[DEBE])</f>
        <v>0</v>
      </c>
      <c r="F1631" s="17">
        <f>SUMIF(tdiario[CUENTA],tbal[[#This Row],[CUENTA]],tdiario[HABER])</f>
        <v>0</v>
      </c>
      <c r="G1631" s="16">
        <f>IF(tbal[[#This Row],[DEBE]]-tbal[[#This Row],[HABER]]&gt;0,tbal[[#This Row],[DEBE]]-tbal[[#This Row],[HABER]],0)</f>
        <v>0</v>
      </c>
      <c r="H1631" s="18">
        <f>IF(tbal[[#This Row],[HABER]]-tbal[[#This Row],[DEBE]]&gt;0,tbal[[#This Row],[HABER]]-tbal[[#This Row],[DEBE]],0)</f>
        <v>0</v>
      </c>
      <c r="I1631" s="16">
        <f>IF((OR(tbal[[#This Row],[X]]=1,tbal[[#This Row],[X]]=2)),tbal[[#This Row],[DEUDOR]],0)</f>
        <v>0</v>
      </c>
      <c r="J1631" s="18">
        <f>IF((OR(tbal[[#This Row],[X]]=2,tbal[[#This Row],[X]]=3)),tbal[[#This Row],[ACREEDOR]],0)</f>
        <v>0</v>
      </c>
      <c r="K1631" s="16">
        <f>IF((OR(tbal[[#This Row],[X]]=3,tbal[[#This Row],[X]]=5)),tbal[[#This Row],[DEUDOR]],0)</f>
        <v>0</v>
      </c>
      <c r="L1631" s="18">
        <f>IF((OR(tbal[[#This Row],[X]]=3,tbal[[#This Row],[X]]=4)),tbal[[#This Row],[ACREEDOR]],0)</f>
        <v>0</v>
      </c>
      <c r="M1631" s="16">
        <f>IF((OR(tbal[[#This Row],[X]]=0,tbal[[#This Row],[X]]=6)),tbal[[#This Row],[DEUDOR]],0)</f>
        <v>0</v>
      </c>
      <c r="N1631" s="18">
        <f>IF((OR(tbal[[#This Row],[X]]=0,tbal[[#This Row],[X]]=5)),tbal[[#This Row],[ACREEDOR]],0)</f>
        <v>0</v>
      </c>
    </row>
    <row r="1632" spans="1:14" hidden="1" x14ac:dyDescent="0.3">
      <c r="A1632" s="14">
        <f>+'PLAN DE CUENTAS'!A1632</f>
        <v>0</v>
      </c>
      <c r="B1632" s="13">
        <f>+'PLAN DE CUENTAS'!B1632</f>
        <v>0</v>
      </c>
      <c r="C1632" s="13">
        <f>+'PLAN DE CUENTAS'!C1632</f>
        <v>0</v>
      </c>
      <c r="D1632" t="str">
        <f>IF(tbal[[#This Row],[DEBE]]+tbal[[#This Row],[HABER]]=0,"","X")</f>
        <v/>
      </c>
      <c r="E1632" s="16">
        <f>SUMIF(tdiario[CUENTA],tbal[[#This Row],[CUENTA]],tdiario[DEBE])</f>
        <v>0</v>
      </c>
      <c r="F1632" s="17">
        <f>SUMIF(tdiario[CUENTA],tbal[[#This Row],[CUENTA]],tdiario[HABER])</f>
        <v>0</v>
      </c>
      <c r="G1632" s="16">
        <f>IF(tbal[[#This Row],[DEBE]]-tbal[[#This Row],[HABER]]&gt;0,tbal[[#This Row],[DEBE]]-tbal[[#This Row],[HABER]],0)</f>
        <v>0</v>
      </c>
      <c r="H1632" s="18">
        <f>IF(tbal[[#This Row],[HABER]]-tbal[[#This Row],[DEBE]]&gt;0,tbal[[#This Row],[HABER]]-tbal[[#This Row],[DEBE]],0)</f>
        <v>0</v>
      </c>
      <c r="I1632" s="16">
        <f>IF((OR(tbal[[#This Row],[X]]=1,tbal[[#This Row],[X]]=2)),tbal[[#This Row],[DEUDOR]],0)</f>
        <v>0</v>
      </c>
      <c r="J1632" s="18">
        <f>IF((OR(tbal[[#This Row],[X]]=2,tbal[[#This Row],[X]]=3)),tbal[[#This Row],[ACREEDOR]],0)</f>
        <v>0</v>
      </c>
      <c r="K1632" s="16">
        <f>IF((OR(tbal[[#This Row],[X]]=3,tbal[[#This Row],[X]]=5)),tbal[[#This Row],[DEUDOR]],0)</f>
        <v>0</v>
      </c>
      <c r="L1632" s="18">
        <f>IF((OR(tbal[[#This Row],[X]]=3,tbal[[#This Row],[X]]=4)),tbal[[#This Row],[ACREEDOR]],0)</f>
        <v>0</v>
      </c>
      <c r="M1632" s="16">
        <f>IF((OR(tbal[[#This Row],[X]]=0,tbal[[#This Row],[X]]=6)),tbal[[#This Row],[DEUDOR]],0)</f>
        <v>0</v>
      </c>
      <c r="N1632" s="18">
        <f>IF((OR(tbal[[#This Row],[X]]=0,tbal[[#This Row],[X]]=5)),tbal[[#This Row],[ACREEDOR]],0)</f>
        <v>0</v>
      </c>
    </row>
    <row r="1633" spans="1:14" hidden="1" x14ac:dyDescent="0.3">
      <c r="A1633" s="14">
        <f>+'PLAN DE CUENTAS'!A1633</f>
        <v>0</v>
      </c>
      <c r="B1633" s="13">
        <f>+'PLAN DE CUENTAS'!B1633</f>
        <v>0</v>
      </c>
      <c r="C1633" s="13">
        <f>+'PLAN DE CUENTAS'!C1633</f>
        <v>0</v>
      </c>
      <c r="D1633" t="str">
        <f>IF(tbal[[#This Row],[DEBE]]+tbal[[#This Row],[HABER]]=0,"","X")</f>
        <v/>
      </c>
      <c r="E1633" s="16">
        <f>SUMIF(tdiario[CUENTA],tbal[[#This Row],[CUENTA]],tdiario[DEBE])</f>
        <v>0</v>
      </c>
      <c r="F1633" s="17">
        <f>SUMIF(tdiario[CUENTA],tbal[[#This Row],[CUENTA]],tdiario[HABER])</f>
        <v>0</v>
      </c>
      <c r="G1633" s="16">
        <f>IF(tbal[[#This Row],[DEBE]]-tbal[[#This Row],[HABER]]&gt;0,tbal[[#This Row],[DEBE]]-tbal[[#This Row],[HABER]],0)</f>
        <v>0</v>
      </c>
      <c r="H1633" s="18">
        <f>IF(tbal[[#This Row],[HABER]]-tbal[[#This Row],[DEBE]]&gt;0,tbal[[#This Row],[HABER]]-tbal[[#This Row],[DEBE]],0)</f>
        <v>0</v>
      </c>
      <c r="I1633" s="16">
        <f>IF((OR(tbal[[#This Row],[X]]=1,tbal[[#This Row],[X]]=2)),tbal[[#This Row],[DEUDOR]],0)</f>
        <v>0</v>
      </c>
      <c r="J1633" s="18">
        <f>IF((OR(tbal[[#This Row],[X]]=2,tbal[[#This Row],[X]]=3)),tbal[[#This Row],[ACREEDOR]],0)</f>
        <v>0</v>
      </c>
      <c r="K1633" s="16">
        <f>IF((OR(tbal[[#This Row],[X]]=3,tbal[[#This Row],[X]]=5)),tbal[[#This Row],[DEUDOR]],0)</f>
        <v>0</v>
      </c>
      <c r="L1633" s="18">
        <f>IF((OR(tbal[[#This Row],[X]]=3,tbal[[#This Row],[X]]=4)),tbal[[#This Row],[ACREEDOR]],0)</f>
        <v>0</v>
      </c>
      <c r="M1633" s="16">
        <f>IF((OR(tbal[[#This Row],[X]]=0,tbal[[#This Row],[X]]=6)),tbal[[#This Row],[DEUDOR]],0)</f>
        <v>0</v>
      </c>
      <c r="N1633" s="18">
        <f>IF((OR(tbal[[#This Row],[X]]=0,tbal[[#This Row],[X]]=5)),tbal[[#This Row],[ACREEDOR]],0)</f>
        <v>0</v>
      </c>
    </row>
    <row r="1634" spans="1:14" hidden="1" x14ac:dyDescent="0.3">
      <c r="A1634" s="14">
        <f>+'PLAN DE CUENTAS'!A1634</f>
        <v>0</v>
      </c>
      <c r="B1634" s="13">
        <f>+'PLAN DE CUENTAS'!B1634</f>
        <v>0</v>
      </c>
      <c r="C1634" s="13">
        <f>+'PLAN DE CUENTAS'!C1634</f>
        <v>0</v>
      </c>
      <c r="D1634" t="str">
        <f>IF(tbal[[#This Row],[DEBE]]+tbal[[#This Row],[HABER]]=0,"","X")</f>
        <v/>
      </c>
      <c r="E1634" s="16">
        <f>SUMIF(tdiario[CUENTA],tbal[[#This Row],[CUENTA]],tdiario[DEBE])</f>
        <v>0</v>
      </c>
      <c r="F1634" s="17">
        <f>SUMIF(tdiario[CUENTA],tbal[[#This Row],[CUENTA]],tdiario[HABER])</f>
        <v>0</v>
      </c>
      <c r="G1634" s="16">
        <f>IF(tbal[[#This Row],[DEBE]]-tbal[[#This Row],[HABER]]&gt;0,tbal[[#This Row],[DEBE]]-tbal[[#This Row],[HABER]],0)</f>
        <v>0</v>
      </c>
      <c r="H1634" s="18">
        <f>IF(tbal[[#This Row],[HABER]]-tbal[[#This Row],[DEBE]]&gt;0,tbal[[#This Row],[HABER]]-tbal[[#This Row],[DEBE]],0)</f>
        <v>0</v>
      </c>
      <c r="I1634" s="16">
        <f>IF((OR(tbal[[#This Row],[X]]=1,tbal[[#This Row],[X]]=2)),tbal[[#This Row],[DEUDOR]],0)</f>
        <v>0</v>
      </c>
      <c r="J1634" s="18">
        <f>IF((OR(tbal[[#This Row],[X]]=2,tbal[[#This Row],[X]]=3)),tbal[[#This Row],[ACREEDOR]],0)</f>
        <v>0</v>
      </c>
      <c r="K1634" s="16">
        <f>IF((OR(tbal[[#This Row],[X]]=3,tbal[[#This Row],[X]]=5)),tbal[[#This Row],[DEUDOR]],0)</f>
        <v>0</v>
      </c>
      <c r="L1634" s="18">
        <f>IF((OR(tbal[[#This Row],[X]]=3,tbal[[#This Row],[X]]=4)),tbal[[#This Row],[ACREEDOR]],0)</f>
        <v>0</v>
      </c>
      <c r="M1634" s="16">
        <f>IF((OR(tbal[[#This Row],[X]]=0,tbal[[#This Row],[X]]=6)),tbal[[#This Row],[DEUDOR]],0)</f>
        <v>0</v>
      </c>
      <c r="N1634" s="18">
        <f>IF((OR(tbal[[#This Row],[X]]=0,tbal[[#This Row],[X]]=5)),tbal[[#This Row],[ACREEDOR]],0)</f>
        <v>0</v>
      </c>
    </row>
    <row r="1635" spans="1:14" hidden="1" x14ac:dyDescent="0.3">
      <c r="A1635" s="14">
        <f>+'PLAN DE CUENTAS'!A1635</f>
        <v>0</v>
      </c>
      <c r="B1635" s="13">
        <f>+'PLAN DE CUENTAS'!B1635</f>
        <v>0</v>
      </c>
      <c r="C1635" s="13">
        <f>+'PLAN DE CUENTAS'!C1635</f>
        <v>0</v>
      </c>
      <c r="D1635" t="str">
        <f>IF(tbal[[#This Row],[DEBE]]+tbal[[#This Row],[HABER]]=0,"","X")</f>
        <v/>
      </c>
      <c r="E1635" s="16">
        <f>SUMIF(tdiario[CUENTA],tbal[[#This Row],[CUENTA]],tdiario[DEBE])</f>
        <v>0</v>
      </c>
      <c r="F1635" s="17">
        <f>SUMIF(tdiario[CUENTA],tbal[[#This Row],[CUENTA]],tdiario[HABER])</f>
        <v>0</v>
      </c>
      <c r="G1635" s="16">
        <f>IF(tbal[[#This Row],[DEBE]]-tbal[[#This Row],[HABER]]&gt;0,tbal[[#This Row],[DEBE]]-tbal[[#This Row],[HABER]],0)</f>
        <v>0</v>
      </c>
      <c r="H1635" s="18">
        <f>IF(tbal[[#This Row],[HABER]]-tbal[[#This Row],[DEBE]]&gt;0,tbal[[#This Row],[HABER]]-tbal[[#This Row],[DEBE]],0)</f>
        <v>0</v>
      </c>
      <c r="I1635" s="16">
        <f>IF((OR(tbal[[#This Row],[X]]=1,tbal[[#This Row],[X]]=2)),tbal[[#This Row],[DEUDOR]],0)</f>
        <v>0</v>
      </c>
      <c r="J1635" s="18">
        <f>IF((OR(tbal[[#This Row],[X]]=2,tbal[[#This Row],[X]]=3)),tbal[[#This Row],[ACREEDOR]],0)</f>
        <v>0</v>
      </c>
      <c r="K1635" s="16">
        <f>IF((OR(tbal[[#This Row],[X]]=3,tbal[[#This Row],[X]]=5)),tbal[[#This Row],[DEUDOR]],0)</f>
        <v>0</v>
      </c>
      <c r="L1635" s="18">
        <f>IF((OR(tbal[[#This Row],[X]]=3,tbal[[#This Row],[X]]=4)),tbal[[#This Row],[ACREEDOR]],0)</f>
        <v>0</v>
      </c>
      <c r="M1635" s="16">
        <f>IF((OR(tbal[[#This Row],[X]]=0,tbal[[#This Row],[X]]=6)),tbal[[#This Row],[DEUDOR]],0)</f>
        <v>0</v>
      </c>
      <c r="N1635" s="18">
        <f>IF((OR(tbal[[#This Row],[X]]=0,tbal[[#This Row],[X]]=5)),tbal[[#This Row],[ACREEDOR]],0)</f>
        <v>0</v>
      </c>
    </row>
    <row r="1636" spans="1:14" hidden="1" x14ac:dyDescent="0.3">
      <c r="A1636" s="14">
        <f>+'PLAN DE CUENTAS'!A1636</f>
        <v>0</v>
      </c>
      <c r="B1636" s="13">
        <f>+'PLAN DE CUENTAS'!B1636</f>
        <v>0</v>
      </c>
      <c r="C1636" s="13">
        <f>+'PLAN DE CUENTAS'!C1636</f>
        <v>0</v>
      </c>
      <c r="D1636" t="str">
        <f>IF(tbal[[#This Row],[DEBE]]+tbal[[#This Row],[HABER]]=0,"","X")</f>
        <v/>
      </c>
      <c r="E1636" s="16">
        <f>SUMIF(tdiario[CUENTA],tbal[[#This Row],[CUENTA]],tdiario[DEBE])</f>
        <v>0</v>
      </c>
      <c r="F1636" s="17">
        <f>SUMIF(tdiario[CUENTA],tbal[[#This Row],[CUENTA]],tdiario[HABER])</f>
        <v>0</v>
      </c>
      <c r="G1636" s="16">
        <f>IF(tbal[[#This Row],[DEBE]]-tbal[[#This Row],[HABER]]&gt;0,tbal[[#This Row],[DEBE]]-tbal[[#This Row],[HABER]],0)</f>
        <v>0</v>
      </c>
      <c r="H1636" s="18">
        <f>IF(tbal[[#This Row],[HABER]]-tbal[[#This Row],[DEBE]]&gt;0,tbal[[#This Row],[HABER]]-tbal[[#This Row],[DEBE]],0)</f>
        <v>0</v>
      </c>
      <c r="I1636" s="16">
        <f>IF((OR(tbal[[#This Row],[X]]=1,tbal[[#This Row],[X]]=2)),tbal[[#This Row],[DEUDOR]],0)</f>
        <v>0</v>
      </c>
      <c r="J1636" s="18">
        <f>IF((OR(tbal[[#This Row],[X]]=2,tbal[[#This Row],[X]]=3)),tbal[[#This Row],[ACREEDOR]],0)</f>
        <v>0</v>
      </c>
      <c r="K1636" s="16">
        <f>IF((OR(tbal[[#This Row],[X]]=3,tbal[[#This Row],[X]]=5)),tbal[[#This Row],[DEUDOR]],0)</f>
        <v>0</v>
      </c>
      <c r="L1636" s="18">
        <f>IF((OR(tbal[[#This Row],[X]]=3,tbal[[#This Row],[X]]=4)),tbal[[#This Row],[ACREEDOR]],0)</f>
        <v>0</v>
      </c>
      <c r="M1636" s="16">
        <f>IF((OR(tbal[[#This Row],[X]]=0,tbal[[#This Row],[X]]=6)),tbal[[#This Row],[DEUDOR]],0)</f>
        <v>0</v>
      </c>
      <c r="N1636" s="18">
        <f>IF((OR(tbal[[#This Row],[X]]=0,tbal[[#This Row],[X]]=5)),tbal[[#This Row],[ACREEDOR]],0)</f>
        <v>0</v>
      </c>
    </row>
    <row r="1637" spans="1:14" hidden="1" x14ac:dyDescent="0.3">
      <c r="A1637" s="14">
        <f>+'PLAN DE CUENTAS'!A1637</f>
        <v>0</v>
      </c>
      <c r="B1637" s="13">
        <f>+'PLAN DE CUENTAS'!B1637</f>
        <v>0</v>
      </c>
      <c r="C1637" s="13">
        <f>+'PLAN DE CUENTAS'!C1637</f>
        <v>0</v>
      </c>
      <c r="D1637" t="str">
        <f>IF(tbal[[#This Row],[DEBE]]+tbal[[#This Row],[HABER]]=0,"","X")</f>
        <v/>
      </c>
      <c r="E1637" s="16">
        <f>SUMIF(tdiario[CUENTA],tbal[[#This Row],[CUENTA]],tdiario[DEBE])</f>
        <v>0</v>
      </c>
      <c r="F1637" s="17">
        <f>SUMIF(tdiario[CUENTA],tbal[[#This Row],[CUENTA]],tdiario[HABER])</f>
        <v>0</v>
      </c>
      <c r="G1637" s="16">
        <f>IF(tbal[[#This Row],[DEBE]]-tbal[[#This Row],[HABER]]&gt;0,tbal[[#This Row],[DEBE]]-tbal[[#This Row],[HABER]],0)</f>
        <v>0</v>
      </c>
      <c r="H1637" s="18">
        <f>IF(tbal[[#This Row],[HABER]]-tbal[[#This Row],[DEBE]]&gt;0,tbal[[#This Row],[HABER]]-tbal[[#This Row],[DEBE]],0)</f>
        <v>0</v>
      </c>
      <c r="I1637" s="16">
        <f>IF((OR(tbal[[#This Row],[X]]=1,tbal[[#This Row],[X]]=2)),tbal[[#This Row],[DEUDOR]],0)</f>
        <v>0</v>
      </c>
      <c r="J1637" s="18">
        <f>IF((OR(tbal[[#This Row],[X]]=2,tbal[[#This Row],[X]]=3)),tbal[[#This Row],[ACREEDOR]],0)</f>
        <v>0</v>
      </c>
      <c r="K1637" s="16">
        <f>IF((OR(tbal[[#This Row],[X]]=3,tbal[[#This Row],[X]]=5)),tbal[[#This Row],[DEUDOR]],0)</f>
        <v>0</v>
      </c>
      <c r="L1637" s="18">
        <f>IF((OR(tbal[[#This Row],[X]]=3,tbal[[#This Row],[X]]=4)),tbal[[#This Row],[ACREEDOR]],0)</f>
        <v>0</v>
      </c>
      <c r="M1637" s="16">
        <f>IF((OR(tbal[[#This Row],[X]]=0,tbal[[#This Row],[X]]=6)),tbal[[#This Row],[DEUDOR]],0)</f>
        <v>0</v>
      </c>
      <c r="N1637" s="18">
        <f>IF((OR(tbal[[#This Row],[X]]=0,tbal[[#This Row],[X]]=5)),tbal[[#This Row],[ACREEDOR]],0)</f>
        <v>0</v>
      </c>
    </row>
    <row r="1638" spans="1:14" hidden="1" x14ac:dyDescent="0.3">
      <c r="A1638" s="14">
        <f>+'PLAN DE CUENTAS'!A1638</f>
        <v>0</v>
      </c>
      <c r="B1638" s="13">
        <f>+'PLAN DE CUENTAS'!B1638</f>
        <v>0</v>
      </c>
      <c r="C1638" s="13">
        <f>+'PLAN DE CUENTAS'!C1638</f>
        <v>0</v>
      </c>
      <c r="D1638" t="str">
        <f>IF(tbal[[#This Row],[DEBE]]+tbal[[#This Row],[HABER]]=0,"","X")</f>
        <v/>
      </c>
      <c r="E1638" s="16">
        <f>SUMIF(tdiario[CUENTA],tbal[[#This Row],[CUENTA]],tdiario[DEBE])</f>
        <v>0</v>
      </c>
      <c r="F1638" s="17">
        <f>SUMIF(tdiario[CUENTA],tbal[[#This Row],[CUENTA]],tdiario[HABER])</f>
        <v>0</v>
      </c>
      <c r="G1638" s="16">
        <f>IF(tbal[[#This Row],[DEBE]]-tbal[[#This Row],[HABER]]&gt;0,tbal[[#This Row],[DEBE]]-tbal[[#This Row],[HABER]],0)</f>
        <v>0</v>
      </c>
      <c r="H1638" s="18">
        <f>IF(tbal[[#This Row],[HABER]]-tbal[[#This Row],[DEBE]]&gt;0,tbal[[#This Row],[HABER]]-tbal[[#This Row],[DEBE]],0)</f>
        <v>0</v>
      </c>
      <c r="I1638" s="16">
        <f>IF((OR(tbal[[#This Row],[X]]=1,tbal[[#This Row],[X]]=2)),tbal[[#This Row],[DEUDOR]],0)</f>
        <v>0</v>
      </c>
      <c r="J1638" s="18">
        <f>IF((OR(tbal[[#This Row],[X]]=2,tbal[[#This Row],[X]]=3)),tbal[[#This Row],[ACREEDOR]],0)</f>
        <v>0</v>
      </c>
      <c r="K1638" s="16">
        <f>IF((OR(tbal[[#This Row],[X]]=3,tbal[[#This Row],[X]]=5)),tbal[[#This Row],[DEUDOR]],0)</f>
        <v>0</v>
      </c>
      <c r="L1638" s="18">
        <f>IF((OR(tbal[[#This Row],[X]]=3,tbal[[#This Row],[X]]=4)),tbal[[#This Row],[ACREEDOR]],0)</f>
        <v>0</v>
      </c>
      <c r="M1638" s="16">
        <f>IF((OR(tbal[[#This Row],[X]]=0,tbal[[#This Row],[X]]=6)),tbal[[#This Row],[DEUDOR]],0)</f>
        <v>0</v>
      </c>
      <c r="N1638" s="18">
        <f>IF((OR(tbal[[#This Row],[X]]=0,tbal[[#This Row],[X]]=5)),tbal[[#This Row],[ACREEDOR]],0)</f>
        <v>0</v>
      </c>
    </row>
    <row r="1639" spans="1:14" hidden="1" x14ac:dyDescent="0.3">
      <c r="A1639" s="14">
        <f>+'PLAN DE CUENTAS'!A1639</f>
        <v>0</v>
      </c>
      <c r="B1639" s="13">
        <f>+'PLAN DE CUENTAS'!B1639</f>
        <v>0</v>
      </c>
      <c r="C1639" s="13">
        <f>+'PLAN DE CUENTAS'!C1639</f>
        <v>0</v>
      </c>
      <c r="D1639" t="str">
        <f>IF(tbal[[#This Row],[DEBE]]+tbal[[#This Row],[HABER]]=0,"","X")</f>
        <v/>
      </c>
      <c r="E1639" s="16">
        <f>SUMIF(tdiario[CUENTA],tbal[[#This Row],[CUENTA]],tdiario[DEBE])</f>
        <v>0</v>
      </c>
      <c r="F1639" s="17">
        <f>SUMIF(tdiario[CUENTA],tbal[[#This Row],[CUENTA]],tdiario[HABER])</f>
        <v>0</v>
      </c>
      <c r="G1639" s="16">
        <f>IF(tbal[[#This Row],[DEBE]]-tbal[[#This Row],[HABER]]&gt;0,tbal[[#This Row],[DEBE]]-tbal[[#This Row],[HABER]],0)</f>
        <v>0</v>
      </c>
      <c r="H1639" s="18">
        <f>IF(tbal[[#This Row],[HABER]]-tbal[[#This Row],[DEBE]]&gt;0,tbal[[#This Row],[HABER]]-tbal[[#This Row],[DEBE]],0)</f>
        <v>0</v>
      </c>
      <c r="I1639" s="16">
        <f>IF((OR(tbal[[#This Row],[X]]=1,tbal[[#This Row],[X]]=2)),tbal[[#This Row],[DEUDOR]],0)</f>
        <v>0</v>
      </c>
      <c r="J1639" s="18">
        <f>IF((OR(tbal[[#This Row],[X]]=2,tbal[[#This Row],[X]]=3)),tbal[[#This Row],[ACREEDOR]],0)</f>
        <v>0</v>
      </c>
      <c r="K1639" s="16">
        <f>IF((OR(tbal[[#This Row],[X]]=3,tbal[[#This Row],[X]]=5)),tbal[[#This Row],[DEUDOR]],0)</f>
        <v>0</v>
      </c>
      <c r="L1639" s="18">
        <f>IF((OR(tbal[[#This Row],[X]]=3,tbal[[#This Row],[X]]=4)),tbal[[#This Row],[ACREEDOR]],0)</f>
        <v>0</v>
      </c>
      <c r="M1639" s="16">
        <f>IF((OR(tbal[[#This Row],[X]]=0,tbal[[#This Row],[X]]=6)),tbal[[#This Row],[DEUDOR]],0)</f>
        <v>0</v>
      </c>
      <c r="N1639" s="18">
        <f>IF((OR(tbal[[#This Row],[X]]=0,tbal[[#This Row],[X]]=5)),tbal[[#This Row],[ACREEDOR]],0)</f>
        <v>0</v>
      </c>
    </row>
    <row r="1640" spans="1:14" hidden="1" x14ac:dyDescent="0.3">
      <c r="A1640" s="14">
        <f>+'PLAN DE CUENTAS'!A1640</f>
        <v>0</v>
      </c>
      <c r="B1640" s="13">
        <f>+'PLAN DE CUENTAS'!B1640</f>
        <v>0</v>
      </c>
      <c r="C1640" s="13">
        <f>+'PLAN DE CUENTAS'!C1640</f>
        <v>0</v>
      </c>
      <c r="D1640" t="str">
        <f>IF(tbal[[#This Row],[DEBE]]+tbal[[#This Row],[HABER]]=0,"","X")</f>
        <v/>
      </c>
      <c r="E1640" s="16">
        <f>SUMIF(tdiario[CUENTA],tbal[[#This Row],[CUENTA]],tdiario[DEBE])</f>
        <v>0</v>
      </c>
      <c r="F1640" s="17">
        <f>SUMIF(tdiario[CUENTA],tbal[[#This Row],[CUENTA]],tdiario[HABER])</f>
        <v>0</v>
      </c>
      <c r="G1640" s="16">
        <f>IF(tbal[[#This Row],[DEBE]]-tbal[[#This Row],[HABER]]&gt;0,tbal[[#This Row],[DEBE]]-tbal[[#This Row],[HABER]],0)</f>
        <v>0</v>
      </c>
      <c r="H1640" s="18">
        <f>IF(tbal[[#This Row],[HABER]]-tbal[[#This Row],[DEBE]]&gt;0,tbal[[#This Row],[HABER]]-tbal[[#This Row],[DEBE]],0)</f>
        <v>0</v>
      </c>
      <c r="I1640" s="16">
        <f>IF((OR(tbal[[#This Row],[X]]=1,tbal[[#This Row],[X]]=2)),tbal[[#This Row],[DEUDOR]],0)</f>
        <v>0</v>
      </c>
      <c r="J1640" s="18">
        <f>IF((OR(tbal[[#This Row],[X]]=2,tbal[[#This Row],[X]]=3)),tbal[[#This Row],[ACREEDOR]],0)</f>
        <v>0</v>
      </c>
      <c r="K1640" s="16">
        <f>IF((OR(tbal[[#This Row],[X]]=3,tbal[[#This Row],[X]]=5)),tbal[[#This Row],[DEUDOR]],0)</f>
        <v>0</v>
      </c>
      <c r="L1640" s="18">
        <f>IF((OR(tbal[[#This Row],[X]]=3,tbal[[#This Row],[X]]=4)),tbal[[#This Row],[ACREEDOR]],0)</f>
        <v>0</v>
      </c>
      <c r="M1640" s="16">
        <f>IF((OR(tbal[[#This Row],[X]]=0,tbal[[#This Row],[X]]=6)),tbal[[#This Row],[DEUDOR]],0)</f>
        <v>0</v>
      </c>
      <c r="N1640" s="18">
        <f>IF((OR(tbal[[#This Row],[X]]=0,tbal[[#This Row],[X]]=5)),tbal[[#This Row],[ACREEDOR]],0)</f>
        <v>0</v>
      </c>
    </row>
    <row r="1641" spans="1:14" hidden="1" x14ac:dyDescent="0.3">
      <c r="A1641" s="14">
        <f>+'PLAN DE CUENTAS'!A1641</f>
        <v>0</v>
      </c>
      <c r="B1641" s="13">
        <f>+'PLAN DE CUENTAS'!B1641</f>
        <v>0</v>
      </c>
      <c r="C1641" s="13">
        <f>+'PLAN DE CUENTAS'!C1641</f>
        <v>0</v>
      </c>
      <c r="D1641" t="str">
        <f>IF(tbal[[#This Row],[DEBE]]+tbal[[#This Row],[HABER]]=0,"","X")</f>
        <v/>
      </c>
      <c r="E1641" s="16">
        <f>SUMIF(tdiario[CUENTA],tbal[[#This Row],[CUENTA]],tdiario[DEBE])</f>
        <v>0</v>
      </c>
      <c r="F1641" s="17">
        <f>SUMIF(tdiario[CUENTA],tbal[[#This Row],[CUENTA]],tdiario[HABER])</f>
        <v>0</v>
      </c>
      <c r="G1641" s="16">
        <f>IF(tbal[[#This Row],[DEBE]]-tbal[[#This Row],[HABER]]&gt;0,tbal[[#This Row],[DEBE]]-tbal[[#This Row],[HABER]],0)</f>
        <v>0</v>
      </c>
      <c r="H1641" s="18">
        <f>IF(tbal[[#This Row],[HABER]]-tbal[[#This Row],[DEBE]]&gt;0,tbal[[#This Row],[HABER]]-tbal[[#This Row],[DEBE]],0)</f>
        <v>0</v>
      </c>
      <c r="I1641" s="16">
        <f>IF((OR(tbal[[#This Row],[X]]=1,tbal[[#This Row],[X]]=2)),tbal[[#This Row],[DEUDOR]],0)</f>
        <v>0</v>
      </c>
      <c r="J1641" s="18">
        <f>IF((OR(tbal[[#This Row],[X]]=2,tbal[[#This Row],[X]]=3)),tbal[[#This Row],[ACREEDOR]],0)</f>
        <v>0</v>
      </c>
      <c r="K1641" s="16">
        <f>IF((OR(tbal[[#This Row],[X]]=3,tbal[[#This Row],[X]]=5)),tbal[[#This Row],[DEUDOR]],0)</f>
        <v>0</v>
      </c>
      <c r="L1641" s="18">
        <f>IF((OR(tbal[[#This Row],[X]]=3,tbal[[#This Row],[X]]=4)),tbal[[#This Row],[ACREEDOR]],0)</f>
        <v>0</v>
      </c>
      <c r="M1641" s="16">
        <f>IF((OR(tbal[[#This Row],[X]]=0,tbal[[#This Row],[X]]=6)),tbal[[#This Row],[DEUDOR]],0)</f>
        <v>0</v>
      </c>
      <c r="N1641" s="18">
        <f>IF((OR(tbal[[#This Row],[X]]=0,tbal[[#This Row],[X]]=5)),tbal[[#This Row],[ACREEDOR]],0)</f>
        <v>0</v>
      </c>
    </row>
    <row r="1642" spans="1:14" hidden="1" x14ac:dyDescent="0.3">
      <c r="A1642" s="14">
        <f>+'PLAN DE CUENTAS'!A1642</f>
        <v>0</v>
      </c>
      <c r="B1642" s="13">
        <f>+'PLAN DE CUENTAS'!B1642</f>
        <v>0</v>
      </c>
      <c r="C1642" s="13">
        <f>+'PLAN DE CUENTAS'!C1642</f>
        <v>0</v>
      </c>
      <c r="D1642" t="str">
        <f>IF(tbal[[#This Row],[DEBE]]+tbal[[#This Row],[HABER]]=0,"","X")</f>
        <v/>
      </c>
      <c r="E1642" s="16">
        <f>SUMIF(tdiario[CUENTA],tbal[[#This Row],[CUENTA]],tdiario[DEBE])</f>
        <v>0</v>
      </c>
      <c r="F1642" s="17">
        <f>SUMIF(tdiario[CUENTA],tbal[[#This Row],[CUENTA]],tdiario[HABER])</f>
        <v>0</v>
      </c>
      <c r="G1642" s="16">
        <f>IF(tbal[[#This Row],[DEBE]]-tbal[[#This Row],[HABER]]&gt;0,tbal[[#This Row],[DEBE]]-tbal[[#This Row],[HABER]],0)</f>
        <v>0</v>
      </c>
      <c r="H1642" s="18">
        <f>IF(tbal[[#This Row],[HABER]]-tbal[[#This Row],[DEBE]]&gt;0,tbal[[#This Row],[HABER]]-tbal[[#This Row],[DEBE]],0)</f>
        <v>0</v>
      </c>
      <c r="I1642" s="16">
        <f>IF((OR(tbal[[#This Row],[X]]=1,tbal[[#This Row],[X]]=2)),tbal[[#This Row],[DEUDOR]],0)</f>
        <v>0</v>
      </c>
      <c r="J1642" s="18">
        <f>IF((OR(tbal[[#This Row],[X]]=2,tbal[[#This Row],[X]]=3)),tbal[[#This Row],[ACREEDOR]],0)</f>
        <v>0</v>
      </c>
      <c r="K1642" s="16">
        <f>IF((OR(tbal[[#This Row],[X]]=3,tbal[[#This Row],[X]]=5)),tbal[[#This Row],[DEUDOR]],0)</f>
        <v>0</v>
      </c>
      <c r="L1642" s="18">
        <f>IF((OR(tbal[[#This Row],[X]]=3,tbal[[#This Row],[X]]=4)),tbal[[#This Row],[ACREEDOR]],0)</f>
        <v>0</v>
      </c>
      <c r="M1642" s="16">
        <f>IF((OR(tbal[[#This Row],[X]]=0,tbal[[#This Row],[X]]=6)),tbal[[#This Row],[DEUDOR]],0)</f>
        <v>0</v>
      </c>
      <c r="N1642" s="18">
        <f>IF((OR(tbal[[#This Row],[X]]=0,tbal[[#This Row],[X]]=5)),tbal[[#This Row],[ACREEDOR]],0)</f>
        <v>0</v>
      </c>
    </row>
    <row r="1643" spans="1:14" hidden="1" x14ac:dyDescent="0.3">
      <c r="A1643" s="14">
        <f>+'PLAN DE CUENTAS'!A1643</f>
        <v>0</v>
      </c>
      <c r="B1643" s="13">
        <f>+'PLAN DE CUENTAS'!B1643</f>
        <v>0</v>
      </c>
      <c r="C1643" s="13">
        <f>+'PLAN DE CUENTAS'!C1643</f>
        <v>0</v>
      </c>
      <c r="D1643" t="str">
        <f>IF(tbal[[#This Row],[DEBE]]+tbal[[#This Row],[HABER]]=0,"","X")</f>
        <v/>
      </c>
      <c r="E1643" s="16">
        <f>SUMIF(tdiario[CUENTA],tbal[[#This Row],[CUENTA]],tdiario[DEBE])</f>
        <v>0</v>
      </c>
      <c r="F1643" s="17">
        <f>SUMIF(tdiario[CUENTA],tbal[[#This Row],[CUENTA]],tdiario[HABER])</f>
        <v>0</v>
      </c>
      <c r="G1643" s="16">
        <f>IF(tbal[[#This Row],[DEBE]]-tbal[[#This Row],[HABER]]&gt;0,tbal[[#This Row],[DEBE]]-tbal[[#This Row],[HABER]],0)</f>
        <v>0</v>
      </c>
      <c r="H1643" s="18">
        <f>IF(tbal[[#This Row],[HABER]]-tbal[[#This Row],[DEBE]]&gt;0,tbal[[#This Row],[HABER]]-tbal[[#This Row],[DEBE]],0)</f>
        <v>0</v>
      </c>
      <c r="I1643" s="16">
        <f>IF((OR(tbal[[#This Row],[X]]=1,tbal[[#This Row],[X]]=2)),tbal[[#This Row],[DEUDOR]],0)</f>
        <v>0</v>
      </c>
      <c r="J1643" s="18">
        <f>IF((OR(tbal[[#This Row],[X]]=2,tbal[[#This Row],[X]]=3)),tbal[[#This Row],[ACREEDOR]],0)</f>
        <v>0</v>
      </c>
      <c r="K1643" s="16">
        <f>IF((OR(tbal[[#This Row],[X]]=3,tbal[[#This Row],[X]]=5)),tbal[[#This Row],[DEUDOR]],0)</f>
        <v>0</v>
      </c>
      <c r="L1643" s="18">
        <f>IF((OR(tbal[[#This Row],[X]]=3,tbal[[#This Row],[X]]=4)),tbal[[#This Row],[ACREEDOR]],0)</f>
        <v>0</v>
      </c>
      <c r="M1643" s="16">
        <f>IF((OR(tbal[[#This Row],[X]]=0,tbal[[#This Row],[X]]=6)),tbal[[#This Row],[DEUDOR]],0)</f>
        <v>0</v>
      </c>
      <c r="N1643" s="18">
        <f>IF((OR(tbal[[#This Row],[X]]=0,tbal[[#This Row],[X]]=5)),tbal[[#This Row],[ACREEDOR]],0)</f>
        <v>0</v>
      </c>
    </row>
    <row r="1644" spans="1:14" hidden="1" x14ac:dyDescent="0.3">
      <c r="A1644" s="14">
        <f>+'PLAN DE CUENTAS'!A1644</f>
        <v>0</v>
      </c>
      <c r="B1644" s="13">
        <f>+'PLAN DE CUENTAS'!B1644</f>
        <v>0</v>
      </c>
      <c r="C1644" s="13">
        <f>+'PLAN DE CUENTAS'!C1644</f>
        <v>0</v>
      </c>
      <c r="D1644" t="str">
        <f>IF(tbal[[#This Row],[DEBE]]+tbal[[#This Row],[HABER]]=0,"","X")</f>
        <v/>
      </c>
      <c r="E1644" s="16">
        <f>SUMIF(tdiario[CUENTA],tbal[[#This Row],[CUENTA]],tdiario[DEBE])</f>
        <v>0</v>
      </c>
      <c r="F1644" s="17">
        <f>SUMIF(tdiario[CUENTA],tbal[[#This Row],[CUENTA]],tdiario[HABER])</f>
        <v>0</v>
      </c>
      <c r="G1644" s="16">
        <f>IF(tbal[[#This Row],[DEBE]]-tbal[[#This Row],[HABER]]&gt;0,tbal[[#This Row],[DEBE]]-tbal[[#This Row],[HABER]],0)</f>
        <v>0</v>
      </c>
      <c r="H1644" s="18">
        <f>IF(tbal[[#This Row],[HABER]]-tbal[[#This Row],[DEBE]]&gt;0,tbal[[#This Row],[HABER]]-tbal[[#This Row],[DEBE]],0)</f>
        <v>0</v>
      </c>
      <c r="I1644" s="16">
        <f>IF((OR(tbal[[#This Row],[X]]=1,tbal[[#This Row],[X]]=2)),tbal[[#This Row],[DEUDOR]],0)</f>
        <v>0</v>
      </c>
      <c r="J1644" s="18">
        <f>IF((OR(tbal[[#This Row],[X]]=2,tbal[[#This Row],[X]]=3)),tbal[[#This Row],[ACREEDOR]],0)</f>
        <v>0</v>
      </c>
      <c r="K1644" s="16">
        <f>IF((OR(tbal[[#This Row],[X]]=3,tbal[[#This Row],[X]]=5)),tbal[[#This Row],[DEUDOR]],0)</f>
        <v>0</v>
      </c>
      <c r="L1644" s="18">
        <f>IF((OR(tbal[[#This Row],[X]]=3,tbal[[#This Row],[X]]=4)),tbal[[#This Row],[ACREEDOR]],0)</f>
        <v>0</v>
      </c>
      <c r="M1644" s="16">
        <f>IF((OR(tbal[[#This Row],[X]]=0,tbal[[#This Row],[X]]=6)),tbal[[#This Row],[DEUDOR]],0)</f>
        <v>0</v>
      </c>
      <c r="N1644" s="18">
        <f>IF((OR(tbal[[#This Row],[X]]=0,tbal[[#This Row],[X]]=5)),tbal[[#This Row],[ACREEDOR]],0)</f>
        <v>0</v>
      </c>
    </row>
    <row r="1645" spans="1:14" hidden="1" x14ac:dyDescent="0.3">
      <c r="A1645" s="14">
        <f>+'PLAN DE CUENTAS'!A1645</f>
        <v>0</v>
      </c>
      <c r="B1645" s="13">
        <f>+'PLAN DE CUENTAS'!B1645</f>
        <v>0</v>
      </c>
      <c r="C1645" s="13">
        <f>+'PLAN DE CUENTAS'!C1645</f>
        <v>0</v>
      </c>
      <c r="D1645" t="str">
        <f>IF(tbal[[#This Row],[DEBE]]+tbal[[#This Row],[HABER]]=0,"","X")</f>
        <v/>
      </c>
      <c r="E1645" s="16">
        <f>SUMIF(tdiario[CUENTA],tbal[[#This Row],[CUENTA]],tdiario[DEBE])</f>
        <v>0</v>
      </c>
      <c r="F1645" s="17">
        <f>SUMIF(tdiario[CUENTA],tbal[[#This Row],[CUENTA]],tdiario[HABER])</f>
        <v>0</v>
      </c>
      <c r="G1645" s="16">
        <f>IF(tbal[[#This Row],[DEBE]]-tbal[[#This Row],[HABER]]&gt;0,tbal[[#This Row],[DEBE]]-tbal[[#This Row],[HABER]],0)</f>
        <v>0</v>
      </c>
      <c r="H1645" s="18">
        <f>IF(tbal[[#This Row],[HABER]]-tbal[[#This Row],[DEBE]]&gt;0,tbal[[#This Row],[HABER]]-tbal[[#This Row],[DEBE]],0)</f>
        <v>0</v>
      </c>
      <c r="I1645" s="16">
        <f>IF((OR(tbal[[#This Row],[X]]=1,tbal[[#This Row],[X]]=2)),tbal[[#This Row],[DEUDOR]],0)</f>
        <v>0</v>
      </c>
      <c r="J1645" s="18">
        <f>IF((OR(tbal[[#This Row],[X]]=2,tbal[[#This Row],[X]]=3)),tbal[[#This Row],[ACREEDOR]],0)</f>
        <v>0</v>
      </c>
      <c r="K1645" s="16">
        <f>IF((OR(tbal[[#This Row],[X]]=3,tbal[[#This Row],[X]]=5)),tbal[[#This Row],[DEUDOR]],0)</f>
        <v>0</v>
      </c>
      <c r="L1645" s="18">
        <f>IF((OR(tbal[[#This Row],[X]]=3,tbal[[#This Row],[X]]=4)),tbal[[#This Row],[ACREEDOR]],0)</f>
        <v>0</v>
      </c>
      <c r="M1645" s="16">
        <f>IF((OR(tbal[[#This Row],[X]]=0,tbal[[#This Row],[X]]=6)),tbal[[#This Row],[DEUDOR]],0)</f>
        <v>0</v>
      </c>
      <c r="N1645" s="18">
        <f>IF((OR(tbal[[#This Row],[X]]=0,tbal[[#This Row],[X]]=5)),tbal[[#This Row],[ACREEDOR]],0)</f>
        <v>0</v>
      </c>
    </row>
    <row r="1646" spans="1:14" hidden="1" x14ac:dyDescent="0.3">
      <c r="A1646" s="14">
        <f>+'PLAN DE CUENTAS'!A1646</f>
        <v>0</v>
      </c>
      <c r="B1646" s="13">
        <f>+'PLAN DE CUENTAS'!B1646</f>
        <v>0</v>
      </c>
      <c r="C1646" s="13">
        <f>+'PLAN DE CUENTAS'!C1646</f>
        <v>0</v>
      </c>
      <c r="D1646" t="str">
        <f>IF(tbal[[#This Row],[DEBE]]+tbal[[#This Row],[HABER]]=0,"","X")</f>
        <v/>
      </c>
      <c r="E1646" s="16">
        <f>SUMIF(tdiario[CUENTA],tbal[[#This Row],[CUENTA]],tdiario[DEBE])</f>
        <v>0</v>
      </c>
      <c r="F1646" s="17">
        <f>SUMIF(tdiario[CUENTA],tbal[[#This Row],[CUENTA]],tdiario[HABER])</f>
        <v>0</v>
      </c>
      <c r="G1646" s="16">
        <f>IF(tbal[[#This Row],[DEBE]]-tbal[[#This Row],[HABER]]&gt;0,tbal[[#This Row],[DEBE]]-tbal[[#This Row],[HABER]],0)</f>
        <v>0</v>
      </c>
      <c r="H1646" s="18">
        <f>IF(tbal[[#This Row],[HABER]]-tbal[[#This Row],[DEBE]]&gt;0,tbal[[#This Row],[HABER]]-tbal[[#This Row],[DEBE]],0)</f>
        <v>0</v>
      </c>
      <c r="I1646" s="16">
        <f>IF((OR(tbal[[#This Row],[X]]=1,tbal[[#This Row],[X]]=2)),tbal[[#This Row],[DEUDOR]],0)</f>
        <v>0</v>
      </c>
      <c r="J1646" s="18">
        <f>IF((OR(tbal[[#This Row],[X]]=2,tbal[[#This Row],[X]]=3)),tbal[[#This Row],[ACREEDOR]],0)</f>
        <v>0</v>
      </c>
      <c r="K1646" s="16">
        <f>IF((OR(tbal[[#This Row],[X]]=3,tbal[[#This Row],[X]]=5)),tbal[[#This Row],[DEUDOR]],0)</f>
        <v>0</v>
      </c>
      <c r="L1646" s="18">
        <f>IF((OR(tbal[[#This Row],[X]]=3,tbal[[#This Row],[X]]=4)),tbal[[#This Row],[ACREEDOR]],0)</f>
        <v>0</v>
      </c>
      <c r="M1646" s="16">
        <f>IF((OR(tbal[[#This Row],[X]]=0,tbal[[#This Row],[X]]=6)),tbal[[#This Row],[DEUDOR]],0)</f>
        <v>0</v>
      </c>
      <c r="N1646" s="18">
        <f>IF((OR(tbal[[#This Row],[X]]=0,tbal[[#This Row],[X]]=5)),tbal[[#This Row],[ACREEDOR]],0)</f>
        <v>0</v>
      </c>
    </row>
    <row r="1647" spans="1:14" hidden="1" x14ac:dyDescent="0.3">
      <c r="A1647" s="14">
        <f>+'PLAN DE CUENTAS'!A1647</f>
        <v>0</v>
      </c>
      <c r="B1647" s="13">
        <f>+'PLAN DE CUENTAS'!B1647</f>
        <v>0</v>
      </c>
      <c r="C1647" s="13">
        <f>+'PLAN DE CUENTAS'!C1647</f>
        <v>0</v>
      </c>
      <c r="D1647" t="str">
        <f>IF(tbal[[#This Row],[DEBE]]+tbal[[#This Row],[HABER]]=0,"","X")</f>
        <v/>
      </c>
      <c r="E1647" s="16">
        <f>SUMIF(tdiario[CUENTA],tbal[[#This Row],[CUENTA]],tdiario[DEBE])</f>
        <v>0</v>
      </c>
      <c r="F1647" s="17">
        <f>SUMIF(tdiario[CUENTA],tbal[[#This Row],[CUENTA]],tdiario[HABER])</f>
        <v>0</v>
      </c>
      <c r="G1647" s="16">
        <f>IF(tbal[[#This Row],[DEBE]]-tbal[[#This Row],[HABER]]&gt;0,tbal[[#This Row],[DEBE]]-tbal[[#This Row],[HABER]],0)</f>
        <v>0</v>
      </c>
      <c r="H1647" s="18">
        <f>IF(tbal[[#This Row],[HABER]]-tbal[[#This Row],[DEBE]]&gt;0,tbal[[#This Row],[HABER]]-tbal[[#This Row],[DEBE]],0)</f>
        <v>0</v>
      </c>
      <c r="I1647" s="16">
        <f>IF((OR(tbal[[#This Row],[X]]=1,tbal[[#This Row],[X]]=2)),tbal[[#This Row],[DEUDOR]],0)</f>
        <v>0</v>
      </c>
      <c r="J1647" s="18">
        <f>IF((OR(tbal[[#This Row],[X]]=2,tbal[[#This Row],[X]]=3)),tbal[[#This Row],[ACREEDOR]],0)</f>
        <v>0</v>
      </c>
      <c r="K1647" s="16">
        <f>IF((OR(tbal[[#This Row],[X]]=3,tbal[[#This Row],[X]]=5)),tbal[[#This Row],[DEUDOR]],0)</f>
        <v>0</v>
      </c>
      <c r="L1647" s="18">
        <f>IF((OR(tbal[[#This Row],[X]]=3,tbal[[#This Row],[X]]=4)),tbal[[#This Row],[ACREEDOR]],0)</f>
        <v>0</v>
      </c>
      <c r="M1647" s="16">
        <f>IF((OR(tbal[[#This Row],[X]]=0,tbal[[#This Row],[X]]=6)),tbal[[#This Row],[DEUDOR]],0)</f>
        <v>0</v>
      </c>
      <c r="N1647" s="18">
        <f>IF((OR(tbal[[#This Row],[X]]=0,tbal[[#This Row],[X]]=5)),tbal[[#This Row],[ACREEDOR]],0)</f>
        <v>0</v>
      </c>
    </row>
    <row r="1648" spans="1:14" hidden="1" x14ac:dyDescent="0.3">
      <c r="A1648" s="14">
        <f>+'PLAN DE CUENTAS'!A1648</f>
        <v>0</v>
      </c>
      <c r="B1648" s="13">
        <f>+'PLAN DE CUENTAS'!B1648</f>
        <v>0</v>
      </c>
      <c r="C1648" s="13">
        <f>+'PLAN DE CUENTAS'!C1648</f>
        <v>0</v>
      </c>
      <c r="D1648" t="str">
        <f>IF(tbal[[#This Row],[DEBE]]+tbal[[#This Row],[HABER]]=0,"","X")</f>
        <v/>
      </c>
      <c r="E1648" s="16">
        <f>SUMIF(tdiario[CUENTA],tbal[[#This Row],[CUENTA]],tdiario[DEBE])</f>
        <v>0</v>
      </c>
      <c r="F1648" s="17">
        <f>SUMIF(tdiario[CUENTA],tbal[[#This Row],[CUENTA]],tdiario[HABER])</f>
        <v>0</v>
      </c>
      <c r="G1648" s="16">
        <f>IF(tbal[[#This Row],[DEBE]]-tbal[[#This Row],[HABER]]&gt;0,tbal[[#This Row],[DEBE]]-tbal[[#This Row],[HABER]],0)</f>
        <v>0</v>
      </c>
      <c r="H1648" s="18">
        <f>IF(tbal[[#This Row],[HABER]]-tbal[[#This Row],[DEBE]]&gt;0,tbal[[#This Row],[HABER]]-tbal[[#This Row],[DEBE]],0)</f>
        <v>0</v>
      </c>
      <c r="I1648" s="16">
        <f>IF((OR(tbal[[#This Row],[X]]=1,tbal[[#This Row],[X]]=2)),tbal[[#This Row],[DEUDOR]],0)</f>
        <v>0</v>
      </c>
      <c r="J1648" s="18">
        <f>IF((OR(tbal[[#This Row],[X]]=2,tbal[[#This Row],[X]]=3)),tbal[[#This Row],[ACREEDOR]],0)</f>
        <v>0</v>
      </c>
      <c r="K1648" s="16">
        <f>IF((OR(tbal[[#This Row],[X]]=3,tbal[[#This Row],[X]]=5)),tbal[[#This Row],[DEUDOR]],0)</f>
        <v>0</v>
      </c>
      <c r="L1648" s="18">
        <f>IF((OR(tbal[[#This Row],[X]]=3,tbal[[#This Row],[X]]=4)),tbal[[#This Row],[ACREEDOR]],0)</f>
        <v>0</v>
      </c>
      <c r="M1648" s="16">
        <f>IF((OR(tbal[[#This Row],[X]]=0,tbal[[#This Row],[X]]=6)),tbal[[#This Row],[DEUDOR]],0)</f>
        <v>0</v>
      </c>
      <c r="N1648" s="18">
        <f>IF((OR(tbal[[#This Row],[X]]=0,tbal[[#This Row],[X]]=5)),tbal[[#This Row],[ACREEDOR]],0)</f>
        <v>0</v>
      </c>
    </row>
    <row r="1649" spans="1:14" hidden="1" x14ac:dyDescent="0.3">
      <c r="A1649" s="14">
        <f>+'PLAN DE CUENTAS'!A1649</f>
        <v>0</v>
      </c>
      <c r="B1649" s="13">
        <f>+'PLAN DE CUENTAS'!B1649</f>
        <v>0</v>
      </c>
      <c r="C1649" s="13">
        <f>+'PLAN DE CUENTAS'!C1649</f>
        <v>0</v>
      </c>
      <c r="D1649" t="str">
        <f>IF(tbal[[#This Row],[DEBE]]+tbal[[#This Row],[HABER]]=0,"","X")</f>
        <v/>
      </c>
      <c r="E1649" s="16">
        <f>SUMIF(tdiario[CUENTA],tbal[[#This Row],[CUENTA]],tdiario[DEBE])</f>
        <v>0</v>
      </c>
      <c r="F1649" s="17">
        <f>SUMIF(tdiario[CUENTA],tbal[[#This Row],[CUENTA]],tdiario[HABER])</f>
        <v>0</v>
      </c>
      <c r="G1649" s="16">
        <f>IF(tbal[[#This Row],[DEBE]]-tbal[[#This Row],[HABER]]&gt;0,tbal[[#This Row],[DEBE]]-tbal[[#This Row],[HABER]],0)</f>
        <v>0</v>
      </c>
      <c r="H1649" s="18">
        <f>IF(tbal[[#This Row],[HABER]]-tbal[[#This Row],[DEBE]]&gt;0,tbal[[#This Row],[HABER]]-tbal[[#This Row],[DEBE]],0)</f>
        <v>0</v>
      </c>
      <c r="I1649" s="16">
        <f>IF((OR(tbal[[#This Row],[X]]=1,tbal[[#This Row],[X]]=2)),tbal[[#This Row],[DEUDOR]],0)</f>
        <v>0</v>
      </c>
      <c r="J1649" s="18">
        <f>IF((OR(tbal[[#This Row],[X]]=2,tbal[[#This Row],[X]]=3)),tbal[[#This Row],[ACREEDOR]],0)</f>
        <v>0</v>
      </c>
      <c r="K1649" s="16">
        <f>IF((OR(tbal[[#This Row],[X]]=3,tbal[[#This Row],[X]]=5)),tbal[[#This Row],[DEUDOR]],0)</f>
        <v>0</v>
      </c>
      <c r="L1649" s="18">
        <f>IF((OR(tbal[[#This Row],[X]]=3,tbal[[#This Row],[X]]=4)),tbal[[#This Row],[ACREEDOR]],0)</f>
        <v>0</v>
      </c>
      <c r="M1649" s="16">
        <f>IF((OR(tbal[[#This Row],[X]]=0,tbal[[#This Row],[X]]=6)),tbal[[#This Row],[DEUDOR]],0)</f>
        <v>0</v>
      </c>
      <c r="N1649" s="18">
        <f>IF((OR(tbal[[#This Row],[X]]=0,tbal[[#This Row],[X]]=5)),tbal[[#This Row],[ACREEDOR]],0)</f>
        <v>0</v>
      </c>
    </row>
    <row r="1650" spans="1:14" hidden="1" x14ac:dyDescent="0.3">
      <c r="A1650" s="14">
        <f>+'PLAN DE CUENTAS'!A1650</f>
        <v>0</v>
      </c>
      <c r="B1650" s="13">
        <f>+'PLAN DE CUENTAS'!B1650</f>
        <v>0</v>
      </c>
      <c r="C1650" s="13">
        <f>+'PLAN DE CUENTAS'!C1650</f>
        <v>0</v>
      </c>
      <c r="D1650" t="str">
        <f>IF(tbal[[#This Row],[DEBE]]+tbal[[#This Row],[HABER]]=0,"","X")</f>
        <v/>
      </c>
      <c r="E1650" s="16">
        <f>SUMIF(tdiario[CUENTA],tbal[[#This Row],[CUENTA]],tdiario[DEBE])</f>
        <v>0</v>
      </c>
      <c r="F1650" s="17">
        <f>SUMIF(tdiario[CUENTA],tbal[[#This Row],[CUENTA]],tdiario[HABER])</f>
        <v>0</v>
      </c>
      <c r="G1650" s="16">
        <f>IF(tbal[[#This Row],[DEBE]]-tbal[[#This Row],[HABER]]&gt;0,tbal[[#This Row],[DEBE]]-tbal[[#This Row],[HABER]],0)</f>
        <v>0</v>
      </c>
      <c r="H1650" s="18">
        <f>IF(tbal[[#This Row],[HABER]]-tbal[[#This Row],[DEBE]]&gt;0,tbal[[#This Row],[HABER]]-tbal[[#This Row],[DEBE]],0)</f>
        <v>0</v>
      </c>
      <c r="I1650" s="16">
        <f>IF((OR(tbal[[#This Row],[X]]=1,tbal[[#This Row],[X]]=2)),tbal[[#This Row],[DEUDOR]],0)</f>
        <v>0</v>
      </c>
      <c r="J1650" s="18">
        <f>IF((OR(tbal[[#This Row],[X]]=2,tbal[[#This Row],[X]]=3)),tbal[[#This Row],[ACREEDOR]],0)</f>
        <v>0</v>
      </c>
      <c r="K1650" s="16">
        <f>IF((OR(tbal[[#This Row],[X]]=3,tbal[[#This Row],[X]]=5)),tbal[[#This Row],[DEUDOR]],0)</f>
        <v>0</v>
      </c>
      <c r="L1650" s="18">
        <f>IF((OR(tbal[[#This Row],[X]]=3,tbal[[#This Row],[X]]=4)),tbal[[#This Row],[ACREEDOR]],0)</f>
        <v>0</v>
      </c>
      <c r="M1650" s="16">
        <f>IF((OR(tbal[[#This Row],[X]]=0,tbal[[#This Row],[X]]=6)),tbal[[#This Row],[DEUDOR]],0)</f>
        <v>0</v>
      </c>
      <c r="N1650" s="18">
        <f>IF((OR(tbal[[#This Row],[X]]=0,tbal[[#This Row],[X]]=5)),tbal[[#This Row],[ACREEDOR]],0)</f>
        <v>0</v>
      </c>
    </row>
    <row r="1651" spans="1:14" hidden="1" x14ac:dyDescent="0.3">
      <c r="A1651" s="14">
        <f>+'PLAN DE CUENTAS'!A1651</f>
        <v>0</v>
      </c>
      <c r="B1651" s="13">
        <f>+'PLAN DE CUENTAS'!B1651</f>
        <v>0</v>
      </c>
      <c r="C1651" s="13">
        <f>+'PLAN DE CUENTAS'!C1651</f>
        <v>0</v>
      </c>
      <c r="D1651" t="str">
        <f>IF(tbal[[#This Row],[DEBE]]+tbal[[#This Row],[HABER]]=0,"","X")</f>
        <v/>
      </c>
      <c r="E1651" s="16">
        <f>SUMIF(tdiario[CUENTA],tbal[[#This Row],[CUENTA]],tdiario[DEBE])</f>
        <v>0</v>
      </c>
      <c r="F1651" s="17">
        <f>SUMIF(tdiario[CUENTA],tbal[[#This Row],[CUENTA]],tdiario[HABER])</f>
        <v>0</v>
      </c>
      <c r="G1651" s="16">
        <f>IF(tbal[[#This Row],[DEBE]]-tbal[[#This Row],[HABER]]&gt;0,tbal[[#This Row],[DEBE]]-tbal[[#This Row],[HABER]],0)</f>
        <v>0</v>
      </c>
      <c r="H1651" s="18">
        <f>IF(tbal[[#This Row],[HABER]]-tbal[[#This Row],[DEBE]]&gt;0,tbal[[#This Row],[HABER]]-tbal[[#This Row],[DEBE]],0)</f>
        <v>0</v>
      </c>
      <c r="I1651" s="16">
        <f>IF((OR(tbal[[#This Row],[X]]=1,tbal[[#This Row],[X]]=2)),tbal[[#This Row],[DEUDOR]],0)</f>
        <v>0</v>
      </c>
      <c r="J1651" s="18">
        <f>IF((OR(tbal[[#This Row],[X]]=2,tbal[[#This Row],[X]]=3)),tbal[[#This Row],[ACREEDOR]],0)</f>
        <v>0</v>
      </c>
      <c r="K1651" s="16">
        <f>IF((OR(tbal[[#This Row],[X]]=3,tbal[[#This Row],[X]]=5)),tbal[[#This Row],[DEUDOR]],0)</f>
        <v>0</v>
      </c>
      <c r="L1651" s="18">
        <f>IF((OR(tbal[[#This Row],[X]]=3,tbal[[#This Row],[X]]=4)),tbal[[#This Row],[ACREEDOR]],0)</f>
        <v>0</v>
      </c>
      <c r="M1651" s="16">
        <f>IF((OR(tbal[[#This Row],[X]]=0,tbal[[#This Row],[X]]=6)),tbal[[#This Row],[DEUDOR]],0)</f>
        <v>0</v>
      </c>
      <c r="N1651" s="18">
        <f>IF((OR(tbal[[#This Row],[X]]=0,tbal[[#This Row],[X]]=5)),tbal[[#This Row],[ACREEDOR]],0)</f>
        <v>0</v>
      </c>
    </row>
    <row r="1652" spans="1:14" hidden="1" x14ac:dyDescent="0.3">
      <c r="A1652" s="14">
        <f>+'PLAN DE CUENTAS'!A1652</f>
        <v>0</v>
      </c>
      <c r="B1652" s="13">
        <f>+'PLAN DE CUENTAS'!B1652</f>
        <v>0</v>
      </c>
      <c r="C1652" s="13">
        <f>+'PLAN DE CUENTAS'!C1652</f>
        <v>0</v>
      </c>
      <c r="D1652" t="str">
        <f>IF(tbal[[#This Row],[DEBE]]+tbal[[#This Row],[HABER]]=0,"","X")</f>
        <v/>
      </c>
      <c r="E1652" s="16">
        <f>SUMIF(tdiario[CUENTA],tbal[[#This Row],[CUENTA]],tdiario[DEBE])</f>
        <v>0</v>
      </c>
      <c r="F1652" s="17">
        <f>SUMIF(tdiario[CUENTA],tbal[[#This Row],[CUENTA]],tdiario[HABER])</f>
        <v>0</v>
      </c>
      <c r="G1652" s="16">
        <f>IF(tbal[[#This Row],[DEBE]]-tbal[[#This Row],[HABER]]&gt;0,tbal[[#This Row],[DEBE]]-tbal[[#This Row],[HABER]],0)</f>
        <v>0</v>
      </c>
      <c r="H1652" s="18">
        <f>IF(tbal[[#This Row],[HABER]]-tbal[[#This Row],[DEBE]]&gt;0,tbal[[#This Row],[HABER]]-tbal[[#This Row],[DEBE]],0)</f>
        <v>0</v>
      </c>
      <c r="I1652" s="16">
        <f>IF((OR(tbal[[#This Row],[X]]=1,tbal[[#This Row],[X]]=2)),tbal[[#This Row],[DEUDOR]],0)</f>
        <v>0</v>
      </c>
      <c r="J1652" s="18">
        <f>IF((OR(tbal[[#This Row],[X]]=2,tbal[[#This Row],[X]]=3)),tbal[[#This Row],[ACREEDOR]],0)</f>
        <v>0</v>
      </c>
      <c r="K1652" s="16">
        <f>IF((OR(tbal[[#This Row],[X]]=3,tbal[[#This Row],[X]]=5)),tbal[[#This Row],[DEUDOR]],0)</f>
        <v>0</v>
      </c>
      <c r="L1652" s="18">
        <f>IF((OR(tbal[[#This Row],[X]]=3,tbal[[#This Row],[X]]=4)),tbal[[#This Row],[ACREEDOR]],0)</f>
        <v>0</v>
      </c>
      <c r="M1652" s="16">
        <f>IF((OR(tbal[[#This Row],[X]]=0,tbal[[#This Row],[X]]=6)),tbal[[#This Row],[DEUDOR]],0)</f>
        <v>0</v>
      </c>
      <c r="N1652" s="18">
        <f>IF((OR(tbal[[#This Row],[X]]=0,tbal[[#This Row],[X]]=5)),tbal[[#This Row],[ACREEDOR]],0)</f>
        <v>0</v>
      </c>
    </row>
    <row r="1653" spans="1:14" hidden="1" x14ac:dyDescent="0.3">
      <c r="A1653" s="14">
        <f>+'PLAN DE CUENTAS'!A1653</f>
        <v>0</v>
      </c>
      <c r="B1653" s="13">
        <f>+'PLAN DE CUENTAS'!B1653</f>
        <v>0</v>
      </c>
      <c r="C1653" s="13">
        <f>+'PLAN DE CUENTAS'!C1653</f>
        <v>0</v>
      </c>
      <c r="D1653" t="str">
        <f>IF(tbal[[#This Row],[DEBE]]+tbal[[#This Row],[HABER]]=0,"","X")</f>
        <v/>
      </c>
      <c r="E1653" s="16">
        <f>SUMIF(tdiario[CUENTA],tbal[[#This Row],[CUENTA]],tdiario[DEBE])</f>
        <v>0</v>
      </c>
      <c r="F1653" s="17">
        <f>SUMIF(tdiario[CUENTA],tbal[[#This Row],[CUENTA]],tdiario[HABER])</f>
        <v>0</v>
      </c>
      <c r="G1653" s="16">
        <f>IF(tbal[[#This Row],[DEBE]]-tbal[[#This Row],[HABER]]&gt;0,tbal[[#This Row],[DEBE]]-tbal[[#This Row],[HABER]],0)</f>
        <v>0</v>
      </c>
      <c r="H1653" s="18">
        <f>IF(tbal[[#This Row],[HABER]]-tbal[[#This Row],[DEBE]]&gt;0,tbal[[#This Row],[HABER]]-tbal[[#This Row],[DEBE]],0)</f>
        <v>0</v>
      </c>
      <c r="I1653" s="16">
        <f>IF((OR(tbal[[#This Row],[X]]=1,tbal[[#This Row],[X]]=2)),tbal[[#This Row],[DEUDOR]],0)</f>
        <v>0</v>
      </c>
      <c r="J1653" s="18">
        <f>IF((OR(tbal[[#This Row],[X]]=2,tbal[[#This Row],[X]]=3)),tbal[[#This Row],[ACREEDOR]],0)</f>
        <v>0</v>
      </c>
      <c r="K1653" s="16">
        <f>IF((OR(tbal[[#This Row],[X]]=3,tbal[[#This Row],[X]]=5)),tbal[[#This Row],[DEUDOR]],0)</f>
        <v>0</v>
      </c>
      <c r="L1653" s="18">
        <f>IF((OR(tbal[[#This Row],[X]]=3,tbal[[#This Row],[X]]=4)),tbal[[#This Row],[ACREEDOR]],0)</f>
        <v>0</v>
      </c>
      <c r="M1653" s="16">
        <f>IF((OR(tbal[[#This Row],[X]]=0,tbal[[#This Row],[X]]=6)),tbal[[#This Row],[DEUDOR]],0)</f>
        <v>0</v>
      </c>
      <c r="N1653" s="18">
        <f>IF((OR(tbal[[#This Row],[X]]=0,tbal[[#This Row],[X]]=5)),tbal[[#This Row],[ACREEDOR]],0)</f>
        <v>0</v>
      </c>
    </row>
    <row r="1654" spans="1:14" hidden="1" x14ac:dyDescent="0.3">
      <c r="A1654" s="14">
        <f>+'PLAN DE CUENTAS'!A1654</f>
        <v>0</v>
      </c>
      <c r="B1654" s="13">
        <f>+'PLAN DE CUENTAS'!B1654</f>
        <v>0</v>
      </c>
      <c r="C1654" s="13">
        <f>+'PLAN DE CUENTAS'!C1654</f>
        <v>0</v>
      </c>
      <c r="D1654" t="str">
        <f>IF(tbal[[#This Row],[DEBE]]+tbal[[#This Row],[HABER]]=0,"","X")</f>
        <v/>
      </c>
      <c r="E1654" s="16">
        <f>SUMIF(tdiario[CUENTA],tbal[[#This Row],[CUENTA]],tdiario[DEBE])</f>
        <v>0</v>
      </c>
      <c r="F1654" s="17">
        <f>SUMIF(tdiario[CUENTA],tbal[[#This Row],[CUENTA]],tdiario[HABER])</f>
        <v>0</v>
      </c>
      <c r="G1654" s="16">
        <f>IF(tbal[[#This Row],[DEBE]]-tbal[[#This Row],[HABER]]&gt;0,tbal[[#This Row],[DEBE]]-tbal[[#This Row],[HABER]],0)</f>
        <v>0</v>
      </c>
      <c r="H1654" s="18">
        <f>IF(tbal[[#This Row],[HABER]]-tbal[[#This Row],[DEBE]]&gt;0,tbal[[#This Row],[HABER]]-tbal[[#This Row],[DEBE]],0)</f>
        <v>0</v>
      </c>
      <c r="I1654" s="16">
        <f>IF((OR(tbal[[#This Row],[X]]=1,tbal[[#This Row],[X]]=2)),tbal[[#This Row],[DEUDOR]],0)</f>
        <v>0</v>
      </c>
      <c r="J1654" s="18">
        <f>IF((OR(tbal[[#This Row],[X]]=2,tbal[[#This Row],[X]]=3)),tbal[[#This Row],[ACREEDOR]],0)</f>
        <v>0</v>
      </c>
      <c r="K1654" s="16">
        <f>IF((OR(tbal[[#This Row],[X]]=3,tbal[[#This Row],[X]]=5)),tbal[[#This Row],[DEUDOR]],0)</f>
        <v>0</v>
      </c>
      <c r="L1654" s="18">
        <f>IF((OR(tbal[[#This Row],[X]]=3,tbal[[#This Row],[X]]=4)),tbal[[#This Row],[ACREEDOR]],0)</f>
        <v>0</v>
      </c>
      <c r="M1654" s="16">
        <f>IF((OR(tbal[[#This Row],[X]]=0,tbal[[#This Row],[X]]=6)),tbal[[#This Row],[DEUDOR]],0)</f>
        <v>0</v>
      </c>
      <c r="N1654" s="18">
        <f>IF((OR(tbal[[#This Row],[X]]=0,tbal[[#This Row],[X]]=5)),tbal[[#This Row],[ACREEDOR]],0)</f>
        <v>0</v>
      </c>
    </row>
    <row r="1655" spans="1:14" hidden="1" x14ac:dyDescent="0.3">
      <c r="A1655" s="14">
        <f>+'PLAN DE CUENTAS'!A1655</f>
        <v>0</v>
      </c>
      <c r="B1655" s="13">
        <f>+'PLAN DE CUENTAS'!B1655</f>
        <v>0</v>
      </c>
      <c r="C1655" s="13">
        <f>+'PLAN DE CUENTAS'!C1655</f>
        <v>0</v>
      </c>
      <c r="D1655" t="str">
        <f>IF(tbal[[#This Row],[DEBE]]+tbal[[#This Row],[HABER]]=0,"","X")</f>
        <v/>
      </c>
      <c r="E1655" s="16">
        <f>SUMIF(tdiario[CUENTA],tbal[[#This Row],[CUENTA]],tdiario[DEBE])</f>
        <v>0</v>
      </c>
      <c r="F1655" s="17">
        <f>SUMIF(tdiario[CUENTA],tbal[[#This Row],[CUENTA]],tdiario[HABER])</f>
        <v>0</v>
      </c>
      <c r="G1655" s="16">
        <f>IF(tbal[[#This Row],[DEBE]]-tbal[[#This Row],[HABER]]&gt;0,tbal[[#This Row],[DEBE]]-tbal[[#This Row],[HABER]],0)</f>
        <v>0</v>
      </c>
      <c r="H1655" s="18">
        <f>IF(tbal[[#This Row],[HABER]]-tbal[[#This Row],[DEBE]]&gt;0,tbal[[#This Row],[HABER]]-tbal[[#This Row],[DEBE]],0)</f>
        <v>0</v>
      </c>
      <c r="I1655" s="16">
        <f>IF((OR(tbal[[#This Row],[X]]=1,tbal[[#This Row],[X]]=2)),tbal[[#This Row],[DEUDOR]],0)</f>
        <v>0</v>
      </c>
      <c r="J1655" s="18">
        <f>IF((OR(tbal[[#This Row],[X]]=2,tbal[[#This Row],[X]]=3)),tbal[[#This Row],[ACREEDOR]],0)</f>
        <v>0</v>
      </c>
      <c r="K1655" s="16">
        <f>IF((OR(tbal[[#This Row],[X]]=3,tbal[[#This Row],[X]]=5)),tbal[[#This Row],[DEUDOR]],0)</f>
        <v>0</v>
      </c>
      <c r="L1655" s="18">
        <f>IF((OR(tbal[[#This Row],[X]]=3,tbal[[#This Row],[X]]=4)),tbal[[#This Row],[ACREEDOR]],0)</f>
        <v>0</v>
      </c>
      <c r="M1655" s="16">
        <f>IF((OR(tbal[[#This Row],[X]]=0,tbal[[#This Row],[X]]=6)),tbal[[#This Row],[DEUDOR]],0)</f>
        <v>0</v>
      </c>
      <c r="N1655" s="18">
        <f>IF((OR(tbal[[#This Row],[X]]=0,tbal[[#This Row],[X]]=5)),tbal[[#This Row],[ACREEDOR]],0)</f>
        <v>0</v>
      </c>
    </row>
    <row r="1656" spans="1:14" hidden="1" x14ac:dyDescent="0.3">
      <c r="A1656" s="14">
        <f>+'PLAN DE CUENTAS'!A1656</f>
        <v>0</v>
      </c>
      <c r="B1656" s="13">
        <f>+'PLAN DE CUENTAS'!B1656</f>
        <v>0</v>
      </c>
      <c r="C1656" s="13">
        <f>+'PLAN DE CUENTAS'!C1656</f>
        <v>0</v>
      </c>
      <c r="D1656" t="str">
        <f>IF(tbal[[#This Row],[DEBE]]+tbal[[#This Row],[HABER]]=0,"","X")</f>
        <v/>
      </c>
      <c r="E1656" s="16">
        <f>SUMIF(tdiario[CUENTA],tbal[[#This Row],[CUENTA]],tdiario[DEBE])</f>
        <v>0</v>
      </c>
      <c r="F1656" s="17">
        <f>SUMIF(tdiario[CUENTA],tbal[[#This Row],[CUENTA]],tdiario[HABER])</f>
        <v>0</v>
      </c>
      <c r="G1656" s="16">
        <f>IF(tbal[[#This Row],[DEBE]]-tbal[[#This Row],[HABER]]&gt;0,tbal[[#This Row],[DEBE]]-tbal[[#This Row],[HABER]],0)</f>
        <v>0</v>
      </c>
      <c r="H1656" s="18">
        <f>IF(tbal[[#This Row],[HABER]]-tbal[[#This Row],[DEBE]]&gt;0,tbal[[#This Row],[HABER]]-tbal[[#This Row],[DEBE]],0)</f>
        <v>0</v>
      </c>
      <c r="I1656" s="16">
        <f>IF((OR(tbal[[#This Row],[X]]=1,tbal[[#This Row],[X]]=2)),tbal[[#This Row],[DEUDOR]],0)</f>
        <v>0</v>
      </c>
      <c r="J1656" s="18">
        <f>IF((OR(tbal[[#This Row],[X]]=2,tbal[[#This Row],[X]]=3)),tbal[[#This Row],[ACREEDOR]],0)</f>
        <v>0</v>
      </c>
      <c r="K1656" s="16">
        <f>IF((OR(tbal[[#This Row],[X]]=3,tbal[[#This Row],[X]]=5)),tbal[[#This Row],[DEUDOR]],0)</f>
        <v>0</v>
      </c>
      <c r="L1656" s="18">
        <f>IF((OR(tbal[[#This Row],[X]]=3,tbal[[#This Row],[X]]=4)),tbal[[#This Row],[ACREEDOR]],0)</f>
        <v>0</v>
      </c>
      <c r="M1656" s="16">
        <f>IF((OR(tbal[[#This Row],[X]]=0,tbal[[#This Row],[X]]=6)),tbal[[#This Row],[DEUDOR]],0)</f>
        <v>0</v>
      </c>
      <c r="N1656" s="18">
        <f>IF((OR(tbal[[#This Row],[X]]=0,tbal[[#This Row],[X]]=5)),tbal[[#This Row],[ACREEDOR]],0)</f>
        <v>0</v>
      </c>
    </row>
    <row r="1657" spans="1:14" hidden="1" x14ac:dyDescent="0.3">
      <c r="A1657" s="14">
        <f>+'PLAN DE CUENTAS'!A1657</f>
        <v>0</v>
      </c>
      <c r="B1657" s="13">
        <f>+'PLAN DE CUENTAS'!B1657</f>
        <v>0</v>
      </c>
      <c r="C1657" s="13">
        <f>+'PLAN DE CUENTAS'!C1657</f>
        <v>0</v>
      </c>
      <c r="D1657" t="str">
        <f>IF(tbal[[#This Row],[DEBE]]+tbal[[#This Row],[HABER]]=0,"","X")</f>
        <v/>
      </c>
      <c r="E1657" s="16">
        <f>SUMIF(tdiario[CUENTA],tbal[[#This Row],[CUENTA]],tdiario[DEBE])</f>
        <v>0</v>
      </c>
      <c r="F1657" s="17">
        <f>SUMIF(tdiario[CUENTA],tbal[[#This Row],[CUENTA]],tdiario[HABER])</f>
        <v>0</v>
      </c>
      <c r="G1657" s="16">
        <f>IF(tbal[[#This Row],[DEBE]]-tbal[[#This Row],[HABER]]&gt;0,tbal[[#This Row],[DEBE]]-tbal[[#This Row],[HABER]],0)</f>
        <v>0</v>
      </c>
      <c r="H1657" s="18">
        <f>IF(tbal[[#This Row],[HABER]]-tbal[[#This Row],[DEBE]]&gt;0,tbal[[#This Row],[HABER]]-tbal[[#This Row],[DEBE]],0)</f>
        <v>0</v>
      </c>
      <c r="I1657" s="16">
        <f>IF((OR(tbal[[#This Row],[X]]=1,tbal[[#This Row],[X]]=2)),tbal[[#This Row],[DEUDOR]],0)</f>
        <v>0</v>
      </c>
      <c r="J1657" s="18">
        <f>IF((OR(tbal[[#This Row],[X]]=2,tbal[[#This Row],[X]]=3)),tbal[[#This Row],[ACREEDOR]],0)</f>
        <v>0</v>
      </c>
      <c r="K1657" s="16">
        <f>IF((OR(tbal[[#This Row],[X]]=3,tbal[[#This Row],[X]]=5)),tbal[[#This Row],[DEUDOR]],0)</f>
        <v>0</v>
      </c>
      <c r="L1657" s="18">
        <f>IF((OR(tbal[[#This Row],[X]]=3,tbal[[#This Row],[X]]=4)),tbal[[#This Row],[ACREEDOR]],0)</f>
        <v>0</v>
      </c>
      <c r="M1657" s="16">
        <f>IF((OR(tbal[[#This Row],[X]]=0,tbal[[#This Row],[X]]=6)),tbal[[#This Row],[DEUDOR]],0)</f>
        <v>0</v>
      </c>
      <c r="N1657" s="18">
        <f>IF((OR(tbal[[#This Row],[X]]=0,tbal[[#This Row],[X]]=5)),tbal[[#This Row],[ACREEDOR]],0)</f>
        <v>0</v>
      </c>
    </row>
    <row r="1658" spans="1:14" hidden="1" x14ac:dyDescent="0.3">
      <c r="A1658" s="14">
        <f>+'PLAN DE CUENTAS'!A1658</f>
        <v>0</v>
      </c>
      <c r="B1658" s="13">
        <f>+'PLAN DE CUENTAS'!B1658</f>
        <v>0</v>
      </c>
      <c r="C1658" s="13">
        <f>+'PLAN DE CUENTAS'!C1658</f>
        <v>0</v>
      </c>
      <c r="D1658" t="str">
        <f>IF(tbal[[#This Row],[DEBE]]+tbal[[#This Row],[HABER]]=0,"","X")</f>
        <v/>
      </c>
      <c r="E1658" s="16">
        <f>SUMIF(tdiario[CUENTA],tbal[[#This Row],[CUENTA]],tdiario[DEBE])</f>
        <v>0</v>
      </c>
      <c r="F1658" s="17">
        <f>SUMIF(tdiario[CUENTA],tbal[[#This Row],[CUENTA]],tdiario[HABER])</f>
        <v>0</v>
      </c>
      <c r="G1658" s="16">
        <f>IF(tbal[[#This Row],[DEBE]]-tbal[[#This Row],[HABER]]&gt;0,tbal[[#This Row],[DEBE]]-tbal[[#This Row],[HABER]],0)</f>
        <v>0</v>
      </c>
      <c r="H1658" s="18">
        <f>IF(tbal[[#This Row],[HABER]]-tbal[[#This Row],[DEBE]]&gt;0,tbal[[#This Row],[HABER]]-tbal[[#This Row],[DEBE]],0)</f>
        <v>0</v>
      </c>
      <c r="I1658" s="16">
        <f>IF((OR(tbal[[#This Row],[X]]=1,tbal[[#This Row],[X]]=2)),tbal[[#This Row],[DEUDOR]],0)</f>
        <v>0</v>
      </c>
      <c r="J1658" s="18">
        <f>IF((OR(tbal[[#This Row],[X]]=2,tbal[[#This Row],[X]]=3)),tbal[[#This Row],[ACREEDOR]],0)</f>
        <v>0</v>
      </c>
      <c r="K1658" s="16">
        <f>IF((OR(tbal[[#This Row],[X]]=3,tbal[[#This Row],[X]]=5)),tbal[[#This Row],[DEUDOR]],0)</f>
        <v>0</v>
      </c>
      <c r="L1658" s="18">
        <f>IF((OR(tbal[[#This Row],[X]]=3,tbal[[#This Row],[X]]=4)),tbal[[#This Row],[ACREEDOR]],0)</f>
        <v>0</v>
      </c>
      <c r="M1658" s="16">
        <f>IF((OR(tbal[[#This Row],[X]]=0,tbal[[#This Row],[X]]=6)),tbal[[#This Row],[DEUDOR]],0)</f>
        <v>0</v>
      </c>
      <c r="N1658" s="18">
        <f>IF((OR(tbal[[#This Row],[X]]=0,tbal[[#This Row],[X]]=5)),tbal[[#This Row],[ACREEDOR]],0)</f>
        <v>0</v>
      </c>
    </row>
    <row r="1659" spans="1:14" hidden="1" x14ac:dyDescent="0.3">
      <c r="A1659" s="14">
        <f>+'PLAN DE CUENTAS'!A1659</f>
        <v>0</v>
      </c>
      <c r="B1659" s="13">
        <f>+'PLAN DE CUENTAS'!B1659</f>
        <v>0</v>
      </c>
      <c r="C1659" s="13">
        <f>+'PLAN DE CUENTAS'!C1659</f>
        <v>0</v>
      </c>
      <c r="D1659" t="str">
        <f>IF(tbal[[#This Row],[DEBE]]+tbal[[#This Row],[HABER]]=0,"","X")</f>
        <v/>
      </c>
      <c r="E1659" s="16">
        <f>SUMIF(tdiario[CUENTA],tbal[[#This Row],[CUENTA]],tdiario[DEBE])</f>
        <v>0</v>
      </c>
      <c r="F1659" s="17">
        <f>SUMIF(tdiario[CUENTA],tbal[[#This Row],[CUENTA]],tdiario[HABER])</f>
        <v>0</v>
      </c>
      <c r="G1659" s="16">
        <f>IF(tbal[[#This Row],[DEBE]]-tbal[[#This Row],[HABER]]&gt;0,tbal[[#This Row],[DEBE]]-tbal[[#This Row],[HABER]],0)</f>
        <v>0</v>
      </c>
      <c r="H1659" s="18">
        <f>IF(tbal[[#This Row],[HABER]]-tbal[[#This Row],[DEBE]]&gt;0,tbal[[#This Row],[HABER]]-tbal[[#This Row],[DEBE]],0)</f>
        <v>0</v>
      </c>
      <c r="I1659" s="16">
        <f>IF((OR(tbal[[#This Row],[X]]=1,tbal[[#This Row],[X]]=2)),tbal[[#This Row],[DEUDOR]],0)</f>
        <v>0</v>
      </c>
      <c r="J1659" s="18">
        <f>IF((OR(tbal[[#This Row],[X]]=2,tbal[[#This Row],[X]]=3)),tbal[[#This Row],[ACREEDOR]],0)</f>
        <v>0</v>
      </c>
      <c r="K1659" s="16">
        <f>IF((OR(tbal[[#This Row],[X]]=3,tbal[[#This Row],[X]]=5)),tbal[[#This Row],[DEUDOR]],0)</f>
        <v>0</v>
      </c>
      <c r="L1659" s="18">
        <f>IF((OR(tbal[[#This Row],[X]]=3,tbal[[#This Row],[X]]=4)),tbal[[#This Row],[ACREEDOR]],0)</f>
        <v>0</v>
      </c>
      <c r="M1659" s="16">
        <f>IF((OR(tbal[[#This Row],[X]]=0,tbal[[#This Row],[X]]=6)),tbal[[#This Row],[DEUDOR]],0)</f>
        <v>0</v>
      </c>
      <c r="N1659" s="18">
        <f>IF((OR(tbal[[#This Row],[X]]=0,tbal[[#This Row],[X]]=5)),tbal[[#This Row],[ACREEDOR]],0)</f>
        <v>0</v>
      </c>
    </row>
    <row r="1660" spans="1:14" hidden="1" x14ac:dyDescent="0.3">
      <c r="A1660" s="14">
        <f>+'PLAN DE CUENTAS'!A1660</f>
        <v>0</v>
      </c>
      <c r="B1660" s="13">
        <f>+'PLAN DE CUENTAS'!B1660</f>
        <v>0</v>
      </c>
      <c r="C1660" s="13">
        <f>+'PLAN DE CUENTAS'!C1660</f>
        <v>0</v>
      </c>
      <c r="D1660" t="str">
        <f>IF(tbal[[#This Row],[DEBE]]+tbal[[#This Row],[HABER]]=0,"","X")</f>
        <v/>
      </c>
      <c r="E1660" s="16">
        <f>SUMIF(tdiario[CUENTA],tbal[[#This Row],[CUENTA]],tdiario[DEBE])</f>
        <v>0</v>
      </c>
      <c r="F1660" s="17">
        <f>SUMIF(tdiario[CUENTA],tbal[[#This Row],[CUENTA]],tdiario[HABER])</f>
        <v>0</v>
      </c>
      <c r="G1660" s="16">
        <f>IF(tbal[[#This Row],[DEBE]]-tbal[[#This Row],[HABER]]&gt;0,tbal[[#This Row],[DEBE]]-tbal[[#This Row],[HABER]],0)</f>
        <v>0</v>
      </c>
      <c r="H1660" s="18">
        <f>IF(tbal[[#This Row],[HABER]]-tbal[[#This Row],[DEBE]]&gt;0,tbal[[#This Row],[HABER]]-tbal[[#This Row],[DEBE]],0)</f>
        <v>0</v>
      </c>
      <c r="I1660" s="16">
        <f>IF((OR(tbal[[#This Row],[X]]=1,tbal[[#This Row],[X]]=2)),tbal[[#This Row],[DEUDOR]],0)</f>
        <v>0</v>
      </c>
      <c r="J1660" s="18">
        <f>IF((OR(tbal[[#This Row],[X]]=2,tbal[[#This Row],[X]]=3)),tbal[[#This Row],[ACREEDOR]],0)</f>
        <v>0</v>
      </c>
      <c r="K1660" s="16">
        <f>IF((OR(tbal[[#This Row],[X]]=3,tbal[[#This Row],[X]]=5)),tbal[[#This Row],[DEUDOR]],0)</f>
        <v>0</v>
      </c>
      <c r="L1660" s="18">
        <f>IF((OR(tbal[[#This Row],[X]]=3,tbal[[#This Row],[X]]=4)),tbal[[#This Row],[ACREEDOR]],0)</f>
        <v>0</v>
      </c>
      <c r="M1660" s="16">
        <f>IF((OR(tbal[[#This Row],[X]]=0,tbal[[#This Row],[X]]=6)),tbal[[#This Row],[DEUDOR]],0)</f>
        <v>0</v>
      </c>
      <c r="N1660" s="18">
        <f>IF((OR(tbal[[#This Row],[X]]=0,tbal[[#This Row],[X]]=5)),tbal[[#This Row],[ACREEDOR]],0)</f>
        <v>0</v>
      </c>
    </row>
    <row r="1661" spans="1:14" hidden="1" x14ac:dyDescent="0.3">
      <c r="A1661" s="14">
        <f>+'PLAN DE CUENTAS'!A1661</f>
        <v>0</v>
      </c>
      <c r="B1661" s="13">
        <f>+'PLAN DE CUENTAS'!B1661</f>
        <v>0</v>
      </c>
      <c r="C1661" s="13">
        <f>+'PLAN DE CUENTAS'!C1661</f>
        <v>0</v>
      </c>
      <c r="D1661" t="str">
        <f>IF(tbal[[#This Row],[DEBE]]+tbal[[#This Row],[HABER]]=0,"","X")</f>
        <v/>
      </c>
      <c r="E1661" s="16">
        <f>SUMIF(tdiario[CUENTA],tbal[[#This Row],[CUENTA]],tdiario[DEBE])</f>
        <v>0</v>
      </c>
      <c r="F1661" s="17">
        <f>SUMIF(tdiario[CUENTA],tbal[[#This Row],[CUENTA]],tdiario[HABER])</f>
        <v>0</v>
      </c>
      <c r="G1661" s="16">
        <f>IF(tbal[[#This Row],[DEBE]]-tbal[[#This Row],[HABER]]&gt;0,tbal[[#This Row],[DEBE]]-tbal[[#This Row],[HABER]],0)</f>
        <v>0</v>
      </c>
      <c r="H1661" s="18">
        <f>IF(tbal[[#This Row],[HABER]]-tbal[[#This Row],[DEBE]]&gt;0,tbal[[#This Row],[HABER]]-tbal[[#This Row],[DEBE]],0)</f>
        <v>0</v>
      </c>
      <c r="I1661" s="16">
        <f>IF((OR(tbal[[#This Row],[X]]=1,tbal[[#This Row],[X]]=2)),tbal[[#This Row],[DEUDOR]],0)</f>
        <v>0</v>
      </c>
      <c r="J1661" s="18">
        <f>IF((OR(tbal[[#This Row],[X]]=2,tbal[[#This Row],[X]]=3)),tbal[[#This Row],[ACREEDOR]],0)</f>
        <v>0</v>
      </c>
      <c r="K1661" s="16">
        <f>IF((OR(tbal[[#This Row],[X]]=3,tbal[[#This Row],[X]]=5)),tbal[[#This Row],[DEUDOR]],0)</f>
        <v>0</v>
      </c>
      <c r="L1661" s="18">
        <f>IF((OR(tbal[[#This Row],[X]]=3,tbal[[#This Row],[X]]=4)),tbal[[#This Row],[ACREEDOR]],0)</f>
        <v>0</v>
      </c>
      <c r="M1661" s="16">
        <f>IF((OR(tbal[[#This Row],[X]]=0,tbal[[#This Row],[X]]=6)),tbal[[#This Row],[DEUDOR]],0)</f>
        <v>0</v>
      </c>
      <c r="N1661" s="18">
        <f>IF((OR(tbal[[#This Row],[X]]=0,tbal[[#This Row],[X]]=5)),tbal[[#This Row],[ACREEDOR]],0)</f>
        <v>0</v>
      </c>
    </row>
    <row r="1662" spans="1:14" hidden="1" x14ac:dyDescent="0.3">
      <c r="A1662" s="14">
        <f>+'PLAN DE CUENTAS'!A1662</f>
        <v>0</v>
      </c>
      <c r="B1662" s="13">
        <f>+'PLAN DE CUENTAS'!B1662</f>
        <v>0</v>
      </c>
      <c r="C1662" s="13">
        <f>+'PLAN DE CUENTAS'!C1662</f>
        <v>0</v>
      </c>
      <c r="D1662" t="str">
        <f>IF(tbal[[#This Row],[DEBE]]+tbal[[#This Row],[HABER]]=0,"","X")</f>
        <v/>
      </c>
      <c r="E1662" s="16">
        <f>SUMIF(tdiario[CUENTA],tbal[[#This Row],[CUENTA]],tdiario[DEBE])</f>
        <v>0</v>
      </c>
      <c r="F1662" s="17">
        <f>SUMIF(tdiario[CUENTA],tbal[[#This Row],[CUENTA]],tdiario[HABER])</f>
        <v>0</v>
      </c>
      <c r="G1662" s="16">
        <f>IF(tbal[[#This Row],[DEBE]]-tbal[[#This Row],[HABER]]&gt;0,tbal[[#This Row],[DEBE]]-tbal[[#This Row],[HABER]],0)</f>
        <v>0</v>
      </c>
      <c r="H1662" s="18">
        <f>IF(tbal[[#This Row],[HABER]]-tbal[[#This Row],[DEBE]]&gt;0,tbal[[#This Row],[HABER]]-tbal[[#This Row],[DEBE]],0)</f>
        <v>0</v>
      </c>
      <c r="I1662" s="16">
        <f>IF((OR(tbal[[#This Row],[X]]=1,tbal[[#This Row],[X]]=2)),tbal[[#This Row],[DEUDOR]],0)</f>
        <v>0</v>
      </c>
      <c r="J1662" s="18">
        <f>IF((OR(tbal[[#This Row],[X]]=2,tbal[[#This Row],[X]]=3)),tbal[[#This Row],[ACREEDOR]],0)</f>
        <v>0</v>
      </c>
      <c r="K1662" s="16">
        <f>IF((OR(tbal[[#This Row],[X]]=3,tbal[[#This Row],[X]]=5)),tbal[[#This Row],[DEUDOR]],0)</f>
        <v>0</v>
      </c>
      <c r="L1662" s="18">
        <f>IF((OR(tbal[[#This Row],[X]]=3,tbal[[#This Row],[X]]=4)),tbal[[#This Row],[ACREEDOR]],0)</f>
        <v>0</v>
      </c>
      <c r="M1662" s="16">
        <f>IF((OR(tbal[[#This Row],[X]]=0,tbal[[#This Row],[X]]=6)),tbal[[#This Row],[DEUDOR]],0)</f>
        <v>0</v>
      </c>
      <c r="N1662" s="18">
        <f>IF((OR(tbal[[#This Row],[X]]=0,tbal[[#This Row],[X]]=5)),tbal[[#This Row],[ACREEDOR]],0)</f>
        <v>0</v>
      </c>
    </row>
    <row r="1663" spans="1:14" hidden="1" x14ac:dyDescent="0.3">
      <c r="A1663" s="14">
        <f>+'PLAN DE CUENTAS'!A1663</f>
        <v>0</v>
      </c>
      <c r="B1663" s="13">
        <f>+'PLAN DE CUENTAS'!B1663</f>
        <v>0</v>
      </c>
      <c r="C1663" s="13">
        <f>+'PLAN DE CUENTAS'!C1663</f>
        <v>0</v>
      </c>
      <c r="D1663" t="str">
        <f>IF(tbal[[#This Row],[DEBE]]+tbal[[#This Row],[HABER]]=0,"","X")</f>
        <v/>
      </c>
      <c r="E1663" s="16">
        <f>SUMIF(tdiario[CUENTA],tbal[[#This Row],[CUENTA]],tdiario[DEBE])</f>
        <v>0</v>
      </c>
      <c r="F1663" s="17">
        <f>SUMIF(tdiario[CUENTA],tbal[[#This Row],[CUENTA]],tdiario[HABER])</f>
        <v>0</v>
      </c>
      <c r="G1663" s="16">
        <f>IF(tbal[[#This Row],[DEBE]]-tbal[[#This Row],[HABER]]&gt;0,tbal[[#This Row],[DEBE]]-tbal[[#This Row],[HABER]],0)</f>
        <v>0</v>
      </c>
      <c r="H1663" s="18">
        <f>IF(tbal[[#This Row],[HABER]]-tbal[[#This Row],[DEBE]]&gt;0,tbal[[#This Row],[HABER]]-tbal[[#This Row],[DEBE]],0)</f>
        <v>0</v>
      </c>
      <c r="I1663" s="16">
        <f>IF((OR(tbal[[#This Row],[X]]=1,tbal[[#This Row],[X]]=2)),tbal[[#This Row],[DEUDOR]],0)</f>
        <v>0</v>
      </c>
      <c r="J1663" s="18">
        <f>IF((OR(tbal[[#This Row],[X]]=2,tbal[[#This Row],[X]]=3)),tbal[[#This Row],[ACREEDOR]],0)</f>
        <v>0</v>
      </c>
      <c r="K1663" s="16">
        <f>IF((OR(tbal[[#This Row],[X]]=3,tbal[[#This Row],[X]]=5)),tbal[[#This Row],[DEUDOR]],0)</f>
        <v>0</v>
      </c>
      <c r="L1663" s="18">
        <f>IF((OR(tbal[[#This Row],[X]]=3,tbal[[#This Row],[X]]=4)),tbal[[#This Row],[ACREEDOR]],0)</f>
        <v>0</v>
      </c>
      <c r="M1663" s="16">
        <f>IF((OR(tbal[[#This Row],[X]]=0,tbal[[#This Row],[X]]=6)),tbal[[#This Row],[DEUDOR]],0)</f>
        <v>0</v>
      </c>
      <c r="N1663" s="18">
        <f>IF((OR(tbal[[#This Row],[X]]=0,tbal[[#This Row],[X]]=5)),tbal[[#This Row],[ACREEDOR]],0)</f>
        <v>0</v>
      </c>
    </row>
    <row r="1664" spans="1:14" hidden="1" x14ac:dyDescent="0.3">
      <c r="A1664" s="14">
        <f>+'PLAN DE CUENTAS'!A1664</f>
        <v>0</v>
      </c>
      <c r="B1664" s="13">
        <f>+'PLAN DE CUENTAS'!B1664</f>
        <v>0</v>
      </c>
      <c r="C1664" s="13">
        <f>+'PLAN DE CUENTAS'!C1664</f>
        <v>0</v>
      </c>
      <c r="D1664" t="str">
        <f>IF(tbal[[#This Row],[DEBE]]+tbal[[#This Row],[HABER]]=0,"","X")</f>
        <v/>
      </c>
      <c r="E1664" s="16">
        <f>SUMIF(tdiario[CUENTA],tbal[[#This Row],[CUENTA]],tdiario[DEBE])</f>
        <v>0</v>
      </c>
      <c r="F1664" s="17">
        <f>SUMIF(tdiario[CUENTA],tbal[[#This Row],[CUENTA]],tdiario[HABER])</f>
        <v>0</v>
      </c>
      <c r="G1664" s="16">
        <f>IF(tbal[[#This Row],[DEBE]]-tbal[[#This Row],[HABER]]&gt;0,tbal[[#This Row],[DEBE]]-tbal[[#This Row],[HABER]],0)</f>
        <v>0</v>
      </c>
      <c r="H1664" s="18">
        <f>IF(tbal[[#This Row],[HABER]]-tbal[[#This Row],[DEBE]]&gt;0,tbal[[#This Row],[HABER]]-tbal[[#This Row],[DEBE]],0)</f>
        <v>0</v>
      </c>
      <c r="I1664" s="16">
        <f>IF((OR(tbal[[#This Row],[X]]=1,tbal[[#This Row],[X]]=2)),tbal[[#This Row],[DEUDOR]],0)</f>
        <v>0</v>
      </c>
      <c r="J1664" s="18">
        <f>IF((OR(tbal[[#This Row],[X]]=2,tbal[[#This Row],[X]]=3)),tbal[[#This Row],[ACREEDOR]],0)</f>
        <v>0</v>
      </c>
      <c r="K1664" s="16">
        <f>IF((OR(tbal[[#This Row],[X]]=3,tbal[[#This Row],[X]]=5)),tbal[[#This Row],[DEUDOR]],0)</f>
        <v>0</v>
      </c>
      <c r="L1664" s="18">
        <f>IF((OR(tbal[[#This Row],[X]]=3,tbal[[#This Row],[X]]=4)),tbal[[#This Row],[ACREEDOR]],0)</f>
        <v>0</v>
      </c>
      <c r="M1664" s="16">
        <f>IF((OR(tbal[[#This Row],[X]]=0,tbal[[#This Row],[X]]=6)),tbal[[#This Row],[DEUDOR]],0)</f>
        <v>0</v>
      </c>
      <c r="N1664" s="18">
        <f>IF((OR(tbal[[#This Row],[X]]=0,tbal[[#This Row],[X]]=5)),tbal[[#This Row],[ACREEDOR]],0)</f>
        <v>0</v>
      </c>
    </row>
    <row r="1665" spans="1:14" hidden="1" x14ac:dyDescent="0.3">
      <c r="A1665" s="14">
        <f>+'PLAN DE CUENTAS'!A1665</f>
        <v>0</v>
      </c>
      <c r="B1665" s="13">
        <f>+'PLAN DE CUENTAS'!B1665</f>
        <v>0</v>
      </c>
      <c r="C1665" s="13">
        <f>+'PLAN DE CUENTAS'!C1665</f>
        <v>0</v>
      </c>
      <c r="D1665" t="str">
        <f>IF(tbal[[#This Row],[DEBE]]+tbal[[#This Row],[HABER]]=0,"","X")</f>
        <v/>
      </c>
      <c r="E1665" s="16">
        <f>SUMIF(tdiario[CUENTA],tbal[[#This Row],[CUENTA]],tdiario[DEBE])</f>
        <v>0</v>
      </c>
      <c r="F1665" s="17">
        <f>SUMIF(tdiario[CUENTA],tbal[[#This Row],[CUENTA]],tdiario[HABER])</f>
        <v>0</v>
      </c>
      <c r="G1665" s="16">
        <f>IF(tbal[[#This Row],[DEBE]]-tbal[[#This Row],[HABER]]&gt;0,tbal[[#This Row],[DEBE]]-tbal[[#This Row],[HABER]],0)</f>
        <v>0</v>
      </c>
      <c r="H1665" s="18">
        <f>IF(tbal[[#This Row],[HABER]]-tbal[[#This Row],[DEBE]]&gt;0,tbal[[#This Row],[HABER]]-tbal[[#This Row],[DEBE]],0)</f>
        <v>0</v>
      </c>
      <c r="I1665" s="16">
        <f>IF((OR(tbal[[#This Row],[X]]=1,tbal[[#This Row],[X]]=2)),tbal[[#This Row],[DEUDOR]],0)</f>
        <v>0</v>
      </c>
      <c r="J1665" s="18">
        <f>IF((OR(tbal[[#This Row],[X]]=2,tbal[[#This Row],[X]]=3)),tbal[[#This Row],[ACREEDOR]],0)</f>
        <v>0</v>
      </c>
      <c r="K1665" s="16">
        <f>IF((OR(tbal[[#This Row],[X]]=3,tbal[[#This Row],[X]]=5)),tbal[[#This Row],[DEUDOR]],0)</f>
        <v>0</v>
      </c>
      <c r="L1665" s="18">
        <f>IF((OR(tbal[[#This Row],[X]]=3,tbal[[#This Row],[X]]=4)),tbal[[#This Row],[ACREEDOR]],0)</f>
        <v>0</v>
      </c>
      <c r="M1665" s="16">
        <f>IF((OR(tbal[[#This Row],[X]]=0,tbal[[#This Row],[X]]=6)),tbal[[#This Row],[DEUDOR]],0)</f>
        <v>0</v>
      </c>
      <c r="N1665" s="18">
        <f>IF((OR(tbal[[#This Row],[X]]=0,tbal[[#This Row],[X]]=5)),tbal[[#This Row],[ACREEDOR]],0)</f>
        <v>0</v>
      </c>
    </row>
    <row r="1666" spans="1:14" hidden="1" x14ac:dyDescent="0.3">
      <c r="A1666" s="14">
        <f>+'PLAN DE CUENTAS'!A1666</f>
        <v>0</v>
      </c>
      <c r="B1666" s="13">
        <f>+'PLAN DE CUENTAS'!B1666</f>
        <v>0</v>
      </c>
      <c r="C1666" s="13">
        <f>+'PLAN DE CUENTAS'!C1666</f>
        <v>0</v>
      </c>
      <c r="D1666" t="str">
        <f>IF(tbal[[#This Row],[DEBE]]+tbal[[#This Row],[HABER]]=0,"","X")</f>
        <v/>
      </c>
      <c r="E1666" s="16">
        <f>SUMIF(tdiario[CUENTA],tbal[[#This Row],[CUENTA]],tdiario[DEBE])</f>
        <v>0</v>
      </c>
      <c r="F1666" s="17">
        <f>SUMIF(tdiario[CUENTA],tbal[[#This Row],[CUENTA]],tdiario[HABER])</f>
        <v>0</v>
      </c>
      <c r="G1666" s="16">
        <f>IF(tbal[[#This Row],[DEBE]]-tbal[[#This Row],[HABER]]&gt;0,tbal[[#This Row],[DEBE]]-tbal[[#This Row],[HABER]],0)</f>
        <v>0</v>
      </c>
      <c r="H1666" s="18">
        <f>IF(tbal[[#This Row],[HABER]]-tbal[[#This Row],[DEBE]]&gt;0,tbal[[#This Row],[HABER]]-tbal[[#This Row],[DEBE]],0)</f>
        <v>0</v>
      </c>
      <c r="I1666" s="16">
        <f>IF((OR(tbal[[#This Row],[X]]=1,tbal[[#This Row],[X]]=2)),tbal[[#This Row],[DEUDOR]],0)</f>
        <v>0</v>
      </c>
      <c r="J1666" s="18">
        <f>IF((OR(tbal[[#This Row],[X]]=2,tbal[[#This Row],[X]]=3)),tbal[[#This Row],[ACREEDOR]],0)</f>
        <v>0</v>
      </c>
      <c r="K1666" s="16">
        <f>IF((OR(tbal[[#This Row],[X]]=3,tbal[[#This Row],[X]]=5)),tbal[[#This Row],[DEUDOR]],0)</f>
        <v>0</v>
      </c>
      <c r="L1666" s="18">
        <f>IF((OR(tbal[[#This Row],[X]]=3,tbal[[#This Row],[X]]=4)),tbal[[#This Row],[ACREEDOR]],0)</f>
        <v>0</v>
      </c>
      <c r="M1666" s="16">
        <f>IF((OR(tbal[[#This Row],[X]]=0,tbal[[#This Row],[X]]=6)),tbal[[#This Row],[DEUDOR]],0)</f>
        <v>0</v>
      </c>
      <c r="N1666" s="18">
        <f>IF((OR(tbal[[#This Row],[X]]=0,tbal[[#This Row],[X]]=5)),tbal[[#This Row],[ACREEDOR]],0)</f>
        <v>0</v>
      </c>
    </row>
    <row r="1667" spans="1:14" hidden="1" x14ac:dyDescent="0.3">
      <c r="A1667" s="14">
        <f>+'PLAN DE CUENTAS'!A1667</f>
        <v>0</v>
      </c>
      <c r="B1667" s="13">
        <f>+'PLAN DE CUENTAS'!B1667</f>
        <v>0</v>
      </c>
      <c r="C1667" s="13">
        <f>+'PLAN DE CUENTAS'!C1667</f>
        <v>0</v>
      </c>
      <c r="D1667" t="str">
        <f>IF(tbal[[#This Row],[DEBE]]+tbal[[#This Row],[HABER]]=0,"","X")</f>
        <v/>
      </c>
      <c r="E1667" s="16">
        <f>SUMIF(tdiario[CUENTA],tbal[[#This Row],[CUENTA]],tdiario[DEBE])</f>
        <v>0</v>
      </c>
      <c r="F1667" s="17">
        <f>SUMIF(tdiario[CUENTA],tbal[[#This Row],[CUENTA]],tdiario[HABER])</f>
        <v>0</v>
      </c>
      <c r="G1667" s="16">
        <f>IF(tbal[[#This Row],[DEBE]]-tbal[[#This Row],[HABER]]&gt;0,tbal[[#This Row],[DEBE]]-tbal[[#This Row],[HABER]],0)</f>
        <v>0</v>
      </c>
      <c r="H1667" s="18">
        <f>IF(tbal[[#This Row],[HABER]]-tbal[[#This Row],[DEBE]]&gt;0,tbal[[#This Row],[HABER]]-tbal[[#This Row],[DEBE]],0)</f>
        <v>0</v>
      </c>
      <c r="I1667" s="16">
        <f>IF((OR(tbal[[#This Row],[X]]=1,tbal[[#This Row],[X]]=2)),tbal[[#This Row],[DEUDOR]],0)</f>
        <v>0</v>
      </c>
      <c r="J1667" s="18">
        <f>IF((OR(tbal[[#This Row],[X]]=2,tbal[[#This Row],[X]]=3)),tbal[[#This Row],[ACREEDOR]],0)</f>
        <v>0</v>
      </c>
      <c r="K1667" s="16">
        <f>IF((OR(tbal[[#This Row],[X]]=3,tbal[[#This Row],[X]]=5)),tbal[[#This Row],[DEUDOR]],0)</f>
        <v>0</v>
      </c>
      <c r="L1667" s="18">
        <f>IF((OR(tbal[[#This Row],[X]]=3,tbal[[#This Row],[X]]=4)),tbal[[#This Row],[ACREEDOR]],0)</f>
        <v>0</v>
      </c>
      <c r="M1667" s="16">
        <f>IF((OR(tbal[[#This Row],[X]]=0,tbal[[#This Row],[X]]=6)),tbal[[#This Row],[DEUDOR]],0)</f>
        <v>0</v>
      </c>
      <c r="N1667" s="18">
        <f>IF((OR(tbal[[#This Row],[X]]=0,tbal[[#This Row],[X]]=5)),tbal[[#This Row],[ACREEDOR]],0)</f>
        <v>0</v>
      </c>
    </row>
    <row r="1668" spans="1:14" hidden="1" x14ac:dyDescent="0.3">
      <c r="A1668" s="14">
        <f>+'PLAN DE CUENTAS'!A1668</f>
        <v>0</v>
      </c>
      <c r="B1668" s="13">
        <f>+'PLAN DE CUENTAS'!B1668</f>
        <v>0</v>
      </c>
      <c r="C1668" s="13">
        <f>+'PLAN DE CUENTAS'!C1668</f>
        <v>0</v>
      </c>
      <c r="D1668" t="str">
        <f>IF(tbal[[#This Row],[DEBE]]+tbal[[#This Row],[HABER]]=0,"","X")</f>
        <v/>
      </c>
      <c r="E1668" s="16">
        <f>SUMIF(tdiario[CUENTA],tbal[[#This Row],[CUENTA]],tdiario[DEBE])</f>
        <v>0</v>
      </c>
      <c r="F1668" s="17">
        <f>SUMIF(tdiario[CUENTA],tbal[[#This Row],[CUENTA]],tdiario[HABER])</f>
        <v>0</v>
      </c>
      <c r="G1668" s="16">
        <f>IF(tbal[[#This Row],[DEBE]]-tbal[[#This Row],[HABER]]&gt;0,tbal[[#This Row],[DEBE]]-tbal[[#This Row],[HABER]],0)</f>
        <v>0</v>
      </c>
      <c r="H1668" s="18">
        <f>IF(tbal[[#This Row],[HABER]]-tbal[[#This Row],[DEBE]]&gt;0,tbal[[#This Row],[HABER]]-tbal[[#This Row],[DEBE]],0)</f>
        <v>0</v>
      </c>
      <c r="I1668" s="16">
        <f>IF((OR(tbal[[#This Row],[X]]=1,tbal[[#This Row],[X]]=2)),tbal[[#This Row],[DEUDOR]],0)</f>
        <v>0</v>
      </c>
      <c r="J1668" s="18">
        <f>IF((OR(tbal[[#This Row],[X]]=2,tbal[[#This Row],[X]]=3)),tbal[[#This Row],[ACREEDOR]],0)</f>
        <v>0</v>
      </c>
      <c r="K1668" s="16">
        <f>IF((OR(tbal[[#This Row],[X]]=3,tbal[[#This Row],[X]]=5)),tbal[[#This Row],[DEUDOR]],0)</f>
        <v>0</v>
      </c>
      <c r="L1668" s="18">
        <f>IF((OR(tbal[[#This Row],[X]]=3,tbal[[#This Row],[X]]=4)),tbal[[#This Row],[ACREEDOR]],0)</f>
        <v>0</v>
      </c>
      <c r="M1668" s="16">
        <f>IF((OR(tbal[[#This Row],[X]]=0,tbal[[#This Row],[X]]=6)),tbal[[#This Row],[DEUDOR]],0)</f>
        <v>0</v>
      </c>
      <c r="N1668" s="18">
        <f>IF((OR(tbal[[#This Row],[X]]=0,tbal[[#This Row],[X]]=5)),tbal[[#This Row],[ACREEDOR]],0)</f>
        <v>0</v>
      </c>
    </row>
    <row r="1669" spans="1:14" hidden="1" x14ac:dyDescent="0.3">
      <c r="A1669" s="14">
        <f>+'PLAN DE CUENTAS'!A1669</f>
        <v>0</v>
      </c>
      <c r="B1669" s="13">
        <f>+'PLAN DE CUENTAS'!B1669</f>
        <v>0</v>
      </c>
      <c r="C1669" s="13">
        <f>+'PLAN DE CUENTAS'!C1669</f>
        <v>0</v>
      </c>
      <c r="D1669" t="str">
        <f>IF(tbal[[#This Row],[DEBE]]+tbal[[#This Row],[HABER]]=0,"","X")</f>
        <v/>
      </c>
      <c r="E1669" s="16">
        <f>SUMIF(tdiario[CUENTA],tbal[[#This Row],[CUENTA]],tdiario[DEBE])</f>
        <v>0</v>
      </c>
      <c r="F1669" s="17">
        <f>SUMIF(tdiario[CUENTA],tbal[[#This Row],[CUENTA]],tdiario[HABER])</f>
        <v>0</v>
      </c>
      <c r="G1669" s="16">
        <f>IF(tbal[[#This Row],[DEBE]]-tbal[[#This Row],[HABER]]&gt;0,tbal[[#This Row],[DEBE]]-tbal[[#This Row],[HABER]],0)</f>
        <v>0</v>
      </c>
      <c r="H1669" s="18">
        <f>IF(tbal[[#This Row],[HABER]]-tbal[[#This Row],[DEBE]]&gt;0,tbal[[#This Row],[HABER]]-tbal[[#This Row],[DEBE]],0)</f>
        <v>0</v>
      </c>
      <c r="I1669" s="16">
        <f>IF((OR(tbal[[#This Row],[X]]=1,tbal[[#This Row],[X]]=2)),tbal[[#This Row],[DEUDOR]],0)</f>
        <v>0</v>
      </c>
      <c r="J1669" s="18">
        <f>IF((OR(tbal[[#This Row],[X]]=2,tbal[[#This Row],[X]]=3)),tbal[[#This Row],[ACREEDOR]],0)</f>
        <v>0</v>
      </c>
      <c r="K1669" s="16">
        <f>IF((OR(tbal[[#This Row],[X]]=3,tbal[[#This Row],[X]]=5)),tbal[[#This Row],[DEUDOR]],0)</f>
        <v>0</v>
      </c>
      <c r="L1669" s="18">
        <f>IF((OR(tbal[[#This Row],[X]]=3,tbal[[#This Row],[X]]=4)),tbal[[#This Row],[ACREEDOR]],0)</f>
        <v>0</v>
      </c>
      <c r="M1669" s="16">
        <f>IF((OR(tbal[[#This Row],[X]]=0,tbal[[#This Row],[X]]=6)),tbal[[#This Row],[DEUDOR]],0)</f>
        <v>0</v>
      </c>
      <c r="N1669" s="18">
        <f>IF((OR(tbal[[#This Row],[X]]=0,tbal[[#This Row],[X]]=5)),tbal[[#This Row],[ACREEDOR]],0)</f>
        <v>0</v>
      </c>
    </row>
    <row r="1670" spans="1:14" hidden="1" x14ac:dyDescent="0.3">
      <c r="A1670" s="14">
        <f>+'PLAN DE CUENTAS'!A1670</f>
        <v>0</v>
      </c>
      <c r="B1670" s="13">
        <f>+'PLAN DE CUENTAS'!B1670</f>
        <v>0</v>
      </c>
      <c r="C1670" s="13">
        <f>+'PLAN DE CUENTAS'!C1670</f>
        <v>0</v>
      </c>
      <c r="D1670" t="str">
        <f>IF(tbal[[#This Row],[DEBE]]+tbal[[#This Row],[HABER]]=0,"","X")</f>
        <v/>
      </c>
      <c r="E1670" s="16">
        <f>SUMIF(tdiario[CUENTA],tbal[[#This Row],[CUENTA]],tdiario[DEBE])</f>
        <v>0</v>
      </c>
      <c r="F1670" s="17">
        <f>SUMIF(tdiario[CUENTA],tbal[[#This Row],[CUENTA]],tdiario[HABER])</f>
        <v>0</v>
      </c>
      <c r="G1670" s="16">
        <f>IF(tbal[[#This Row],[DEBE]]-tbal[[#This Row],[HABER]]&gt;0,tbal[[#This Row],[DEBE]]-tbal[[#This Row],[HABER]],0)</f>
        <v>0</v>
      </c>
      <c r="H1670" s="18">
        <f>IF(tbal[[#This Row],[HABER]]-tbal[[#This Row],[DEBE]]&gt;0,tbal[[#This Row],[HABER]]-tbal[[#This Row],[DEBE]],0)</f>
        <v>0</v>
      </c>
      <c r="I1670" s="16">
        <f>IF((OR(tbal[[#This Row],[X]]=1,tbal[[#This Row],[X]]=2)),tbal[[#This Row],[DEUDOR]],0)</f>
        <v>0</v>
      </c>
      <c r="J1670" s="18">
        <f>IF((OR(tbal[[#This Row],[X]]=2,tbal[[#This Row],[X]]=3)),tbal[[#This Row],[ACREEDOR]],0)</f>
        <v>0</v>
      </c>
      <c r="K1670" s="16">
        <f>IF((OR(tbal[[#This Row],[X]]=3,tbal[[#This Row],[X]]=5)),tbal[[#This Row],[DEUDOR]],0)</f>
        <v>0</v>
      </c>
      <c r="L1670" s="18">
        <f>IF((OR(tbal[[#This Row],[X]]=3,tbal[[#This Row],[X]]=4)),tbal[[#This Row],[ACREEDOR]],0)</f>
        <v>0</v>
      </c>
      <c r="M1670" s="16">
        <f>IF((OR(tbal[[#This Row],[X]]=0,tbal[[#This Row],[X]]=6)),tbal[[#This Row],[DEUDOR]],0)</f>
        <v>0</v>
      </c>
      <c r="N1670" s="18">
        <f>IF((OR(tbal[[#This Row],[X]]=0,tbal[[#This Row],[X]]=5)),tbal[[#This Row],[ACREEDOR]],0)</f>
        <v>0</v>
      </c>
    </row>
    <row r="1671" spans="1:14" hidden="1" x14ac:dyDescent="0.3">
      <c r="A1671" s="14">
        <f>+'PLAN DE CUENTAS'!A1671</f>
        <v>0</v>
      </c>
      <c r="B1671" s="13">
        <f>+'PLAN DE CUENTAS'!B1671</f>
        <v>0</v>
      </c>
      <c r="C1671" s="13">
        <f>+'PLAN DE CUENTAS'!C1671</f>
        <v>0</v>
      </c>
      <c r="D1671" t="str">
        <f>IF(tbal[[#This Row],[DEBE]]+tbal[[#This Row],[HABER]]=0,"","X")</f>
        <v/>
      </c>
      <c r="E1671" s="16">
        <f>SUMIF(tdiario[CUENTA],tbal[[#This Row],[CUENTA]],tdiario[DEBE])</f>
        <v>0</v>
      </c>
      <c r="F1671" s="17">
        <f>SUMIF(tdiario[CUENTA],tbal[[#This Row],[CUENTA]],tdiario[HABER])</f>
        <v>0</v>
      </c>
      <c r="G1671" s="16">
        <f>IF(tbal[[#This Row],[DEBE]]-tbal[[#This Row],[HABER]]&gt;0,tbal[[#This Row],[DEBE]]-tbal[[#This Row],[HABER]],0)</f>
        <v>0</v>
      </c>
      <c r="H1671" s="18">
        <f>IF(tbal[[#This Row],[HABER]]-tbal[[#This Row],[DEBE]]&gt;0,tbal[[#This Row],[HABER]]-tbal[[#This Row],[DEBE]],0)</f>
        <v>0</v>
      </c>
      <c r="I1671" s="16">
        <f>IF((OR(tbal[[#This Row],[X]]=1,tbal[[#This Row],[X]]=2)),tbal[[#This Row],[DEUDOR]],0)</f>
        <v>0</v>
      </c>
      <c r="J1671" s="18">
        <f>IF((OR(tbal[[#This Row],[X]]=2,tbal[[#This Row],[X]]=3)),tbal[[#This Row],[ACREEDOR]],0)</f>
        <v>0</v>
      </c>
      <c r="K1671" s="16">
        <f>IF((OR(tbal[[#This Row],[X]]=3,tbal[[#This Row],[X]]=5)),tbal[[#This Row],[DEUDOR]],0)</f>
        <v>0</v>
      </c>
      <c r="L1671" s="18">
        <f>IF((OR(tbal[[#This Row],[X]]=3,tbal[[#This Row],[X]]=4)),tbal[[#This Row],[ACREEDOR]],0)</f>
        <v>0</v>
      </c>
      <c r="M1671" s="16">
        <f>IF((OR(tbal[[#This Row],[X]]=0,tbal[[#This Row],[X]]=6)),tbal[[#This Row],[DEUDOR]],0)</f>
        <v>0</v>
      </c>
      <c r="N1671" s="18">
        <f>IF((OR(tbal[[#This Row],[X]]=0,tbal[[#This Row],[X]]=5)),tbal[[#This Row],[ACREEDOR]],0)</f>
        <v>0</v>
      </c>
    </row>
    <row r="1672" spans="1:14" hidden="1" x14ac:dyDescent="0.3">
      <c r="A1672" s="14">
        <f>+'PLAN DE CUENTAS'!A1672</f>
        <v>0</v>
      </c>
      <c r="B1672" s="13">
        <f>+'PLAN DE CUENTAS'!B1672</f>
        <v>0</v>
      </c>
      <c r="C1672" s="13">
        <f>+'PLAN DE CUENTAS'!C1672</f>
        <v>0</v>
      </c>
      <c r="D1672" t="str">
        <f>IF(tbal[[#This Row],[DEBE]]+tbal[[#This Row],[HABER]]=0,"","X")</f>
        <v/>
      </c>
      <c r="E1672" s="16">
        <f>SUMIF(tdiario[CUENTA],tbal[[#This Row],[CUENTA]],tdiario[DEBE])</f>
        <v>0</v>
      </c>
      <c r="F1672" s="17">
        <f>SUMIF(tdiario[CUENTA],tbal[[#This Row],[CUENTA]],tdiario[HABER])</f>
        <v>0</v>
      </c>
      <c r="G1672" s="16">
        <f>IF(tbal[[#This Row],[DEBE]]-tbal[[#This Row],[HABER]]&gt;0,tbal[[#This Row],[DEBE]]-tbal[[#This Row],[HABER]],0)</f>
        <v>0</v>
      </c>
      <c r="H1672" s="18">
        <f>IF(tbal[[#This Row],[HABER]]-tbal[[#This Row],[DEBE]]&gt;0,tbal[[#This Row],[HABER]]-tbal[[#This Row],[DEBE]],0)</f>
        <v>0</v>
      </c>
      <c r="I1672" s="16">
        <f>IF((OR(tbal[[#This Row],[X]]=1,tbal[[#This Row],[X]]=2)),tbal[[#This Row],[DEUDOR]],0)</f>
        <v>0</v>
      </c>
      <c r="J1672" s="18">
        <f>IF((OR(tbal[[#This Row],[X]]=2,tbal[[#This Row],[X]]=3)),tbal[[#This Row],[ACREEDOR]],0)</f>
        <v>0</v>
      </c>
      <c r="K1672" s="16">
        <f>IF((OR(tbal[[#This Row],[X]]=3,tbal[[#This Row],[X]]=5)),tbal[[#This Row],[DEUDOR]],0)</f>
        <v>0</v>
      </c>
      <c r="L1672" s="18">
        <f>IF((OR(tbal[[#This Row],[X]]=3,tbal[[#This Row],[X]]=4)),tbal[[#This Row],[ACREEDOR]],0)</f>
        <v>0</v>
      </c>
      <c r="M1672" s="16">
        <f>IF((OR(tbal[[#This Row],[X]]=0,tbal[[#This Row],[X]]=6)),tbal[[#This Row],[DEUDOR]],0)</f>
        <v>0</v>
      </c>
      <c r="N1672" s="18">
        <f>IF((OR(tbal[[#This Row],[X]]=0,tbal[[#This Row],[X]]=5)),tbal[[#This Row],[ACREEDOR]],0)</f>
        <v>0</v>
      </c>
    </row>
    <row r="1673" spans="1:14" hidden="1" x14ac:dyDescent="0.3">
      <c r="A1673" s="14">
        <f>+'PLAN DE CUENTAS'!A1673</f>
        <v>0</v>
      </c>
      <c r="B1673" s="13">
        <f>+'PLAN DE CUENTAS'!B1673</f>
        <v>0</v>
      </c>
      <c r="C1673" s="13">
        <f>+'PLAN DE CUENTAS'!C1673</f>
        <v>0</v>
      </c>
      <c r="D1673" t="str">
        <f>IF(tbal[[#This Row],[DEBE]]+tbal[[#This Row],[HABER]]=0,"","X")</f>
        <v/>
      </c>
      <c r="E1673" s="16">
        <f>SUMIF(tdiario[CUENTA],tbal[[#This Row],[CUENTA]],tdiario[DEBE])</f>
        <v>0</v>
      </c>
      <c r="F1673" s="17">
        <f>SUMIF(tdiario[CUENTA],tbal[[#This Row],[CUENTA]],tdiario[HABER])</f>
        <v>0</v>
      </c>
      <c r="G1673" s="16">
        <f>IF(tbal[[#This Row],[DEBE]]-tbal[[#This Row],[HABER]]&gt;0,tbal[[#This Row],[DEBE]]-tbal[[#This Row],[HABER]],0)</f>
        <v>0</v>
      </c>
      <c r="H1673" s="18">
        <f>IF(tbal[[#This Row],[HABER]]-tbal[[#This Row],[DEBE]]&gt;0,tbal[[#This Row],[HABER]]-tbal[[#This Row],[DEBE]],0)</f>
        <v>0</v>
      </c>
      <c r="I1673" s="16">
        <f>IF((OR(tbal[[#This Row],[X]]=1,tbal[[#This Row],[X]]=2)),tbal[[#This Row],[DEUDOR]],0)</f>
        <v>0</v>
      </c>
      <c r="J1673" s="18">
        <f>IF((OR(tbal[[#This Row],[X]]=2,tbal[[#This Row],[X]]=3)),tbal[[#This Row],[ACREEDOR]],0)</f>
        <v>0</v>
      </c>
      <c r="K1673" s="16">
        <f>IF((OR(tbal[[#This Row],[X]]=3,tbal[[#This Row],[X]]=5)),tbal[[#This Row],[DEUDOR]],0)</f>
        <v>0</v>
      </c>
      <c r="L1673" s="18">
        <f>IF((OR(tbal[[#This Row],[X]]=3,tbal[[#This Row],[X]]=4)),tbal[[#This Row],[ACREEDOR]],0)</f>
        <v>0</v>
      </c>
      <c r="M1673" s="16">
        <f>IF((OR(tbal[[#This Row],[X]]=0,tbal[[#This Row],[X]]=6)),tbal[[#This Row],[DEUDOR]],0)</f>
        <v>0</v>
      </c>
      <c r="N1673" s="18">
        <f>IF((OR(tbal[[#This Row],[X]]=0,tbal[[#This Row],[X]]=5)),tbal[[#This Row],[ACREEDOR]],0)</f>
        <v>0</v>
      </c>
    </row>
    <row r="1674" spans="1:14" hidden="1" x14ac:dyDescent="0.3">
      <c r="A1674" s="14">
        <f>+'PLAN DE CUENTAS'!A1674</f>
        <v>0</v>
      </c>
      <c r="B1674" s="13">
        <f>+'PLAN DE CUENTAS'!B1674</f>
        <v>0</v>
      </c>
      <c r="C1674" s="13">
        <f>+'PLAN DE CUENTAS'!C1674</f>
        <v>0</v>
      </c>
      <c r="D1674" t="str">
        <f>IF(tbal[[#This Row],[DEBE]]+tbal[[#This Row],[HABER]]=0,"","X")</f>
        <v/>
      </c>
      <c r="E1674" s="16">
        <f>SUMIF(tdiario[CUENTA],tbal[[#This Row],[CUENTA]],tdiario[DEBE])</f>
        <v>0</v>
      </c>
      <c r="F1674" s="17">
        <f>SUMIF(tdiario[CUENTA],tbal[[#This Row],[CUENTA]],tdiario[HABER])</f>
        <v>0</v>
      </c>
      <c r="G1674" s="16">
        <f>IF(tbal[[#This Row],[DEBE]]-tbal[[#This Row],[HABER]]&gt;0,tbal[[#This Row],[DEBE]]-tbal[[#This Row],[HABER]],0)</f>
        <v>0</v>
      </c>
      <c r="H1674" s="18">
        <f>IF(tbal[[#This Row],[HABER]]-tbal[[#This Row],[DEBE]]&gt;0,tbal[[#This Row],[HABER]]-tbal[[#This Row],[DEBE]],0)</f>
        <v>0</v>
      </c>
      <c r="I1674" s="16">
        <f>IF((OR(tbal[[#This Row],[X]]=1,tbal[[#This Row],[X]]=2)),tbal[[#This Row],[DEUDOR]],0)</f>
        <v>0</v>
      </c>
      <c r="J1674" s="18">
        <f>IF((OR(tbal[[#This Row],[X]]=2,tbal[[#This Row],[X]]=3)),tbal[[#This Row],[ACREEDOR]],0)</f>
        <v>0</v>
      </c>
      <c r="K1674" s="16">
        <f>IF((OR(tbal[[#This Row],[X]]=3,tbal[[#This Row],[X]]=5)),tbal[[#This Row],[DEUDOR]],0)</f>
        <v>0</v>
      </c>
      <c r="L1674" s="18">
        <f>IF((OR(tbal[[#This Row],[X]]=3,tbal[[#This Row],[X]]=4)),tbal[[#This Row],[ACREEDOR]],0)</f>
        <v>0</v>
      </c>
      <c r="M1674" s="16">
        <f>IF((OR(tbal[[#This Row],[X]]=0,tbal[[#This Row],[X]]=6)),tbal[[#This Row],[DEUDOR]],0)</f>
        <v>0</v>
      </c>
      <c r="N1674" s="18">
        <f>IF((OR(tbal[[#This Row],[X]]=0,tbal[[#This Row],[X]]=5)),tbal[[#This Row],[ACREEDOR]],0)</f>
        <v>0</v>
      </c>
    </row>
    <row r="1675" spans="1:14" hidden="1" x14ac:dyDescent="0.3">
      <c r="A1675" s="14">
        <f>+'PLAN DE CUENTAS'!A1675</f>
        <v>0</v>
      </c>
      <c r="B1675" s="13">
        <f>+'PLAN DE CUENTAS'!B1675</f>
        <v>0</v>
      </c>
      <c r="C1675" s="13">
        <f>+'PLAN DE CUENTAS'!C1675</f>
        <v>0</v>
      </c>
      <c r="D1675" t="str">
        <f>IF(tbal[[#This Row],[DEBE]]+tbal[[#This Row],[HABER]]=0,"","X")</f>
        <v/>
      </c>
      <c r="E1675" s="16">
        <f>SUMIF(tdiario[CUENTA],tbal[[#This Row],[CUENTA]],tdiario[DEBE])</f>
        <v>0</v>
      </c>
      <c r="F1675" s="17">
        <f>SUMIF(tdiario[CUENTA],tbal[[#This Row],[CUENTA]],tdiario[HABER])</f>
        <v>0</v>
      </c>
      <c r="G1675" s="16">
        <f>IF(tbal[[#This Row],[DEBE]]-tbal[[#This Row],[HABER]]&gt;0,tbal[[#This Row],[DEBE]]-tbal[[#This Row],[HABER]],0)</f>
        <v>0</v>
      </c>
      <c r="H1675" s="18">
        <f>IF(tbal[[#This Row],[HABER]]-tbal[[#This Row],[DEBE]]&gt;0,tbal[[#This Row],[HABER]]-tbal[[#This Row],[DEBE]],0)</f>
        <v>0</v>
      </c>
      <c r="I1675" s="16">
        <f>IF((OR(tbal[[#This Row],[X]]=1,tbal[[#This Row],[X]]=2)),tbal[[#This Row],[DEUDOR]],0)</f>
        <v>0</v>
      </c>
      <c r="J1675" s="18">
        <f>IF((OR(tbal[[#This Row],[X]]=2,tbal[[#This Row],[X]]=3)),tbal[[#This Row],[ACREEDOR]],0)</f>
        <v>0</v>
      </c>
      <c r="K1675" s="16">
        <f>IF((OR(tbal[[#This Row],[X]]=3,tbal[[#This Row],[X]]=5)),tbal[[#This Row],[DEUDOR]],0)</f>
        <v>0</v>
      </c>
      <c r="L1675" s="18">
        <f>IF((OR(tbal[[#This Row],[X]]=3,tbal[[#This Row],[X]]=4)),tbal[[#This Row],[ACREEDOR]],0)</f>
        <v>0</v>
      </c>
      <c r="M1675" s="16">
        <f>IF((OR(tbal[[#This Row],[X]]=0,tbal[[#This Row],[X]]=6)),tbal[[#This Row],[DEUDOR]],0)</f>
        <v>0</v>
      </c>
      <c r="N1675" s="18">
        <f>IF((OR(tbal[[#This Row],[X]]=0,tbal[[#This Row],[X]]=5)),tbal[[#This Row],[ACREEDOR]],0)</f>
        <v>0</v>
      </c>
    </row>
    <row r="1676" spans="1:14" hidden="1" x14ac:dyDescent="0.3">
      <c r="A1676" s="14">
        <f>+'PLAN DE CUENTAS'!A1676</f>
        <v>0</v>
      </c>
      <c r="B1676" s="13">
        <f>+'PLAN DE CUENTAS'!B1676</f>
        <v>0</v>
      </c>
      <c r="C1676" s="13">
        <f>+'PLAN DE CUENTAS'!C1676</f>
        <v>0</v>
      </c>
      <c r="D1676" t="str">
        <f>IF(tbal[[#This Row],[DEBE]]+tbal[[#This Row],[HABER]]=0,"","X")</f>
        <v/>
      </c>
      <c r="E1676" s="16">
        <f>SUMIF(tdiario[CUENTA],tbal[[#This Row],[CUENTA]],tdiario[DEBE])</f>
        <v>0</v>
      </c>
      <c r="F1676" s="17">
        <f>SUMIF(tdiario[CUENTA],tbal[[#This Row],[CUENTA]],tdiario[HABER])</f>
        <v>0</v>
      </c>
      <c r="G1676" s="16">
        <f>IF(tbal[[#This Row],[DEBE]]-tbal[[#This Row],[HABER]]&gt;0,tbal[[#This Row],[DEBE]]-tbal[[#This Row],[HABER]],0)</f>
        <v>0</v>
      </c>
      <c r="H1676" s="18">
        <f>IF(tbal[[#This Row],[HABER]]-tbal[[#This Row],[DEBE]]&gt;0,tbal[[#This Row],[HABER]]-tbal[[#This Row],[DEBE]],0)</f>
        <v>0</v>
      </c>
      <c r="I1676" s="16">
        <f>IF((OR(tbal[[#This Row],[X]]=1,tbal[[#This Row],[X]]=2)),tbal[[#This Row],[DEUDOR]],0)</f>
        <v>0</v>
      </c>
      <c r="J1676" s="18">
        <f>IF((OR(tbal[[#This Row],[X]]=2,tbal[[#This Row],[X]]=3)),tbal[[#This Row],[ACREEDOR]],0)</f>
        <v>0</v>
      </c>
      <c r="K1676" s="16">
        <f>IF((OR(tbal[[#This Row],[X]]=3,tbal[[#This Row],[X]]=5)),tbal[[#This Row],[DEUDOR]],0)</f>
        <v>0</v>
      </c>
      <c r="L1676" s="18">
        <f>IF((OR(tbal[[#This Row],[X]]=3,tbal[[#This Row],[X]]=4)),tbal[[#This Row],[ACREEDOR]],0)</f>
        <v>0</v>
      </c>
      <c r="M1676" s="16">
        <f>IF((OR(tbal[[#This Row],[X]]=0,tbal[[#This Row],[X]]=6)),tbal[[#This Row],[DEUDOR]],0)</f>
        <v>0</v>
      </c>
      <c r="N1676" s="18">
        <f>IF((OR(tbal[[#This Row],[X]]=0,tbal[[#This Row],[X]]=5)),tbal[[#This Row],[ACREEDOR]],0)</f>
        <v>0</v>
      </c>
    </row>
    <row r="1677" spans="1:14" hidden="1" x14ac:dyDescent="0.3">
      <c r="A1677" s="14">
        <f>+'PLAN DE CUENTAS'!A1677</f>
        <v>0</v>
      </c>
      <c r="B1677" s="13">
        <f>+'PLAN DE CUENTAS'!B1677</f>
        <v>0</v>
      </c>
      <c r="C1677" s="13">
        <f>+'PLAN DE CUENTAS'!C1677</f>
        <v>0</v>
      </c>
      <c r="D1677" t="str">
        <f>IF(tbal[[#This Row],[DEBE]]+tbal[[#This Row],[HABER]]=0,"","X")</f>
        <v/>
      </c>
      <c r="E1677" s="16">
        <f>SUMIF(tdiario[CUENTA],tbal[[#This Row],[CUENTA]],tdiario[DEBE])</f>
        <v>0</v>
      </c>
      <c r="F1677" s="17">
        <f>SUMIF(tdiario[CUENTA],tbal[[#This Row],[CUENTA]],tdiario[HABER])</f>
        <v>0</v>
      </c>
      <c r="G1677" s="16">
        <f>IF(tbal[[#This Row],[DEBE]]-tbal[[#This Row],[HABER]]&gt;0,tbal[[#This Row],[DEBE]]-tbal[[#This Row],[HABER]],0)</f>
        <v>0</v>
      </c>
      <c r="H1677" s="18">
        <f>IF(tbal[[#This Row],[HABER]]-tbal[[#This Row],[DEBE]]&gt;0,tbal[[#This Row],[HABER]]-tbal[[#This Row],[DEBE]],0)</f>
        <v>0</v>
      </c>
      <c r="I1677" s="16">
        <f>IF((OR(tbal[[#This Row],[X]]=1,tbal[[#This Row],[X]]=2)),tbal[[#This Row],[DEUDOR]],0)</f>
        <v>0</v>
      </c>
      <c r="J1677" s="18">
        <f>IF((OR(tbal[[#This Row],[X]]=2,tbal[[#This Row],[X]]=3)),tbal[[#This Row],[ACREEDOR]],0)</f>
        <v>0</v>
      </c>
      <c r="K1677" s="16">
        <f>IF((OR(tbal[[#This Row],[X]]=3,tbal[[#This Row],[X]]=5)),tbal[[#This Row],[DEUDOR]],0)</f>
        <v>0</v>
      </c>
      <c r="L1677" s="18">
        <f>IF((OR(tbal[[#This Row],[X]]=3,tbal[[#This Row],[X]]=4)),tbal[[#This Row],[ACREEDOR]],0)</f>
        <v>0</v>
      </c>
      <c r="M1677" s="16">
        <f>IF((OR(tbal[[#This Row],[X]]=0,tbal[[#This Row],[X]]=6)),tbal[[#This Row],[DEUDOR]],0)</f>
        <v>0</v>
      </c>
      <c r="N1677" s="18">
        <f>IF((OR(tbal[[#This Row],[X]]=0,tbal[[#This Row],[X]]=5)),tbal[[#This Row],[ACREEDOR]],0)</f>
        <v>0</v>
      </c>
    </row>
    <row r="1678" spans="1:14" hidden="1" x14ac:dyDescent="0.3">
      <c r="A1678" s="14">
        <f>+'PLAN DE CUENTAS'!A1678</f>
        <v>0</v>
      </c>
      <c r="B1678" s="13">
        <f>+'PLAN DE CUENTAS'!B1678</f>
        <v>0</v>
      </c>
      <c r="C1678" s="13">
        <f>+'PLAN DE CUENTAS'!C1678</f>
        <v>0</v>
      </c>
      <c r="D1678" t="str">
        <f>IF(tbal[[#This Row],[DEBE]]+tbal[[#This Row],[HABER]]=0,"","X")</f>
        <v/>
      </c>
      <c r="E1678" s="16">
        <f>SUMIF(tdiario[CUENTA],tbal[[#This Row],[CUENTA]],tdiario[DEBE])</f>
        <v>0</v>
      </c>
      <c r="F1678" s="17">
        <f>SUMIF(tdiario[CUENTA],tbal[[#This Row],[CUENTA]],tdiario[HABER])</f>
        <v>0</v>
      </c>
      <c r="G1678" s="16">
        <f>IF(tbal[[#This Row],[DEBE]]-tbal[[#This Row],[HABER]]&gt;0,tbal[[#This Row],[DEBE]]-tbal[[#This Row],[HABER]],0)</f>
        <v>0</v>
      </c>
      <c r="H1678" s="18">
        <f>IF(tbal[[#This Row],[HABER]]-tbal[[#This Row],[DEBE]]&gt;0,tbal[[#This Row],[HABER]]-tbal[[#This Row],[DEBE]],0)</f>
        <v>0</v>
      </c>
      <c r="I1678" s="16">
        <f>IF((OR(tbal[[#This Row],[X]]=1,tbal[[#This Row],[X]]=2)),tbal[[#This Row],[DEUDOR]],0)</f>
        <v>0</v>
      </c>
      <c r="J1678" s="18">
        <f>IF((OR(tbal[[#This Row],[X]]=2,tbal[[#This Row],[X]]=3)),tbal[[#This Row],[ACREEDOR]],0)</f>
        <v>0</v>
      </c>
      <c r="K1678" s="16">
        <f>IF((OR(tbal[[#This Row],[X]]=3,tbal[[#This Row],[X]]=5)),tbal[[#This Row],[DEUDOR]],0)</f>
        <v>0</v>
      </c>
      <c r="L1678" s="18">
        <f>IF((OR(tbal[[#This Row],[X]]=3,tbal[[#This Row],[X]]=4)),tbal[[#This Row],[ACREEDOR]],0)</f>
        <v>0</v>
      </c>
      <c r="M1678" s="16">
        <f>IF((OR(tbal[[#This Row],[X]]=0,tbal[[#This Row],[X]]=6)),tbal[[#This Row],[DEUDOR]],0)</f>
        <v>0</v>
      </c>
      <c r="N1678" s="18">
        <f>IF((OR(tbal[[#This Row],[X]]=0,tbal[[#This Row],[X]]=5)),tbal[[#This Row],[ACREEDOR]],0)</f>
        <v>0</v>
      </c>
    </row>
    <row r="1679" spans="1:14" hidden="1" x14ac:dyDescent="0.3">
      <c r="A1679" s="14">
        <f>+'PLAN DE CUENTAS'!A1679</f>
        <v>0</v>
      </c>
      <c r="B1679" s="13">
        <f>+'PLAN DE CUENTAS'!B1679</f>
        <v>0</v>
      </c>
      <c r="C1679" s="13">
        <f>+'PLAN DE CUENTAS'!C1679</f>
        <v>0</v>
      </c>
      <c r="D1679" t="str">
        <f>IF(tbal[[#This Row],[DEBE]]+tbal[[#This Row],[HABER]]=0,"","X")</f>
        <v/>
      </c>
      <c r="E1679" s="16">
        <f>SUMIF(tdiario[CUENTA],tbal[[#This Row],[CUENTA]],tdiario[DEBE])</f>
        <v>0</v>
      </c>
      <c r="F1679" s="17">
        <f>SUMIF(tdiario[CUENTA],tbal[[#This Row],[CUENTA]],tdiario[HABER])</f>
        <v>0</v>
      </c>
      <c r="G1679" s="16">
        <f>IF(tbal[[#This Row],[DEBE]]-tbal[[#This Row],[HABER]]&gt;0,tbal[[#This Row],[DEBE]]-tbal[[#This Row],[HABER]],0)</f>
        <v>0</v>
      </c>
      <c r="H1679" s="18">
        <f>IF(tbal[[#This Row],[HABER]]-tbal[[#This Row],[DEBE]]&gt;0,tbal[[#This Row],[HABER]]-tbal[[#This Row],[DEBE]],0)</f>
        <v>0</v>
      </c>
      <c r="I1679" s="16">
        <f>IF((OR(tbal[[#This Row],[X]]=1,tbal[[#This Row],[X]]=2)),tbal[[#This Row],[DEUDOR]],0)</f>
        <v>0</v>
      </c>
      <c r="J1679" s="18">
        <f>IF((OR(tbal[[#This Row],[X]]=2,tbal[[#This Row],[X]]=3)),tbal[[#This Row],[ACREEDOR]],0)</f>
        <v>0</v>
      </c>
      <c r="K1679" s="16">
        <f>IF((OR(tbal[[#This Row],[X]]=3,tbal[[#This Row],[X]]=5)),tbal[[#This Row],[DEUDOR]],0)</f>
        <v>0</v>
      </c>
      <c r="L1679" s="18">
        <f>IF((OR(tbal[[#This Row],[X]]=3,tbal[[#This Row],[X]]=4)),tbal[[#This Row],[ACREEDOR]],0)</f>
        <v>0</v>
      </c>
      <c r="M1679" s="16">
        <f>IF((OR(tbal[[#This Row],[X]]=0,tbal[[#This Row],[X]]=6)),tbal[[#This Row],[DEUDOR]],0)</f>
        <v>0</v>
      </c>
      <c r="N1679" s="18">
        <f>IF((OR(tbal[[#This Row],[X]]=0,tbal[[#This Row],[X]]=5)),tbal[[#This Row],[ACREEDOR]],0)</f>
        <v>0</v>
      </c>
    </row>
    <row r="1680" spans="1:14" hidden="1" x14ac:dyDescent="0.3">
      <c r="A1680" s="14">
        <f>+'PLAN DE CUENTAS'!A1680</f>
        <v>0</v>
      </c>
      <c r="B1680" s="13">
        <f>+'PLAN DE CUENTAS'!B1680</f>
        <v>0</v>
      </c>
      <c r="C1680" s="13">
        <f>+'PLAN DE CUENTAS'!C1680</f>
        <v>0</v>
      </c>
      <c r="D1680" t="str">
        <f>IF(tbal[[#This Row],[DEBE]]+tbal[[#This Row],[HABER]]=0,"","X")</f>
        <v/>
      </c>
      <c r="E1680" s="16">
        <f>SUMIF(tdiario[CUENTA],tbal[[#This Row],[CUENTA]],tdiario[DEBE])</f>
        <v>0</v>
      </c>
      <c r="F1680" s="17">
        <f>SUMIF(tdiario[CUENTA],tbal[[#This Row],[CUENTA]],tdiario[HABER])</f>
        <v>0</v>
      </c>
      <c r="G1680" s="16">
        <f>IF(tbal[[#This Row],[DEBE]]-tbal[[#This Row],[HABER]]&gt;0,tbal[[#This Row],[DEBE]]-tbal[[#This Row],[HABER]],0)</f>
        <v>0</v>
      </c>
      <c r="H1680" s="18">
        <f>IF(tbal[[#This Row],[HABER]]-tbal[[#This Row],[DEBE]]&gt;0,tbal[[#This Row],[HABER]]-tbal[[#This Row],[DEBE]],0)</f>
        <v>0</v>
      </c>
      <c r="I1680" s="16">
        <f>IF((OR(tbal[[#This Row],[X]]=1,tbal[[#This Row],[X]]=2)),tbal[[#This Row],[DEUDOR]],0)</f>
        <v>0</v>
      </c>
      <c r="J1680" s="18">
        <f>IF((OR(tbal[[#This Row],[X]]=2,tbal[[#This Row],[X]]=3)),tbal[[#This Row],[ACREEDOR]],0)</f>
        <v>0</v>
      </c>
      <c r="K1680" s="16">
        <f>IF((OR(tbal[[#This Row],[X]]=3,tbal[[#This Row],[X]]=5)),tbal[[#This Row],[DEUDOR]],0)</f>
        <v>0</v>
      </c>
      <c r="L1680" s="18">
        <f>IF((OR(tbal[[#This Row],[X]]=3,tbal[[#This Row],[X]]=4)),tbal[[#This Row],[ACREEDOR]],0)</f>
        <v>0</v>
      </c>
      <c r="M1680" s="16">
        <f>IF((OR(tbal[[#This Row],[X]]=0,tbal[[#This Row],[X]]=6)),tbal[[#This Row],[DEUDOR]],0)</f>
        <v>0</v>
      </c>
      <c r="N1680" s="18">
        <f>IF((OR(tbal[[#This Row],[X]]=0,tbal[[#This Row],[X]]=5)),tbal[[#This Row],[ACREEDOR]],0)</f>
        <v>0</v>
      </c>
    </row>
    <row r="1681" spans="1:14" hidden="1" x14ac:dyDescent="0.3">
      <c r="A1681" s="14">
        <f>+'PLAN DE CUENTAS'!A1681</f>
        <v>0</v>
      </c>
      <c r="B1681" s="13">
        <f>+'PLAN DE CUENTAS'!B1681</f>
        <v>0</v>
      </c>
      <c r="C1681" s="13">
        <f>+'PLAN DE CUENTAS'!C1681</f>
        <v>0</v>
      </c>
      <c r="D1681" t="str">
        <f>IF(tbal[[#This Row],[DEBE]]+tbal[[#This Row],[HABER]]=0,"","X")</f>
        <v/>
      </c>
      <c r="E1681" s="16">
        <f>SUMIF(tdiario[CUENTA],tbal[[#This Row],[CUENTA]],tdiario[DEBE])</f>
        <v>0</v>
      </c>
      <c r="F1681" s="17">
        <f>SUMIF(tdiario[CUENTA],tbal[[#This Row],[CUENTA]],tdiario[HABER])</f>
        <v>0</v>
      </c>
      <c r="G1681" s="16">
        <f>IF(tbal[[#This Row],[DEBE]]-tbal[[#This Row],[HABER]]&gt;0,tbal[[#This Row],[DEBE]]-tbal[[#This Row],[HABER]],0)</f>
        <v>0</v>
      </c>
      <c r="H1681" s="18">
        <f>IF(tbal[[#This Row],[HABER]]-tbal[[#This Row],[DEBE]]&gt;0,tbal[[#This Row],[HABER]]-tbal[[#This Row],[DEBE]],0)</f>
        <v>0</v>
      </c>
      <c r="I1681" s="16">
        <f>IF((OR(tbal[[#This Row],[X]]=1,tbal[[#This Row],[X]]=2)),tbal[[#This Row],[DEUDOR]],0)</f>
        <v>0</v>
      </c>
      <c r="J1681" s="18">
        <f>IF((OR(tbal[[#This Row],[X]]=2,tbal[[#This Row],[X]]=3)),tbal[[#This Row],[ACREEDOR]],0)</f>
        <v>0</v>
      </c>
      <c r="K1681" s="16">
        <f>IF((OR(tbal[[#This Row],[X]]=3,tbal[[#This Row],[X]]=5)),tbal[[#This Row],[DEUDOR]],0)</f>
        <v>0</v>
      </c>
      <c r="L1681" s="18">
        <f>IF((OR(tbal[[#This Row],[X]]=3,tbal[[#This Row],[X]]=4)),tbal[[#This Row],[ACREEDOR]],0)</f>
        <v>0</v>
      </c>
      <c r="M1681" s="16">
        <f>IF((OR(tbal[[#This Row],[X]]=0,tbal[[#This Row],[X]]=6)),tbal[[#This Row],[DEUDOR]],0)</f>
        <v>0</v>
      </c>
      <c r="N1681" s="18">
        <f>IF((OR(tbal[[#This Row],[X]]=0,tbal[[#This Row],[X]]=5)),tbal[[#This Row],[ACREEDOR]],0)</f>
        <v>0</v>
      </c>
    </row>
    <row r="1682" spans="1:14" hidden="1" x14ac:dyDescent="0.3">
      <c r="A1682" s="14">
        <f>+'PLAN DE CUENTAS'!A1682</f>
        <v>0</v>
      </c>
      <c r="B1682" s="13">
        <f>+'PLAN DE CUENTAS'!B1682</f>
        <v>0</v>
      </c>
      <c r="C1682" s="13">
        <f>+'PLAN DE CUENTAS'!C1682</f>
        <v>0</v>
      </c>
      <c r="D1682" t="str">
        <f>IF(tbal[[#This Row],[DEBE]]+tbal[[#This Row],[HABER]]=0,"","X")</f>
        <v/>
      </c>
      <c r="E1682" s="16">
        <f>SUMIF(tdiario[CUENTA],tbal[[#This Row],[CUENTA]],tdiario[DEBE])</f>
        <v>0</v>
      </c>
      <c r="F1682" s="17">
        <f>SUMIF(tdiario[CUENTA],tbal[[#This Row],[CUENTA]],tdiario[HABER])</f>
        <v>0</v>
      </c>
      <c r="G1682" s="16">
        <f>IF(tbal[[#This Row],[DEBE]]-tbal[[#This Row],[HABER]]&gt;0,tbal[[#This Row],[DEBE]]-tbal[[#This Row],[HABER]],0)</f>
        <v>0</v>
      </c>
      <c r="H1682" s="18">
        <f>IF(tbal[[#This Row],[HABER]]-tbal[[#This Row],[DEBE]]&gt;0,tbal[[#This Row],[HABER]]-tbal[[#This Row],[DEBE]],0)</f>
        <v>0</v>
      </c>
      <c r="I1682" s="16">
        <f>IF((OR(tbal[[#This Row],[X]]=1,tbal[[#This Row],[X]]=2)),tbal[[#This Row],[DEUDOR]],0)</f>
        <v>0</v>
      </c>
      <c r="J1682" s="18">
        <f>IF((OR(tbal[[#This Row],[X]]=2,tbal[[#This Row],[X]]=3)),tbal[[#This Row],[ACREEDOR]],0)</f>
        <v>0</v>
      </c>
      <c r="K1682" s="16">
        <f>IF((OR(tbal[[#This Row],[X]]=3,tbal[[#This Row],[X]]=5)),tbal[[#This Row],[DEUDOR]],0)</f>
        <v>0</v>
      </c>
      <c r="L1682" s="18">
        <f>IF((OR(tbal[[#This Row],[X]]=3,tbal[[#This Row],[X]]=4)),tbal[[#This Row],[ACREEDOR]],0)</f>
        <v>0</v>
      </c>
      <c r="M1682" s="16">
        <f>IF((OR(tbal[[#This Row],[X]]=0,tbal[[#This Row],[X]]=6)),tbal[[#This Row],[DEUDOR]],0)</f>
        <v>0</v>
      </c>
      <c r="N1682" s="18">
        <f>IF((OR(tbal[[#This Row],[X]]=0,tbal[[#This Row],[X]]=5)),tbal[[#This Row],[ACREEDOR]],0)</f>
        <v>0</v>
      </c>
    </row>
    <row r="1683" spans="1:14" hidden="1" x14ac:dyDescent="0.3">
      <c r="A1683" s="14">
        <f>+'PLAN DE CUENTAS'!A1683</f>
        <v>0</v>
      </c>
      <c r="B1683" s="13">
        <f>+'PLAN DE CUENTAS'!B1683</f>
        <v>0</v>
      </c>
      <c r="C1683" s="13">
        <f>+'PLAN DE CUENTAS'!C1683</f>
        <v>0</v>
      </c>
      <c r="D1683" t="str">
        <f>IF(tbal[[#This Row],[DEBE]]+tbal[[#This Row],[HABER]]=0,"","X")</f>
        <v/>
      </c>
      <c r="E1683" s="16">
        <f>SUMIF(tdiario[CUENTA],tbal[[#This Row],[CUENTA]],tdiario[DEBE])</f>
        <v>0</v>
      </c>
      <c r="F1683" s="17">
        <f>SUMIF(tdiario[CUENTA],tbal[[#This Row],[CUENTA]],tdiario[HABER])</f>
        <v>0</v>
      </c>
      <c r="G1683" s="16">
        <f>IF(tbal[[#This Row],[DEBE]]-tbal[[#This Row],[HABER]]&gt;0,tbal[[#This Row],[DEBE]]-tbal[[#This Row],[HABER]],0)</f>
        <v>0</v>
      </c>
      <c r="H1683" s="18">
        <f>IF(tbal[[#This Row],[HABER]]-tbal[[#This Row],[DEBE]]&gt;0,tbal[[#This Row],[HABER]]-tbal[[#This Row],[DEBE]],0)</f>
        <v>0</v>
      </c>
      <c r="I1683" s="16">
        <f>IF((OR(tbal[[#This Row],[X]]=1,tbal[[#This Row],[X]]=2)),tbal[[#This Row],[DEUDOR]],0)</f>
        <v>0</v>
      </c>
      <c r="J1683" s="18">
        <f>IF((OR(tbal[[#This Row],[X]]=2,tbal[[#This Row],[X]]=3)),tbal[[#This Row],[ACREEDOR]],0)</f>
        <v>0</v>
      </c>
      <c r="K1683" s="16">
        <f>IF((OR(tbal[[#This Row],[X]]=3,tbal[[#This Row],[X]]=5)),tbal[[#This Row],[DEUDOR]],0)</f>
        <v>0</v>
      </c>
      <c r="L1683" s="18">
        <f>IF((OR(tbal[[#This Row],[X]]=3,tbal[[#This Row],[X]]=4)),tbal[[#This Row],[ACREEDOR]],0)</f>
        <v>0</v>
      </c>
      <c r="M1683" s="16">
        <f>IF((OR(tbal[[#This Row],[X]]=0,tbal[[#This Row],[X]]=6)),tbal[[#This Row],[DEUDOR]],0)</f>
        <v>0</v>
      </c>
      <c r="N1683" s="18">
        <f>IF((OR(tbal[[#This Row],[X]]=0,tbal[[#This Row],[X]]=5)),tbal[[#This Row],[ACREEDOR]],0)</f>
        <v>0</v>
      </c>
    </row>
    <row r="1684" spans="1:14" hidden="1" x14ac:dyDescent="0.3">
      <c r="A1684" s="14">
        <f>+'PLAN DE CUENTAS'!A1684</f>
        <v>0</v>
      </c>
      <c r="B1684" s="13">
        <f>+'PLAN DE CUENTAS'!B1684</f>
        <v>0</v>
      </c>
      <c r="C1684" s="13">
        <f>+'PLAN DE CUENTAS'!C1684</f>
        <v>0</v>
      </c>
      <c r="D1684" t="str">
        <f>IF(tbal[[#This Row],[DEBE]]+tbal[[#This Row],[HABER]]=0,"","X")</f>
        <v/>
      </c>
      <c r="E1684" s="16">
        <f>SUMIF(tdiario[CUENTA],tbal[[#This Row],[CUENTA]],tdiario[DEBE])</f>
        <v>0</v>
      </c>
      <c r="F1684" s="17">
        <f>SUMIF(tdiario[CUENTA],tbal[[#This Row],[CUENTA]],tdiario[HABER])</f>
        <v>0</v>
      </c>
      <c r="G1684" s="16">
        <f>IF(tbal[[#This Row],[DEBE]]-tbal[[#This Row],[HABER]]&gt;0,tbal[[#This Row],[DEBE]]-tbal[[#This Row],[HABER]],0)</f>
        <v>0</v>
      </c>
      <c r="H1684" s="18">
        <f>IF(tbal[[#This Row],[HABER]]-tbal[[#This Row],[DEBE]]&gt;0,tbal[[#This Row],[HABER]]-tbal[[#This Row],[DEBE]],0)</f>
        <v>0</v>
      </c>
      <c r="I1684" s="16">
        <f>IF((OR(tbal[[#This Row],[X]]=1,tbal[[#This Row],[X]]=2)),tbal[[#This Row],[DEUDOR]],0)</f>
        <v>0</v>
      </c>
      <c r="J1684" s="18">
        <f>IF((OR(tbal[[#This Row],[X]]=2,tbal[[#This Row],[X]]=3)),tbal[[#This Row],[ACREEDOR]],0)</f>
        <v>0</v>
      </c>
      <c r="K1684" s="16">
        <f>IF((OR(tbal[[#This Row],[X]]=3,tbal[[#This Row],[X]]=5)),tbal[[#This Row],[DEUDOR]],0)</f>
        <v>0</v>
      </c>
      <c r="L1684" s="18">
        <f>IF((OR(tbal[[#This Row],[X]]=3,tbal[[#This Row],[X]]=4)),tbal[[#This Row],[ACREEDOR]],0)</f>
        <v>0</v>
      </c>
      <c r="M1684" s="16">
        <f>IF((OR(tbal[[#This Row],[X]]=0,tbal[[#This Row],[X]]=6)),tbal[[#This Row],[DEUDOR]],0)</f>
        <v>0</v>
      </c>
      <c r="N1684" s="18">
        <f>IF((OR(tbal[[#This Row],[X]]=0,tbal[[#This Row],[X]]=5)),tbal[[#This Row],[ACREEDOR]],0)</f>
        <v>0</v>
      </c>
    </row>
    <row r="1685" spans="1:14" hidden="1" x14ac:dyDescent="0.3">
      <c r="A1685" s="14">
        <f>+'PLAN DE CUENTAS'!A1685</f>
        <v>0</v>
      </c>
      <c r="B1685" s="13">
        <f>+'PLAN DE CUENTAS'!B1685</f>
        <v>0</v>
      </c>
      <c r="C1685" s="13">
        <f>+'PLAN DE CUENTAS'!C1685</f>
        <v>0</v>
      </c>
      <c r="D1685" t="str">
        <f>IF(tbal[[#This Row],[DEBE]]+tbal[[#This Row],[HABER]]=0,"","X")</f>
        <v/>
      </c>
      <c r="E1685" s="16">
        <f>SUMIF(tdiario[CUENTA],tbal[[#This Row],[CUENTA]],tdiario[DEBE])</f>
        <v>0</v>
      </c>
      <c r="F1685" s="17">
        <f>SUMIF(tdiario[CUENTA],tbal[[#This Row],[CUENTA]],tdiario[HABER])</f>
        <v>0</v>
      </c>
      <c r="G1685" s="16">
        <f>IF(tbal[[#This Row],[DEBE]]-tbal[[#This Row],[HABER]]&gt;0,tbal[[#This Row],[DEBE]]-tbal[[#This Row],[HABER]],0)</f>
        <v>0</v>
      </c>
      <c r="H1685" s="18">
        <f>IF(tbal[[#This Row],[HABER]]-tbal[[#This Row],[DEBE]]&gt;0,tbal[[#This Row],[HABER]]-tbal[[#This Row],[DEBE]],0)</f>
        <v>0</v>
      </c>
      <c r="I1685" s="16">
        <f>IF((OR(tbal[[#This Row],[X]]=1,tbal[[#This Row],[X]]=2)),tbal[[#This Row],[DEUDOR]],0)</f>
        <v>0</v>
      </c>
      <c r="J1685" s="18">
        <f>IF((OR(tbal[[#This Row],[X]]=2,tbal[[#This Row],[X]]=3)),tbal[[#This Row],[ACREEDOR]],0)</f>
        <v>0</v>
      </c>
      <c r="K1685" s="16">
        <f>IF((OR(tbal[[#This Row],[X]]=3,tbal[[#This Row],[X]]=5)),tbal[[#This Row],[DEUDOR]],0)</f>
        <v>0</v>
      </c>
      <c r="L1685" s="18">
        <f>IF((OR(tbal[[#This Row],[X]]=3,tbal[[#This Row],[X]]=4)),tbal[[#This Row],[ACREEDOR]],0)</f>
        <v>0</v>
      </c>
      <c r="M1685" s="16">
        <f>IF((OR(tbal[[#This Row],[X]]=0,tbal[[#This Row],[X]]=6)),tbal[[#This Row],[DEUDOR]],0)</f>
        <v>0</v>
      </c>
      <c r="N1685" s="18">
        <f>IF((OR(tbal[[#This Row],[X]]=0,tbal[[#This Row],[X]]=5)),tbal[[#This Row],[ACREEDOR]],0)</f>
        <v>0</v>
      </c>
    </row>
    <row r="1686" spans="1:14" hidden="1" x14ac:dyDescent="0.3">
      <c r="A1686" s="14">
        <f>+'PLAN DE CUENTAS'!A1686</f>
        <v>0</v>
      </c>
      <c r="B1686" s="13">
        <f>+'PLAN DE CUENTAS'!B1686</f>
        <v>0</v>
      </c>
      <c r="C1686" s="13">
        <f>+'PLAN DE CUENTAS'!C1686</f>
        <v>0</v>
      </c>
      <c r="D1686" t="str">
        <f>IF(tbal[[#This Row],[DEBE]]+tbal[[#This Row],[HABER]]=0,"","X")</f>
        <v/>
      </c>
      <c r="E1686" s="16">
        <f>SUMIF(tdiario[CUENTA],tbal[[#This Row],[CUENTA]],tdiario[DEBE])</f>
        <v>0</v>
      </c>
      <c r="F1686" s="17">
        <f>SUMIF(tdiario[CUENTA],tbal[[#This Row],[CUENTA]],tdiario[HABER])</f>
        <v>0</v>
      </c>
      <c r="G1686" s="16">
        <f>IF(tbal[[#This Row],[DEBE]]-tbal[[#This Row],[HABER]]&gt;0,tbal[[#This Row],[DEBE]]-tbal[[#This Row],[HABER]],0)</f>
        <v>0</v>
      </c>
      <c r="H1686" s="18">
        <f>IF(tbal[[#This Row],[HABER]]-tbal[[#This Row],[DEBE]]&gt;0,tbal[[#This Row],[HABER]]-tbal[[#This Row],[DEBE]],0)</f>
        <v>0</v>
      </c>
      <c r="I1686" s="16">
        <f>IF((OR(tbal[[#This Row],[X]]=1,tbal[[#This Row],[X]]=2)),tbal[[#This Row],[DEUDOR]],0)</f>
        <v>0</v>
      </c>
      <c r="J1686" s="18">
        <f>IF((OR(tbal[[#This Row],[X]]=2,tbal[[#This Row],[X]]=3)),tbal[[#This Row],[ACREEDOR]],0)</f>
        <v>0</v>
      </c>
      <c r="K1686" s="16">
        <f>IF((OR(tbal[[#This Row],[X]]=3,tbal[[#This Row],[X]]=5)),tbal[[#This Row],[DEUDOR]],0)</f>
        <v>0</v>
      </c>
      <c r="L1686" s="18">
        <f>IF((OR(tbal[[#This Row],[X]]=3,tbal[[#This Row],[X]]=4)),tbal[[#This Row],[ACREEDOR]],0)</f>
        <v>0</v>
      </c>
      <c r="M1686" s="16">
        <f>IF((OR(tbal[[#This Row],[X]]=0,tbal[[#This Row],[X]]=6)),tbal[[#This Row],[DEUDOR]],0)</f>
        <v>0</v>
      </c>
      <c r="N1686" s="18">
        <f>IF((OR(tbal[[#This Row],[X]]=0,tbal[[#This Row],[X]]=5)),tbal[[#This Row],[ACREEDOR]],0)</f>
        <v>0</v>
      </c>
    </row>
    <row r="1687" spans="1:14" hidden="1" x14ac:dyDescent="0.3">
      <c r="A1687" s="14">
        <f>+'PLAN DE CUENTAS'!A1687</f>
        <v>0</v>
      </c>
      <c r="B1687" s="13">
        <f>+'PLAN DE CUENTAS'!B1687</f>
        <v>0</v>
      </c>
      <c r="C1687" s="13">
        <f>+'PLAN DE CUENTAS'!C1687</f>
        <v>0</v>
      </c>
      <c r="D1687" t="str">
        <f>IF(tbal[[#This Row],[DEBE]]+tbal[[#This Row],[HABER]]=0,"","X")</f>
        <v/>
      </c>
      <c r="E1687" s="16">
        <f>SUMIF(tdiario[CUENTA],tbal[[#This Row],[CUENTA]],tdiario[DEBE])</f>
        <v>0</v>
      </c>
      <c r="F1687" s="17">
        <f>SUMIF(tdiario[CUENTA],tbal[[#This Row],[CUENTA]],tdiario[HABER])</f>
        <v>0</v>
      </c>
      <c r="G1687" s="16">
        <f>IF(tbal[[#This Row],[DEBE]]-tbal[[#This Row],[HABER]]&gt;0,tbal[[#This Row],[DEBE]]-tbal[[#This Row],[HABER]],0)</f>
        <v>0</v>
      </c>
      <c r="H1687" s="18">
        <f>IF(tbal[[#This Row],[HABER]]-tbal[[#This Row],[DEBE]]&gt;0,tbal[[#This Row],[HABER]]-tbal[[#This Row],[DEBE]],0)</f>
        <v>0</v>
      </c>
      <c r="I1687" s="16">
        <f>IF((OR(tbal[[#This Row],[X]]=1,tbal[[#This Row],[X]]=2)),tbal[[#This Row],[DEUDOR]],0)</f>
        <v>0</v>
      </c>
      <c r="J1687" s="18">
        <f>IF((OR(tbal[[#This Row],[X]]=2,tbal[[#This Row],[X]]=3)),tbal[[#This Row],[ACREEDOR]],0)</f>
        <v>0</v>
      </c>
      <c r="K1687" s="16">
        <f>IF((OR(tbal[[#This Row],[X]]=3,tbal[[#This Row],[X]]=5)),tbal[[#This Row],[DEUDOR]],0)</f>
        <v>0</v>
      </c>
      <c r="L1687" s="18">
        <f>IF((OR(tbal[[#This Row],[X]]=3,tbal[[#This Row],[X]]=4)),tbal[[#This Row],[ACREEDOR]],0)</f>
        <v>0</v>
      </c>
      <c r="M1687" s="16">
        <f>IF((OR(tbal[[#This Row],[X]]=0,tbal[[#This Row],[X]]=6)),tbal[[#This Row],[DEUDOR]],0)</f>
        <v>0</v>
      </c>
      <c r="N1687" s="18">
        <f>IF((OR(tbal[[#This Row],[X]]=0,tbal[[#This Row],[X]]=5)),tbal[[#This Row],[ACREEDOR]],0)</f>
        <v>0</v>
      </c>
    </row>
    <row r="1688" spans="1:14" hidden="1" x14ac:dyDescent="0.3">
      <c r="A1688" s="14">
        <f>+'PLAN DE CUENTAS'!A1688</f>
        <v>0</v>
      </c>
      <c r="B1688" s="13">
        <f>+'PLAN DE CUENTAS'!B1688</f>
        <v>0</v>
      </c>
      <c r="C1688" s="13">
        <f>+'PLAN DE CUENTAS'!C1688</f>
        <v>0</v>
      </c>
      <c r="D1688" t="str">
        <f>IF(tbal[[#This Row],[DEBE]]+tbal[[#This Row],[HABER]]=0,"","X")</f>
        <v/>
      </c>
      <c r="E1688" s="16">
        <f>SUMIF(tdiario[CUENTA],tbal[[#This Row],[CUENTA]],tdiario[DEBE])</f>
        <v>0</v>
      </c>
      <c r="F1688" s="17">
        <f>SUMIF(tdiario[CUENTA],tbal[[#This Row],[CUENTA]],tdiario[HABER])</f>
        <v>0</v>
      </c>
      <c r="G1688" s="16">
        <f>IF(tbal[[#This Row],[DEBE]]-tbal[[#This Row],[HABER]]&gt;0,tbal[[#This Row],[DEBE]]-tbal[[#This Row],[HABER]],0)</f>
        <v>0</v>
      </c>
      <c r="H1688" s="18">
        <f>IF(tbal[[#This Row],[HABER]]-tbal[[#This Row],[DEBE]]&gt;0,tbal[[#This Row],[HABER]]-tbal[[#This Row],[DEBE]],0)</f>
        <v>0</v>
      </c>
      <c r="I1688" s="16">
        <f>IF((OR(tbal[[#This Row],[X]]=1,tbal[[#This Row],[X]]=2)),tbal[[#This Row],[DEUDOR]],0)</f>
        <v>0</v>
      </c>
      <c r="J1688" s="18">
        <f>IF((OR(tbal[[#This Row],[X]]=2,tbal[[#This Row],[X]]=3)),tbal[[#This Row],[ACREEDOR]],0)</f>
        <v>0</v>
      </c>
      <c r="K1688" s="16">
        <f>IF((OR(tbal[[#This Row],[X]]=3,tbal[[#This Row],[X]]=5)),tbal[[#This Row],[DEUDOR]],0)</f>
        <v>0</v>
      </c>
      <c r="L1688" s="18">
        <f>IF((OR(tbal[[#This Row],[X]]=3,tbal[[#This Row],[X]]=4)),tbal[[#This Row],[ACREEDOR]],0)</f>
        <v>0</v>
      </c>
      <c r="M1688" s="16">
        <f>IF((OR(tbal[[#This Row],[X]]=0,tbal[[#This Row],[X]]=6)),tbal[[#This Row],[DEUDOR]],0)</f>
        <v>0</v>
      </c>
      <c r="N1688" s="18">
        <f>IF((OR(tbal[[#This Row],[X]]=0,tbal[[#This Row],[X]]=5)),tbal[[#This Row],[ACREEDOR]],0)</f>
        <v>0</v>
      </c>
    </row>
    <row r="1689" spans="1:14" hidden="1" x14ac:dyDescent="0.3">
      <c r="A1689" s="14">
        <f>+'PLAN DE CUENTAS'!A1689</f>
        <v>0</v>
      </c>
      <c r="B1689" s="13">
        <f>+'PLAN DE CUENTAS'!B1689</f>
        <v>0</v>
      </c>
      <c r="C1689" s="13">
        <f>+'PLAN DE CUENTAS'!C1689</f>
        <v>0</v>
      </c>
      <c r="D1689" t="str">
        <f>IF(tbal[[#This Row],[DEBE]]+tbal[[#This Row],[HABER]]=0,"","X")</f>
        <v/>
      </c>
      <c r="E1689" s="16">
        <f>SUMIF(tdiario[CUENTA],tbal[[#This Row],[CUENTA]],tdiario[DEBE])</f>
        <v>0</v>
      </c>
      <c r="F1689" s="17">
        <f>SUMIF(tdiario[CUENTA],tbal[[#This Row],[CUENTA]],tdiario[HABER])</f>
        <v>0</v>
      </c>
      <c r="G1689" s="16">
        <f>IF(tbal[[#This Row],[DEBE]]-tbal[[#This Row],[HABER]]&gt;0,tbal[[#This Row],[DEBE]]-tbal[[#This Row],[HABER]],0)</f>
        <v>0</v>
      </c>
      <c r="H1689" s="18">
        <f>IF(tbal[[#This Row],[HABER]]-tbal[[#This Row],[DEBE]]&gt;0,tbal[[#This Row],[HABER]]-tbal[[#This Row],[DEBE]],0)</f>
        <v>0</v>
      </c>
      <c r="I1689" s="16">
        <f>IF((OR(tbal[[#This Row],[X]]=1,tbal[[#This Row],[X]]=2)),tbal[[#This Row],[DEUDOR]],0)</f>
        <v>0</v>
      </c>
      <c r="J1689" s="18">
        <f>IF((OR(tbal[[#This Row],[X]]=2,tbal[[#This Row],[X]]=3)),tbal[[#This Row],[ACREEDOR]],0)</f>
        <v>0</v>
      </c>
      <c r="K1689" s="16">
        <f>IF((OR(tbal[[#This Row],[X]]=3,tbal[[#This Row],[X]]=5)),tbal[[#This Row],[DEUDOR]],0)</f>
        <v>0</v>
      </c>
      <c r="L1689" s="18">
        <f>IF((OR(tbal[[#This Row],[X]]=3,tbal[[#This Row],[X]]=4)),tbal[[#This Row],[ACREEDOR]],0)</f>
        <v>0</v>
      </c>
      <c r="M1689" s="16">
        <f>IF((OR(tbal[[#This Row],[X]]=0,tbal[[#This Row],[X]]=6)),tbal[[#This Row],[DEUDOR]],0)</f>
        <v>0</v>
      </c>
      <c r="N1689" s="18">
        <f>IF((OR(tbal[[#This Row],[X]]=0,tbal[[#This Row],[X]]=5)),tbal[[#This Row],[ACREEDOR]],0)</f>
        <v>0</v>
      </c>
    </row>
    <row r="1690" spans="1:14" hidden="1" x14ac:dyDescent="0.3">
      <c r="A1690" s="14">
        <f>+'PLAN DE CUENTAS'!A1690</f>
        <v>0</v>
      </c>
      <c r="B1690" s="13">
        <f>+'PLAN DE CUENTAS'!B1690</f>
        <v>0</v>
      </c>
      <c r="C1690" s="13">
        <f>+'PLAN DE CUENTAS'!C1690</f>
        <v>0</v>
      </c>
      <c r="D1690" t="str">
        <f>IF(tbal[[#This Row],[DEBE]]+tbal[[#This Row],[HABER]]=0,"","X")</f>
        <v/>
      </c>
      <c r="E1690" s="16">
        <f>SUMIF(tdiario[CUENTA],tbal[[#This Row],[CUENTA]],tdiario[DEBE])</f>
        <v>0</v>
      </c>
      <c r="F1690" s="17">
        <f>SUMIF(tdiario[CUENTA],tbal[[#This Row],[CUENTA]],tdiario[HABER])</f>
        <v>0</v>
      </c>
      <c r="G1690" s="16">
        <f>IF(tbal[[#This Row],[DEBE]]-tbal[[#This Row],[HABER]]&gt;0,tbal[[#This Row],[DEBE]]-tbal[[#This Row],[HABER]],0)</f>
        <v>0</v>
      </c>
      <c r="H1690" s="18">
        <f>IF(tbal[[#This Row],[HABER]]-tbal[[#This Row],[DEBE]]&gt;0,tbal[[#This Row],[HABER]]-tbal[[#This Row],[DEBE]],0)</f>
        <v>0</v>
      </c>
      <c r="I1690" s="16">
        <f>IF((OR(tbal[[#This Row],[X]]=1,tbal[[#This Row],[X]]=2)),tbal[[#This Row],[DEUDOR]],0)</f>
        <v>0</v>
      </c>
      <c r="J1690" s="18">
        <f>IF((OR(tbal[[#This Row],[X]]=2,tbal[[#This Row],[X]]=3)),tbal[[#This Row],[ACREEDOR]],0)</f>
        <v>0</v>
      </c>
      <c r="K1690" s="16">
        <f>IF((OR(tbal[[#This Row],[X]]=3,tbal[[#This Row],[X]]=5)),tbal[[#This Row],[DEUDOR]],0)</f>
        <v>0</v>
      </c>
      <c r="L1690" s="18">
        <f>IF((OR(tbal[[#This Row],[X]]=3,tbal[[#This Row],[X]]=4)),tbal[[#This Row],[ACREEDOR]],0)</f>
        <v>0</v>
      </c>
      <c r="M1690" s="16">
        <f>IF((OR(tbal[[#This Row],[X]]=0,tbal[[#This Row],[X]]=6)),tbal[[#This Row],[DEUDOR]],0)</f>
        <v>0</v>
      </c>
      <c r="N1690" s="18">
        <f>IF((OR(tbal[[#This Row],[X]]=0,tbal[[#This Row],[X]]=5)),tbal[[#This Row],[ACREEDOR]],0)</f>
        <v>0</v>
      </c>
    </row>
    <row r="1691" spans="1:14" hidden="1" x14ac:dyDescent="0.3">
      <c r="A1691" s="14">
        <f>+'PLAN DE CUENTAS'!A1691</f>
        <v>0</v>
      </c>
      <c r="B1691" s="13">
        <f>+'PLAN DE CUENTAS'!B1691</f>
        <v>0</v>
      </c>
      <c r="C1691" s="13">
        <f>+'PLAN DE CUENTAS'!C1691</f>
        <v>0</v>
      </c>
      <c r="D1691" t="str">
        <f>IF(tbal[[#This Row],[DEBE]]+tbal[[#This Row],[HABER]]=0,"","X")</f>
        <v/>
      </c>
      <c r="E1691" s="16">
        <f>SUMIF(tdiario[CUENTA],tbal[[#This Row],[CUENTA]],tdiario[DEBE])</f>
        <v>0</v>
      </c>
      <c r="F1691" s="17">
        <f>SUMIF(tdiario[CUENTA],tbal[[#This Row],[CUENTA]],tdiario[HABER])</f>
        <v>0</v>
      </c>
      <c r="G1691" s="16">
        <f>IF(tbal[[#This Row],[DEBE]]-tbal[[#This Row],[HABER]]&gt;0,tbal[[#This Row],[DEBE]]-tbal[[#This Row],[HABER]],0)</f>
        <v>0</v>
      </c>
      <c r="H1691" s="18">
        <f>IF(tbal[[#This Row],[HABER]]-tbal[[#This Row],[DEBE]]&gt;0,tbal[[#This Row],[HABER]]-tbal[[#This Row],[DEBE]],0)</f>
        <v>0</v>
      </c>
      <c r="I1691" s="16">
        <f>IF((OR(tbal[[#This Row],[X]]=1,tbal[[#This Row],[X]]=2)),tbal[[#This Row],[DEUDOR]],0)</f>
        <v>0</v>
      </c>
      <c r="J1691" s="18">
        <f>IF((OR(tbal[[#This Row],[X]]=2,tbal[[#This Row],[X]]=3)),tbal[[#This Row],[ACREEDOR]],0)</f>
        <v>0</v>
      </c>
      <c r="K1691" s="16">
        <f>IF((OR(tbal[[#This Row],[X]]=3,tbal[[#This Row],[X]]=5)),tbal[[#This Row],[DEUDOR]],0)</f>
        <v>0</v>
      </c>
      <c r="L1691" s="18">
        <f>IF((OR(tbal[[#This Row],[X]]=3,tbal[[#This Row],[X]]=4)),tbal[[#This Row],[ACREEDOR]],0)</f>
        <v>0</v>
      </c>
      <c r="M1691" s="16">
        <f>IF((OR(tbal[[#This Row],[X]]=0,tbal[[#This Row],[X]]=6)),tbal[[#This Row],[DEUDOR]],0)</f>
        <v>0</v>
      </c>
      <c r="N1691" s="18">
        <f>IF((OR(tbal[[#This Row],[X]]=0,tbal[[#This Row],[X]]=5)),tbal[[#This Row],[ACREEDOR]],0)</f>
        <v>0</v>
      </c>
    </row>
    <row r="1692" spans="1:14" hidden="1" x14ac:dyDescent="0.3">
      <c r="A1692" s="14">
        <f>+'PLAN DE CUENTAS'!A1692</f>
        <v>0</v>
      </c>
      <c r="B1692" s="13">
        <f>+'PLAN DE CUENTAS'!B1692</f>
        <v>0</v>
      </c>
      <c r="C1692" s="13">
        <f>+'PLAN DE CUENTAS'!C1692</f>
        <v>0</v>
      </c>
      <c r="D1692" t="str">
        <f>IF(tbal[[#This Row],[DEBE]]+tbal[[#This Row],[HABER]]=0,"","X")</f>
        <v/>
      </c>
      <c r="E1692" s="16">
        <f>SUMIF(tdiario[CUENTA],tbal[[#This Row],[CUENTA]],tdiario[DEBE])</f>
        <v>0</v>
      </c>
      <c r="F1692" s="17">
        <f>SUMIF(tdiario[CUENTA],tbal[[#This Row],[CUENTA]],tdiario[HABER])</f>
        <v>0</v>
      </c>
      <c r="G1692" s="16">
        <f>IF(tbal[[#This Row],[DEBE]]-tbal[[#This Row],[HABER]]&gt;0,tbal[[#This Row],[DEBE]]-tbal[[#This Row],[HABER]],0)</f>
        <v>0</v>
      </c>
      <c r="H1692" s="18">
        <f>IF(tbal[[#This Row],[HABER]]-tbal[[#This Row],[DEBE]]&gt;0,tbal[[#This Row],[HABER]]-tbal[[#This Row],[DEBE]],0)</f>
        <v>0</v>
      </c>
      <c r="I1692" s="16">
        <f>IF((OR(tbal[[#This Row],[X]]=1,tbal[[#This Row],[X]]=2)),tbal[[#This Row],[DEUDOR]],0)</f>
        <v>0</v>
      </c>
      <c r="J1692" s="18">
        <f>IF((OR(tbal[[#This Row],[X]]=2,tbal[[#This Row],[X]]=3)),tbal[[#This Row],[ACREEDOR]],0)</f>
        <v>0</v>
      </c>
      <c r="K1692" s="16">
        <f>IF((OR(tbal[[#This Row],[X]]=3,tbal[[#This Row],[X]]=5)),tbal[[#This Row],[DEUDOR]],0)</f>
        <v>0</v>
      </c>
      <c r="L1692" s="18">
        <f>IF((OR(tbal[[#This Row],[X]]=3,tbal[[#This Row],[X]]=4)),tbal[[#This Row],[ACREEDOR]],0)</f>
        <v>0</v>
      </c>
      <c r="M1692" s="16">
        <f>IF((OR(tbal[[#This Row],[X]]=0,tbal[[#This Row],[X]]=6)),tbal[[#This Row],[DEUDOR]],0)</f>
        <v>0</v>
      </c>
      <c r="N1692" s="18">
        <f>IF((OR(tbal[[#This Row],[X]]=0,tbal[[#This Row],[X]]=5)),tbal[[#This Row],[ACREEDOR]],0)</f>
        <v>0</v>
      </c>
    </row>
    <row r="1693" spans="1:14" hidden="1" x14ac:dyDescent="0.3">
      <c r="A1693" s="14">
        <f>+'PLAN DE CUENTAS'!A1693</f>
        <v>0</v>
      </c>
      <c r="B1693" s="13">
        <f>+'PLAN DE CUENTAS'!B1693</f>
        <v>0</v>
      </c>
      <c r="C1693" s="13">
        <f>+'PLAN DE CUENTAS'!C1693</f>
        <v>0</v>
      </c>
      <c r="D1693" t="str">
        <f>IF(tbal[[#This Row],[DEBE]]+tbal[[#This Row],[HABER]]=0,"","X")</f>
        <v/>
      </c>
      <c r="E1693" s="16">
        <f>SUMIF(tdiario[CUENTA],tbal[[#This Row],[CUENTA]],tdiario[DEBE])</f>
        <v>0</v>
      </c>
      <c r="F1693" s="17">
        <f>SUMIF(tdiario[CUENTA],tbal[[#This Row],[CUENTA]],tdiario[HABER])</f>
        <v>0</v>
      </c>
      <c r="G1693" s="16">
        <f>IF(tbal[[#This Row],[DEBE]]-tbal[[#This Row],[HABER]]&gt;0,tbal[[#This Row],[DEBE]]-tbal[[#This Row],[HABER]],0)</f>
        <v>0</v>
      </c>
      <c r="H1693" s="18">
        <f>IF(tbal[[#This Row],[HABER]]-tbal[[#This Row],[DEBE]]&gt;0,tbal[[#This Row],[HABER]]-tbal[[#This Row],[DEBE]],0)</f>
        <v>0</v>
      </c>
      <c r="I1693" s="16">
        <f>IF((OR(tbal[[#This Row],[X]]=1,tbal[[#This Row],[X]]=2)),tbal[[#This Row],[DEUDOR]],0)</f>
        <v>0</v>
      </c>
      <c r="J1693" s="18">
        <f>IF((OR(tbal[[#This Row],[X]]=2,tbal[[#This Row],[X]]=3)),tbal[[#This Row],[ACREEDOR]],0)</f>
        <v>0</v>
      </c>
      <c r="K1693" s="16">
        <f>IF((OR(tbal[[#This Row],[X]]=3,tbal[[#This Row],[X]]=5)),tbal[[#This Row],[DEUDOR]],0)</f>
        <v>0</v>
      </c>
      <c r="L1693" s="18">
        <f>IF((OR(tbal[[#This Row],[X]]=3,tbal[[#This Row],[X]]=4)),tbal[[#This Row],[ACREEDOR]],0)</f>
        <v>0</v>
      </c>
      <c r="M1693" s="16">
        <f>IF((OR(tbal[[#This Row],[X]]=0,tbal[[#This Row],[X]]=6)),tbal[[#This Row],[DEUDOR]],0)</f>
        <v>0</v>
      </c>
      <c r="N1693" s="18">
        <f>IF((OR(tbal[[#This Row],[X]]=0,tbal[[#This Row],[X]]=5)),tbal[[#This Row],[ACREEDOR]],0)</f>
        <v>0</v>
      </c>
    </row>
    <row r="1694" spans="1:14" hidden="1" x14ac:dyDescent="0.3">
      <c r="A1694" s="14">
        <f>+'PLAN DE CUENTAS'!A1694</f>
        <v>0</v>
      </c>
      <c r="B1694" s="13">
        <f>+'PLAN DE CUENTAS'!B1694</f>
        <v>0</v>
      </c>
      <c r="C1694" s="13">
        <f>+'PLAN DE CUENTAS'!C1694</f>
        <v>0</v>
      </c>
      <c r="D1694" t="str">
        <f>IF(tbal[[#This Row],[DEBE]]+tbal[[#This Row],[HABER]]=0,"","X")</f>
        <v/>
      </c>
      <c r="E1694" s="16">
        <f>SUMIF(tdiario[CUENTA],tbal[[#This Row],[CUENTA]],tdiario[DEBE])</f>
        <v>0</v>
      </c>
      <c r="F1694" s="17">
        <f>SUMIF(tdiario[CUENTA],tbal[[#This Row],[CUENTA]],tdiario[HABER])</f>
        <v>0</v>
      </c>
      <c r="G1694" s="16">
        <f>IF(tbal[[#This Row],[DEBE]]-tbal[[#This Row],[HABER]]&gt;0,tbal[[#This Row],[DEBE]]-tbal[[#This Row],[HABER]],0)</f>
        <v>0</v>
      </c>
      <c r="H1694" s="18">
        <f>IF(tbal[[#This Row],[HABER]]-tbal[[#This Row],[DEBE]]&gt;0,tbal[[#This Row],[HABER]]-tbal[[#This Row],[DEBE]],0)</f>
        <v>0</v>
      </c>
      <c r="I1694" s="16">
        <f>IF((OR(tbal[[#This Row],[X]]=1,tbal[[#This Row],[X]]=2)),tbal[[#This Row],[DEUDOR]],0)</f>
        <v>0</v>
      </c>
      <c r="J1694" s="18">
        <f>IF((OR(tbal[[#This Row],[X]]=2,tbal[[#This Row],[X]]=3)),tbal[[#This Row],[ACREEDOR]],0)</f>
        <v>0</v>
      </c>
      <c r="K1694" s="16">
        <f>IF((OR(tbal[[#This Row],[X]]=3,tbal[[#This Row],[X]]=5)),tbal[[#This Row],[DEUDOR]],0)</f>
        <v>0</v>
      </c>
      <c r="L1694" s="18">
        <f>IF((OR(tbal[[#This Row],[X]]=3,tbal[[#This Row],[X]]=4)),tbal[[#This Row],[ACREEDOR]],0)</f>
        <v>0</v>
      </c>
      <c r="M1694" s="16">
        <f>IF((OR(tbal[[#This Row],[X]]=0,tbal[[#This Row],[X]]=6)),tbal[[#This Row],[DEUDOR]],0)</f>
        <v>0</v>
      </c>
      <c r="N1694" s="18">
        <f>IF((OR(tbal[[#This Row],[X]]=0,tbal[[#This Row],[X]]=5)),tbal[[#This Row],[ACREEDOR]],0)</f>
        <v>0</v>
      </c>
    </row>
    <row r="1695" spans="1:14" hidden="1" x14ac:dyDescent="0.3">
      <c r="A1695" s="14">
        <f>+'PLAN DE CUENTAS'!A1695</f>
        <v>0</v>
      </c>
      <c r="B1695" s="13">
        <f>+'PLAN DE CUENTAS'!B1695</f>
        <v>0</v>
      </c>
      <c r="C1695" s="13">
        <f>+'PLAN DE CUENTAS'!C1695</f>
        <v>0</v>
      </c>
      <c r="D1695" t="str">
        <f>IF(tbal[[#This Row],[DEBE]]+tbal[[#This Row],[HABER]]=0,"","X")</f>
        <v/>
      </c>
      <c r="E1695" s="16">
        <f>SUMIF(tdiario[CUENTA],tbal[[#This Row],[CUENTA]],tdiario[DEBE])</f>
        <v>0</v>
      </c>
      <c r="F1695" s="17">
        <f>SUMIF(tdiario[CUENTA],tbal[[#This Row],[CUENTA]],tdiario[HABER])</f>
        <v>0</v>
      </c>
      <c r="G1695" s="16">
        <f>IF(tbal[[#This Row],[DEBE]]-tbal[[#This Row],[HABER]]&gt;0,tbal[[#This Row],[DEBE]]-tbal[[#This Row],[HABER]],0)</f>
        <v>0</v>
      </c>
      <c r="H1695" s="18">
        <f>IF(tbal[[#This Row],[HABER]]-tbal[[#This Row],[DEBE]]&gt;0,tbal[[#This Row],[HABER]]-tbal[[#This Row],[DEBE]],0)</f>
        <v>0</v>
      </c>
      <c r="I1695" s="16">
        <f>IF((OR(tbal[[#This Row],[X]]=1,tbal[[#This Row],[X]]=2)),tbal[[#This Row],[DEUDOR]],0)</f>
        <v>0</v>
      </c>
      <c r="J1695" s="18">
        <f>IF((OR(tbal[[#This Row],[X]]=2,tbal[[#This Row],[X]]=3)),tbal[[#This Row],[ACREEDOR]],0)</f>
        <v>0</v>
      </c>
      <c r="K1695" s="16">
        <f>IF((OR(tbal[[#This Row],[X]]=3,tbal[[#This Row],[X]]=5)),tbal[[#This Row],[DEUDOR]],0)</f>
        <v>0</v>
      </c>
      <c r="L1695" s="18">
        <f>IF((OR(tbal[[#This Row],[X]]=3,tbal[[#This Row],[X]]=4)),tbal[[#This Row],[ACREEDOR]],0)</f>
        <v>0</v>
      </c>
      <c r="M1695" s="16">
        <f>IF((OR(tbal[[#This Row],[X]]=0,tbal[[#This Row],[X]]=6)),tbal[[#This Row],[DEUDOR]],0)</f>
        <v>0</v>
      </c>
      <c r="N1695" s="18">
        <f>IF((OR(tbal[[#This Row],[X]]=0,tbal[[#This Row],[X]]=5)),tbal[[#This Row],[ACREEDOR]],0)</f>
        <v>0</v>
      </c>
    </row>
    <row r="1696" spans="1:14" hidden="1" x14ac:dyDescent="0.3">
      <c r="A1696" s="14">
        <f>+'PLAN DE CUENTAS'!A1696</f>
        <v>0</v>
      </c>
      <c r="B1696" s="13">
        <f>+'PLAN DE CUENTAS'!B1696</f>
        <v>0</v>
      </c>
      <c r="C1696" s="13">
        <f>+'PLAN DE CUENTAS'!C1696</f>
        <v>0</v>
      </c>
      <c r="D1696" t="str">
        <f>IF(tbal[[#This Row],[DEBE]]+tbal[[#This Row],[HABER]]=0,"","X")</f>
        <v/>
      </c>
      <c r="E1696" s="16">
        <f>SUMIF(tdiario[CUENTA],tbal[[#This Row],[CUENTA]],tdiario[DEBE])</f>
        <v>0</v>
      </c>
      <c r="F1696" s="17">
        <f>SUMIF(tdiario[CUENTA],tbal[[#This Row],[CUENTA]],tdiario[HABER])</f>
        <v>0</v>
      </c>
      <c r="G1696" s="16">
        <f>IF(tbal[[#This Row],[DEBE]]-tbal[[#This Row],[HABER]]&gt;0,tbal[[#This Row],[DEBE]]-tbal[[#This Row],[HABER]],0)</f>
        <v>0</v>
      </c>
      <c r="H1696" s="18">
        <f>IF(tbal[[#This Row],[HABER]]-tbal[[#This Row],[DEBE]]&gt;0,tbal[[#This Row],[HABER]]-tbal[[#This Row],[DEBE]],0)</f>
        <v>0</v>
      </c>
      <c r="I1696" s="16">
        <f>IF((OR(tbal[[#This Row],[X]]=1,tbal[[#This Row],[X]]=2)),tbal[[#This Row],[DEUDOR]],0)</f>
        <v>0</v>
      </c>
      <c r="J1696" s="18">
        <f>IF((OR(tbal[[#This Row],[X]]=2,tbal[[#This Row],[X]]=3)),tbal[[#This Row],[ACREEDOR]],0)</f>
        <v>0</v>
      </c>
      <c r="K1696" s="16">
        <f>IF((OR(tbal[[#This Row],[X]]=3,tbal[[#This Row],[X]]=5)),tbal[[#This Row],[DEUDOR]],0)</f>
        <v>0</v>
      </c>
      <c r="L1696" s="18">
        <f>IF((OR(tbal[[#This Row],[X]]=3,tbal[[#This Row],[X]]=4)),tbal[[#This Row],[ACREEDOR]],0)</f>
        <v>0</v>
      </c>
      <c r="M1696" s="16">
        <f>IF((OR(tbal[[#This Row],[X]]=0,tbal[[#This Row],[X]]=6)),tbal[[#This Row],[DEUDOR]],0)</f>
        <v>0</v>
      </c>
      <c r="N1696" s="18">
        <f>IF((OR(tbal[[#This Row],[X]]=0,tbal[[#This Row],[X]]=5)),tbal[[#This Row],[ACREEDOR]],0)</f>
        <v>0</v>
      </c>
    </row>
    <row r="1697" spans="1:14" hidden="1" x14ac:dyDescent="0.3">
      <c r="A1697" s="14">
        <f>+'PLAN DE CUENTAS'!A1697</f>
        <v>0</v>
      </c>
      <c r="B1697" s="13">
        <f>+'PLAN DE CUENTAS'!B1697</f>
        <v>0</v>
      </c>
      <c r="C1697" s="13">
        <f>+'PLAN DE CUENTAS'!C1697</f>
        <v>0</v>
      </c>
      <c r="D1697" t="str">
        <f>IF(tbal[[#This Row],[DEBE]]+tbal[[#This Row],[HABER]]=0,"","X")</f>
        <v/>
      </c>
      <c r="E1697" s="16">
        <f>SUMIF(tdiario[CUENTA],tbal[[#This Row],[CUENTA]],tdiario[DEBE])</f>
        <v>0</v>
      </c>
      <c r="F1697" s="17">
        <f>SUMIF(tdiario[CUENTA],tbal[[#This Row],[CUENTA]],tdiario[HABER])</f>
        <v>0</v>
      </c>
      <c r="G1697" s="16">
        <f>IF(tbal[[#This Row],[DEBE]]-tbal[[#This Row],[HABER]]&gt;0,tbal[[#This Row],[DEBE]]-tbal[[#This Row],[HABER]],0)</f>
        <v>0</v>
      </c>
      <c r="H1697" s="18">
        <f>IF(tbal[[#This Row],[HABER]]-tbal[[#This Row],[DEBE]]&gt;0,tbal[[#This Row],[HABER]]-tbal[[#This Row],[DEBE]],0)</f>
        <v>0</v>
      </c>
      <c r="I1697" s="16">
        <f>IF((OR(tbal[[#This Row],[X]]=1,tbal[[#This Row],[X]]=2)),tbal[[#This Row],[DEUDOR]],0)</f>
        <v>0</v>
      </c>
      <c r="J1697" s="18">
        <f>IF((OR(tbal[[#This Row],[X]]=2,tbal[[#This Row],[X]]=3)),tbal[[#This Row],[ACREEDOR]],0)</f>
        <v>0</v>
      </c>
      <c r="K1697" s="16">
        <f>IF((OR(tbal[[#This Row],[X]]=3,tbal[[#This Row],[X]]=5)),tbal[[#This Row],[DEUDOR]],0)</f>
        <v>0</v>
      </c>
      <c r="L1697" s="18">
        <f>IF((OR(tbal[[#This Row],[X]]=3,tbal[[#This Row],[X]]=4)),tbal[[#This Row],[ACREEDOR]],0)</f>
        <v>0</v>
      </c>
      <c r="M1697" s="16">
        <f>IF((OR(tbal[[#This Row],[X]]=0,tbal[[#This Row],[X]]=6)),tbal[[#This Row],[DEUDOR]],0)</f>
        <v>0</v>
      </c>
      <c r="N1697" s="18">
        <f>IF((OR(tbal[[#This Row],[X]]=0,tbal[[#This Row],[X]]=5)),tbal[[#This Row],[ACREEDOR]],0)</f>
        <v>0</v>
      </c>
    </row>
    <row r="1698" spans="1:14" hidden="1" x14ac:dyDescent="0.3">
      <c r="A1698" s="14">
        <f>+'PLAN DE CUENTAS'!A1698</f>
        <v>0</v>
      </c>
      <c r="B1698" s="13">
        <f>+'PLAN DE CUENTAS'!B1698</f>
        <v>0</v>
      </c>
      <c r="C1698" s="13">
        <f>+'PLAN DE CUENTAS'!C1698</f>
        <v>0</v>
      </c>
      <c r="D1698" t="str">
        <f>IF(tbal[[#This Row],[DEBE]]+tbal[[#This Row],[HABER]]=0,"","X")</f>
        <v/>
      </c>
      <c r="E1698" s="16">
        <f>SUMIF(tdiario[CUENTA],tbal[[#This Row],[CUENTA]],tdiario[DEBE])</f>
        <v>0</v>
      </c>
      <c r="F1698" s="17">
        <f>SUMIF(tdiario[CUENTA],tbal[[#This Row],[CUENTA]],tdiario[HABER])</f>
        <v>0</v>
      </c>
      <c r="G1698" s="16">
        <f>IF(tbal[[#This Row],[DEBE]]-tbal[[#This Row],[HABER]]&gt;0,tbal[[#This Row],[DEBE]]-tbal[[#This Row],[HABER]],0)</f>
        <v>0</v>
      </c>
      <c r="H1698" s="18">
        <f>IF(tbal[[#This Row],[HABER]]-tbal[[#This Row],[DEBE]]&gt;0,tbal[[#This Row],[HABER]]-tbal[[#This Row],[DEBE]],0)</f>
        <v>0</v>
      </c>
      <c r="I1698" s="16">
        <f>IF((OR(tbal[[#This Row],[X]]=1,tbal[[#This Row],[X]]=2)),tbal[[#This Row],[DEUDOR]],0)</f>
        <v>0</v>
      </c>
      <c r="J1698" s="18">
        <f>IF((OR(tbal[[#This Row],[X]]=2,tbal[[#This Row],[X]]=3)),tbal[[#This Row],[ACREEDOR]],0)</f>
        <v>0</v>
      </c>
      <c r="K1698" s="16">
        <f>IF((OR(tbal[[#This Row],[X]]=3,tbal[[#This Row],[X]]=5)),tbal[[#This Row],[DEUDOR]],0)</f>
        <v>0</v>
      </c>
      <c r="L1698" s="18">
        <f>IF((OR(tbal[[#This Row],[X]]=3,tbal[[#This Row],[X]]=4)),tbal[[#This Row],[ACREEDOR]],0)</f>
        <v>0</v>
      </c>
      <c r="M1698" s="16">
        <f>IF((OR(tbal[[#This Row],[X]]=0,tbal[[#This Row],[X]]=6)),tbal[[#This Row],[DEUDOR]],0)</f>
        <v>0</v>
      </c>
      <c r="N1698" s="18">
        <f>IF((OR(tbal[[#This Row],[X]]=0,tbal[[#This Row],[X]]=5)),tbal[[#This Row],[ACREEDOR]],0)</f>
        <v>0</v>
      </c>
    </row>
    <row r="1699" spans="1:14" hidden="1" x14ac:dyDescent="0.3">
      <c r="A1699" s="14">
        <f>+'PLAN DE CUENTAS'!A1699</f>
        <v>0</v>
      </c>
      <c r="B1699" s="13">
        <f>+'PLAN DE CUENTAS'!B1699</f>
        <v>0</v>
      </c>
      <c r="C1699" s="13">
        <f>+'PLAN DE CUENTAS'!C1699</f>
        <v>0</v>
      </c>
      <c r="D1699" t="str">
        <f>IF(tbal[[#This Row],[DEBE]]+tbal[[#This Row],[HABER]]=0,"","X")</f>
        <v/>
      </c>
      <c r="E1699" s="16">
        <f>SUMIF(tdiario[CUENTA],tbal[[#This Row],[CUENTA]],tdiario[DEBE])</f>
        <v>0</v>
      </c>
      <c r="F1699" s="17">
        <f>SUMIF(tdiario[CUENTA],tbal[[#This Row],[CUENTA]],tdiario[HABER])</f>
        <v>0</v>
      </c>
      <c r="G1699" s="16">
        <f>IF(tbal[[#This Row],[DEBE]]-tbal[[#This Row],[HABER]]&gt;0,tbal[[#This Row],[DEBE]]-tbal[[#This Row],[HABER]],0)</f>
        <v>0</v>
      </c>
      <c r="H1699" s="18">
        <f>IF(tbal[[#This Row],[HABER]]-tbal[[#This Row],[DEBE]]&gt;0,tbal[[#This Row],[HABER]]-tbal[[#This Row],[DEBE]],0)</f>
        <v>0</v>
      </c>
      <c r="I1699" s="16">
        <f>IF((OR(tbal[[#This Row],[X]]=1,tbal[[#This Row],[X]]=2)),tbal[[#This Row],[DEUDOR]],0)</f>
        <v>0</v>
      </c>
      <c r="J1699" s="18">
        <f>IF((OR(tbal[[#This Row],[X]]=2,tbal[[#This Row],[X]]=3)),tbal[[#This Row],[ACREEDOR]],0)</f>
        <v>0</v>
      </c>
      <c r="K1699" s="16">
        <f>IF((OR(tbal[[#This Row],[X]]=3,tbal[[#This Row],[X]]=5)),tbal[[#This Row],[DEUDOR]],0)</f>
        <v>0</v>
      </c>
      <c r="L1699" s="18">
        <f>IF((OR(tbal[[#This Row],[X]]=3,tbal[[#This Row],[X]]=4)),tbal[[#This Row],[ACREEDOR]],0)</f>
        <v>0</v>
      </c>
      <c r="M1699" s="16">
        <f>IF((OR(tbal[[#This Row],[X]]=0,tbal[[#This Row],[X]]=6)),tbal[[#This Row],[DEUDOR]],0)</f>
        <v>0</v>
      </c>
      <c r="N1699" s="18">
        <f>IF((OR(tbal[[#This Row],[X]]=0,tbal[[#This Row],[X]]=5)),tbal[[#This Row],[ACREEDOR]],0)</f>
        <v>0</v>
      </c>
    </row>
    <row r="1700" spans="1:14" hidden="1" x14ac:dyDescent="0.3">
      <c r="A1700" s="14">
        <f>+'PLAN DE CUENTAS'!A1700</f>
        <v>0</v>
      </c>
      <c r="B1700" s="13">
        <f>+'PLAN DE CUENTAS'!B1700</f>
        <v>0</v>
      </c>
      <c r="C1700" s="13">
        <f>+'PLAN DE CUENTAS'!C1700</f>
        <v>0</v>
      </c>
      <c r="D1700" t="str">
        <f>IF(tbal[[#This Row],[DEBE]]+tbal[[#This Row],[HABER]]=0,"","X")</f>
        <v/>
      </c>
      <c r="E1700" s="16">
        <f>SUMIF(tdiario[CUENTA],tbal[[#This Row],[CUENTA]],tdiario[DEBE])</f>
        <v>0</v>
      </c>
      <c r="F1700" s="17">
        <f>SUMIF(tdiario[CUENTA],tbal[[#This Row],[CUENTA]],tdiario[HABER])</f>
        <v>0</v>
      </c>
      <c r="G1700" s="16">
        <f>IF(tbal[[#This Row],[DEBE]]-tbal[[#This Row],[HABER]]&gt;0,tbal[[#This Row],[DEBE]]-tbal[[#This Row],[HABER]],0)</f>
        <v>0</v>
      </c>
      <c r="H1700" s="18">
        <f>IF(tbal[[#This Row],[HABER]]-tbal[[#This Row],[DEBE]]&gt;0,tbal[[#This Row],[HABER]]-tbal[[#This Row],[DEBE]],0)</f>
        <v>0</v>
      </c>
      <c r="I1700" s="16">
        <f>IF((OR(tbal[[#This Row],[X]]=1,tbal[[#This Row],[X]]=2)),tbal[[#This Row],[DEUDOR]],0)</f>
        <v>0</v>
      </c>
      <c r="J1700" s="18">
        <f>IF((OR(tbal[[#This Row],[X]]=2,tbal[[#This Row],[X]]=3)),tbal[[#This Row],[ACREEDOR]],0)</f>
        <v>0</v>
      </c>
      <c r="K1700" s="16">
        <f>IF((OR(tbal[[#This Row],[X]]=3,tbal[[#This Row],[X]]=5)),tbal[[#This Row],[DEUDOR]],0)</f>
        <v>0</v>
      </c>
      <c r="L1700" s="18">
        <f>IF((OR(tbal[[#This Row],[X]]=3,tbal[[#This Row],[X]]=4)),tbal[[#This Row],[ACREEDOR]],0)</f>
        <v>0</v>
      </c>
      <c r="M1700" s="16">
        <f>IF((OR(tbal[[#This Row],[X]]=0,tbal[[#This Row],[X]]=6)),tbal[[#This Row],[DEUDOR]],0)</f>
        <v>0</v>
      </c>
      <c r="N1700" s="18">
        <f>IF((OR(tbal[[#This Row],[X]]=0,tbal[[#This Row],[X]]=5)),tbal[[#This Row],[ACREEDOR]],0)</f>
        <v>0</v>
      </c>
    </row>
    <row r="1701" spans="1:14" hidden="1" x14ac:dyDescent="0.3">
      <c r="A1701" s="14">
        <f>+'PLAN DE CUENTAS'!A1701</f>
        <v>0</v>
      </c>
      <c r="B1701" s="13">
        <f>+'PLAN DE CUENTAS'!B1701</f>
        <v>0</v>
      </c>
      <c r="C1701" s="13">
        <f>+'PLAN DE CUENTAS'!C1701</f>
        <v>0</v>
      </c>
      <c r="D1701" t="str">
        <f>IF(tbal[[#This Row],[DEBE]]+tbal[[#This Row],[HABER]]=0,"","X")</f>
        <v/>
      </c>
      <c r="E1701" s="16">
        <f>SUMIF(tdiario[CUENTA],tbal[[#This Row],[CUENTA]],tdiario[DEBE])</f>
        <v>0</v>
      </c>
      <c r="F1701" s="17">
        <f>SUMIF(tdiario[CUENTA],tbal[[#This Row],[CUENTA]],tdiario[HABER])</f>
        <v>0</v>
      </c>
      <c r="G1701" s="16">
        <f>IF(tbal[[#This Row],[DEBE]]-tbal[[#This Row],[HABER]]&gt;0,tbal[[#This Row],[DEBE]]-tbal[[#This Row],[HABER]],0)</f>
        <v>0</v>
      </c>
      <c r="H1701" s="18">
        <f>IF(tbal[[#This Row],[HABER]]-tbal[[#This Row],[DEBE]]&gt;0,tbal[[#This Row],[HABER]]-tbal[[#This Row],[DEBE]],0)</f>
        <v>0</v>
      </c>
      <c r="I1701" s="16">
        <f>IF((OR(tbal[[#This Row],[X]]=1,tbal[[#This Row],[X]]=2)),tbal[[#This Row],[DEUDOR]],0)</f>
        <v>0</v>
      </c>
      <c r="J1701" s="18">
        <f>IF((OR(tbal[[#This Row],[X]]=2,tbal[[#This Row],[X]]=3)),tbal[[#This Row],[ACREEDOR]],0)</f>
        <v>0</v>
      </c>
      <c r="K1701" s="16">
        <f>IF((OR(tbal[[#This Row],[X]]=3,tbal[[#This Row],[X]]=5)),tbal[[#This Row],[DEUDOR]],0)</f>
        <v>0</v>
      </c>
      <c r="L1701" s="18">
        <f>IF((OR(tbal[[#This Row],[X]]=3,tbal[[#This Row],[X]]=4)),tbal[[#This Row],[ACREEDOR]],0)</f>
        <v>0</v>
      </c>
      <c r="M1701" s="16">
        <f>IF((OR(tbal[[#This Row],[X]]=0,tbal[[#This Row],[X]]=6)),tbal[[#This Row],[DEUDOR]],0)</f>
        <v>0</v>
      </c>
      <c r="N1701" s="18">
        <f>IF((OR(tbal[[#This Row],[X]]=0,tbal[[#This Row],[X]]=5)),tbal[[#This Row],[ACREEDOR]],0)</f>
        <v>0</v>
      </c>
    </row>
    <row r="1702" spans="1:14" hidden="1" x14ac:dyDescent="0.3">
      <c r="A1702" s="14">
        <f>+'PLAN DE CUENTAS'!A1702</f>
        <v>0</v>
      </c>
      <c r="B1702" s="13">
        <f>+'PLAN DE CUENTAS'!B1702</f>
        <v>0</v>
      </c>
      <c r="C1702" s="13">
        <f>+'PLAN DE CUENTAS'!C1702</f>
        <v>0</v>
      </c>
      <c r="D1702" t="str">
        <f>IF(tbal[[#This Row],[DEBE]]+tbal[[#This Row],[HABER]]=0,"","X")</f>
        <v/>
      </c>
      <c r="E1702" s="16">
        <f>SUMIF(tdiario[CUENTA],tbal[[#This Row],[CUENTA]],tdiario[DEBE])</f>
        <v>0</v>
      </c>
      <c r="F1702" s="17">
        <f>SUMIF(tdiario[CUENTA],tbal[[#This Row],[CUENTA]],tdiario[HABER])</f>
        <v>0</v>
      </c>
      <c r="G1702" s="16">
        <f>IF(tbal[[#This Row],[DEBE]]-tbal[[#This Row],[HABER]]&gt;0,tbal[[#This Row],[DEBE]]-tbal[[#This Row],[HABER]],0)</f>
        <v>0</v>
      </c>
      <c r="H1702" s="18">
        <f>IF(tbal[[#This Row],[HABER]]-tbal[[#This Row],[DEBE]]&gt;0,tbal[[#This Row],[HABER]]-tbal[[#This Row],[DEBE]],0)</f>
        <v>0</v>
      </c>
      <c r="I1702" s="16">
        <f>IF((OR(tbal[[#This Row],[X]]=1,tbal[[#This Row],[X]]=2)),tbal[[#This Row],[DEUDOR]],0)</f>
        <v>0</v>
      </c>
      <c r="J1702" s="18">
        <f>IF((OR(tbal[[#This Row],[X]]=2,tbal[[#This Row],[X]]=3)),tbal[[#This Row],[ACREEDOR]],0)</f>
        <v>0</v>
      </c>
      <c r="K1702" s="16">
        <f>IF((OR(tbal[[#This Row],[X]]=3,tbal[[#This Row],[X]]=5)),tbal[[#This Row],[DEUDOR]],0)</f>
        <v>0</v>
      </c>
      <c r="L1702" s="18">
        <f>IF((OR(tbal[[#This Row],[X]]=3,tbal[[#This Row],[X]]=4)),tbal[[#This Row],[ACREEDOR]],0)</f>
        <v>0</v>
      </c>
      <c r="M1702" s="16">
        <f>IF((OR(tbal[[#This Row],[X]]=0,tbal[[#This Row],[X]]=6)),tbal[[#This Row],[DEUDOR]],0)</f>
        <v>0</v>
      </c>
      <c r="N1702" s="18">
        <f>IF((OR(tbal[[#This Row],[X]]=0,tbal[[#This Row],[X]]=5)),tbal[[#This Row],[ACREEDOR]],0)</f>
        <v>0</v>
      </c>
    </row>
    <row r="1703" spans="1:14" hidden="1" x14ac:dyDescent="0.3">
      <c r="A1703" s="14">
        <f>+'PLAN DE CUENTAS'!A1703</f>
        <v>0</v>
      </c>
      <c r="B1703" s="13">
        <f>+'PLAN DE CUENTAS'!B1703</f>
        <v>0</v>
      </c>
      <c r="C1703" s="13">
        <f>+'PLAN DE CUENTAS'!C1703</f>
        <v>0</v>
      </c>
      <c r="D1703" t="str">
        <f>IF(tbal[[#This Row],[DEBE]]+tbal[[#This Row],[HABER]]=0,"","X")</f>
        <v/>
      </c>
      <c r="E1703" s="16">
        <f>SUMIF(tdiario[CUENTA],tbal[[#This Row],[CUENTA]],tdiario[DEBE])</f>
        <v>0</v>
      </c>
      <c r="F1703" s="17">
        <f>SUMIF(tdiario[CUENTA],tbal[[#This Row],[CUENTA]],tdiario[HABER])</f>
        <v>0</v>
      </c>
      <c r="G1703" s="16">
        <f>IF(tbal[[#This Row],[DEBE]]-tbal[[#This Row],[HABER]]&gt;0,tbal[[#This Row],[DEBE]]-tbal[[#This Row],[HABER]],0)</f>
        <v>0</v>
      </c>
      <c r="H1703" s="18">
        <f>IF(tbal[[#This Row],[HABER]]-tbal[[#This Row],[DEBE]]&gt;0,tbal[[#This Row],[HABER]]-tbal[[#This Row],[DEBE]],0)</f>
        <v>0</v>
      </c>
      <c r="I1703" s="16">
        <f>IF((OR(tbal[[#This Row],[X]]=1,tbal[[#This Row],[X]]=2)),tbal[[#This Row],[DEUDOR]],0)</f>
        <v>0</v>
      </c>
      <c r="J1703" s="18">
        <f>IF((OR(tbal[[#This Row],[X]]=2,tbal[[#This Row],[X]]=3)),tbal[[#This Row],[ACREEDOR]],0)</f>
        <v>0</v>
      </c>
      <c r="K1703" s="16">
        <f>IF((OR(tbal[[#This Row],[X]]=3,tbal[[#This Row],[X]]=5)),tbal[[#This Row],[DEUDOR]],0)</f>
        <v>0</v>
      </c>
      <c r="L1703" s="18">
        <f>IF((OR(tbal[[#This Row],[X]]=3,tbal[[#This Row],[X]]=4)),tbal[[#This Row],[ACREEDOR]],0)</f>
        <v>0</v>
      </c>
      <c r="M1703" s="16">
        <f>IF((OR(tbal[[#This Row],[X]]=0,tbal[[#This Row],[X]]=6)),tbal[[#This Row],[DEUDOR]],0)</f>
        <v>0</v>
      </c>
      <c r="N1703" s="18">
        <f>IF((OR(tbal[[#This Row],[X]]=0,tbal[[#This Row],[X]]=5)),tbal[[#This Row],[ACREEDOR]],0)</f>
        <v>0</v>
      </c>
    </row>
    <row r="1704" spans="1:14" hidden="1" x14ac:dyDescent="0.3">
      <c r="A1704" s="14">
        <f>+'PLAN DE CUENTAS'!A1704</f>
        <v>0</v>
      </c>
      <c r="B1704" s="13">
        <f>+'PLAN DE CUENTAS'!B1704</f>
        <v>0</v>
      </c>
      <c r="C1704" s="13">
        <f>+'PLAN DE CUENTAS'!C1704</f>
        <v>0</v>
      </c>
      <c r="D1704" t="str">
        <f>IF(tbal[[#This Row],[DEBE]]+tbal[[#This Row],[HABER]]=0,"","X")</f>
        <v/>
      </c>
      <c r="E1704" s="16">
        <f>SUMIF(tdiario[CUENTA],tbal[[#This Row],[CUENTA]],tdiario[DEBE])</f>
        <v>0</v>
      </c>
      <c r="F1704" s="17">
        <f>SUMIF(tdiario[CUENTA],tbal[[#This Row],[CUENTA]],tdiario[HABER])</f>
        <v>0</v>
      </c>
      <c r="G1704" s="16">
        <f>IF(tbal[[#This Row],[DEBE]]-tbal[[#This Row],[HABER]]&gt;0,tbal[[#This Row],[DEBE]]-tbal[[#This Row],[HABER]],0)</f>
        <v>0</v>
      </c>
      <c r="H1704" s="18">
        <f>IF(tbal[[#This Row],[HABER]]-tbal[[#This Row],[DEBE]]&gt;0,tbal[[#This Row],[HABER]]-tbal[[#This Row],[DEBE]],0)</f>
        <v>0</v>
      </c>
      <c r="I1704" s="16">
        <f>IF((OR(tbal[[#This Row],[X]]=1,tbal[[#This Row],[X]]=2)),tbal[[#This Row],[DEUDOR]],0)</f>
        <v>0</v>
      </c>
      <c r="J1704" s="18">
        <f>IF((OR(tbal[[#This Row],[X]]=2,tbal[[#This Row],[X]]=3)),tbal[[#This Row],[ACREEDOR]],0)</f>
        <v>0</v>
      </c>
      <c r="K1704" s="16">
        <f>IF((OR(tbal[[#This Row],[X]]=3,tbal[[#This Row],[X]]=5)),tbal[[#This Row],[DEUDOR]],0)</f>
        <v>0</v>
      </c>
      <c r="L1704" s="18">
        <f>IF((OR(tbal[[#This Row],[X]]=3,tbal[[#This Row],[X]]=4)),tbal[[#This Row],[ACREEDOR]],0)</f>
        <v>0</v>
      </c>
      <c r="M1704" s="16">
        <f>IF((OR(tbal[[#This Row],[X]]=0,tbal[[#This Row],[X]]=6)),tbal[[#This Row],[DEUDOR]],0)</f>
        <v>0</v>
      </c>
      <c r="N1704" s="18">
        <f>IF((OR(tbal[[#This Row],[X]]=0,tbal[[#This Row],[X]]=5)),tbal[[#This Row],[ACREEDOR]],0)</f>
        <v>0</v>
      </c>
    </row>
    <row r="1705" spans="1:14" hidden="1" x14ac:dyDescent="0.3">
      <c r="A1705" s="14">
        <f>+'PLAN DE CUENTAS'!A1705</f>
        <v>0</v>
      </c>
      <c r="B1705" s="13">
        <f>+'PLAN DE CUENTAS'!B1705</f>
        <v>0</v>
      </c>
      <c r="C1705" s="13">
        <f>+'PLAN DE CUENTAS'!C1705</f>
        <v>0</v>
      </c>
      <c r="D1705" t="str">
        <f>IF(tbal[[#This Row],[DEBE]]+tbal[[#This Row],[HABER]]=0,"","X")</f>
        <v/>
      </c>
      <c r="E1705" s="16">
        <f>SUMIF(tdiario[CUENTA],tbal[[#This Row],[CUENTA]],tdiario[DEBE])</f>
        <v>0</v>
      </c>
      <c r="F1705" s="17">
        <f>SUMIF(tdiario[CUENTA],tbal[[#This Row],[CUENTA]],tdiario[HABER])</f>
        <v>0</v>
      </c>
      <c r="G1705" s="16">
        <f>IF(tbal[[#This Row],[DEBE]]-tbal[[#This Row],[HABER]]&gt;0,tbal[[#This Row],[DEBE]]-tbal[[#This Row],[HABER]],0)</f>
        <v>0</v>
      </c>
      <c r="H1705" s="18">
        <f>IF(tbal[[#This Row],[HABER]]-tbal[[#This Row],[DEBE]]&gt;0,tbal[[#This Row],[HABER]]-tbal[[#This Row],[DEBE]],0)</f>
        <v>0</v>
      </c>
      <c r="I1705" s="16">
        <f>IF((OR(tbal[[#This Row],[X]]=1,tbal[[#This Row],[X]]=2)),tbal[[#This Row],[DEUDOR]],0)</f>
        <v>0</v>
      </c>
      <c r="J1705" s="18">
        <f>IF((OR(tbal[[#This Row],[X]]=2,tbal[[#This Row],[X]]=3)),tbal[[#This Row],[ACREEDOR]],0)</f>
        <v>0</v>
      </c>
      <c r="K1705" s="16">
        <f>IF((OR(tbal[[#This Row],[X]]=3,tbal[[#This Row],[X]]=5)),tbal[[#This Row],[DEUDOR]],0)</f>
        <v>0</v>
      </c>
      <c r="L1705" s="18">
        <f>IF((OR(tbal[[#This Row],[X]]=3,tbal[[#This Row],[X]]=4)),tbal[[#This Row],[ACREEDOR]],0)</f>
        <v>0</v>
      </c>
      <c r="M1705" s="16">
        <f>IF((OR(tbal[[#This Row],[X]]=0,tbal[[#This Row],[X]]=6)),tbal[[#This Row],[DEUDOR]],0)</f>
        <v>0</v>
      </c>
      <c r="N1705" s="18">
        <f>IF((OR(tbal[[#This Row],[X]]=0,tbal[[#This Row],[X]]=5)),tbal[[#This Row],[ACREEDOR]],0)</f>
        <v>0</v>
      </c>
    </row>
    <row r="1706" spans="1:14" hidden="1" x14ac:dyDescent="0.3">
      <c r="A1706" s="14">
        <f>+'PLAN DE CUENTAS'!A1706</f>
        <v>0</v>
      </c>
      <c r="B1706" s="13">
        <f>+'PLAN DE CUENTAS'!B1706</f>
        <v>0</v>
      </c>
      <c r="C1706" s="13">
        <f>+'PLAN DE CUENTAS'!C1706</f>
        <v>0</v>
      </c>
      <c r="D1706" t="str">
        <f>IF(tbal[[#This Row],[DEBE]]+tbal[[#This Row],[HABER]]=0,"","X")</f>
        <v/>
      </c>
      <c r="E1706" s="16">
        <f>SUMIF(tdiario[CUENTA],tbal[[#This Row],[CUENTA]],tdiario[DEBE])</f>
        <v>0</v>
      </c>
      <c r="F1706" s="17">
        <f>SUMIF(tdiario[CUENTA],tbal[[#This Row],[CUENTA]],tdiario[HABER])</f>
        <v>0</v>
      </c>
      <c r="G1706" s="16">
        <f>IF(tbal[[#This Row],[DEBE]]-tbal[[#This Row],[HABER]]&gt;0,tbal[[#This Row],[DEBE]]-tbal[[#This Row],[HABER]],0)</f>
        <v>0</v>
      </c>
      <c r="H1706" s="18">
        <f>IF(tbal[[#This Row],[HABER]]-tbal[[#This Row],[DEBE]]&gt;0,tbal[[#This Row],[HABER]]-tbal[[#This Row],[DEBE]],0)</f>
        <v>0</v>
      </c>
      <c r="I1706" s="16">
        <f>IF((OR(tbal[[#This Row],[X]]=1,tbal[[#This Row],[X]]=2)),tbal[[#This Row],[DEUDOR]],0)</f>
        <v>0</v>
      </c>
      <c r="J1706" s="18">
        <f>IF((OR(tbal[[#This Row],[X]]=2,tbal[[#This Row],[X]]=3)),tbal[[#This Row],[ACREEDOR]],0)</f>
        <v>0</v>
      </c>
      <c r="K1706" s="16">
        <f>IF((OR(tbal[[#This Row],[X]]=3,tbal[[#This Row],[X]]=5)),tbal[[#This Row],[DEUDOR]],0)</f>
        <v>0</v>
      </c>
      <c r="L1706" s="18">
        <f>IF((OR(tbal[[#This Row],[X]]=3,tbal[[#This Row],[X]]=4)),tbal[[#This Row],[ACREEDOR]],0)</f>
        <v>0</v>
      </c>
      <c r="M1706" s="16">
        <f>IF((OR(tbal[[#This Row],[X]]=0,tbal[[#This Row],[X]]=6)),tbal[[#This Row],[DEUDOR]],0)</f>
        <v>0</v>
      </c>
      <c r="N1706" s="18">
        <f>IF((OR(tbal[[#This Row],[X]]=0,tbal[[#This Row],[X]]=5)),tbal[[#This Row],[ACREEDOR]],0)</f>
        <v>0</v>
      </c>
    </row>
    <row r="1707" spans="1:14" hidden="1" x14ac:dyDescent="0.3">
      <c r="A1707" s="14">
        <f>+'PLAN DE CUENTAS'!A1707</f>
        <v>0</v>
      </c>
      <c r="B1707" s="13">
        <f>+'PLAN DE CUENTAS'!B1707</f>
        <v>0</v>
      </c>
      <c r="C1707" s="13">
        <f>+'PLAN DE CUENTAS'!C1707</f>
        <v>0</v>
      </c>
      <c r="D1707" t="str">
        <f>IF(tbal[[#This Row],[DEBE]]+tbal[[#This Row],[HABER]]=0,"","X")</f>
        <v/>
      </c>
      <c r="E1707" s="16">
        <f>SUMIF(tdiario[CUENTA],tbal[[#This Row],[CUENTA]],tdiario[DEBE])</f>
        <v>0</v>
      </c>
      <c r="F1707" s="17">
        <f>SUMIF(tdiario[CUENTA],tbal[[#This Row],[CUENTA]],tdiario[HABER])</f>
        <v>0</v>
      </c>
      <c r="G1707" s="16">
        <f>IF(tbal[[#This Row],[DEBE]]-tbal[[#This Row],[HABER]]&gt;0,tbal[[#This Row],[DEBE]]-tbal[[#This Row],[HABER]],0)</f>
        <v>0</v>
      </c>
      <c r="H1707" s="18">
        <f>IF(tbal[[#This Row],[HABER]]-tbal[[#This Row],[DEBE]]&gt;0,tbal[[#This Row],[HABER]]-tbal[[#This Row],[DEBE]],0)</f>
        <v>0</v>
      </c>
      <c r="I1707" s="16">
        <f>IF((OR(tbal[[#This Row],[X]]=1,tbal[[#This Row],[X]]=2)),tbal[[#This Row],[DEUDOR]],0)</f>
        <v>0</v>
      </c>
      <c r="J1707" s="18">
        <f>IF((OR(tbal[[#This Row],[X]]=2,tbal[[#This Row],[X]]=3)),tbal[[#This Row],[ACREEDOR]],0)</f>
        <v>0</v>
      </c>
      <c r="K1707" s="16">
        <f>IF((OR(tbal[[#This Row],[X]]=3,tbal[[#This Row],[X]]=5)),tbal[[#This Row],[DEUDOR]],0)</f>
        <v>0</v>
      </c>
      <c r="L1707" s="18">
        <f>IF((OR(tbal[[#This Row],[X]]=3,tbal[[#This Row],[X]]=4)),tbal[[#This Row],[ACREEDOR]],0)</f>
        <v>0</v>
      </c>
      <c r="M1707" s="16">
        <f>IF((OR(tbal[[#This Row],[X]]=0,tbal[[#This Row],[X]]=6)),tbal[[#This Row],[DEUDOR]],0)</f>
        <v>0</v>
      </c>
      <c r="N1707" s="18">
        <f>IF((OR(tbal[[#This Row],[X]]=0,tbal[[#This Row],[X]]=5)),tbal[[#This Row],[ACREEDOR]],0)</f>
        <v>0</v>
      </c>
    </row>
    <row r="1708" spans="1:14" hidden="1" x14ac:dyDescent="0.3">
      <c r="A1708" s="14">
        <f>+'PLAN DE CUENTAS'!A1708</f>
        <v>0</v>
      </c>
      <c r="B1708" s="13">
        <f>+'PLAN DE CUENTAS'!B1708</f>
        <v>0</v>
      </c>
      <c r="C1708" s="13">
        <f>+'PLAN DE CUENTAS'!C1708</f>
        <v>0</v>
      </c>
      <c r="D1708" t="str">
        <f>IF(tbal[[#This Row],[DEBE]]+tbal[[#This Row],[HABER]]=0,"","X")</f>
        <v/>
      </c>
      <c r="E1708" s="16">
        <f>SUMIF(tdiario[CUENTA],tbal[[#This Row],[CUENTA]],tdiario[DEBE])</f>
        <v>0</v>
      </c>
      <c r="F1708" s="17">
        <f>SUMIF(tdiario[CUENTA],tbal[[#This Row],[CUENTA]],tdiario[HABER])</f>
        <v>0</v>
      </c>
      <c r="G1708" s="16">
        <f>IF(tbal[[#This Row],[DEBE]]-tbal[[#This Row],[HABER]]&gt;0,tbal[[#This Row],[DEBE]]-tbal[[#This Row],[HABER]],0)</f>
        <v>0</v>
      </c>
      <c r="H1708" s="18">
        <f>IF(tbal[[#This Row],[HABER]]-tbal[[#This Row],[DEBE]]&gt;0,tbal[[#This Row],[HABER]]-tbal[[#This Row],[DEBE]],0)</f>
        <v>0</v>
      </c>
      <c r="I1708" s="16">
        <f>IF((OR(tbal[[#This Row],[X]]=1,tbal[[#This Row],[X]]=2)),tbal[[#This Row],[DEUDOR]],0)</f>
        <v>0</v>
      </c>
      <c r="J1708" s="18">
        <f>IF((OR(tbal[[#This Row],[X]]=2,tbal[[#This Row],[X]]=3)),tbal[[#This Row],[ACREEDOR]],0)</f>
        <v>0</v>
      </c>
      <c r="K1708" s="16">
        <f>IF((OR(tbal[[#This Row],[X]]=3,tbal[[#This Row],[X]]=5)),tbal[[#This Row],[DEUDOR]],0)</f>
        <v>0</v>
      </c>
      <c r="L1708" s="18">
        <f>IF((OR(tbal[[#This Row],[X]]=3,tbal[[#This Row],[X]]=4)),tbal[[#This Row],[ACREEDOR]],0)</f>
        <v>0</v>
      </c>
      <c r="M1708" s="16">
        <f>IF((OR(tbal[[#This Row],[X]]=0,tbal[[#This Row],[X]]=6)),tbal[[#This Row],[DEUDOR]],0)</f>
        <v>0</v>
      </c>
      <c r="N1708" s="18">
        <f>IF((OR(tbal[[#This Row],[X]]=0,tbal[[#This Row],[X]]=5)),tbal[[#This Row],[ACREEDOR]],0)</f>
        <v>0</v>
      </c>
    </row>
    <row r="1709" spans="1:14" hidden="1" x14ac:dyDescent="0.3">
      <c r="A1709" s="14">
        <f>+'PLAN DE CUENTAS'!A1709</f>
        <v>0</v>
      </c>
      <c r="B1709" s="13">
        <f>+'PLAN DE CUENTAS'!B1709</f>
        <v>0</v>
      </c>
      <c r="C1709" s="13">
        <f>+'PLAN DE CUENTAS'!C1709</f>
        <v>0</v>
      </c>
      <c r="D1709" t="str">
        <f>IF(tbal[[#This Row],[DEBE]]+tbal[[#This Row],[HABER]]=0,"","X")</f>
        <v/>
      </c>
      <c r="E1709" s="16">
        <f>SUMIF(tdiario[CUENTA],tbal[[#This Row],[CUENTA]],tdiario[DEBE])</f>
        <v>0</v>
      </c>
      <c r="F1709" s="17">
        <f>SUMIF(tdiario[CUENTA],tbal[[#This Row],[CUENTA]],tdiario[HABER])</f>
        <v>0</v>
      </c>
      <c r="G1709" s="16">
        <f>IF(tbal[[#This Row],[DEBE]]-tbal[[#This Row],[HABER]]&gt;0,tbal[[#This Row],[DEBE]]-tbal[[#This Row],[HABER]],0)</f>
        <v>0</v>
      </c>
      <c r="H1709" s="18">
        <f>IF(tbal[[#This Row],[HABER]]-tbal[[#This Row],[DEBE]]&gt;0,tbal[[#This Row],[HABER]]-tbal[[#This Row],[DEBE]],0)</f>
        <v>0</v>
      </c>
      <c r="I1709" s="16">
        <f>IF((OR(tbal[[#This Row],[X]]=1,tbal[[#This Row],[X]]=2)),tbal[[#This Row],[DEUDOR]],0)</f>
        <v>0</v>
      </c>
      <c r="J1709" s="18">
        <f>IF((OR(tbal[[#This Row],[X]]=2,tbal[[#This Row],[X]]=3)),tbal[[#This Row],[ACREEDOR]],0)</f>
        <v>0</v>
      </c>
      <c r="K1709" s="16">
        <f>IF((OR(tbal[[#This Row],[X]]=3,tbal[[#This Row],[X]]=5)),tbal[[#This Row],[DEUDOR]],0)</f>
        <v>0</v>
      </c>
      <c r="L1709" s="18">
        <f>IF((OR(tbal[[#This Row],[X]]=3,tbal[[#This Row],[X]]=4)),tbal[[#This Row],[ACREEDOR]],0)</f>
        <v>0</v>
      </c>
      <c r="M1709" s="16">
        <f>IF((OR(tbal[[#This Row],[X]]=0,tbal[[#This Row],[X]]=6)),tbal[[#This Row],[DEUDOR]],0)</f>
        <v>0</v>
      </c>
      <c r="N1709" s="18">
        <f>IF((OR(tbal[[#This Row],[X]]=0,tbal[[#This Row],[X]]=5)),tbal[[#This Row],[ACREEDOR]],0)</f>
        <v>0</v>
      </c>
    </row>
    <row r="1710" spans="1:14" hidden="1" x14ac:dyDescent="0.3">
      <c r="A1710" s="14">
        <f>+'PLAN DE CUENTAS'!A1710</f>
        <v>0</v>
      </c>
      <c r="B1710" s="13">
        <f>+'PLAN DE CUENTAS'!B1710</f>
        <v>0</v>
      </c>
      <c r="C1710" s="13">
        <f>+'PLAN DE CUENTAS'!C1710</f>
        <v>0</v>
      </c>
      <c r="D1710" t="str">
        <f>IF(tbal[[#This Row],[DEBE]]+tbal[[#This Row],[HABER]]=0,"","X")</f>
        <v/>
      </c>
      <c r="E1710" s="16">
        <f>SUMIF(tdiario[CUENTA],tbal[[#This Row],[CUENTA]],tdiario[DEBE])</f>
        <v>0</v>
      </c>
      <c r="F1710" s="17">
        <f>SUMIF(tdiario[CUENTA],tbal[[#This Row],[CUENTA]],tdiario[HABER])</f>
        <v>0</v>
      </c>
      <c r="G1710" s="16">
        <f>IF(tbal[[#This Row],[DEBE]]-tbal[[#This Row],[HABER]]&gt;0,tbal[[#This Row],[DEBE]]-tbal[[#This Row],[HABER]],0)</f>
        <v>0</v>
      </c>
      <c r="H1710" s="18">
        <f>IF(tbal[[#This Row],[HABER]]-tbal[[#This Row],[DEBE]]&gt;0,tbal[[#This Row],[HABER]]-tbal[[#This Row],[DEBE]],0)</f>
        <v>0</v>
      </c>
      <c r="I1710" s="16">
        <f>IF((OR(tbal[[#This Row],[X]]=1,tbal[[#This Row],[X]]=2)),tbal[[#This Row],[DEUDOR]],0)</f>
        <v>0</v>
      </c>
      <c r="J1710" s="18">
        <f>IF((OR(tbal[[#This Row],[X]]=2,tbal[[#This Row],[X]]=3)),tbal[[#This Row],[ACREEDOR]],0)</f>
        <v>0</v>
      </c>
      <c r="K1710" s="16">
        <f>IF((OR(tbal[[#This Row],[X]]=3,tbal[[#This Row],[X]]=5)),tbal[[#This Row],[DEUDOR]],0)</f>
        <v>0</v>
      </c>
      <c r="L1710" s="18">
        <f>IF((OR(tbal[[#This Row],[X]]=3,tbal[[#This Row],[X]]=4)),tbal[[#This Row],[ACREEDOR]],0)</f>
        <v>0</v>
      </c>
      <c r="M1710" s="16">
        <f>IF((OR(tbal[[#This Row],[X]]=0,tbal[[#This Row],[X]]=6)),tbal[[#This Row],[DEUDOR]],0)</f>
        <v>0</v>
      </c>
      <c r="N1710" s="18">
        <f>IF((OR(tbal[[#This Row],[X]]=0,tbal[[#This Row],[X]]=5)),tbal[[#This Row],[ACREEDOR]],0)</f>
        <v>0</v>
      </c>
    </row>
    <row r="1711" spans="1:14" hidden="1" x14ac:dyDescent="0.3">
      <c r="A1711" s="14">
        <f>+'PLAN DE CUENTAS'!A1711</f>
        <v>0</v>
      </c>
      <c r="B1711" s="13">
        <f>+'PLAN DE CUENTAS'!B1711</f>
        <v>0</v>
      </c>
      <c r="C1711" s="13">
        <f>+'PLAN DE CUENTAS'!C1711</f>
        <v>0</v>
      </c>
      <c r="D1711" t="str">
        <f>IF(tbal[[#This Row],[DEBE]]+tbal[[#This Row],[HABER]]=0,"","X")</f>
        <v/>
      </c>
      <c r="E1711" s="16">
        <f>SUMIF(tdiario[CUENTA],tbal[[#This Row],[CUENTA]],tdiario[DEBE])</f>
        <v>0</v>
      </c>
      <c r="F1711" s="17">
        <f>SUMIF(tdiario[CUENTA],tbal[[#This Row],[CUENTA]],tdiario[HABER])</f>
        <v>0</v>
      </c>
      <c r="G1711" s="16">
        <f>IF(tbal[[#This Row],[DEBE]]-tbal[[#This Row],[HABER]]&gt;0,tbal[[#This Row],[DEBE]]-tbal[[#This Row],[HABER]],0)</f>
        <v>0</v>
      </c>
      <c r="H1711" s="18">
        <f>IF(tbal[[#This Row],[HABER]]-tbal[[#This Row],[DEBE]]&gt;0,tbal[[#This Row],[HABER]]-tbal[[#This Row],[DEBE]],0)</f>
        <v>0</v>
      </c>
      <c r="I1711" s="16">
        <f>IF((OR(tbal[[#This Row],[X]]=1,tbal[[#This Row],[X]]=2)),tbal[[#This Row],[DEUDOR]],0)</f>
        <v>0</v>
      </c>
      <c r="J1711" s="18">
        <f>IF((OR(tbal[[#This Row],[X]]=2,tbal[[#This Row],[X]]=3)),tbal[[#This Row],[ACREEDOR]],0)</f>
        <v>0</v>
      </c>
      <c r="K1711" s="16">
        <f>IF((OR(tbal[[#This Row],[X]]=3,tbal[[#This Row],[X]]=5)),tbal[[#This Row],[DEUDOR]],0)</f>
        <v>0</v>
      </c>
      <c r="L1711" s="18">
        <f>IF((OR(tbal[[#This Row],[X]]=3,tbal[[#This Row],[X]]=4)),tbal[[#This Row],[ACREEDOR]],0)</f>
        <v>0</v>
      </c>
      <c r="M1711" s="16">
        <f>IF((OR(tbal[[#This Row],[X]]=0,tbal[[#This Row],[X]]=6)),tbal[[#This Row],[DEUDOR]],0)</f>
        <v>0</v>
      </c>
      <c r="N1711" s="18">
        <f>IF((OR(tbal[[#This Row],[X]]=0,tbal[[#This Row],[X]]=5)),tbal[[#This Row],[ACREEDOR]],0)</f>
        <v>0</v>
      </c>
    </row>
    <row r="1712" spans="1:14" hidden="1" x14ac:dyDescent="0.3">
      <c r="A1712" s="14">
        <f>+'PLAN DE CUENTAS'!A1712</f>
        <v>0</v>
      </c>
      <c r="B1712" s="13">
        <f>+'PLAN DE CUENTAS'!B1712</f>
        <v>0</v>
      </c>
      <c r="C1712" s="13">
        <f>+'PLAN DE CUENTAS'!C1712</f>
        <v>0</v>
      </c>
      <c r="D1712" t="str">
        <f>IF(tbal[[#This Row],[DEBE]]+tbal[[#This Row],[HABER]]=0,"","X")</f>
        <v/>
      </c>
      <c r="E1712" s="16">
        <f>SUMIF(tdiario[CUENTA],tbal[[#This Row],[CUENTA]],tdiario[DEBE])</f>
        <v>0</v>
      </c>
      <c r="F1712" s="17">
        <f>SUMIF(tdiario[CUENTA],tbal[[#This Row],[CUENTA]],tdiario[HABER])</f>
        <v>0</v>
      </c>
      <c r="G1712" s="16">
        <f>IF(tbal[[#This Row],[DEBE]]-tbal[[#This Row],[HABER]]&gt;0,tbal[[#This Row],[DEBE]]-tbal[[#This Row],[HABER]],0)</f>
        <v>0</v>
      </c>
      <c r="H1712" s="18">
        <f>IF(tbal[[#This Row],[HABER]]-tbal[[#This Row],[DEBE]]&gt;0,tbal[[#This Row],[HABER]]-tbal[[#This Row],[DEBE]],0)</f>
        <v>0</v>
      </c>
      <c r="I1712" s="16">
        <f>IF((OR(tbal[[#This Row],[X]]=1,tbal[[#This Row],[X]]=2)),tbal[[#This Row],[DEUDOR]],0)</f>
        <v>0</v>
      </c>
      <c r="J1712" s="18">
        <f>IF((OR(tbal[[#This Row],[X]]=2,tbal[[#This Row],[X]]=3)),tbal[[#This Row],[ACREEDOR]],0)</f>
        <v>0</v>
      </c>
      <c r="K1712" s="16">
        <f>IF((OR(tbal[[#This Row],[X]]=3,tbal[[#This Row],[X]]=5)),tbal[[#This Row],[DEUDOR]],0)</f>
        <v>0</v>
      </c>
      <c r="L1712" s="18">
        <f>IF((OR(tbal[[#This Row],[X]]=3,tbal[[#This Row],[X]]=4)),tbal[[#This Row],[ACREEDOR]],0)</f>
        <v>0</v>
      </c>
      <c r="M1712" s="16">
        <f>IF((OR(tbal[[#This Row],[X]]=0,tbal[[#This Row],[X]]=6)),tbal[[#This Row],[DEUDOR]],0)</f>
        <v>0</v>
      </c>
      <c r="N1712" s="18">
        <f>IF((OR(tbal[[#This Row],[X]]=0,tbal[[#This Row],[X]]=5)),tbal[[#This Row],[ACREEDOR]],0)</f>
        <v>0</v>
      </c>
    </row>
    <row r="1713" spans="1:14" hidden="1" x14ac:dyDescent="0.3">
      <c r="A1713" s="14">
        <f>+'PLAN DE CUENTAS'!A1713</f>
        <v>0</v>
      </c>
      <c r="B1713" s="13">
        <f>+'PLAN DE CUENTAS'!B1713</f>
        <v>0</v>
      </c>
      <c r="C1713" s="13">
        <f>+'PLAN DE CUENTAS'!C1713</f>
        <v>0</v>
      </c>
      <c r="D1713" t="str">
        <f>IF(tbal[[#This Row],[DEBE]]+tbal[[#This Row],[HABER]]=0,"","X")</f>
        <v/>
      </c>
      <c r="E1713" s="16">
        <f>SUMIF(tdiario[CUENTA],tbal[[#This Row],[CUENTA]],tdiario[DEBE])</f>
        <v>0</v>
      </c>
      <c r="F1713" s="17">
        <f>SUMIF(tdiario[CUENTA],tbal[[#This Row],[CUENTA]],tdiario[HABER])</f>
        <v>0</v>
      </c>
      <c r="G1713" s="16">
        <f>IF(tbal[[#This Row],[DEBE]]-tbal[[#This Row],[HABER]]&gt;0,tbal[[#This Row],[DEBE]]-tbal[[#This Row],[HABER]],0)</f>
        <v>0</v>
      </c>
      <c r="H1713" s="18">
        <f>IF(tbal[[#This Row],[HABER]]-tbal[[#This Row],[DEBE]]&gt;0,tbal[[#This Row],[HABER]]-tbal[[#This Row],[DEBE]],0)</f>
        <v>0</v>
      </c>
      <c r="I1713" s="16">
        <f>IF((OR(tbal[[#This Row],[X]]=1,tbal[[#This Row],[X]]=2)),tbal[[#This Row],[DEUDOR]],0)</f>
        <v>0</v>
      </c>
      <c r="J1713" s="18">
        <f>IF((OR(tbal[[#This Row],[X]]=2,tbal[[#This Row],[X]]=3)),tbal[[#This Row],[ACREEDOR]],0)</f>
        <v>0</v>
      </c>
      <c r="K1713" s="16">
        <f>IF((OR(tbal[[#This Row],[X]]=3,tbal[[#This Row],[X]]=5)),tbal[[#This Row],[DEUDOR]],0)</f>
        <v>0</v>
      </c>
      <c r="L1713" s="18">
        <f>IF((OR(tbal[[#This Row],[X]]=3,tbal[[#This Row],[X]]=4)),tbal[[#This Row],[ACREEDOR]],0)</f>
        <v>0</v>
      </c>
      <c r="M1713" s="16">
        <f>IF((OR(tbal[[#This Row],[X]]=0,tbal[[#This Row],[X]]=6)),tbal[[#This Row],[DEUDOR]],0)</f>
        <v>0</v>
      </c>
      <c r="N1713" s="18">
        <f>IF((OR(tbal[[#This Row],[X]]=0,tbal[[#This Row],[X]]=5)),tbal[[#This Row],[ACREEDOR]],0)</f>
        <v>0</v>
      </c>
    </row>
    <row r="1714" spans="1:14" hidden="1" x14ac:dyDescent="0.3">
      <c r="A1714" s="14">
        <f>+'PLAN DE CUENTAS'!A1714</f>
        <v>0</v>
      </c>
      <c r="B1714" s="13">
        <f>+'PLAN DE CUENTAS'!B1714</f>
        <v>0</v>
      </c>
      <c r="C1714" s="13">
        <f>+'PLAN DE CUENTAS'!C1714</f>
        <v>0</v>
      </c>
      <c r="D1714" t="str">
        <f>IF(tbal[[#This Row],[DEBE]]+tbal[[#This Row],[HABER]]=0,"","X")</f>
        <v/>
      </c>
      <c r="E1714" s="16">
        <f>SUMIF(tdiario[CUENTA],tbal[[#This Row],[CUENTA]],tdiario[DEBE])</f>
        <v>0</v>
      </c>
      <c r="F1714" s="17">
        <f>SUMIF(tdiario[CUENTA],tbal[[#This Row],[CUENTA]],tdiario[HABER])</f>
        <v>0</v>
      </c>
      <c r="G1714" s="16">
        <f>IF(tbal[[#This Row],[DEBE]]-tbal[[#This Row],[HABER]]&gt;0,tbal[[#This Row],[DEBE]]-tbal[[#This Row],[HABER]],0)</f>
        <v>0</v>
      </c>
      <c r="H1714" s="18">
        <f>IF(tbal[[#This Row],[HABER]]-tbal[[#This Row],[DEBE]]&gt;0,tbal[[#This Row],[HABER]]-tbal[[#This Row],[DEBE]],0)</f>
        <v>0</v>
      </c>
      <c r="I1714" s="16">
        <f>IF((OR(tbal[[#This Row],[X]]=1,tbal[[#This Row],[X]]=2)),tbal[[#This Row],[DEUDOR]],0)</f>
        <v>0</v>
      </c>
      <c r="J1714" s="18">
        <f>IF((OR(tbal[[#This Row],[X]]=2,tbal[[#This Row],[X]]=3)),tbal[[#This Row],[ACREEDOR]],0)</f>
        <v>0</v>
      </c>
      <c r="K1714" s="16">
        <f>IF((OR(tbal[[#This Row],[X]]=3,tbal[[#This Row],[X]]=5)),tbal[[#This Row],[DEUDOR]],0)</f>
        <v>0</v>
      </c>
      <c r="L1714" s="18">
        <f>IF((OR(tbal[[#This Row],[X]]=3,tbal[[#This Row],[X]]=4)),tbal[[#This Row],[ACREEDOR]],0)</f>
        <v>0</v>
      </c>
      <c r="M1714" s="16">
        <f>IF((OR(tbal[[#This Row],[X]]=0,tbal[[#This Row],[X]]=6)),tbal[[#This Row],[DEUDOR]],0)</f>
        <v>0</v>
      </c>
      <c r="N1714" s="18">
        <f>IF((OR(tbal[[#This Row],[X]]=0,tbal[[#This Row],[X]]=5)),tbal[[#This Row],[ACREEDOR]],0)</f>
        <v>0</v>
      </c>
    </row>
    <row r="1715" spans="1:14" hidden="1" x14ac:dyDescent="0.3">
      <c r="A1715" s="14">
        <f>+'PLAN DE CUENTAS'!A1715</f>
        <v>0</v>
      </c>
      <c r="B1715" s="13">
        <f>+'PLAN DE CUENTAS'!B1715</f>
        <v>0</v>
      </c>
      <c r="C1715" s="13">
        <f>+'PLAN DE CUENTAS'!C1715</f>
        <v>0</v>
      </c>
      <c r="D1715" t="str">
        <f>IF(tbal[[#This Row],[DEBE]]+tbal[[#This Row],[HABER]]=0,"","X")</f>
        <v/>
      </c>
      <c r="E1715" s="16">
        <f>SUMIF(tdiario[CUENTA],tbal[[#This Row],[CUENTA]],tdiario[DEBE])</f>
        <v>0</v>
      </c>
      <c r="F1715" s="17">
        <f>SUMIF(tdiario[CUENTA],tbal[[#This Row],[CUENTA]],tdiario[HABER])</f>
        <v>0</v>
      </c>
      <c r="G1715" s="16">
        <f>IF(tbal[[#This Row],[DEBE]]-tbal[[#This Row],[HABER]]&gt;0,tbal[[#This Row],[DEBE]]-tbal[[#This Row],[HABER]],0)</f>
        <v>0</v>
      </c>
      <c r="H1715" s="18">
        <f>IF(tbal[[#This Row],[HABER]]-tbal[[#This Row],[DEBE]]&gt;0,tbal[[#This Row],[HABER]]-tbal[[#This Row],[DEBE]],0)</f>
        <v>0</v>
      </c>
      <c r="I1715" s="16">
        <f>IF((OR(tbal[[#This Row],[X]]=1,tbal[[#This Row],[X]]=2)),tbal[[#This Row],[DEUDOR]],0)</f>
        <v>0</v>
      </c>
      <c r="J1715" s="18">
        <f>IF((OR(tbal[[#This Row],[X]]=2,tbal[[#This Row],[X]]=3)),tbal[[#This Row],[ACREEDOR]],0)</f>
        <v>0</v>
      </c>
      <c r="K1715" s="16">
        <f>IF((OR(tbal[[#This Row],[X]]=3,tbal[[#This Row],[X]]=5)),tbal[[#This Row],[DEUDOR]],0)</f>
        <v>0</v>
      </c>
      <c r="L1715" s="18">
        <f>IF((OR(tbal[[#This Row],[X]]=3,tbal[[#This Row],[X]]=4)),tbal[[#This Row],[ACREEDOR]],0)</f>
        <v>0</v>
      </c>
      <c r="M1715" s="16">
        <f>IF((OR(tbal[[#This Row],[X]]=0,tbal[[#This Row],[X]]=6)),tbal[[#This Row],[DEUDOR]],0)</f>
        <v>0</v>
      </c>
      <c r="N1715" s="18">
        <f>IF((OR(tbal[[#This Row],[X]]=0,tbal[[#This Row],[X]]=5)),tbal[[#This Row],[ACREEDOR]],0)</f>
        <v>0</v>
      </c>
    </row>
    <row r="1716" spans="1:14" hidden="1" x14ac:dyDescent="0.3">
      <c r="A1716" s="14">
        <f>+'PLAN DE CUENTAS'!A1716</f>
        <v>0</v>
      </c>
      <c r="B1716" s="13">
        <f>+'PLAN DE CUENTAS'!B1716</f>
        <v>0</v>
      </c>
      <c r="C1716" s="13">
        <f>+'PLAN DE CUENTAS'!C1716</f>
        <v>0</v>
      </c>
      <c r="D1716" t="str">
        <f>IF(tbal[[#This Row],[DEBE]]+tbal[[#This Row],[HABER]]=0,"","X")</f>
        <v/>
      </c>
      <c r="E1716" s="16">
        <f>SUMIF(tdiario[CUENTA],tbal[[#This Row],[CUENTA]],tdiario[DEBE])</f>
        <v>0</v>
      </c>
      <c r="F1716" s="17">
        <f>SUMIF(tdiario[CUENTA],tbal[[#This Row],[CUENTA]],tdiario[HABER])</f>
        <v>0</v>
      </c>
      <c r="G1716" s="16">
        <f>IF(tbal[[#This Row],[DEBE]]-tbal[[#This Row],[HABER]]&gt;0,tbal[[#This Row],[DEBE]]-tbal[[#This Row],[HABER]],0)</f>
        <v>0</v>
      </c>
      <c r="H1716" s="18">
        <f>IF(tbal[[#This Row],[HABER]]-tbal[[#This Row],[DEBE]]&gt;0,tbal[[#This Row],[HABER]]-tbal[[#This Row],[DEBE]],0)</f>
        <v>0</v>
      </c>
      <c r="I1716" s="16">
        <f>IF((OR(tbal[[#This Row],[X]]=1,tbal[[#This Row],[X]]=2)),tbal[[#This Row],[DEUDOR]],0)</f>
        <v>0</v>
      </c>
      <c r="J1716" s="18">
        <f>IF((OR(tbal[[#This Row],[X]]=2,tbal[[#This Row],[X]]=3)),tbal[[#This Row],[ACREEDOR]],0)</f>
        <v>0</v>
      </c>
      <c r="K1716" s="16">
        <f>IF((OR(tbal[[#This Row],[X]]=3,tbal[[#This Row],[X]]=5)),tbal[[#This Row],[DEUDOR]],0)</f>
        <v>0</v>
      </c>
      <c r="L1716" s="18">
        <f>IF((OR(tbal[[#This Row],[X]]=3,tbal[[#This Row],[X]]=4)),tbal[[#This Row],[ACREEDOR]],0)</f>
        <v>0</v>
      </c>
      <c r="M1716" s="16">
        <f>IF((OR(tbal[[#This Row],[X]]=0,tbal[[#This Row],[X]]=6)),tbal[[#This Row],[DEUDOR]],0)</f>
        <v>0</v>
      </c>
      <c r="N1716" s="18">
        <f>IF((OR(tbal[[#This Row],[X]]=0,tbal[[#This Row],[X]]=5)),tbal[[#This Row],[ACREEDOR]],0)</f>
        <v>0</v>
      </c>
    </row>
    <row r="1717" spans="1:14" hidden="1" x14ac:dyDescent="0.3">
      <c r="A1717" s="14">
        <f>+'PLAN DE CUENTAS'!A1717</f>
        <v>0</v>
      </c>
      <c r="B1717" s="13">
        <f>+'PLAN DE CUENTAS'!B1717</f>
        <v>0</v>
      </c>
      <c r="C1717" s="13">
        <f>+'PLAN DE CUENTAS'!C1717</f>
        <v>0</v>
      </c>
      <c r="D1717" t="str">
        <f>IF(tbal[[#This Row],[DEBE]]+tbal[[#This Row],[HABER]]=0,"","X")</f>
        <v/>
      </c>
      <c r="E1717" s="16">
        <f>SUMIF(tdiario[CUENTA],tbal[[#This Row],[CUENTA]],tdiario[DEBE])</f>
        <v>0</v>
      </c>
      <c r="F1717" s="17">
        <f>SUMIF(tdiario[CUENTA],tbal[[#This Row],[CUENTA]],tdiario[HABER])</f>
        <v>0</v>
      </c>
      <c r="G1717" s="16">
        <f>IF(tbal[[#This Row],[DEBE]]-tbal[[#This Row],[HABER]]&gt;0,tbal[[#This Row],[DEBE]]-tbal[[#This Row],[HABER]],0)</f>
        <v>0</v>
      </c>
      <c r="H1717" s="18">
        <f>IF(tbal[[#This Row],[HABER]]-tbal[[#This Row],[DEBE]]&gt;0,tbal[[#This Row],[HABER]]-tbal[[#This Row],[DEBE]],0)</f>
        <v>0</v>
      </c>
      <c r="I1717" s="16">
        <f>IF((OR(tbal[[#This Row],[X]]=1,tbal[[#This Row],[X]]=2)),tbal[[#This Row],[DEUDOR]],0)</f>
        <v>0</v>
      </c>
      <c r="J1717" s="18">
        <f>IF((OR(tbal[[#This Row],[X]]=2,tbal[[#This Row],[X]]=3)),tbal[[#This Row],[ACREEDOR]],0)</f>
        <v>0</v>
      </c>
      <c r="K1717" s="16">
        <f>IF((OR(tbal[[#This Row],[X]]=3,tbal[[#This Row],[X]]=5)),tbal[[#This Row],[DEUDOR]],0)</f>
        <v>0</v>
      </c>
      <c r="L1717" s="18">
        <f>IF((OR(tbal[[#This Row],[X]]=3,tbal[[#This Row],[X]]=4)),tbal[[#This Row],[ACREEDOR]],0)</f>
        <v>0</v>
      </c>
      <c r="M1717" s="16">
        <f>IF((OR(tbal[[#This Row],[X]]=0,tbal[[#This Row],[X]]=6)),tbal[[#This Row],[DEUDOR]],0)</f>
        <v>0</v>
      </c>
      <c r="N1717" s="18">
        <f>IF((OR(tbal[[#This Row],[X]]=0,tbal[[#This Row],[X]]=5)),tbal[[#This Row],[ACREEDOR]],0)</f>
        <v>0</v>
      </c>
    </row>
    <row r="1718" spans="1:14" hidden="1" x14ac:dyDescent="0.3">
      <c r="A1718" s="14">
        <f>+'PLAN DE CUENTAS'!A1718</f>
        <v>0</v>
      </c>
      <c r="B1718" s="13">
        <f>+'PLAN DE CUENTAS'!B1718</f>
        <v>0</v>
      </c>
      <c r="C1718" s="13">
        <f>+'PLAN DE CUENTAS'!C1718</f>
        <v>0</v>
      </c>
      <c r="D1718" t="str">
        <f>IF(tbal[[#This Row],[DEBE]]+tbal[[#This Row],[HABER]]=0,"","X")</f>
        <v/>
      </c>
      <c r="E1718" s="16">
        <f>SUMIF(tdiario[CUENTA],tbal[[#This Row],[CUENTA]],tdiario[DEBE])</f>
        <v>0</v>
      </c>
      <c r="F1718" s="17">
        <f>SUMIF(tdiario[CUENTA],tbal[[#This Row],[CUENTA]],tdiario[HABER])</f>
        <v>0</v>
      </c>
      <c r="G1718" s="16">
        <f>IF(tbal[[#This Row],[DEBE]]-tbal[[#This Row],[HABER]]&gt;0,tbal[[#This Row],[DEBE]]-tbal[[#This Row],[HABER]],0)</f>
        <v>0</v>
      </c>
      <c r="H1718" s="18">
        <f>IF(tbal[[#This Row],[HABER]]-tbal[[#This Row],[DEBE]]&gt;0,tbal[[#This Row],[HABER]]-tbal[[#This Row],[DEBE]],0)</f>
        <v>0</v>
      </c>
      <c r="I1718" s="16">
        <f>IF((OR(tbal[[#This Row],[X]]=1,tbal[[#This Row],[X]]=2)),tbal[[#This Row],[DEUDOR]],0)</f>
        <v>0</v>
      </c>
      <c r="J1718" s="18">
        <f>IF((OR(tbal[[#This Row],[X]]=2,tbal[[#This Row],[X]]=3)),tbal[[#This Row],[ACREEDOR]],0)</f>
        <v>0</v>
      </c>
      <c r="K1718" s="16">
        <f>IF((OR(tbal[[#This Row],[X]]=3,tbal[[#This Row],[X]]=5)),tbal[[#This Row],[DEUDOR]],0)</f>
        <v>0</v>
      </c>
      <c r="L1718" s="18">
        <f>IF((OR(tbal[[#This Row],[X]]=3,tbal[[#This Row],[X]]=4)),tbal[[#This Row],[ACREEDOR]],0)</f>
        <v>0</v>
      </c>
      <c r="M1718" s="16">
        <f>IF((OR(tbal[[#This Row],[X]]=0,tbal[[#This Row],[X]]=6)),tbal[[#This Row],[DEUDOR]],0)</f>
        <v>0</v>
      </c>
      <c r="N1718" s="18">
        <f>IF((OR(tbal[[#This Row],[X]]=0,tbal[[#This Row],[X]]=5)),tbal[[#This Row],[ACREEDOR]],0)</f>
        <v>0</v>
      </c>
    </row>
    <row r="1719" spans="1:14" hidden="1" x14ac:dyDescent="0.3">
      <c r="A1719" s="14">
        <f>+'PLAN DE CUENTAS'!A1719</f>
        <v>0</v>
      </c>
      <c r="B1719" s="13">
        <f>+'PLAN DE CUENTAS'!B1719</f>
        <v>0</v>
      </c>
      <c r="C1719" s="13">
        <f>+'PLAN DE CUENTAS'!C1719</f>
        <v>0</v>
      </c>
      <c r="D1719" t="str">
        <f>IF(tbal[[#This Row],[DEBE]]+tbal[[#This Row],[HABER]]=0,"","X")</f>
        <v/>
      </c>
      <c r="E1719" s="16">
        <f>SUMIF(tdiario[CUENTA],tbal[[#This Row],[CUENTA]],tdiario[DEBE])</f>
        <v>0</v>
      </c>
      <c r="F1719" s="17">
        <f>SUMIF(tdiario[CUENTA],tbal[[#This Row],[CUENTA]],tdiario[HABER])</f>
        <v>0</v>
      </c>
      <c r="G1719" s="16">
        <f>IF(tbal[[#This Row],[DEBE]]-tbal[[#This Row],[HABER]]&gt;0,tbal[[#This Row],[DEBE]]-tbal[[#This Row],[HABER]],0)</f>
        <v>0</v>
      </c>
      <c r="H1719" s="18">
        <f>IF(tbal[[#This Row],[HABER]]-tbal[[#This Row],[DEBE]]&gt;0,tbal[[#This Row],[HABER]]-tbal[[#This Row],[DEBE]],0)</f>
        <v>0</v>
      </c>
      <c r="I1719" s="16">
        <f>IF((OR(tbal[[#This Row],[X]]=1,tbal[[#This Row],[X]]=2)),tbal[[#This Row],[DEUDOR]],0)</f>
        <v>0</v>
      </c>
      <c r="J1719" s="18">
        <f>IF((OR(tbal[[#This Row],[X]]=2,tbal[[#This Row],[X]]=3)),tbal[[#This Row],[ACREEDOR]],0)</f>
        <v>0</v>
      </c>
      <c r="K1719" s="16">
        <f>IF((OR(tbal[[#This Row],[X]]=3,tbal[[#This Row],[X]]=5)),tbal[[#This Row],[DEUDOR]],0)</f>
        <v>0</v>
      </c>
      <c r="L1719" s="18">
        <f>IF((OR(tbal[[#This Row],[X]]=3,tbal[[#This Row],[X]]=4)),tbal[[#This Row],[ACREEDOR]],0)</f>
        <v>0</v>
      </c>
      <c r="M1719" s="16">
        <f>IF((OR(tbal[[#This Row],[X]]=0,tbal[[#This Row],[X]]=6)),tbal[[#This Row],[DEUDOR]],0)</f>
        <v>0</v>
      </c>
      <c r="N1719" s="18">
        <f>IF((OR(tbal[[#This Row],[X]]=0,tbal[[#This Row],[X]]=5)),tbal[[#This Row],[ACREEDOR]],0)</f>
        <v>0</v>
      </c>
    </row>
    <row r="1720" spans="1:14" hidden="1" x14ac:dyDescent="0.3">
      <c r="A1720" s="14">
        <f>+'PLAN DE CUENTAS'!A1720</f>
        <v>0</v>
      </c>
      <c r="B1720" s="13">
        <f>+'PLAN DE CUENTAS'!B1720</f>
        <v>0</v>
      </c>
      <c r="C1720" s="13">
        <f>+'PLAN DE CUENTAS'!C1720</f>
        <v>0</v>
      </c>
      <c r="D1720" t="str">
        <f>IF(tbal[[#This Row],[DEBE]]+tbal[[#This Row],[HABER]]=0,"","X")</f>
        <v/>
      </c>
      <c r="E1720" s="16">
        <f>SUMIF(tdiario[CUENTA],tbal[[#This Row],[CUENTA]],tdiario[DEBE])</f>
        <v>0</v>
      </c>
      <c r="F1720" s="17">
        <f>SUMIF(tdiario[CUENTA],tbal[[#This Row],[CUENTA]],tdiario[HABER])</f>
        <v>0</v>
      </c>
      <c r="G1720" s="16">
        <f>IF(tbal[[#This Row],[DEBE]]-tbal[[#This Row],[HABER]]&gt;0,tbal[[#This Row],[DEBE]]-tbal[[#This Row],[HABER]],0)</f>
        <v>0</v>
      </c>
      <c r="H1720" s="18">
        <f>IF(tbal[[#This Row],[HABER]]-tbal[[#This Row],[DEBE]]&gt;0,tbal[[#This Row],[HABER]]-tbal[[#This Row],[DEBE]],0)</f>
        <v>0</v>
      </c>
      <c r="I1720" s="16">
        <f>IF((OR(tbal[[#This Row],[X]]=1,tbal[[#This Row],[X]]=2)),tbal[[#This Row],[DEUDOR]],0)</f>
        <v>0</v>
      </c>
      <c r="J1720" s="18">
        <f>IF((OR(tbal[[#This Row],[X]]=2,tbal[[#This Row],[X]]=3)),tbal[[#This Row],[ACREEDOR]],0)</f>
        <v>0</v>
      </c>
      <c r="K1720" s="16">
        <f>IF((OR(tbal[[#This Row],[X]]=3,tbal[[#This Row],[X]]=5)),tbal[[#This Row],[DEUDOR]],0)</f>
        <v>0</v>
      </c>
      <c r="L1720" s="18">
        <f>IF((OR(tbal[[#This Row],[X]]=3,tbal[[#This Row],[X]]=4)),tbal[[#This Row],[ACREEDOR]],0)</f>
        <v>0</v>
      </c>
      <c r="M1720" s="16">
        <f>IF((OR(tbal[[#This Row],[X]]=0,tbal[[#This Row],[X]]=6)),tbal[[#This Row],[DEUDOR]],0)</f>
        <v>0</v>
      </c>
      <c r="N1720" s="18">
        <f>IF((OR(tbal[[#This Row],[X]]=0,tbal[[#This Row],[X]]=5)),tbal[[#This Row],[ACREEDOR]],0)</f>
        <v>0</v>
      </c>
    </row>
    <row r="1721" spans="1:14" hidden="1" x14ac:dyDescent="0.3">
      <c r="A1721" s="14">
        <f>+'PLAN DE CUENTAS'!A1721</f>
        <v>0</v>
      </c>
      <c r="B1721" s="13">
        <f>+'PLAN DE CUENTAS'!B1721</f>
        <v>0</v>
      </c>
      <c r="C1721" s="13">
        <f>+'PLAN DE CUENTAS'!C1721</f>
        <v>0</v>
      </c>
      <c r="D1721" t="str">
        <f>IF(tbal[[#This Row],[DEBE]]+tbal[[#This Row],[HABER]]=0,"","X")</f>
        <v/>
      </c>
      <c r="E1721" s="16">
        <f>SUMIF(tdiario[CUENTA],tbal[[#This Row],[CUENTA]],tdiario[DEBE])</f>
        <v>0</v>
      </c>
      <c r="F1721" s="17">
        <f>SUMIF(tdiario[CUENTA],tbal[[#This Row],[CUENTA]],tdiario[HABER])</f>
        <v>0</v>
      </c>
      <c r="G1721" s="16">
        <f>IF(tbal[[#This Row],[DEBE]]-tbal[[#This Row],[HABER]]&gt;0,tbal[[#This Row],[DEBE]]-tbal[[#This Row],[HABER]],0)</f>
        <v>0</v>
      </c>
      <c r="H1721" s="18">
        <f>IF(tbal[[#This Row],[HABER]]-tbal[[#This Row],[DEBE]]&gt;0,tbal[[#This Row],[HABER]]-tbal[[#This Row],[DEBE]],0)</f>
        <v>0</v>
      </c>
      <c r="I1721" s="16">
        <f>IF((OR(tbal[[#This Row],[X]]=1,tbal[[#This Row],[X]]=2)),tbal[[#This Row],[DEUDOR]],0)</f>
        <v>0</v>
      </c>
      <c r="J1721" s="18">
        <f>IF((OR(tbal[[#This Row],[X]]=2,tbal[[#This Row],[X]]=3)),tbal[[#This Row],[ACREEDOR]],0)</f>
        <v>0</v>
      </c>
      <c r="K1721" s="16">
        <f>IF((OR(tbal[[#This Row],[X]]=3,tbal[[#This Row],[X]]=5)),tbal[[#This Row],[DEUDOR]],0)</f>
        <v>0</v>
      </c>
      <c r="L1721" s="18">
        <f>IF((OR(tbal[[#This Row],[X]]=3,tbal[[#This Row],[X]]=4)),tbal[[#This Row],[ACREEDOR]],0)</f>
        <v>0</v>
      </c>
      <c r="M1721" s="16">
        <f>IF((OR(tbal[[#This Row],[X]]=0,tbal[[#This Row],[X]]=6)),tbal[[#This Row],[DEUDOR]],0)</f>
        <v>0</v>
      </c>
      <c r="N1721" s="18">
        <f>IF((OR(tbal[[#This Row],[X]]=0,tbal[[#This Row],[X]]=5)),tbal[[#This Row],[ACREEDOR]],0)</f>
        <v>0</v>
      </c>
    </row>
    <row r="1722" spans="1:14" hidden="1" x14ac:dyDescent="0.3">
      <c r="A1722" s="14">
        <f>+'PLAN DE CUENTAS'!A1722</f>
        <v>0</v>
      </c>
      <c r="B1722" s="13">
        <f>+'PLAN DE CUENTAS'!B1722</f>
        <v>0</v>
      </c>
      <c r="C1722" s="13">
        <f>+'PLAN DE CUENTAS'!C1722</f>
        <v>0</v>
      </c>
      <c r="D1722" t="str">
        <f>IF(tbal[[#This Row],[DEBE]]+tbal[[#This Row],[HABER]]=0,"","X")</f>
        <v/>
      </c>
      <c r="E1722" s="16">
        <f>SUMIF(tdiario[CUENTA],tbal[[#This Row],[CUENTA]],tdiario[DEBE])</f>
        <v>0</v>
      </c>
      <c r="F1722" s="17">
        <f>SUMIF(tdiario[CUENTA],tbal[[#This Row],[CUENTA]],tdiario[HABER])</f>
        <v>0</v>
      </c>
      <c r="G1722" s="16">
        <f>IF(tbal[[#This Row],[DEBE]]-tbal[[#This Row],[HABER]]&gt;0,tbal[[#This Row],[DEBE]]-tbal[[#This Row],[HABER]],0)</f>
        <v>0</v>
      </c>
      <c r="H1722" s="18">
        <f>IF(tbal[[#This Row],[HABER]]-tbal[[#This Row],[DEBE]]&gt;0,tbal[[#This Row],[HABER]]-tbal[[#This Row],[DEBE]],0)</f>
        <v>0</v>
      </c>
      <c r="I1722" s="16">
        <f>IF((OR(tbal[[#This Row],[X]]=1,tbal[[#This Row],[X]]=2)),tbal[[#This Row],[DEUDOR]],0)</f>
        <v>0</v>
      </c>
      <c r="J1722" s="18">
        <f>IF((OR(tbal[[#This Row],[X]]=2,tbal[[#This Row],[X]]=3)),tbal[[#This Row],[ACREEDOR]],0)</f>
        <v>0</v>
      </c>
      <c r="K1722" s="16">
        <f>IF((OR(tbal[[#This Row],[X]]=3,tbal[[#This Row],[X]]=5)),tbal[[#This Row],[DEUDOR]],0)</f>
        <v>0</v>
      </c>
      <c r="L1722" s="18">
        <f>IF((OR(tbal[[#This Row],[X]]=3,tbal[[#This Row],[X]]=4)),tbal[[#This Row],[ACREEDOR]],0)</f>
        <v>0</v>
      </c>
      <c r="M1722" s="16">
        <f>IF((OR(tbal[[#This Row],[X]]=0,tbal[[#This Row],[X]]=6)),tbal[[#This Row],[DEUDOR]],0)</f>
        <v>0</v>
      </c>
      <c r="N1722" s="18">
        <f>IF((OR(tbal[[#This Row],[X]]=0,tbal[[#This Row],[X]]=5)),tbal[[#This Row],[ACREEDOR]],0)</f>
        <v>0</v>
      </c>
    </row>
    <row r="1723" spans="1:14" hidden="1" x14ac:dyDescent="0.3">
      <c r="A1723" s="14">
        <f>+'PLAN DE CUENTAS'!A1723</f>
        <v>0</v>
      </c>
      <c r="B1723" s="13">
        <f>+'PLAN DE CUENTAS'!B1723</f>
        <v>0</v>
      </c>
      <c r="C1723" s="13">
        <f>+'PLAN DE CUENTAS'!C1723</f>
        <v>0</v>
      </c>
      <c r="D1723" t="str">
        <f>IF(tbal[[#This Row],[DEBE]]+tbal[[#This Row],[HABER]]=0,"","X")</f>
        <v/>
      </c>
      <c r="E1723" s="16">
        <f>SUMIF(tdiario[CUENTA],tbal[[#This Row],[CUENTA]],tdiario[DEBE])</f>
        <v>0</v>
      </c>
      <c r="F1723" s="17">
        <f>SUMIF(tdiario[CUENTA],tbal[[#This Row],[CUENTA]],tdiario[HABER])</f>
        <v>0</v>
      </c>
      <c r="G1723" s="16">
        <f>IF(tbal[[#This Row],[DEBE]]-tbal[[#This Row],[HABER]]&gt;0,tbal[[#This Row],[DEBE]]-tbal[[#This Row],[HABER]],0)</f>
        <v>0</v>
      </c>
      <c r="H1723" s="18">
        <f>IF(tbal[[#This Row],[HABER]]-tbal[[#This Row],[DEBE]]&gt;0,tbal[[#This Row],[HABER]]-tbal[[#This Row],[DEBE]],0)</f>
        <v>0</v>
      </c>
      <c r="I1723" s="16">
        <f>IF((OR(tbal[[#This Row],[X]]=1,tbal[[#This Row],[X]]=2)),tbal[[#This Row],[DEUDOR]],0)</f>
        <v>0</v>
      </c>
      <c r="J1723" s="18">
        <f>IF((OR(tbal[[#This Row],[X]]=2,tbal[[#This Row],[X]]=3)),tbal[[#This Row],[ACREEDOR]],0)</f>
        <v>0</v>
      </c>
      <c r="K1723" s="16">
        <f>IF((OR(tbal[[#This Row],[X]]=3,tbal[[#This Row],[X]]=5)),tbal[[#This Row],[DEUDOR]],0)</f>
        <v>0</v>
      </c>
      <c r="L1723" s="18">
        <f>IF((OR(tbal[[#This Row],[X]]=3,tbal[[#This Row],[X]]=4)),tbal[[#This Row],[ACREEDOR]],0)</f>
        <v>0</v>
      </c>
      <c r="M1723" s="16">
        <f>IF((OR(tbal[[#This Row],[X]]=0,tbal[[#This Row],[X]]=6)),tbal[[#This Row],[DEUDOR]],0)</f>
        <v>0</v>
      </c>
      <c r="N1723" s="18">
        <f>IF((OR(tbal[[#This Row],[X]]=0,tbal[[#This Row],[X]]=5)),tbal[[#This Row],[ACREEDOR]],0)</f>
        <v>0</v>
      </c>
    </row>
    <row r="1724" spans="1:14" hidden="1" x14ac:dyDescent="0.3">
      <c r="A1724" s="14">
        <f>+'PLAN DE CUENTAS'!A1724</f>
        <v>0</v>
      </c>
      <c r="B1724" s="13">
        <f>+'PLAN DE CUENTAS'!B1724</f>
        <v>0</v>
      </c>
      <c r="C1724" s="13">
        <f>+'PLAN DE CUENTAS'!C1724</f>
        <v>0</v>
      </c>
      <c r="D1724" t="str">
        <f>IF(tbal[[#This Row],[DEBE]]+tbal[[#This Row],[HABER]]=0,"","X")</f>
        <v/>
      </c>
      <c r="E1724" s="16">
        <f>SUMIF(tdiario[CUENTA],tbal[[#This Row],[CUENTA]],tdiario[DEBE])</f>
        <v>0</v>
      </c>
      <c r="F1724" s="17">
        <f>SUMIF(tdiario[CUENTA],tbal[[#This Row],[CUENTA]],tdiario[HABER])</f>
        <v>0</v>
      </c>
      <c r="G1724" s="16">
        <f>IF(tbal[[#This Row],[DEBE]]-tbal[[#This Row],[HABER]]&gt;0,tbal[[#This Row],[DEBE]]-tbal[[#This Row],[HABER]],0)</f>
        <v>0</v>
      </c>
      <c r="H1724" s="18">
        <f>IF(tbal[[#This Row],[HABER]]-tbal[[#This Row],[DEBE]]&gt;0,tbal[[#This Row],[HABER]]-tbal[[#This Row],[DEBE]],0)</f>
        <v>0</v>
      </c>
      <c r="I1724" s="16">
        <f>IF((OR(tbal[[#This Row],[X]]=1,tbal[[#This Row],[X]]=2)),tbal[[#This Row],[DEUDOR]],0)</f>
        <v>0</v>
      </c>
      <c r="J1724" s="18">
        <f>IF((OR(tbal[[#This Row],[X]]=2,tbal[[#This Row],[X]]=3)),tbal[[#This Row],[ACREEDOR]],0)</f>
        <v>0</v>
      </c>
      <c r="K1724" s="16">
        <f>IF((OR(tbal[[#This Row],[X]]=3,tbal[[#This Row],[X]]=5)),tbal[[#This Row],[DEUDOR]],0)</f>
        <v>0</v>
      </c>
      <c r="L1724" s="18">
        <f>IF((OR(tbal[[#This Row],[X]]=3,tbal[[#This Row],[X]]=4)),tbal[[#This Row],[ACREEDOR]],0)</f>
        <v>0</v>
      </c>
      <c r="M1724" s="16">
        <f>IF((OR(tbal[[#This Row],[X]]=0,tbal[[#This Row],[X]]=6)),tbal[[#This Row],[DEUDOR]],0)</f>
        <v>0</v>
      </c>
      <c r="N1724" s="18">
        <f>IF((OR(tbal[[#This Row],[X]]=0,tbal[[#This Row],[X]]=5)),tbal[[#This Row],[ACREEDOR]],0)</f>
        <v>0</v>
      </c>
    </row>
    <row r="1725" spans="1:14" hidden="1" x14ac:dyDescent="0.3">
      <c r="A1725" s="14">
        <f>+'PLAN DE CUENTAS'!A1725</f>
        <v>0</v>
      </c>
      <c r="B1725" s="13">
        <f>+'PLAN DE CUENTAS'!B1725</f>
        <v>0</v>
      </c>
      <c r="C1725" s="13">
        <f>+'PLAN DE CUENTAS'!C1725</f>
        <v>0</v>
      </c>
      <c r="D1725" t="str">
        <f>IF(tbal[[#This Row],[DEBE]]+tbal[[#This Row],[HABER]]=0,"","X")</f>
        <v/>
      </c>
      <c r="E1725" s="16">
        <f>SUMIF(tdiario[CUENTA],tbal[[#This Row],[CUENTA]],tdiario[DEBE])</f>
        <v>0</v>
      </c>
      <c r="F1725" s="17">
        <f>SUMIF(tdiario[CUENTA],tbal[[#This Row],[CUENTA]],tdiario[HABER])</f>
        <v>0</v>
      </c>
      <c r="G1725" s="16">
        <f>IF(tbal[[#This Row],[DEBE]]-tbal[[#This Row],[HABER]]&gt;0,tbal[[#This Row],[DEBE]]-tbal[[#This Row],[HABER]],0)</f>
        <v>0</v>
      </c>
      <c r="H1725" s="18">
        <f>IF(tbal[[#This Row],[HABER]]-tbal[[#This Row],[DEBE]]&gt;0,tbal[[#This Row],[HABER]]-tbal[[#This Row],[DEBE]],0)</f>
        <v>0</v>
      </c>
      <c r="I1725" s="16">
        <f>IF((OR(tbal[[#This Row],[X]]=1,tbal[[#This Row],[X]]=2)),tbal[[#This Row],[DEUDOR]],0)</f>
        <v>0</v>
      </c>
      <c r="J1725" s="18">
        <f>IF((OR(tbal[[#This Row],[X]]=2,tbal[[#This Row],[X]]=3)),tbal[[#This Row],[ACREEDOR]],0)</f>
        <v>0</v>
      </c>
      <c r="K1725" s="16">
        <f>IF((OR(tbal[[#This Row],[X]]=3,tbal[[#This Row],[X]]=5)),tbal[[#This Row],[DEUDOR]],0)</f>
        <v>0</v>
      </c>
      <c r="L1725" s="18">
        <f>IF((OR(tbal[[#This Row],[X]]=3,tbal[[#This Row],[X]]=4)),tbal[[#This Row],[ACREEDOR]],0)</f>
        <v>0</v>
      </c>
      <c r="M1725" s="16">
        <f>IF((OR(tbal[[#This Row],[X]]=0,tbal[[#This Row],[X]]=6)),tbal[[#This Row],[DEUDOR]],0)</f>
        <v>0</v>
      </c>
      <c r="N1725" s="18">
        <f>IF((OR(tbal[[#This Row],[X]]=0,tbal[[#This Row],[X]]=5)),tbal[[#This Row],[ACREEDOR]],0)</f>
        <v>0</v>
      </c>
    </row>
    <row r="1726" spans="1:14" hidden="1" x14ac:dyDescent="0.3">
      <c r="A1726" s="14">
        <f>+'PLAN DE CUENTAS'!A1726</f>
        <v>0</v>
      </c>
      <c r="B1726" s="13">
        <f>+'PLAN DE CUENTAS'!B1726</f>
        <v>0</v>
      </c>
      <c r="C1726" s="13">
        <f>+'PLAN DE CUENTAS'!C1726</f>
        <v>0</v>
      </c>
      <c r="D1726" t="str">
        <f>IF(tbal[[#This Row],[DEBE]]+tbal[[#This Row],[HABER]]=0,"","X")</f>
        <v/>
      </c>
      <c r="E1726" s="16">
        <f>SUMIF(tdiario[CUENTA],tbal[[#This Row],[CUENTA]],tdiario[DEBE])</f>
        <v>0</v>
      </c>
      <c r="F1726" s="17">
        <f>SUMIF(tdiario[CUENTA],tbal[[#This Row],[CUENTA]],tdiario[HABER])</f>
        <v>0</v>
      </c>
      <c r="G1726" s="16">
        <f>IF(tbal[[#This Row],[DEBE]]-tbal[[#This Row],[HABER]]&gt;0,tbal[[#This Row],[DEBE]]-tbal[[#This Row],[HABER]],0)</f>
        <v>0</v>
      </c>
      <c r="H1726" s="18">
        <f>IF(tbal[[#This Row],[HABER]]-tbal[[#This Row],[DEBE]]&gt;0,tbal[[#This Row],[HABER]]-tbal[[#This Row],[DEBE]],0)</f>
        <v>0</v>
      </c>
      <c r="I1726" s="16">
        <f>IF((OR(tbal[[#This Row],[X]]=1,tbal[[#This Row],[X]]=2)),tbal[[#This Row],[DEUDOR]],0)</f>
        <v>0</v>
      </c>
      <c r="J1726" s="18">
        <f>IF((OR(tbal[[#This Row],[X]]=2,tbal[[#This Row],[X]]=3)),tbal[[#This Row],[ACREEDOR]],0)</f>
        <v>0</v>
      </c>
      <c r="K1726" s="16">
        <f>IF((OR(tbal[[#This Row],[X]]=3,tbal[[#This Row],[X]]=5)),tbal[[#This Row],[DEUDOR]],0)</f>
        <v>0</v>
      </c>
      <c r="L1726" s="18">
        <f>IF((OR(tbal[[#This Row],[X]]=3,tbal[[#This Row],[X]]=4)),tbal[[#This Row],[ACREEDOR]],0)</f>
        <v>0</v>
      </c>
      <c r="M1726" s="16">
        <f>IF((OR(tbal[[#This Row],[X]]=0,tbal[[#This Row],[X]]=6)),tbal[[#This Row],[DEUDOR]],0)</f>
        <v>0</v>
      </c>
      <c r="N1726" s="18">
        <f>IF((OR(tbal[[#This Row],[X]]=0,tbal[[#This Row],[X]]=5)),tbal[[#This Row],[ACREEDOR]],0)</f>
        <v>0</v>
      </c>
    </row>
    <row r="1727" spans="1:14" hidden="1" x14ac:dyDescent="0.3">
      <c r="A1727" s="14">
        <f>+'PLAN DE CUENTAS'!A1727</f>
        <v>0</v>
      </c>
      <c r="B1727" s="13">
        <f>+'PLAN DE CUENTAS'!B1727</f>
        <v>0</v>
      </c>
      <c r="C1727" s="13">
        <f>+'PLAN DE CUENTAS'!C1727</f>
        <v>0</v>
      </c>
      <c r="D1727" t="str">
        <f>IF(tbal[[#This Row],[DEBE]]+tbal[[#This Row],[HABER]]=0,"","X")</f>
        <v/>
      </c>
      <c r="E1727" s="16">
        <f>SUMIF(tdiario[CUENTA],tbal[[#This Row],[CUENTA]],tdiario[DEBE])</f>
        <v>0</v>
      </c>
      <c r="F1727" s="17">
        <f>SUMIF(tdiario[CUENTA],tbal[[#This Row],[CUENTA]],tdiario[HABER])</f>
        <v>0</v>
      </c>
      <c r="G1727" s="16">
        <f>IF(tbal[[#This Row],[DEBE]]-tbal[[#This Row],[HABER]]&gt;0,tbal[[#This Row],[DEBE]]-tbal[[#This Row],[HABER]],0)</f>
        <v>0</v>
      </c>
      <c r="H1727" s="18">
        <f>IF(tbal[[#This Row],[HABER]]-tbal[[#This Row],[DEBE]]&gt;0,tbal[[#This Row],[HABER]]-tbal[[#This Row],[DEBE]],0)</f>
        <v>0</v>
      </c>
      <c r="I1727" s="16">
        <f>IF((OR(tbal[[#This Row],[X]]=1,tbal[[#This Row],[X]]=2)),tbal[[#This Row],[DEUDOR]],0)</f>
        <v>0</v>
      </c>
      <c r="J1727" s="18">
        <f>IF((OR(tbal[[#This Row],[X]]=2,tbal[[#This Row],[X]]=3)),tbal[[#This Row],[ACREEDOR]],0)</f>
        <v>0</v>
      </c>
      <c r="K1727" s="16">
        <f>IF((OR(tbal[[#This Row],[X]]=3,tbal[[#This Row],[X]]=5)),tbal[[#This Row],[DEUDOR]],0)</f>
        <v>0</v>
      </c>
      <c r="L1727" s="18">
        <f>IF((OR(tbal[[#This Row],[X]]=3,tbal[[#This Row],[X]]=4)),tbal[[#This Row],[ACREEDOR]],0)</f>
        <v>0</v>
      </c>
      <c r="M1727" s="16">
        <f>IF((OR(tbal[[#This Row],[X]]=0,tbal[[#This Row],[X]]=6)),tbal[[#This Row],[DEUDOR]],0)</f>
        <v>0</v>
      </c>
      <c r="N1727" s="18">
        <f>IF((OR(tbal[[#This Row],[X]]=0,tbal[[#This Row],[X]]=5)),tbal[[#This Row],[ACREEDOR]],0)</f>
        <v>0</v>
      </c>
    </row>
    <row r="1728" spans="1:14" hidden="1" x14ac:dyDescent="0.3">
      <c r="A1728" s="14">
        <f>+'PLAN DE CUENTAS'!A1728</f>
        <v>0</v>
      </c>
      <c r="B1728" s="13">
        <f>+'PLAN DE CUENTAS'!B1728</f>
        <v>0</v>
      </c>
      <c r="C1728" s="13">
        <f>+'PLAN DE CUENTAS'!C1728</f>
        <v>0</v>
      </c>
      <c r="D1728" t="str">
        <f>IF(tbal[[#This Row],[DEBE]]+tbal[[#This Row],[HABER]]=0,"","X")</f>
        <v/>
      </c>
      <c r="E1728" s="16">
        <f>SUMIF(tdiario[CUENTA],tbal[[#This Row],[CUENTA]],tdiario[DEBE])</f>
        <v>0</v>
      </c>
      <c r="F1728" s="17">
        <f>SUMIF(tdiario[CUENTA],tbal[[#This Row],[CUENTA]],tdiario[HABER])</f>
        <v>0</v>
      </c>
      <c r="G1728" s="16">
        <f>IF(tbal[[#This Row],[DEBE]]-tbal[[#This Row],[HABER]]&gt;0,tbal[[#This Row],[DEBE]]-tbal[[#This Row],[HABER]],0)</f>
        <v>0</v>
      </c>
      <c r="H1728" s="18">
        <f>IF(tbal[[#This Row],[HABER]]-tbal[[#This Row],[DEBE]]&gt;0,tbal[[#This Row],[HABER]]-tbal[[#This Row],[DEBE]],0)</f>
        <v>0</v>
      </c>
      <c r="I1728" s="16">
        <f>IF((OR(tbal[[#This Row],[X]]=1,tbal[[#This Row],[X]]=2)),tbal[[#This Row],[DEUDOR]],0)</f>
        <v>0</v>
      </c>
      <c r="J1728" s="18">
        <f>IF((OR(tbal[[#This Row],[X]]=2,tbal[[#This Row],[X]]=3)),tbal[[#This Row],[ACREEDOR]],0)</f>
        <v>0</v>
      </c>
      <c r="K1728" s="16">
        <f>IF((OR(tbal[[#This Row],[X]]=3,tbal[[#This Row],[X]]=5)),tbal[[#This Row],[DEUDOR]],0)</f>
        <v>0</v>
      </c>
      <c r="L1728" s="18">
        <f>IF((OR(tbal[[#This Row],[X]]=3,tbal[[#This Row],[X]]=4)),tbal[[#This Row],[ACREEDOR]],0)</f>
        <v>0</v>
      </c>
      <c r="M1728" s="16">
        <f>IF((OR(tbal[[#This Row],[X]]=0,tbal[[#This Row],[X]]=6)),tbal[[#This Row],[DEUDOR]],0)</f>
        <v>0</v>
      </c>
      <c r="N1728" s="18">
        <f>IF((OR(tbal[[#This Row],[X]]=0,tbal[[#This Row],[X]]=5)),tbal[[#This Row],[ACREEDOR]],0)</f>
        <v>0</v>
      </c>
    </row>
    <row r="1729" spans="1:14" hidden="1" x14ac:dyDescent="0.3">
      <c r="A1729" s="14">
        <f>+'PLAN DE CUENTAS'!A1729</f>
        <v>0</v>
      </c>
      <c r="B1729" s="13">
        <f>+'PLAN DE CUENTAS'!B1729</f>
        <v>0</v>
      </c>
      <c r="C1729" s="13">
        <f>+'PLAN DE CUENTAS'!C1729</f>
        <v>0</v>
      </c>
      <c r="D1729" t="str">
        <f>IF(tbal[[#This Row],[DEBE]]+tbal[[#This Row],[HABER]]=0,"","X")</f>
        <v/>
      </c>
      <c r="E1729" s="16">
        <f>SUMIF(tdiario[CUENTA],tbal[[#This Row],[CUENTA]],tdiario[DEBE])</f>
        <v>0</v>
      </c>
      <c r="F1729" s="17">
        <f>SUMIF(tdiario[CUENTA],tbal[[#This Row],[CUENTA]],tdiario[HABER])</f>
        <v>0</v>
      </c>
      <c r="G1729" s="16">
        <f>IF(tbal[[#This Row],[DEBE]]-tbal[[#This Row],[HABER]]&gt;0,tbal[[#This Row],[DEBE]]-tbal[[#This Row],[HABER]],0)</f>
        <v>0</v>
      </c>
      <c r="H1729" s="18">
        <f>IF(tbal[[#This Row],[HABER]]-tbal[[#This Row],[DEBE]]&gt;0,tbal[[#This Row],[HABER]]-tbal[[#This Row],[DEBE]],0)</f>
        <v>0</v>
      </c>
      <c r="I1729" s="16">
        <f>IF((OR(tbal[[#This Row],[X]]=1,tbal[[#This Row],[X]]=2)),tbal[[#This Row],[DEUDOR]],0)</f>
        <v>0</v>
      </c>
      <c r="J1729" s="18">
        <f>IF((OR(tbal[[#This Row],[X]]=2,tbal[[#This Row],[X]]=3)),tbal[[#This Row],[ACREEDOR]],0)</f>
        <v>0</v>
      </c>
      <c r="K1729" s="16">
        <f>IF((OR(tbal[[#This Row],[X]]=3,tbal[[#This Row],[X]]=5)),tbal[[#This Row],[DEUDOR]],0)</f>
        <v>0</v>
      </c>
      <c r="L1729" s="18">
        <f>IF((OR(tbal[[#This Row],[X]]=3,tbal[[#This Row],[X]]=4)),tbal[[#This Row],[ACREEDOR]],0)</f>
        <v>0</v>
      </c>
      <c r="M1729" s="16">
        <f>IF((OR(tbal[[#This Row],[X]]=0,tbal[[#This Row],[X]]=6)),tbal[[#This Row],[DEUDOR]],0)</f>
        <v>0</v>
      </c>
      <c r="N1729" s="18">
        <f>IF((OR(tbal[[#This Row],[X]]=0,tbal[[#This Row],[X]]=5)),tbal[[#This Row],[ACREEDOR]],0)</f>
        <v>0</v>
      </c>
    </row>
    <row r="1730" spans="1:14" hidden="1" x14ac:dyDescent="0.3">
      <c r="A1730" s="14">
        <f>+'PLAN DE CUENTAS'!A1730</f>
        <v>0</v>
      </c>
      <c r="B1730" s="13">
        <f>+'PLAN DE CUENTAS'!B1730</f>
        <v>0</v>
      </c>
      <c r="C1730" s="13">
        <f>+'PLAN DE CUENTAS'!C1730</f>
        <v>0</v>
      </c>
      <c r="D1730" t="str">
        <f>IF(tbal[[#This Row],[DEBE]]+tbal[[#This Row],[HABER]]=0,"","X")</f>
        <v/>
      </c>
      <c r="E1730" s="16">
        <f>SUMIF(tdiario[CUENTA],tbal[[#This Row],[CUENTA]],tdiario[DEBE])</f>
        <v>0</v>
      </c>
      <c r="F1730" s="17">
        <f>SUMIF(tdiario[CUENTA],tbal[[#This Row],[CUENTA]],tdiario[HABER])</f>
        <v>0</v>
      </c>
      <c r="G1730" s="16">
        <f>IF(tbal[[#This Row],[DEBE]]-tbal[[#This Row],[HABER]]&gt;0,tbal[[#This Row],[DEBE]]-tbal[[#This Row],[HABER]],0)</f>
        <v>0</v>
      </c>
      <c r="H1730" s="18">
        <f>IF(tbal[[#This Row],[HABER]]-tbal[[#This Row],[DEBE]]&gt;0,tbal[[#This Row],[HABER]]-tbal[[#This Row],[DEBE]],0)</f>
        <v>0</v>
      </c>
      <c r="I1730" s="16">
        <f>IF((OR(tbal[[#This Row],[X]]=1,tbal[[#This Row],[X]]=2)),tbal[[#This Row],[DEUDOR]],0)</f>
        <v>0</v>
      </c>
      <c r="J1730" s="18">
        <f>IF((OR(tbal[[#This Row],[X]]=2,tbal[[#This Row],[X]]=3)),tbal[[#This Row],[ACREEDOR]],0)</f>
        <v>0</v>
      </c>
      <c r="K1730" s="16">
        <f>IF((OR(tbal[[#This Row],[X]]=3,tbal[[#This Row],[X]]=5)),tbal[[#This Row],[DEUDOR]],0)</f>
        <v>0</v>
      </c>
      <c r="L1730" s="18">
        <f>IF((OR(tbal[[#This Row],[X]]=3,tbal[[#This Row],[X]]=4)),tbal[[#This Row],[ACREEDOR]],0)</f>
        <v>0</v>
      </c>
      <c r="M1730" s="16">
        <f>IF((OR(tbal[[#This Row],[X]]=0,tbal[[#This Row],[X]]=6)),tbal[[#This Row],[DEUDOR]],0)</f>
        <v>0</v>
      </c>
      <c r="N1730" s="18">
        <f>IF((OR(tbal[[#This Row],[X]]=0,tbal[[#This Row],[X]]=5)),tbal[[#This Row],[ACREEDOR]],0)</f>
        <v>0</v>
      </c>
    </row>
    <row r="1731" spans="1:14" hidden="1" x14ac:dyDescent="0.3">
      <c r="A1731" s="14">
        <f>+'PLAN DE CUENTAS'!A1731</f>
        <v>0</v>
      </c>
      <c r="B1731" s="13">
        <f>+'PLAN DE CUENTAS'!B1731</f>
        <v>0</v>
      </c>
      <c r="C1731" s="13">
        <f>+'PLAN DE CUENTAS'!C1731</f>
        <v>0</v>
      </c>
      <c r="D1731" t="str">
        <f>IF(tbal[[#This Row],[DEBE]]+tbal[[#This Row],[HABER]]=0,"","X")</f>
        <v/>
      </c>
      <c r="E1731" s="16">
        <f>SUMIF(tdiario[CUENTA],tbal[[#This Row],[CUENTA]],tdiario[DEBE])</f>
        <v>0</v>
      </c>
      <c r="F1731" s="17">
        <f>SUMIF(tdiario[CUENTA],tbal[[#This Row],[CUENTA]],tdiario[HABER])</f>
        <v>0</v>
      </c>
      <c r="G1731" s="16">
        <f>IF(tbal[[#This Row],[DEBE]]-tbal[[#This Row],[HABER]]&gt;0,tbal[[#This Row],[DEBE]]-tbal[[#This Row],[HABER]],0)</f>
        <v>0</v>
      </c>
      <c r="H1731" s="18">
        <f>IF(tbal[[#This Row],[HABER]]-tbal[[#This Row],[DEBE]]&gt;0,tbal[[#This Row],[HABER]]-tbal[[#This Row],[DEBE]],0)</f>
        <v>0</v>
      </c>
      <c r="I1731" s="16">
        <f>IF((OR(tbal[[#This Row],[X]]=1,tbal[[#This Row],[X]]=2)),tbal[[#This Row],[DEUDOR]],0)</f>
        <v>0</v>
      </c>
      <c r="J1731" s="18">
        <f>IF((OR(tbal[[#This Row],[X]]=2,tbal[[#This Row],[X]]=3)),tbal[[#This Row],[ACREEDOR]],0)</f>
        <v>0</v>
      </c>
      <c r="K1731" s="16">
        <f>IF((OR(tbal[[#This Row],[X]]=3,tbal[[#This Row],[X]]=5)),tbal[[#This Row],[DEUDOR]],0)</f>
        <v>0</v>
      </c>
      <c r="L1731" s="18">
        <f>IF((OR(tbal[[#This Row],[X]]=3,tbal[[#This Row],[X]]=4)),tbal[[#This Row],[ACREEDOR]],0)</f>
        <v>0</v>
      </c>
      <c r="M1731" s="16">
        <f>IF((OR(tbal[[#This Row],[X]]=0,tbal[[#This Row],[X]]=6)),tbal[[#This Row],[DEUDOR]],0)</f>
        <v>0</v>
      </c>
      <c r="N1731" s="18">
        <f>IF((OR(tbal[[#This Row],[X]]=0,tbal[[#This Row],[X]]=5)),tbal[[#This Row],[ACREEDOR]],0)</f>
        <v>0</v>
      </c>
    </row>
    <row r="1732" spans="1:14" hidden="1" x14ac:dyDescent="0.3">
      <c r="A1732" s="14">
        <f>+'PLAN DE CUENTAS'!A1732</f>
        <v>0</v>
      </c>
      <c r="B1732" s="13">
        <f>+'PLAN DE CUENTAS'!B1732</f>
        <v>0</v>
      </c>
      <c r="C1732" s="13">
        <f>+'PLAN DE CUENTAS'!C1732</f>
        <v>0</v>
      </c>
      <c r="D1732" t="str">
        <f>IF(tbal[[#This Row],[DEBE]]+tbal[[#This Row],[HABER]]=0,"","X")</f>
        <v/>
      </c>
      <c r="E1732" s="16">
        <f>SUMIF(tdiario[CUENTA],tbal[[#This Row],[CUENTA]],tdiario[DEBE])</f>
        <v>0</v>
      </c>
      <c r="F1732" s="17">
        <f>SUMIF(tdiario[CUENTA],tbal[[#This Row],[CUENTA]],tdiario[HABER])</f>
        <v>0</v>
      </c>
      <c r="G1732" s="16">
        <f>IF(tbal[[#This Row],[DEBE]]-tbal[[#This Row],[HABER]]&gt;0,tbal[[#This Row],[DEBE]]-tbal[[#This Row],[HABER]],0)</f>
        <v>0</v>
      </c>
      <c r="H1732" s="18">
        <f>IF(tbal[[#This Row],[HABER]]-tbal[[#This Row],[DEBE]]&gt;0,tbal[[#This Row],[HABER]]-tbal[[#This Row],[DEBE]],0)</f>
        <v>0</v>
      </c>
      <c r="I1732" s="16">
        <f>IF((OR(tbal[[#This Row],[X]]=1,tbal[[#This Row],[X]]=2)),tbal[[#This Row],[DEUDOR]],0)</f>
        <v>0</v>
      </c>
      <c r="J1732" s="18">
        <f>IF((OR(tbal[[#This Row],[X]]=2,tbal[[#This Row],[X]]=3)),tbal[[#This Row],[ACREEDOR]],0)</f>
        <v>0</v>
      </c>
      <c r="K1732" s="16">
        <f>IF((OR(tbal[[#This Row],[X]]=3,tbal[[#This Row],[X]]=5)),tbal[[#This Row],[DEUDOR]],0)</f>
        <v>0</v>
      </c>
      <c r="L1732" s="18">
        <f>IF((OR(tbal[[#This Row],[X]]=3,tbal[[#This Row],[X]]=4)),tbal[[#This Row],[ACREEDOR]],0)</f>
        <v>0</v>
      </c>
      <c r="M1732" s="16">
        <f>IF((OR(tbal[[#This Row],[X]]=0,tbal[[#This Row],[X]]=6)),tbal[[#This Row],[DEUDOR]],0)</f>
        <v>0</v>
      </c>
      <c r="N1732" s="18">
        <f>IF((OR(tbal[[#This Row],[X]]=0,tbal[[#This Row],[X]]=5)),tbal[[#This Row],[ACREEDOR]],0)</f>
        <v>0</v>
      </c>
    </row>
    <row r="1733" spans="1:14" hidden="1" x14ac:dyDescent="0.3">
      <c r="A1733" s="14">
        <f>+'PLAN DE CUENTAS'!A1733</f>
        <v>0</v>
      </c>
      <c r="B1733" s="13">
        <f>+'PLAN DE CUENTAS'!B1733</f>
        <v>0</v>
      </c>
      <c r="C1733" s="13">
        <f>+'PLAN DE CUENTAS'!C1733</f>
        <v>0</v>
      </c>
      <c r="D1733" t="str">
        <f>IF(tbal[[#This Row],[DEBE]]+tbal[[#This Row],[HABER]]=0,"","X")</f>
        <v/>
      </c>
      <c r="E1733" s="16">
        <f>SUMIF(tdiario[CUENTA],tbal[[#This Row],[CUENTA]],tdiario[DEBE])</f>
        <v>0</v>
      </c>
      <c r="F1733" s="17">
        <f>SUMIF(tdiario[CUENTA],tbal[[#This Row],[CUENTA]],tdiario[HABER])</f>
        <v>0</v>
      </c>
      <c r="G1733" s="16">
        <f>IF(tbal[[#This Row],[DEBE]]-tbal[[#This Row],[HABER]]&gt;0,tbal[[#This Row],[DEBE]]-tbal[[#This Row],[HABER]],0)</f>
        <v>0</v>
      </c>
      <c r="H1733" s="18">
        <f>IF(tbal[[#This Row],[HABER]]-tbal[[#This Row],[DEBE]]&gt;0,tbal[[#This Row],[HABER]]-tbal[[#This Row],[DEBE]],0)</f>
        <v>0</v>
      </c>
      <c r="I1733" s="16">
        <f>IF((OR(tbal[[#This Row],[X]]=1,tbal[[#This Row],[X]]=2)),tbal[[#This Row],[DEUDOR]],0)</f>
        <v>0</v>
      </c>
      <c r="J1733" s="18">
        <f>IF((OR(tbal[[#This Row],[X]]=2,tbal[[#This Row],[X]]=3)),tbal[[#This Row],[ACREEDOR]],0)</f>
        <v>0</v>
      </c>
      <c r="K1733" s="16">
        <f>IF((OR(tbal[[#This Row],[X]]=3,tbal[[#This Row],[X]]=5)),tbal[[#This Row],[DEUDOR]],0)</f>
        <v>0</v>
      </c>
      <c r="L1733" s="18">
        <f>IF((OR(tbal[[#This Row],[X]]=3,tbal[[#This Row],[X]]=4)),tbal[[#This Row],[ACREEDOR]],0)</f>
        <v>0</v>
      </c>
      <c r="M1733" s="16">
        <f>IF((OR(tbal[[#This Row],[X]]=0,tbal[[#This Row],[X]]=6)),tbal[[#This Row],[DEUDOR]],0)</f>
        <v>0</v>
      </c>
      <c r="N1733" s="18">
        <f>IF((OR(tbal[[#This Row],[X]]=0,tbal[[#This Row],[X]]=5)),tbal[[#This Row],[ACREEDOR]],0)</f>
        <v>0</v>
      </c>
    </row>
    <row r="1734" spans="1:14" hidden="1" x14ac:dyDescent="0.3">
      <c r="A1734" s="14">
        <f>+'PLAN DE CUENTAS'!A1734</f>
        <v>0</v>
      </c>
      <c r="B1734" s="13">
        <f>+'PLAN DE CUENTAS'!B1734</f>
        <v>0</v>
      </c>
      <c r="C1734" s="13">
        <f>+'PLAN DE CUENTAS'!C1734</f>
        <v>0</v>
      </c>
      <c r="D1734" t="str">
        <f>IF(tbal[[#This Row],[DEBE]]+tbal[[#This Row],[HABER]]=0,"","X")</f>
        <v/>
      </c>
      <c r="E1734" s="16">
        <f>SUMIF(tdiario[CUENTA],tbal[[#This Row],[CUENTA]],tdiario[DEBE])</f>
        <v>0</v>
      </c>
      <c r="F1734" s="17">
        <f>SUMIF(tdiario[CUENTA],tbal[[#This Row],[CUENTA]],tdiario[HABER])</f>
        <v>0</v>
      </c>
      <c r="G1734" s="16">
        <f>IF(tbal[[#This Row],[DEBE]]-tbal[[#This Row],[HABER]]&gt;0,tbal[[#This Row],[DEBE]]-tbal[[#This Row],[HABER]],0)</f>
        <v>0</v>
      </c>
      <c r="H1734" s="18">
        <f>IF(tbal[[#This Row],[HABER]]-tbal[[#This Row],[DEBE]]&gt;0,tbal[[#This Row],[HABER]]-tbal[[#This Row],[DEBE]],0)</f>
        <v>0</v>
      </c>
      <c r="I1734" s="16">
        <f>IF((OR(tbal[[#This Row],[X]]=1,tbal[[#This Row],[X]]=2)),tbal[[#This Row],[DEUDOR]],0)</f>
        <v>0</v>
      </c>
      <c r="J1734" s="18">
        <f>IF((OR(tbal[[#This Row],[X]]=2,tbal[[#This Row],[X]]=3)),tbal[[#This Row],[ACREEDOR]],0)</f>
        <v>0</v>
      </c>
      <c r="K1734" s="16">
        <f>IF((OR(tbal[[#This Row],[X]]=3,tbal[[#This Row],[X]]=5)),tbal[[#This Row],[DEUDOR]],0)</f>
        <v>0</v>
      </c>
      <c r="L1734" s="18">
        <f>IF((OR(tbal[[#This Row],[X]]=3,tbal[[#This Row],[X]]=4)),tbal[[#This Row],[ACREEDOR]],0)</f>
        <v>0</v>
      </c>
      <c r="M1734" s="16">
        <f>IF((OR(tbal[[#This Row],[X]]=0,tbal[[#This Row],[X]]=6)),tbal[[#This Row],[DEUDOR]],0)</f>
        <v>0</v>
      </c>
      <c r="N1734" s="18">
        <f>IF((OR(tbal[[#This Row],[X]]=0,tbal[[#This Row],[X]]=5)),tbal[[#This Row],[ACREEDOR]],0)</f>
        <v>0</v>
      </c>
    </row>
    <row r="1735" spans="1:14" hidden="1" x14ac:dyDescent="0.3">
      <c r="A1735" s="14">
        <f>+'PLAN DE CUENTAS'!A1735</f>
        <v>0</v>
      </c>
      <c r="B1735" s="13">
        <f>+'PLAN DE CUENTAS'!B1735</f>
        <v>0</v>
      </c>
      <c r="C1735" s="13">
        <f>+'PLAN DE CUENTAS'!C1735</f>
        <v>0</v>
      </c>
      <c r="D1735" t="str">
        <f>IF(tbal[[#This Row],[DEBE]]+tbal[[#This Row],[HABER]]=0,"","X")</f>
        <v/>
      </c>
      <c r="E1735" s="16">
        <f>SUMIF(tdiario[CUENTA],tbal[[#This Row],[CUENTA]],tdiario[DEBE])</f>
        <v>0</v>
      </c>
      <c r="F1735" s="17">
        <f>SUMIF(tdiario[CUENTA],tbal[[#This Row],[CUENTA]],tdiario[HABER])</f>
        <v>0</v>
      </c>
      <c r="G1735" s="16">
        <f>IF(tbal[[#This Row],[DEBE]]-tbal[[#This Row],[HABER]]&gt;0,tbal[[#This Row],[DEBE]]-tbal[[#This Row],[HABER]],0)</f>
        <v>0</v>
      </c>
      <c r="H1735" s="18">
        <f>IF(tbal[[#This Row],[HABER]]-tbal[[#This Row],[DEBE]]&gt;0,tbal[[#This Row],[HABER]]-tbal[[#This Row],[DEBE]],0)</f>
        <v>0</v>
      </c>
      <c r="I1735" s="16">
        <f>IF((OR(tbal[[#This Row],[X]]=1,tbal[[#This Row],[X]]=2)),tbal[[#This Row],[DEUDOR]],0)</f>
        <v>0</v>
      </c>
      <c r="J1735" s="18">
        <f>IF((OR(tbal[[#This Row],[X]]=2,tbal[[#This Row],[X]]=3)),tbal[[#This Row],[ACREEDOR]],0)</f>
        <v>0</v>
      </c>
      <c r="K1735" s="16">
        <f>IF((OR(tbal[[#This Row],[X]]=3,tbal[[#This Row],[X]]=5)),tbal[[#This Row],[DEUDOR]],0)</f>
        <v>0</v>
      </c>
      <c r="L1735" s="18">
        <f>IF((OR(tbal[[#This Row],[X]]=3,tbal[[#This Row],[X]]=4)),tbal[[#This Row],[ACREEDOR]],0)</f>
        <v>0</v>
      </c>
      <c r="M1735" s="16">
        <f>IF((OR(tbal[[#This Row],[X]]=0,tbal[[#This Row],[X]]=6)),tbal[[#This Row],[DEUDOR]],0)</f>
        <v>0</v>
      </c>
      <c r="N1735" s="18">
        <f>IF((OR(tbal[[#This Row],[X]]=0,tbal[[#This Row],[X]]=5)),tbal[[#This Row],[ACREEDOR]],0)</f>
        <v>0</v>
      </c>
    </row>
    <row r="1736" spans="1:14" hidden="1" x14ac:dyDescent="0.3">
      <c r="A1736" s="14">
        <f>+'PLAN DE CUENTAS'!A1736</f>
        <v>0</v>
      </c>
      <c r="B1736" s="13">
        <f>+'PLAN DE CUENTAS'!B1736</f>
        <v>0</v>
      </c>
      <c r="C1736" s="13">
        <f>+'PLAN DE CUENTAS'!C1736</f>
        <v>0</v>
      </c>
      <c r="D1736" t="str">
        <f>IF(tbal[[#This Row],[DEBE]]+tbal[[#This Row],[HABER]]=0,"","X")</f>
        <v/>
      </c>
      <c r="E1736" s="16">
        <f>SUMIF(tdiario[CUENTA],tbal[[#This Row],[CUENTA]],tdiario[DEBE])</f>
        <v>0</v>
      </c>
      <c r="F1736" s="17">
        <f>SUMIF(tdiario[CUENTA],tbal[[#This Row],[CUENTA]],tdiario[HABER])</f>
        <v>0</v>
      </c>
      <c r="G1736" s="16">
        <f>IF(tbal[[#This Row],[DEBE]]-tbal[[#This Row],[HABER]]&gt;0,tbal[[#This Row],[DEBE]]-tbal[[#This Row],[HABER]],0)</f>
        <v>0</v>
      </c>
      <c r="H1736" s="18">
        <f>IF(tbal[[#This Row],[HABER]]-tbal[[#This Row],[DEBE]]&gt;0,tbal[[#This Row],[HABER]]-tbal[[#This Row],[DEBE]],0)</f>
        <v>0</v>
      </c>
      <c r="I1736" s="16">
        <f>IF((OR(tbal[[#This Row],[X]]=1,tbal[[#This Row],[X]]=2)),tbal[[#This Row],[DEUDOR]],0)</f>
        <v>0</v>
      </c>
      <c r="J1736" s="18">
        <f>IF((OR(tbal[[#This Row],[X]]=2,tbal[[#This Row],[X]]=3)),tbal[[#This Row],[ACREEDOR]],0)</f>
        <v>0</v>
      </c>
      <c r="K1736" s="16">
        <f>IF((OR(tbal[[#This Row],[X]]=3,tbal[[#This Row],[X]]=5)),tbal[[#This Row],[DEUDOR]],0)</f>
        <v>0</v>
      </c>
      <c r="L1736" s="18">
        <f>IF((OR(tbal[[#This Row],[X]]=3,tbal[[#This Row],[X]]=4)),tbal[[#This Row],[ACREEDOR]],0)</f>
        <v>0</v>
      </c>
      <c r="M1736" s="16">
        <f>IF((OR(tbal[[#This Row],[X]]=0,tbal[[#This Row],[X]]=6)),tbal[[#This Row],[DEUDOR]],0)</f>
        <v>0</v>
      </c>
      <c r="N1736" s="18">
        <f>IF((OR(tbal[[#This Row],[X]]=0,tbal[[#This Row],[X]]=5)),tbal[[#This Row],[ACREEDOR]],0)</f>
        <v>0</v>
      </c>
    </row>
    <row r="1737" spans="1:14" hidden="1" x14ac:dyDescent="0.3">
      <c r="A1737" s="14">
        <f>+'PLAN DE CUENTAS'!A1737</f>
        <v>0</v>
      </c>
      <c r="B1737" s="13">
        <f>+'PLAN DE CUENTAS'!B1737</f>
        <v>0</v>
      </c>
      <c r="C1737" s="13">
        <f>+'PLAN DE CUENTAS'!C1737</f>
        <v>0</v>
      </c>
      <c r="D1737" t="str">
        <f>IF(tbal[[#This Row],[DEBE]]+tbal[[#This Row],[HABER]]=0,"","X")</f>
        <v/>
      </c>
      <c r="E1737" s="16">
        <f>SUMIF(tdiario[CUENTA],tbal[[#This Row],[CUENTA]],tdiario[DEBE])</f>
        <v>0</v>
      </c>
      <c r="F1737" s="17">
        <f>SUMIF(tdiario[CUENTA],tbal[[#This Row],[CUENTA]],tdiario[HABER])</f>
        <v>0</v>
      </c>
      <c r="G1737" s="16">
        <f>IF(tbal[[#This Row],[DEBE]]-tbal[[#This Row],[HABER]]&gt;0,tbal[[#This Row],[DEBE]]-tbal[[#This Row],[HABER]],0)</f>
        <v>0</v>
      </c>
      <c r="H1737" s="18">
        <f>IF(tbal[[#This Row],[HABER]]-tbal[[#This Row],[DEBE]]&gt;0,tbal[[#This Row],[HABER]]-tbal[[#This Row],[DEBE]],0)</f>
        <v>0</v>
      </c>
      <c r="I1737" s="16">
        <f>IF((OR(tbal[[#This Row],[X]]=1,tbal[[#This Row],[X]]=2)),tbal[[#This Row],[DEUDOR]],0)</f>
        <v>0</v>
      </c>
      <c r="J1737" s="18">
        <f>IF((OR(tbal[[#This Row],[X]]=2,tbal[[#This Row],[X]]=3)),tbal[[#This Row],[ACREEDOR]],0)</f>
        <v>0</v>
      </c>
      <c r="K1737" s="16">
        <f>IF((OR(tbal[[#This Row],[X]]=3,tbal[[#This Row],[X]]=5)),tbal[[#This Row],[DEUDOR]],0)</f>
        <v>0</v>
      </c>
      <c r="L1737" s="18">
        <f>IF((OR(tbal[[#This Row],[X]]=3,tbal[[#This Row],[X]]=4)),tbal[[#This Row],[ACREEDOR]],0)</f>
        <v>0</v>
      </c>
      <c r="M1737" s="16">
        <f>IF((OR(tbal[[#This Row],[X]]=0,tbal[[#This Row],[X]]=6)),tbal[[#This Row],[DEUDOR]],0)</f>
        <v>0</v>
      </c>
      <c r="N1737" s="18">
        <f>IF((OR(tbal[[#This Row],[X]]=0,tbal[[#This Row],[X]]=5)),tbal[[#This Row],[ACREEDOR]],0)</f>
        <v>0</v>
      </c>
    </row>
    <row r="1738" spans="1:14" hidden="1" x14ac:dyDescent="0.3">
      <c r="A1738" s="14">
        <f>+'PLAN DE CUENTAS'!A1738</f>
        <v>0</v>
      </c>
      <c r="B1738" s="13">
        <f>+'PLAN DE CUENTAS'!B1738</f>
        <v>0</v>
      </c>
      <c r="C1738" s="13">
        <f>+'PLAN DE CUENTAS'!C1738</f>
        <v>0</v>
      </c>
      <c r="D1738" t="str">
        <f>IF(tbal[[#This Row],[DEBE]]+tbal[[#This Row],[HABER]]=0,"","X")</f>
        <v/>
      </c>
      <c r="E1738" s="16">
        <f>SUMIF(tdiario[CUENTA],tbal[[#This Row],[CUENTA]],tdiario[DEBE])</f>
        <v>0</v>
      </c>
      <c r="F1738" s="17">
        <f>SUMIF(tdiario[CUENTA],tbal[[#This Row],[CUENTA]],tdiario[HABER])</f>
        <v>0</v>
      </c>
      <c r="G1738" s="16">
        <f>IF(tbal[[#This Row],[DEBE]]-tbal[[#This Row],[HABER]]&gt;0,tbal[[#This Row],[DEBE]]-tbal[[#This Row],[HABER]],0)</f>
        <v>0</v>
      </c>
      <c r="H1738" s="18">
        <f>IF(tbal[[#This Row],[HABER]]-tbal[[#This Row],[DEBE]]&gt;0,tbal[[#This Row],[HABER]]-tbal[[#This Row],[DEBE]],0)</f>
        <v>0</v>
      </c>
      <c r="I1738" s="16">
        <f>IF((OR(tbal[[#This Row],[X]]=1,tbal[[#This Row],[X]]=2)),tbal[[#This Row],[DEUDOR]],0)</f>
        <v>0</v>
      </c>
      <c r="J1738" s="18">
        <f>IF((OR(tbal[[#This Row],[X]]=2,tbal[[#This Row],[X]]=3)),tbal[[#This Row],[ACREEDOR]],0)</f>
        <v>0</v>
      </c>
      <c r="K1738" s="16">
        <f>IF((OR(tbal[[#This Row],[X]]=3,tbal[[#This Row],[X]]=5)),tbal[[#This Row],[DEUDOR]],0)</f>
        <v>0</v>
      </c>
      <c r="L1738" s="18">
        <f>IF((OR(tbal[[#This Row],[X]]=3,tbal[[#This Row],[X]]=4)),tbal[[#This Row],[ACREEDOR]],0)</f>
        <v>0</v>
      </c>
      <c r="M1738" s="16">
        <f>IF((OR(tbal[[#This Row],[X]]=0,tbal[[#This Row],[X]]=6)),tbal[[#This Row],[DEUDOR]],0)</f>
        <v>0</v>
      </c>
      <c r="N1738" s="18">
        <f>IF((OR(tbal[[#This Row],[X]]=0,tbal[[#This Row],[X]]=5)),tbal[[#This Row],[ACREEDOR]],0)</f>
        <v>0</v>
      </c>
    </row>
    <row r="1739" spans="1:14" hidden="1" x14ac:dyDescent="0.3">
      <c r="A1739" s="14">
        <f>+'PLAN DE CUENTAS'!A1739</f>
        <v>0</v>
      </c>
      <c r="B1739" s="13">
        <f>+'PLAN DE CUENTAS'!B1739</f>
        <v>0</v>
      </c>
      <c r="C1739" s="13">
        <f>+'PLAN DE CUENTAS'!C1739</f>
        <v>0</v>
      </c>
      <c r="D1739" t="str">
        <f>IF(tbal[[#This Row],[DEBE]]+tbal[[#This Row],[HABER]]=0,"","X")</f>
        <v/>
      </c>
      <c r="E1739" s="16">
        <f>SUMIF(tdiario[CUENTA],tbal[[#This Row],[CUENTA]],tdiario[DEBE])</f>
        <v>0</v>
      </c>
      <c r="F1739" s="17">
        <f>SUMIF(tdiario[CUENTA],tbal[[#This Row],[CUENTA]],tdiario[HABER])</f>
        <v>0</v>
      </c>
      <c r="G1739" s="16">
        <f>IF(tbal[[#This Row],[DEBE]]-tbal[[#This Row],[HABER]]&gt;0,tbal[[#This Row],[DEBE]]-tbal[[#This Row],[HABER]],0)</f>
        <v>0</v>
      </c>
      <c r="H1739" s="18">
        <f>IF(tbal[[#This Row],[HABER]]-tbal[[#This Row],[DEBE]]&gt;0,tbal[[#This Row],[HABER]]-tbal[[#This Row],[DEBE]],0)</f>
        <v>0</v>
      </c>
      <c r="I1739" s="16">
        <f>IF((OR(tbal[[#This Row],[X]]=1,tbal[[#This Row],[X]]=2)),tbal[[#This Row],[DEUDOR]],0)</f>
        <v>0</v>
      </c>
      <c r="J1739" s="18">
        <f>IF((OR(tbal[[#This Row],[X]]=2,tbal[[#This Row],[X]]=3)),tbal[[#This Row],[ACREEDOR]],0)</f>
        <v>0</v>
      </c>
      <c r="K1739" s="16">
        <f>IF((OR(tbal[[#This Row],[X]]=3,tbal[[#This Row],[X]]=5)),tbal[[#This Row],[DEUDOR]],0)</f>
        <v>0</v>
      </c>
      <c r="L1739" s="18">
        <f>IF((OR(tbal[[#This Row],[X]]=3,tbal[[#This Row],[X]]=4)),tbal[[#This Row],[ACREEDOR]],0)</f>
        <v>0</v>
      </c>
      <c r="M1739" s="16">
        <f>IF((OR(tbal[[#This Row],[X]]=0,tbal[[#This Row],[X]]=6)),tbal[[#This Row],[DEUDOR]],0)</f>
        <v>0</v>
      </c>
      <c r="N1739" s="18">
        <f>IF((OR(tbal[[#This Row],[X]]=0,tbal[[#This Row],[X]]=5)),tbal[[#This Row],[ACREEDOR]],0)</f>
        <v>0</v>
      </c>
    </row>
    <row r="1740" spans="1:14" hidden="1" x14ac:dyDescent="0.3">
      <c r="A1740" s="14">
        <f>+'PLAN DE CUENTAS'!A1740</f>
        <v>0</v>
      </c>
      <c r="B1740" s="13">
        <f>+'PLAN DE CUENTAS'!B1740</f>
        <v>0</v>
      </c>
      <c r="C1740" s="13">
        <f>+'PLAN DE CUENTAS'!C1740</f>
        <v>0</v>
      </c>
      <c r="D1740" t="str">
        <f>IF(tbal[[#This Row],[DEBE]]+tbal[[#This Row],[HABER]]=0,"","X")</f>
        <v/>
      </c>
      <c r="E1740" s="16">
        <f>SUMIF(tdiario[CUENTA],tbal[[#This Row],[CUENTA]],tdiario[DEBE])</f>
        <v>0</v>
      </c>
      <c r="F1740" s="17">
        <f>SUMIF(tdiario[CUENTA],tbal[[#This Row],[CUENTA]],tdiario[HABER])</f>
        <v>0</v>
      </c>
      <c r="G1740" s="16">
        <f>IF(tbal[[#This Row],[DEBE]]-tbal[[#This Row],[HABER]]&gt;0,tbal[[#This Row],[DEBE]]-tbal[[#This Row],[HABER]],0)</f>
        <v>0</v>
      </c>
      <c r="H1740" s="18">
        <f>IF(tbal[[#This Row],[HABER]]-tbal[[#This Row],[DEBE]]&gt;0,tbal[[#This Row],[HABER]]-tbal[[#This Row],[DEBE]],0)</f>
        <v>0</v>
      </c>
      <c r="I1740" s="16">
        <f>IF((OR(tbal[[#This Row],[X]]=1,tbal[[#This Row],[X]]=2)),tbal[[#This Row],[DEUDOR]],0)</f>
        <v>0</v>
      </c>
      <c r="J1740" s="18">
        <f>IF((OR(tbal[[#This Row],[X]]=2,tbal[[#This Row],[X]]=3)),tbal[[#This Row],[ACREEDOR]],0)</f>
        <v>0</v>
      </c>
      <c r="K1740" s="16">
        <f>IF((OR(tbal[[#This Row],[X]]=3,tbal[[#This Row],[X]]=5)),tbal[[#This Row],[DEUDOR]],0)</f>
        <v>0</v>
      </c>
      <c r="L1740" s="18">
        <f>IF((OR(tbal[[#This Row],[X]]=3,tbal[[#This Row],[X]]=4)),tbal[[#This Row],[ACREEDOR]],0)</f>
        <v>0</v>
      </c>
      <c r="M1740" s="16">
        <f>IF((OR(tbal[[#This Row],[X]]=0,tbal[[#This Row],[X]]=6)),tbal[[#This Row],[DEUDOR]],0)</f>
        <v>0</v>
      </c>
      <c r="N1740" s="18">
        <f>IF((OR(tbal[[#This Row],[X]]=0,tbal[[#This Row],[X]]=5)),tbal[[#This Row],[ACREEDOR]],0)</f>
        <v>0</v>
      </c>
    </row>
    <row r="1741" spans="1:14" hidden="1" x14ac:dyDescent="0.3">
      <c r="A1741" s="14">
        <f>+'PLAN DE CUENTAS'!A1741</f>
        <v>0</v>
      </c>
      <c r="B1741" s="13">
        <f>+'PLAN DE CUENTAS'!B1741</f>
        <v>0</v>
      </c>
      <c r="C1741" s="13">
        <f>+'PLAN DE CUENTAS'!C1741</f>
        <v>0</v>
      </c>
      <c r="D1741" t="str">
        <f>IF(tbal[[#This Row],[DEBE]]+tbal[[#This Row],[HABER]]=0,"","X")</f>
        <v/>
      </c>
      <c r="E1741" s="16">
        <f>SUMIF(tdiario[CUENTA],tbal[[#This Row],[CUENTA]],tdiario[DEBE])</f>
        <v>0</v>
      </c>
      <c r="F1741" s="17">
        <f>SUMIF(tdiario[CUENTA],tbal[[#This Row],[CUENTA]],tdiario[HABER])</f>
        <v>0</v>
      </c>
      <c r="G1741" s="16">
        <f>IF(tbal[[#This Row],[DEBE]]-tbal[[#This Row],[HABER]]&gt;0,tbal[[#This Row],[DEBE]]-tbal[[#This Row],[HABER]],0)</f>
        <v>0</v>
      </c>
      <c r="H1741" s="18">
        <f>IF(tbal[[#This Row],[HABER]]-tbal[[#This Row],[DEBE]]&gt;0,tbal[[#This Row],[HABER]]-tbal[[#This Row],[DEBE]],0)</f>
        <v>0</v>
      </c>
      <c r="I1741" s="16">
        <f>IF((OR(tbal[[#This Row],[X]]=1,tbal[[#This Row],[X]]=2)),tbal[[#This Row],[DEUDOR]],0)</f>
        <v>0</v>
      </c>
      <c r="J1741" s="18">
        <f>IF((OR(tbal[[#This Row],[X]]=2,tbal[[#This Row],[X]]=3)),tbal[[#This Row],[ACREEDOR]],0)</f>
        <v>0</v>
      </c>
      <c r="K1741" s="16">
        <f>IF((OR(tbal[[#This Row],[X]]=3,tbal[[#This Row],[X]]=5)),tbal[[#This Row],[DEUDOR]],0)</f>
        <v>0</v>
      </c>
      <c r="L1741" s="18">
        <f>IF((OR(tbal[[#This Row],[X]]=3,tbal[[#This Row],[X]]=4)),tbal[[#This Row],[ACREEDOR]],0)</f>
        <v>0</v>
      </c>
      <c r="M1741" s="16">
        <f>IF((OR(tbal[[#This Row],[X]]=0,tbal[[#This Row],[X]]=6)),tbal[[#This Row],[DEUDOR]],0)</f>
        <v>0</v>
      </c>
      <c r="N1741" s="18">
        <f>IF((OR(tbal[[#This Row],[X]]=0,tbal[[#This Row],[X]]=5)),tbal[[#This Row],[ACREEDOR]],0)</f>
        <v>0</v>
      </c>
    </row>
    <row r="1742" spans="1:14" hidden="1" x14ac:dyDescent="0.3">
      <c r="A1742" s="14">
        <f>+'PLAN DE CUENTAS'!A1742</f>
        <v>0</v>
      </c>
      <c r="B1742" s="13">
        <f>+'PLAN DE CUENTAS'!B1742</f>
        <v>0</v>
      </c>
      <c r="C1742" s="13">
        <f>+'PLAN DE CUENTAS'!C1742</f>
        <v>0</v>
      </c>
      <c r="D1742" t="str">
        <f>IF(tbal[[#This Row],[DEBE]]+tbal[[#This Row],[HABER]]=0,"","X")</f>
        <v/>
      </c>
      <c r="E1742" s="16">
        <f>SUMIF(tdiario[CUENTA],tbal[[#This Row],[CUENTA]],tdiario[DEBE])</f>
        <v>0</v>
      </c>
      <c r="F1742" s="17">
        <f>SUMIF(tdiario[CUENTA],tbal[[#This Row],[CUENTA]],tdiario[HABER])</f>
        <v>0</v>
      </c>
      <c r="G1742" s="16">
        <f>IF(tbal[[#This Row],[DEBE]]-tbal[[#This Row],[HABER]]&gt;0,tbal[[#This Row],[DEBE]]-tbal[[#This Row],[HABER]],0)</f>
        <v>0</v>
      </c>
      <c r="H1742" s="18">
        <f>IF(tbal[[#This Row],[HABER]]-tbal[[#This Row],[DEBE]]&gt;0,tbal[[#This Row],[HABER]]-tbal[[#This Row],[DEBE]],0)</f>
        <v>0</v>
      </c>
      <c r="I1742" s="16">
        <f>IF((OR(tbal[[#This Row],[X]]=1,tbal[[#This Row],[X]]=2)),tbal[[#This Row],[DEUDOR]],0)</f>
        <v>0</v>
      </c>
      <c r="J1742" s="18">
        <f>IF((OR(tbal[[#This Row],[X]]=2,tbal[[#This Row],[X]]=3)),tbal[[#This Row],[ACREEDOR]],0)</f>
        <v>0</v>
      </c>
      <c r="K1742" s="16">
        <f>IF((OR(tbal[[#This Row],[X]]=3,tbal[[#This Row],[X]]=5)),tbal[[#This Row],[DEUDOR]],0)</f>
        <v>0</v>
      </c>
      <c r="L1742" s="18">
        <f>IF((OR(tbal[[#This Row],[X]]=3,tbal[[#This Row],[X]]=4)),tbal[[#This Row],[ACREEDOR]],0)</f>
        <v>0</v>
      </c>
      <c r="M1742" s="16">
        <f>IF((OR(tbal[[#This Row],[X]]=0,tbal[[#This Row],[X]]=6)),tbal[[#This Row],[DEUDOR]],0)</f>
        <v>0</v>
      </c>
      <c r="N1742" s="18">
        <f>IF((OR(tbal[[#This Row],[X]]=0,tbal[[#This Row],[X]]=5)),tbal[[#This Row],[ACREEDOR]],0)</f>
        <v>0</v>
      </c>
    </row>
    <row r="1743" spans="1:14" hidden="1" x14ac:dyDescent="0.3">
      <c r="A1743" s="14">
        <f>+'PLAN DE CUENTAS'!A1743</f>
        <v>0</v>
      </c>
      <c r="B1743" s="13">
        <f>+'PLAN DE CUENTAS'!B1743</f>
        <v>0</v>
      </c>
      <c r="C1743" s="13">
        <f>+'PLAN DE CUENTAS'!C1743</f>
        <v>0</v>
      </c>
      <c r="D1743" t="str">
        <f>IF(tbal[[#This Row],[DEBE]]+tbal[[#This Row],[HABER]]=0,"","X")</f>
        <v/>
      </c>
      <c r="E1743" s="16">
        <f>SUMIF(tdiario[CUENTA],tbal[[#This Row],[CUENTA]],tdiario[DEBE])</f>
        <v>0</v>
      </c>
      <c r="F1743" s="17">
        <f>SUMIF(tdiario[CUENTA],tbal[[#This Row],[CUENTA]],tdiario[HABER])</f>
        <v>0</v>
      </c>
      <c r="G1743" s="16">
        <f>IF(tbal[[#This Row],[DEBE]]-tbal[[#This Row],[HABER]]&gt;0,tbal[[#This Row],[DEBE]]-tbal[[#This Row],[HABER]],0)</f>
        <v>0</v>
      </c>
      <c r="H1743" s="18">
        <f>IF(tbal[[#This Row],[HABER]]-tbal[[#This Row],[DEBE]]&gt;0,tbal[[#This Row],[HABER]]-tbal[[#This Row],[DEBE]],0)</f>
        <v>0</v>
      </c>
      <c r="I1743" s="16">
        <f>IF((OR(tbal[[#This Row],[X]]=1,tbal[[#This Row],[X]]=2)),tbal[[#This Row],[DEUDOR]],0)</f>
        <v>0</v>
      </c>
      <c r="J1743" s="18">
        <f>IF((OR(tbal[[#This Row],[X]]=2,tbal[[#This Row],[X]]=3)),tbal[[#This Row],[ACREEDOR]],0)</f>
        <v>0</v>
      </c>
      <c r="K1743" s="16">
        <f>IF((OR(tbal[[#This Row],[X]]=3,tbal[[#This Row],[X]]=5)),tbal[[#This Row],[DEUDOR]],0)</f>
        <v>0</v>
      </c>
      <c r="L1743" s="18">
        <f>IF((OR(tbal[[#This Row],[X]]=3,tbal[[#This Row],[X]]=4)),tbal[[#This Row],[ACREEDOR]],0)</f>
        <v>0</v>
      </c>
      <c r="M1743" s="16">
        <f>IF((OR(tbal[[#This Row],[X]]=0,tbal[[#This Row],[X]]=6)),tbal[[#This Row],[DEUDOR]],0)</f>
        <v>0</v>
      </c>
      <c r="N1743" s="18">
        <f>IF((OR(tbal[[#This Row],[X]]=0,tbal[[#This Row],[X]]=5)),tbal[[#This Row],[ACREEDOR]],0)</f>
        <v>0</v>
      </c>
    </row>
    <row r="1744" spans="1:14" hidden="1" x14ac:dyDescent="0.3">
      <c r="A1744" s="14">
        <f>+'PLAN DE CUENTAS'!A1744</f>
        <v>0</v>
      </c>
      <c r="B1744" s="13">
        <f>+'PLAN DE CUENTAS'!B1744</f>
        <v>0</v>
      </c>
      <c r="C1744" s="13">
        <f>+'PLAN DE CUENTAS'!C1744</f>
        <v>0</v>
      </c>
      <c r="D1744" t="str">
        <f>IF(tbal[[#This Row],[DEBE]]+tbal[[#This Row],[HABER]]=0,"","X")</f>
        <v/>
      </c>
      <c r="E1744" s="16">
        <f>SUMIF(tdiario[CUENTA],tbal[[#This Row],[CUENTA]],tdiario[DEBE])</f>
        <v>0</v>
      </c>
      <c r="F1744" s="17">
        <f>SUMIF(tdiario[CUENTA],tbal[[#This Row],[CUENTA]],tdiario[HABER])</f>
        <v>0</v>
      </c>
      <c r="G1744" s="16">
        <f>IF(tbal[[#This Row],[DEBE]]-tbal[[#This Row],[HABER]]&gt;0,tbal[[#This Row],[DEBE]]-tbal[[#This Row],[HABER]],0)</f>
        <v>0</v>
      </c>
      <c r="H1744" s="18">
        <f>IF(tbal[[#This Row],[HABER]]-tbal[[#This Row],[DEBE]]&gt;0,tbal[[#This Row],[HABER]]-tbal[[#This Row],[DEBE]],0)</f>
        <v>0</v>
      </c>
      <c r="I1744" s="16">
        <f>IF((OR(tbal[[#This Row],[X]]=1,tbal[[#This Row],[X]]=2)),tbal[[#This Row],[DEUDOR]],0)</f>
        <v>0</v>
      </c>
      <c r="J1744" s="18">
        <f>IF((OR(tbal[[#This Row],[X]]=2,tbal[[#This Row],[X]]=3)),tbal[[#This Row],[ACREEDOR]],0)</f>
        <v>0</v>
      </c>
      <c r="K1744" s="16">
        <f>IF((OR(tbal[[#This Row],[X]]=3,tbal[[#This Row],[X]]=5)),tbal[[#This Row],[DEUDOR]],0)</f>
        <v>0</v>
      </c>
      <c r="L1744" s="18">
        <f>IF((OR(tbal[[#This Row],[X]]=3,tbal[[#This Row],[X]]=4)),tbal[[#This Row],[ACREEDOR]],0)</f>
        <v>0</v>
      </c>
      <c r="M1744" s="16">
        <f>IF((OR(tbal[[#This Row],[X]]=0,tbal[[#This Row],[X]]=6)),tbal[[#This Row],[DEUDOR]],0)</f>
        <v>0</v>
      </c>
      <c r="N1744" s="18">
        <f>IF((OR(tbal[[#This Row],[X]]=0,tbal[[#This Row],[X]]=5)),tbal[[#This Row],[ACREEDOR]],0)</f>
        <v>0</v>
      </c>
    </row>
    <row r="1745" spans="1:14" hidden="1" x14ac:dyDescent="0.3">
      <c r="A1745" s="14">
        <f>+'PLAN DE CUENTAS'!A1745</f>
        <v>0</v>
      </c>
      <c r="B1745" s="13">
        <f>+'PLAN DE CUENTAS'!B1745</f>
        <v>0</v>
      </c>
      <c r="C1745" s="13">
        <f>+'PLAN DE CUENTAS'!C1745</f>
        <v>0</v>
      </c>
      <c r="D1745" t="str">
        <f>IF(tbal[[#This Row],[DEBE]]+tbal[[#This Row],[HABER]]=0,"","X")</f>
        <v/>
      </c>
      <c r="E1745" s="16">
        <f>SUMIF(tdiario[CUENTA],tbal[[#This Row],[CUENTA]],tdiario[DEBE])</f>
        <v>0</v>
      </c>
      <c r="F1745" s="17">
        <f>SUMIF(tdiario[CUENTA],tbal[[#This Row],[CUENTA]],tdiario[HABER])</f>
        <v>0</v>
      </c>
      <c r="G1745" s="16">
        <f>IF(tbal[[#This Row],[DEBE]]-tbal[[#This Row],[HABER]]&gt;0,tbal[[#This Row],[DEBE]]-tbal[[#This Row],[HABER]],0)</f>
        <v>0</v>
      </c>
      <c r="H1745" s="18">
        <f>IF(tbal[[#This Row],[HABER]]-tbal[[#This Row],[DEBE]]&gt;0,tbal[[#This Row],[HABER]]-tbal[[#This Row],[DEBE]],0)</f>
        <v>0</v>
      </c>
      <c r="I1745" s="16">
        <f>IF((OR(tbal[[#This Row],[X]]=1,tbal[[#This Row],[X]]=2)),tbal[[#This Row],[DEUDOR]],0)</f>
        <v>0</v>
      </c>
      <c r="J1745" s="18">
        <f>IF((OR(tbal[[#This Row],[X]]=2,tbal[[#This Row],[X]]=3)),tbal[[#This Row],[ACREEDOR]],0)</f>
        <v>0</v>
      </c>
      <c r="K1745" s="16">
        <f>IF((OR(tbal[[#This Row],[X]]=3,tbal[[#This Row],[X]]=5)),tbal[[#This Row],[DEUDOR]],0)</f>
        <v>0</v>
      </c>
      <c r="L1745" s="18">
        <f>IF((OR(tbal[[#This Row],[X]]=3,tbal[[#This Row],[X]]=4)),tbal[[#This Row],[ACREEDOR]],0)</f>
        <v>0</v>
      </c>
      <c r="M1745" s="16">
        <f>IF((OR(tbal[[#This Row],[X]]=0,tbal[[#This Row],[X]]=6)),tbal[[#This Row],[DEUDOR]],0)</f>
        <v>0</v>
      </c>
      <c r="N1745" s="18">
        <f>IF((OR(tbal[[#This Row],[X]]=0,tbal[[#This Row],[X]]=5)),tbal[[#This Row],[ACREEDOR]],0)</f>
        <v>0</v>
      </c>
    </row>
    <row r="1746" spans="1:14" hidden="1" x14ac:dyDescent="0.3">
      <c r="A1746" s="14">
        <f>+'PLAN DE CUENTAS'!A1746</f>
        <v>0</v>
      </c>
      <c r="B1746" s="13">
        <f>+'PLAN DE CUENTAS'!B1746</f>
        <v>0</v>
      </c>
      <c r="C1746" s="13">
        <f>+'PLAN DE CUENTAS'!C1746</f>
        <v>0</v>
      </c>
      <c r="D1746" t="str">
        <f>IF(tbal[[#This Row],[DEBE]]+tbal[[#This Row],[HABER]]=0,"","X")</f>
        <v/>
      </c>
      <c r="E1746" s="16">
        <f>SUMIF(tdiario[CUENTA],tbal[[#This Row],[CUENTA]],tdiario[DEBE])</f>
        <v>0</v>
      </c>
      <c r="F1746" s="17">
        <f>SUMIF(tdiario[CUENTA],tbal[[#This Row],[CUENTA]],tdiario[HABER])</f>
        <v>0</v>
      </c>
      <c r="G1746" s="16">
        <f>IF(tbal[[#This Row],[DEBE]]-tbal[[#This Row],[HABER]]&gt;0,tbal[[#This Row],[DEBE]]-tbal[[#This Row],[HABER]],0)</f>
        <v>0</v>
      </c>
      <c r="H1746" s="18">
        <f>IF(tbal[[#This Row],[HABER]]-tbal[[#This Row],[DEBE]]&gt;0,tbal[[#This Row],[HABER]]-tbal[[#This Row],[DEBE]],0)</f>
        <v>0</v>
      </c>
      <c r="I1746" s="16">
        <f>IF((OR(tbal[[#This Row],[X]]=1,tbal[[#This Row],[X]]=2)),tbal[[#This Row],[DEUDOR]],0)</f>
        <v>0</v>
      </c>
      <c r="J1746" s="18">
        <f>IF((OR(tbal[[#This Row],[X]]=2,tbal[[#This Row],[X]]=3)),tbal[[#This Row],[ACREEDOR]],0)</f>
        <v>0</v>
      </c>
      <c r="K1746" s="16">
        <f>IF((OR(tbal[[#This Row],[X]]=3,tbal[[#This Row],[X]]=5)),tbal[[#This Row],[DEUDOR]],0)</f>
        <v>0</v>
      </c>
      <c r="L1746" s="18">
        <f>IF((OR(tbal[[#This Row],[X]]=3,tbal[[#This Row],[X]]=4)),tbal[[#This Row],[ACREEDOR]],0)</f>
        <v>0</v>
      </c>
      <c r="M1746" s="16">
        <f>IF((OR(tbal[[#This Row],[X]]=0,tbal[[#This Row],[X]]=6)),tbal[[#This Row],[DEUDOR]],0)</f>
        <v>0</v>
      </c>
      <c r="N1746" s="18">
        <f>IF((OR(tbal[[#This Row],[X]]=0,tbal[[#This Row],[X]]=5)),tbal[[#This Row],[ACREEDOR]],0)</f>
        <v>0</v>
      </c>
    </row>
    <row r="1747" spans="1:14" hidden="1" x14ac:dyDescent="0.3">
      <c r="A1747" s="14">
        <f>+'PLAN DE CUENTAS'!A1747</f>
        <v>0</v>
      </c>
      <c r="B1747" s="13">
        <f>+'PLAN DE CUENTAS'!B1747</f>
        <v>0</v>
      </c>
      <c r="C1747" s="13">
        <f>+'PLAN DE CUENTAS'!C1747</f>
        <v>0</v>
      </c>
      <c r="D1747" t="str">
        <f>IF(tbal[[#This Row],[DEBE]]+tbal[[#This Row],[HABER]]=0,"","X")</f>
        <v/>
      </c>
      <c r="E1747" s="16">
        <f>SUMIF(tdiario[CUENTA],tbal[[#This Row],[CUENTA]],tdiario[DEBE])</f>
        <v>0</v>
      </c>
      <c r="F1747" s="17">
        <f>SUMIF(tdiario[CUENTA],tbal[[#This Row],[CUENTA]],tdiario[HABER])</f>
        <v>0</v>
      </c>
      <c r="G1747" s="16">
        <f>IF(tbal[[#This Row],[DEBE]]-tbal[[#This Row],[HABER]]&gt;0,tbal[[#This Row],[DEBE]]-tbal[[#This Row],[HABER]],0)</f>
        <v>0</v>
      </c>
      <c r="H1747" s="18">
        <f>IF(tbal[[#This Row],[HABER]]-tbal[[#This Row],[DEBE]]&gt;0,tbal[[#This Row],[HABER]]-tbal[[#This Row],[DEBE]],0)</f>
        <v>0</v>
      </c>
      <c r="I1747" s="16">
        <f>IF((OR(tbal[[#This Row],[X]]=1,tbal[[#This Row],[X]]=2)),tbal[[#This Row],[DEUDOR]],0)</f>
        <v>0</v>
      </c>
      <c r="J1747" s="18">
        <f>IF((OR(tbal[[#This Row],[X]]=2,tbal[[#This Row],[X]]=3)),tbal[[#This Row],[ACREEDOR]],0)</f>
        <v>0</v>
      </c>
      <c r="K1747" s="16">
        <f>IF((OR(tbal[[#This Row],[X]]=3,tbal[[#This Row],[X]]=5)),tbal[[#This Row],[DEUDOR]],0)</f>
        <v>0</v>
      </c>
      <c r="L1747" s="18">
        <f>IF((OR(tbal[[#This Row],[X]]=3,tbal[[#This Row],[X]]=4)),tbal[[#This Row],[ACREEDOR]],0)</f>
        <v>0</v>
      </c>
      <c r="M1747" s="16">
        <f>IF((OR(tbal[[#This Row],[X]]=0,tbal[[#This Row],[X]]=6)),tbal[[#This Row],[DEUDOR]],0)</f>
        <v>0</v>
      </c>
      <c r="N1747" s="18">
        <f>IF((OR(tbal[[#This Row],[X]]=0,tbal[[#This Row],[X]]=5)),tbal[[#This Row],[ACREEDOR]],0)</f>
        <v>0</v>
      </c>
    </row>
    <row r="1748" spans="1:14" hidden="1" x14ac:dyDescent="0.3">
      <c r="A1748" s="14">
        <f>+'PLAN DE CUENTAS'!A1748</f>
        <v>0</v>
      </c>
      <c r="B1748" s="13">
        <f>+'PLAN DE CUENTAS'!B1748</f>
        <v>0</v>
      </c>
      <c r="C1748" s="13">
        <f>+'PLAN DE CUENTAS'!C1748</f>
        <v>0</v>
      </c>
      <c r="D1748" t="str">
        <f>IF(tbal[[#This Row],[DEBE]]+tbal[[#This Row],[HABER]]=0,"","X")</f>
        <v/>
      </c>
      <c r="E1748" s="16">
        <f>SUMIF(tdiario[CUENTA],tbal[[#This Row],[CUENTA]],tdiario[DEBE])</f>
        <v>0</v>
      </c>
      <c r="F1748" s="17">
        <f>SUMIF(tdiario[CUENTA],tbal[[#This Row],[CUENTA]],tdiario[HABER])</f>
        <v>0</v>
      </c>
      <c r="G1748" s="16">
        <f>IF(tbal[[#This Row],[DEBE]]-tbal[[#This Row],[HABER]]&gt;0,tbal[[#This Row],[DEBE]]-tbal[[#This Row],[HABER]],0)</f>
        <v>0</v>
      </c>
      <c r="H1748" s="18">
        <f>IF(tbal[[#This Row],[HABER]]-tbal[[#This Row],[DEBE]]&gt;0,tbal[[#This Row],[HABER]]-tbal[[#This Row],[DEBE]],0)</f>
        <v>0</v>
      </c>
      <c r="I1748" s="16">
        <f>IF((OR(tbal[[#This Row],[X]]=1,tbal[[#This Row],[X]]=2)),tbal[[#This Row],[DEUDOR]],0)</f>
        <v>0</v>
      </c>
      <c r="J1748" s="18">
        <f>IF((OR(tbal[[#This Row],[X]]=2,tbal[[#This Row],[X]]=3)),tbal[[#This Row],[ACREEDOR]],0)</f>
        <v>0</v>
      </c>
      <c r="K1748" s="16">
        <f>IF((OR(tbal[[#This Row],[X]]=3,tbal[[#This Row],[X]]=5)),tbal[[#This Row],[DEUDOR]],0)</f>
        <v>0</v>
      </c>
      <c r="L1748" s="18">
        <f>IF((OR(tbal[[#This Row],[X]]=3,tbal[[#This Row],[X]]=4)),tbal[[#This Row],[ACREEDOR]],0)</f>
        <v>0</v>
      </c>
      <c r="M1748" s="16">
        <f>IF((OR(tbal[[#This Row],[X]]=0,tbal[[#This Row],[X]]=6)),tbal[[#This Row],[DEUDOR]],0)</f>
        <v>0</v>
      </c>
      <c r="N1748" s="18">
        <f>IF((OR(tbal[[#This Row],[X]]=0,tbal[[#This Row],[X]]=5)),tbal[[#This Row],[ACREEDOR]],0)</f>
        <v>0</v>
      </c>
    </row>
    <row r="1749" spans="1:14" hidden="1" x14ac:dyDescent="0.3">
      <c r="A1749" s="14">
        <f>+'PLAN DE CUENTAS'!A1749</f>
        <v>0</v>
      </c>
      <c r="B1749" s="13">
        <f>+'PLAN DE CUENTAS'!B1749</f>
        <v>0</v>
      </c>
      <c r="C1749" s="13">
        <f>+'PLAN DE CUENTAS'!C1749</f>
        <v>0</v>
      </c>
      <c r="D1749" t="str">
        <f>IF(tbal[[#This Row],[DEBE]]+tbal[[#This Row],[HABER]]=0,"","X")</f>
        <v/>
      </c>
      <c r="E1749" s="16">
        <f>SUMIF(tdiario[CUENTA],tbal[[#This Row],[CUENTA]],tdiario[DEBE])</f>
        <v>0</v>
      </c>
      <c r="F1749" s="17">
        <f>SUMIF(tdiario[CUENTA],tbal[[#This Row],[CUENTA]],tdiario[HABER])</f>
        <v>0</v>
      </c>
      <c r="G1749" s="16">
        <f>IF(tbal[[#This Row],[DEBE]]-tbal[[#This Row],[HABER]]&gt;0,tbal[[#This Row],[DEBE]]-tbal[[#This Row],[HABER]],0)</f>
        <v>0</v>
      </c>
      <c r="H1749" s="18">
        <f>IF(tbal[[#This Row],[HABER]]-tbal[[#This Row],[DEBE]]&gt;0,tbal[[#This Row],[HABER]]-tbal[[#This Row],[DEBE]],0)</f>
        <v>0</v>
      </c>
      <c r="I1749" s="16">
        <f>IF((OR(tbal[[#This Row],[X]]=1,tbal[[#This Row],[X]]=2)),tbal[[#This Row],[DEUDOR]],0)</f>
        <v>0</v>
      </c>
      <c r="J1749" s="18">
        <f>IF((OR(tbal[[#This Row],[X]]=2,tbal[[#This Row],[X]]=3)),tbal[[#This Row],[ACREEDOR]],0)</f>
        <v>0</v>
      </c>
      <c r="K1749" s="16">
        <f>IF((OR(tbal[[#This Row],[X]]=3,tbal[[#This Row],[X]]=5)),tbal[[#This Row],[DEUDOR]],0)</f>
        <v>0</v>
      </c>
      <c r="L1749" s="18">
        <f>IF((OR(tbal[[#This Row],[X]]=3,tbal[[#This Row],[X]]=4)),tbal[[#This Row],[ACREEDOR]],0)</f>
        <v>0</v>
      </c>
      <c r="M1749" s="16">
        <f>IF((OR(tbal[[#This Row],[X]]=0,tbal[[#This Row],[X]]=6)),tbal[[#This Row],[DEUDOR]],0)</f>
        <v>0</v>
      </c>
      <c r="N1749" s="18">
        <f>IF((OR(tbal[[#This Row],[X]]=0,tbal[[#This Row],[X]]=5)),tbal[[#This Row],[ACREEDOR]],0)</f>
        <v>0</v>
      </c>
    </row>
    <row r="1750" spans="1:14" hidden="1" x14ac:dyDescent="0.3">
      <c r="A1750" s="14">
        <f>+'PLAN DE CUENTAS'!A1750</f>
        <v>0</v>
      </c>
      <c r="B1750" s="13">
        <f>+'PLAN DE CUENTAS'!B1750</f>
        <v>0</v>
      </c>
      <c r="C1750" s="13">
        <f>+'PLAN DE CUENTAS'!C1750</f>
        <v>0</v>
      </c>
      <c r="D1750" t="str">
        <f>IF(tbal[[#This Row],[DEBE]]+tbal[[#This Row],[HABER]]=0,"","X")</f>
        <v/>
      </c>
      <c r="E1750" s="16">
        <f>SUMIF(tdiario[CUENTA],tbal[[#This Row],[CUENTA]],tdiario[DEBE])</f>
        <v>0</v>
      </c>
      <c r="F1750" s="17">
        <f>SUMIF(tdiario[CUENTA],tbal[[#This Row],[CUENTA]],tdiario[HABER])</f>
        <v>0</v>
      </c>
      <c r="G1750" s="16">
        <f>IF(tbal[[#This Row],[DEBE]]-tbal[[#This Row],[HABER]]&gt;0,tbal[[#This Row],[DEBE]]-tbal[[#This Row],[HABER]],0)</f>
        <v>0</v>
      </c>
      <c r="H1750" s="18">
        <f>IF(tbal[[#This Row],[HABER]]-tbal[[#This Row],[DEBE]]&gt;0,tbal[[#This Row],[HABER]]-tbal[[#This Row],[DEBE]],0)</f>
        <v>0</v>
      </c>
      <c r="I1750" s="16">
        <f>IF((OR(tbal[[#This Row],[X]]=1,tbal[[#This Row],[X]]=2)),tbal[[#This Row],[DEUDOR]],0)</f>
        <v>0</v>
      </c>
      <c r="J1750" s="18">
        <f>IF((OR(tbal[[#This Row],[X]]=2,tbal[[#This Row],[X]]=3)),tbal[[#This Row],[ACREEDOR]],0)</f>
        <v>0</v>
      </c>
      <c r="K1750" s="16">
        <f>IF((OR(tbal[[#This Row],[X]]=3,tbal[[#This Row],[X]]=5)),tbal[[#This Row],[DEUDOR]],0)</f>
        <v>0</v>
      </c>
      <c r="L1750" s="18">
        <f>IF((OR(tbal[[#This Row],[X]]=3,tbal[[#This Row],[X]]=4)),tbal[[#This Row],[ACREEDOR]],0)</f>
        <v>0</v>
      </c>
      <c r="M1750" s="16">
        <f>IF((OR(tbal[[#This Row],[X]]=0,tbal[[#This Row],[X]]=6)),tbal[[#This Row],[DEUDOR]],0)</f>
        <v>0</v>
      </c>
      <c r="N1750" s="18">
        <f>IF((OR(tbal[[#This Row],[X]]=0,tbal[[#This Row],[X]]=5)),tbal[[#This Row],[ACREEDOR]],0)</f>
        <v>0</v>
      </c>
    </row>
    <row r="1751" spans="1:14" hidden="1" x14ac:dyDescent="0.3">
      <c r="A1751" s="14">
        <f>+'PLAN DE CUENTAS'!A1751</f>
        <v>0</v>
      </c>
      <c r="B1751" s="13">
        <f>+'PLAN DE CUENTAS'!B1751</f>
        <v>0</v>
      </c>
      <c r="C1751" s="13">
        <f>+'PLAN DE CUENTAS'!C1751</f>
        <v>0</v>
      </c>
      <c r="D1751" t="str">
        <f>IF(tbal[[#This Row],[DEBE]]+tbal[[#This Row],[HABER]]=0,"","X")</f>
        <v/>
      </c>
      <c r="E1751" s="16">
        <f>SUMIF(tdiario[CUENTA],tbal[[#This Row],[CUENTA]],tdiario[DEBE])</f>
        <v>0</v>
      </c>
      <c r="F1751" s="17">
        <f>SUMIF(tdiario[CUENTA],tbal[[#This Row],[CUENTA]],tdiario[HABER])</f>
        <v>0</v>
      </c>
      <c r="G1751" s="16">
        <f>IF(tbal[[#This Row],[DEBE]]-tbal[[#This Row],[HABER]]&gt;0,tbal[[#This Row],[DEBE]]-tbal[[#This Row],[HABER]],0)</f>
        <v>0</v>
      </c>
      <c r="H1751" s="18">
        <f>IF(tbal[[#This Row],[HABER]]-tbal[[#This Row],[DEBE]]&gt;0,tbal[[#This Row],[HABER]]-tbal[[#This Row],[DEBE]],0)</f>
        <v>0</v>
      </c>
      <c r="I1751" s="16">
        <f>IF((OR(tbal[[#This Row],[X]]=1,tbal[[#This Row],[X]]=2)),tbal[[#This Row],[DEUDOR]],0)</f>
        <v>0</v>
      </c>
      <c r="J1751" s="18">
        <f>IF((OR(tbal[[#This Row],[X]]=2,tbal[[#This Row],[X]]=3)),tbal[[#This Row],[ACREEDOR]],0)</f>
        <v>0</v>
      </c>
      <c r="K1751" s="16">
        <f>IF((OR(tbal[[#This Row],[X]]=3,tbal[[#This Row],[X]]=5)),tbal[[#This Row],[DEUDOR]],0)</f>
        <v>0</v>
      </c>
      <c r="L1751" s="18">
        <f>IF((OR(tbal[[#This Row],[X]]=3,tbal[[#This Row],[X]]=4)),tbal[[#This Row],[ACREEDOR]],0)</f>
        <v>0</v>
      </c>
      <c r="M1751" s="16">
        <f>IF((OR(tbal[[#This Row],[X]]=0,tbal[[#This Row],[X]]=6)),tbal[[#This Row],[DEUDOR]],0)</f>
        <v>0</v>
      </c>
      <c r="N1751" s="18">
        <f>IF((OR(tbal[[#This Row],[X]]=0,tbal[[#This Row],[X]]=5)),tbal[[#This Row],[ACREEDOR]],0)</f>
        <v>0</v>
      </c>
    </row>
    <row r="1752" spans="1:14" hidden="1" x14ac:dyDescent="0.3">
      <c r="A1752" s="14">
        <f>+'PLAN DE CUENTAS'!A1752</f>
        <v>0</v>
      </c>
      <c r="B1752" s="13">
        <f>+'PLAN DE CUENTAS'!B1752</f>
        <v>0</v>
      </c>
      <c r="C1752" s="13">
        <f>+'PLAN DE CUENTAS'!C1752</f>
        <v>0</v>
      </c>
      <c r="D1752" t="str">
        <f>IF(tbal[[#This Row],[DEBE]]+tbal[[#This Row],[HABER]]=0,"","X")</f>
        <v/>
      </c>
      <c r="E1752" s="16">
        <f>SUMIF(tdiario[CUENTA],tbal[[#This Row],[CUENTA]],tdiario[DEBE])</f>
        <v>0</v>
      </c>
      <c r="F1752" s="17">
        <f>SUMIF(tdiario[CUENTA],tbal[[#This Row],[CUENTA]],tdiario[HABER])</f>
        <v>0</v>
      </c>
      <c r="G1752" s="16">
        <f>IF(tbal[[#This Row],[DEBE]]-tbal[[#This Row],[HABER]]&gt;0,tbal[[#This Row],[DEBE]]-tbal[[#This Row],[HABER]],0)</f>
        <v>0</v>
      </c>
      <c r="H1752" s="18">
        <f>IF(tbal[[#This Row],[HABER]]-tbal[[#This Row],[DEBE]]&gt;0,tbal[[#This Row],[HABER]]-tbal[[#This Row],[DEBE]],0)</f>
        <v>0</v>
      </c>
      <c r="I1752" s="16">
        <f>IF((OR(tbal[[#This Row],[X]]=1,tbal[[#This Row],[X]]=2)),tbal[[#This Row],[DEUDOR]],0)</f>
        <v>0</v>
      </c>
      <c r="J1752" s="18">
        <f>IF((OR(tbal[[#This Row],[X]]=2,tbal[[#This Row],[X]]=3)),tbal[[#This Row],[ACREEDOR]],0)</f>
        <v>0</v>
      </c>
      <c r="K1752" s="16">
        <f>IF((OR(tbal[[#This Row],[X]]=3,tbal[[#This Row],[X]]=5)),tbal[[#This Row],[DEUDOR]],0)</f>
        <v>0</v>
      </c>
      <c r="L1752" s="18">
        <f>IF((OR(tbal[[#This Row],[X]]=3,tbal[[#This Row],[X]]=4)),tbal[[#This Row],[ACREEDOR]],0)</f>
        <v>0</v>
      </c>
      <c r="M1752" s="16">
        <f>IF((OR(tbal[[#This Row],[X]]=0,tbal[[#This Row],[X]]=6)),tbal[[#This Row],[DEUDOR]],0)</f>
        <v>0</v>
      </c>
      <c r="N1752" s="18">
        <f>IF((OR(tbal[[#This Row],[X]]=0,tbal[[#This Row],[X]]=5)),tbal[[#This Row],[ACREEDOR]],0)</f>
        <v>0</v>
      </c>
    </row>
    <row r="1753" spans="1:14" hidden="1" x14ac:dyDescent="0.3">
      <c r="A1753" s="14">
        <f>+'PLAN DE CUENTAS'!A1753</f>
        <v>0</v>
      </c>
      <c r="B1753" s="13">
        <f>+'PLAN DE CUENTAS'!B1753</f>
        <v>0</v>
      </c>
      <c r="C1753" s="13">
        <f>+'PLAN DE CUENTAS'!C1753</f>
        <v>0</v>
      </c>
      <c r="D1753" t="str">
        <f>IF(tbal[[#This Row],[DEBE]]+tbal[[#This Row],[HABER]]=0,"","X")</f>
        <v/>
      </c>
      <c r="E1753" s="16">
        <f>SUMIF(tdiario[CUENTA],tbal[[#This Row],[CUENTA]],tdiario[DEBE])</f>
        <v>0</v>
      </c>
      <c r="F1753" s="17">
        <f>SUMIF(tdiario[CUENTA],tbal[[#This Row],[CUENTA]],tdiario[HABER])</f>
        <v>0</v>
      </c>
      <c r="G1753" s="16">
        <f>IF(tbal[[#This Row],[DEBE]]-tbal[[#This Row],[HABER]]&gt;0,tbal[[#This Row],[DEBE]]-tbal[[#This Row],[HABER]],0)</f>
        <v>0</v>
      </c>
      <c r="H1753" s="18">
        <f>IF(tbal[[#This Row],[HABER]]-tbal[[#This Row],[DEBE]]&gt;0,tbal[[#This Row],[HABER]]-tbal[[#This Row],[DEBE]],0)</f>
        <v>0</v>
      </c>
      <c r="I1753" s="16">
        <f>IF((OR(tbal[[#This Row],[X]]=1,tbal[[#This Row],[X]]=2)),tbal[[#This Row],[DEUDOR]],0)</f>
        <v>0</v>
      </c>
      <c r="J1753" s="18">
        <f>IF((OR(tbal[[#This Row],[X]]=2,tbal[[#This Row],[X]]=3)),tbal[[#This Row],[ACREEDOR]],0)</f>
        <v>0</v>
      </c>
      <c r="K1753" s="16">
        <f>IF((OR(tbal[[#This Row],[X]]=3,tbal[[#This Row],[X]]=5)),tbal[[#This Row],[DEUDOR]],0)</f>
        <v>0</v>
      </c>
      <c r="L1753" s="18">
        <f>IF((OR(tbal[[#This Row],[X]]=3,tbal[[#This Row],[X]]=4)),tbal[[#This Row],[ACREEDOR]],0)</f>
        <v>0</v>
      </c>
      <c r="M1753" s="16">
        <f>IF((OR(tbal[[#This Row],[X]]=0,tbal[[#This Row],[X]]=6)),tbal[[#This Row],[DEUDOR]],0)</f>
        <v>0</v>
      </c>
      <c r="N1753" s="18">
        <f>IF((OR(tbal[[#This Row],[X]]=0,tbal[[#This Row],[X]]=5)),tbal[[#This Row],[ACREEDOR]],0)</f>
        <v>0</v>
      </c>
    </row>
    <row r="1754" spans="1:14" hidden="1" x14ac:dyDescent="0.3">
      <c r="A1754" s="14">
        <f>+'PLAN DE CUENTAS'!A1754</f>
        <v>0</v>
      </c>
      <c r="B1754" s="13">
        <f>+'PLAN DE CUENTAS'!B1754</f>
        <v>0</v>
      </c>
      <c r="C1754" s="13">
        <f>+'PLAN DE CUENTAS'!C1754</f>
        <v>0</v>
      </c>
      <c r="D1754" t="str">
        <f>IF(tbal[[#This Row],[DEBE]]+tbal[[#This Row],[HABER]]=0,"","X")</f>
        <v/>
      </c>
      <c r="E1754" s="16">
        <f>SUMIF(tdiario[CUENTA],tbal[[#This Row],[CUENTA]],tdiario[DEBE])</f>
        <v>0</v>
      </c>
      <c r="F1754" s="17">
        <f>SUMIF(tdiario[CUENTA],tbal[[#This Row],[CUENTA]],tdiario[HABER])</f>
        <v>0</v>
      </c>
      <c r="G1754" s="16">
        <f>IF(tbal[[#This Row],[DEBE]]-tbal[[#This Row],[HABER]]&gt;0,tbal[[#This Row],[DEBE]]-tbal[[#This Row],[HABER]],0)</f>
        <v>0</v>
      </c>
      <c r="H1754" s="18">
        <f>IF(tbal[[#This Row],[HABER]]-tbal[[#This Row],[DEBE]]&gt;0,tbal[[#This Row],[HABER]]-tbal[[#This Row],[DEBE]],0)</f>
        <v>0</v>
      </c>
      <c r="I1754" s="16">
        <f>IF((OR(tbal[[#This Row],[X]]=1,tbal[[#This Row],[X]]=2)),tbal[[#This Row],[DEUDOR]],0)</f>
        <v>0</v>
      </c>
      <c r="J1754" s="18">
        <f>IF((OR(tbal[[#This Row],[X]]=2,tbal[[#This Row],[X]]=3)),tbal[[#This Row],[ACREEDOR]],0)</f>
        <v>0</v>
      </c>
      <c r="K1754" s="16">
        <f>IF((OR(tbal[[#This Row],[X]]=3,tbal[[#This Row],[X]]=5)),tbal[[#This Row],[DEUDOR]],0)</f>
        <v>0</v>
      </c>
      <c r="L1754" s="18">
        <f>IF((OR(tbal[[#This Row],[X]]=3,tbal[[#This Row],[X]]=4)),tbal[[#This Row],[ACREEDOR]],0)</f>
        <v>0</v>
      </c>
      <c r="M1754" s="16">
        <f>IF((OR(tbal[[#This Row],[X]]=0,tbal[[#This Row],[X]]=6)),tbal[[#This Row],[DEUDOR]],0)</f>
        <v>0</v>
      </c>
      <c r="N1754" s="18">
        <f>IF((OR(tbal[[#This Row],[X]]=0,tbal[[#This Row],[X]]=5)),tbal[[#This Row],[ACREEDOR]],0)</f>
        <v>0</v>
      </c>
    </row>
    <row r="1755" spans="1:14" hidden="1" x14ac:dyDescent="0.3">
      <c r="A1755" s="14">
        <f>+'PLAN DE CUENTAS'!A1755</f>
        <v>0</v>
      </c>
      <c r="B1755" s="13">
        <f>+'PLAN DE CUENTAS'!B1755</f>
        <v>0</v>
      </c>
      <c r="C1755" s="13">
        <f>+'PLAN DE CUENTAS'!C1755</f>
        <v>0</v>
      </c>
      <c r="D1755" t="str">
        <f>IF(tbal[[#This Row],[DEBE]]+tbal[[#This Row],[HABER]]=0,"","X")</f>
        <v/>
      </c>
      <c r="E1755" s="16">
        <f>SUMIF(tdiario[CUENTA],tbal[[#This Row],[CUENTA]],tdiario[DEBE])</f>
        <v>0</v>
      </c>
      <c r="F1755" s="17">
        <f>SUMIF(tdiario[CUENTA],tbal[[#This Row],[CUENTA]],tdiario[HABER])</f>
        <v>0</v>
      </c>
      <c r="G1755" s="16">
        <f>IF(tbal[[#This Row],[DEBE]]-tbal[[#This Row],[HABER]]&gt;0,tbal[[#This Row],[DEBE]]-tbal[[#This Row],[HABER]],0)</f>
        <v>0</v>
      </c>
      <c r="H1755" s="18">
        <f>IF(tbal[[#This Row],[HABER]]-tbal[[#This Row],[DEBE]]&gt;0,tbal[[#This Row],[HABER]]-tbal[[#This Row],[DEBE]],0)</f>
        <v>0</v>
      </c>
      <c r="I1755" s="16">
        <f>IF((OR(tbal[[#This Row],[X]]=1,tbal[[#This Row],[X]]=2)),tbal[[#This Row],[DEUDOR]],0)</f>
        <v>0</v>
      </c>
      <c r="J1755" s="18">
        <f>IF((OR(tbal[[#This Row],[X]]=2,tbal[[#This Row],[X]]=3)),tbal[[#This Row],[ACREEDOR]],0)</f>
        <v>0</v>
      </c>
      <c r="K1755" s="16">
        <f>IF((OR(tbal[[#This Row],[X]]=3,tbal[[#This Row],[X]]=5)),tbal[[#This Row],[DEUDOR]],0)</f>
        <v>0</v>
      </c>
      <c r="L1755" s="18">
        <f>IF((OR(tbal[[#This Row],[X]]=3,tbal[[#This Row],[X]]=4)),tbal[[#This Row],[ACREEDOR]],0)</f>
        <v>0</v>
      </c>
      <c r="M1755" s="16">
        <f>IF((OR(tbal[[#This Row],[X]]=0,tbal[[#This Row],[X]]=6)),tbal[[#This Row],[DEUDOR]],0)</f>
        <v>0</v>
      </c>
      <c r="N1755" s="18">
        <f>IF((OR(tbal[[#This Row],[X]]=0,tbal[[#This Row],[X]]=5)),tbal[[#This Row],[ACREEDOR]],0)</f>
        <v>0</v>
      </c>
    </row>
    <row r="1756" spans="1:14" hidden="1" x14ac:dyDescent="0.3">
      <c r="A1756" s="14">
        <f>+'PLAN DE CUENTAS'!A1756</f>
        <v>0</v>
      </c>
      <c r="B1756" s="13">
        <f>+'PLAN DE CUENTAS'!B1756</f>
        <v>0</v>
      </c>
      <c r="C1756" s="13">
        <f>+'PLAN DE CUENTAS'!C1756</f>
        <v>0</v>
      </c>
      <c r="D1756" t="str">
        <f>IF(tbal[[#This Row],[DEBE]]+tbal[[#This Row],[HABER]]=0,"","X")</f>
        <v/>
      </c>
      <c r="E1756" s="16">
        <f>SUMIF(tdiario[CUENTA],tbal[[#This Row],[CUENTA]],tdiario[DEBE])</f>
        <v>0</v>
      </c>
      <c r="F1756" s="17">
        <f>SUMIF(tdiario[CUENTA],tbal[[#This Row],[CUENTA]],tdiario[HABER])</f>
        <v>0</v>
      </c>
      <c r="G1756" s="16">
        <f>IF(tbal[[#This Row],[DEBE]]-tbal[[#This Row],[HABER]]&gt;0,tbal[[#This Row],[DEBE]]-tbal[[#This Row],[HABER]],0)</f>
        <v>0</v>
      </c>
      <c r="H1756" s="18">
        <f>IF(tbal[[#This Row],[HABER]]-tbal[[#This Row],[DEBE]]&gt;0,tbal[[#This Row],[HABER]]-tbal[[#This Row],[DEBE]],0)</f>
        <v>0</v>
      </c>
      <c r="I1756" s="16">
        <f>IF((OR(tbal[[#This Row],[X]]=1,tbal[[#This Row],[X]]=2)),tbal[[#This Row],[DEUDOR]],0)</f>
        <v>0</v>
      </c>
      <c r="J1756" s="18">
        <f>IF((OR(tbal[[#This Row],[X]]=2,tbal[[#This Row],[X]]=3)),tbal[[#This Row],[ACREEDOR]],0)</f>
        <v>0</v>
      </c>
      <c r="K1756" s="16">
        <f>IF((OR(tbal[[#This Row],[X]]=3,tbal[[#This Row],[X]]=5)),tbal[[#This Row],[DEUDOR]],0)</f>
        <v>0</v>
      </c>
      <c r="L1756" s="18">
        <f>IF((OR(tbal[[#This Row],[X]]=3,tbal[[#This Row],[X]]=4)),tbal[[#This Row],[ACREEDOR]],0)</f>
        <v>0</v>
      </c>
      <c r="M1756" s="16">
        <f>IF((OR(tbal[[#This Row],[X]]=0,tbal[[#This Row],[X]]=6)),tbal[[#This Row],[DEUDOR]],0)</f>
        <v>0</v>
      </c>
      <c r="N1756" s="18">
        <f>IF((OR(tbal[[#This Row],[X]]=0,tbal[[#This Row],[X]]=5)),tbal[[#This Row],[ACREEDOR]],0)</f>
        <v>0</v>
      </c>
    </row>
    <row r="1757" spans="1:14" hidden="1" x14ac:dyDescent="0.3">
      <c r="A1757" s="14">
        <f>+'PLAN DE CUENTAS'!A1757</f>
        <v>0</v>
      </c>
      <c r="B1757" s="13">
        <f>+'PLAN DE CUENTAS'!B1757</f>
        <v>0</v>
      </c>
      <c r="C1757" s="13">
        <f>+'PLAN DE CUENTAS'!C1757</f>
        <v>0</v>
      </c>
      <c r="D1757" t="str">
        <f>IF(tbal[[#This Row],[DEBE]]+tbal[[#This Row],[HABER]]=0,"","X")</f>
        <v/>
      </c>
      <c r="E1757" s="16">
        <f>SUMIF(tdiario[CUENTA],tbal[[#This Row],[CUENTA]],tdiario[DEBE])</f>
        <v>0</v>
      </c>
      <c r="F1757" s="17">
        <f>SUMIF(tdiario[CUENTA],tbal[[#This Row],[CUENTA]],tdiario[HABER])</f>
        <v>0</v>
      </c>
      <c r="G1757" s="16">
        <f>IF(tbal[[#This Row],[DEBE]]-tbal[[#This Row],[HABER]]&gt;0,tbal[[#This Row],[DEBE]]-tbal[[#This Row],[HABER]],0)</f>
        <v>0</v>
      </c>
      <c r="H1757" s="18">
        <f>IF(tbal[[#This Row],[HABER]]-tbal[[#This Row],[DEBE]]&gt;0,tbal[[#This Row],[HABER]]-tbal[[#This Row],[DEBE]],0)</f>
        <v>0</v>
      </c>
      <c r="I1757" s="16">
        <f>IF((OR(tbal[[#This Row],[X]]=1,tbal[[#This Row],[X]]=2)),tbal[[#This Row],[DEUDOR]],0)</f>
        <v>0</v>
      </c>
      <c r="J1757" s="18">
        <f>IF((OR(tbal[[#This Row],[X]]=2,tbal[[#This Row],[X]]=3)),tbal[[#This Row],[ACREEDOR]],0)</f>
        <v>0</v>
      </c>
      <c r="K1757" s="16">
        <f>IF((OR(tbal[[#This Row],[X]]=3,tbal[[#This Row],[X]]=5)),tbal[[#This Row],[DEUDOR]],0)</f>
        <v>0</v>
      </c>
      <c r="L1757" s="18">
        <f>IF((OR(tbal[[#This Row],[X]]=3,tbal[[#This Row],[X]]=4)),tbal[[#This Row],[ACREEDOR]],0)</f>
        <v>0</v>
      </c>
      <c r="M1757" s="16">
        <f>IF((OR(tbal[[#This Row],[X]]=0,tbal[[#This Row],[X]]=6)),tbal[[#This Row],[DEUDOR]],0)</f>
        <v>0</v>
      </c>
      <c r="N1757" s="18">
        <f>IF((OR(tbal[[#This Row],[X]]=0,tbal[[#This Row],[X]]=5)),tbal[[#This Row],[ACREEDOR]],0)</f>
        <v>0</v>
      </c>
    </row>
    <row r="1758" spans="1:14" hidden="1" x14ac:dyDescent="0.3">
      <c r="A1758" s="14">
        <f>+'PLAN DE CUENTAS'!A1758</f>
        <v>0</v>
      </c>
      <c r="B1758" s="13">
        <f>+'PLAN DE CUENTAS'!B1758</f>
        <v>0</v>
      </c>
      <c r="C1758" s="13">
        <f>+'PLAN DE CUENTAS'!C1758</f>
        <v>0</v>
      </c>
      <c r="D1758" t="str">
        <f>IF(tbal[[#This Row],[DEBE]]+tbal[[#This Row],[HABER]]=0,"","X")</f>
        <v/>
      </c>
      <c r="E1758" s="16">
        <f>SUMIF(tdiario[CUENTA],tbal[[#This Row],[CUENTA]],tdiario[DEBE])</f>
        <v>0</v>
      </c>
      <c r="F1758" s="17">
        <f>SUMIF(tdiario[CUENTA],tbal[[#This Row],[CUENTA]],tdiario[HABER])</f>
        <v>0</v>
      </c>
      <c r="G1758" s="16">
        <f>IF(tbal[[#This Row],[DEBE]]-tbal[[#This Row],[HABER]]&gt;0,tbal[[#This Row],[DEBE]]-tbal[[#This Row],[HABER]],0)</f>
        <v>0</v>
      </c>
      <c r="H1758" s="18">
        <f>IF(tbal[[#This Row],[HABER]]-tbal[[#This Row],[DEBE]]&gt;0,tbal[[#This Row],[HABER]]-tbal[[#This Row],[DEBE]],0)</f>
        <v>0</v>
      </c>
      <c r="I1758" s="16">
        <f>IF((OR(tbal[[#This Row],[X]]=1,tbal[[#This Row],[X]]=2)),tbal[[#This Row],[DEUDOR]],0)</f>
        <v>0</v>
      </c>
      <c r="J1758" s="18">
        <f>IF((OR(tbal[[#This Row],[X]]=2,tbal[[#This Row],[X]]=3)),tbal[[#This Row],[ACREEDOR]],0)</f>
        <v>0</v>
      </c>
      <c r="K1758" s="16">
        <f>IF((OR(tbal[[#This Row],[X]]=3,tbal[[#This Row],[X]]=5)),tbal[[#This Row],[DEUDOR]],0)</f>
        <v>0</v>
      </c>
      <c r="L1758" s="18">
        <f>IF((OR(tbal[[#This Row],[X]]=3,tbal[[#This Row],[X]]=4)),tbal[[#This Row],[ACREEDOR]],0)</f>
        <v>0</v>
      </c>
      <c r="M1758" s="16">
        <f>IF((OR(tbal[[#This Row],[X]]=0,tbal[[#This Row],[X]]=6)),tbal[[#This Row],[DEUDOR]],0)</f>
        <v>0</v>
      </c>
      <c r="N1758" s="18">
        <f>IF((OR(tbal[[#This Row],[X]]=0,tbal[[#This Row],[X]]=5)),tbal[[#This Row],[ACREEDOR]],0)</f>
        <v>0</v>
      </c>
    </row>
    <row r="1759" spans="1:14" hidden="1" x14ac:dyDescent="0.3">
      <c r="A1759" s="14">
        <f>+'PLAN DE CUENTAS'!A1759</f>
        <v>0</v>
      </c>
      <c r="B1759" s="13">
        <f>+'PLAN DE CUENTAS'!B1759</f>
        <v>0</v>
      </c>
      <c r="C1759" s="13">
        <f>+'PLAN DE CUENTAS'!C1759</f>
        <v>0</v>
      </c>
      <c r="D1759" t="str">
        <f>IF(tbal[[#This Row],[DEBE]]+tbal[[#This Row],[HABER]]=0,"","X")</f>
        <v/>
      </c>
      <c r="E1759" s="16">
        <f>SUMIF(tdiario[CUENTA],tbal[[#This Row],[CUENTA]],tdiario[DEBE])</f>
        <v>0</v>
      </c>
      <c r="F1759" s="17">
        <f>SUMIF(tdiario[CUENTA],tbal[[#This Row],[CUENTA]],tdiario[HABER])</f>
        <v>0</v>
      </c>
      <c r="G1759" s="16">
        <f>IF(tbal[[#This Row],[DEBE]]-tbal[[#This Row],[HABER]]&gt;0,tbal[[#This Row],[DEBE]]-tbal[[#This Row],[HABER]],0)</f>
        <v>0</v>
      </c>
      <c r="H1759" s="18">
        <f>IF(tbal[[#This Row],[HABER]]-tbal[[#This Row],[DEBE]]&gt;0,tbal[[#This Row],[HABER]]-tbal[[#This Row],[DEBE]],0)</f>
        <v>0</v>
      </c>
      <c r="I1759" s="16">
        <f>IF((OR(tbal[[#This Row],[X]]=1,tbal[[#This Row],[X]]=2)),tbal[[#This Row],[DEUDOR]],0)</f>
        <v>0</v>
      </c>
      <c r="J1759" s="18">
        <f>IF((OR(tbal[[#This Row],[X]]=2,tbal[[#This Row],[X]]=3)),tbal[[#This Row],[ACREEDOR]],0)</f>
        <v>0</v>
      </c>
      <c r="K1759" s="16">
        <f>IF((OR(tbal[[#This Row],[X]]=3,tbal[[#This Row],[X]]=5)),tbal[[#This Row],[DEUDOR]],0)</f>
        <v>0</v>
      </c>
      <c r="L1759" s="18">
        <f>IF((OR(tbal[[#This Row],[X]]=3,tbal[[#This Row],[X]]=4)),tbal[[#This Row],[ACREEDOR]],0)</f>
        <v>0</v>
      </c>
      <c r="M1759" s="16">
        <f>IF((OR(tbal[[#This Row],[X]]=0,tbal[[#This Row],[X]]=6)),tbal[[#This Row],[DEUDOR]],0)</f>
        <v>0</v>
      </c>
      <c r="N1759" s="18">
        <f>IF((OR(tbal[[#This Row],[X]]=0,tbal[[#This Row],[X]]=5)),tbal[[#This Row],[ACREEDOR]],0)</f>
        <v>0</v>
      </c>
    </row>
    <row r="1760" spans="1:14" hidden="1" x14ac:dyDescent="0.3">
      <c r="A1760" s="14">
        <f>+'PLAN DE CUENTAS'!A1760</f>
        <v>0</v>
      </c>
      <c r="B1760" s="13">
        <f>+'PLAN DE CUENTAS'!B1760</f>
        <v>0</v>
      </c>
      <c r="C1760" s="13">
        <f>+'PLAN DE CUENTAS'!C1760</f>
        <v>0</v>
      </c>
      <c r="D1760" t="str">
        <f>IF(tbal[[#This Row],[DEBE]]+tbal[[#This Row],[HABER]]=0,"","X")</f>
        <v/>
      </c>
      <c r="E1760" s="16">
        <f>SUMIF(tdiario[CUENTA],tbal[[#This Row],[CUENTA]],tdiario[DEBE])</f>
        <v>0</v>
      </c>
      <c r="F1760" s="17">
        <f>SUMIF(tdiario[CUENTA],tbal[[#This Row],[CUENTA]],tdiario[HABER])</f>
        <v>0</v>
      </c>
      <c r="G1760" s="16">
        <f>IF(tbal[[#This Row],[DEBE]]-tbal[[#This Row],[HABER]]&gt;0,tbal[[#This Row],[DEBE]]-tbal[[#This Row],[HABER]],0)</f>
        <v>0</v>
      </c>
      <c r="H1760" s="18">
        <f>IF(tbal[[#This Row],[HABER]]-tbal[[#This Row],[DEBE]]&gt;0,tbal[[#This Row],[HABER]]-tbal[[#This Row],[DEBE]],0)</f>
        <v>0</v>
      </c>
      <c r="I1760" s="16">
        <f>IF((OR(tbal[[#This Row],[X]]=1,tbal[[#This Row],[X]]=2)),tbal[[#This Row],[DEUDOR]],0)</f>
        <v>0</v>
      </c>
      <c r="J1760" s="18">
        <f>IF((OR(tbal[[#This Row],[X]]=2,tbal[[#This Row],[X]]=3)),tbal[[#This Row],[ACREEDOR]],0)</f>
        <v>0</v>
      </c>
      <c r="K1760" s="16">
        <f>IF((OR(tbal[[#This Row],[X]]=3,tbal[[#This Row],[X]]=5)),tbal[[#This Row],[DEUDOR]],0)</f>
        <v>0</v>
      </c>
      <c r="L1760" s="18">
        <f>IF((OR(tbal[[#This Row],[X]]=3,tbal[[#This Row],[X]]=4)),tbal[[#This Row],[ACREEDOR]],0)</f>
        <v>0</v>
      </c>
      <c r="M1760" s="16">
        <f>IF((OR(tbal[[#This Row],[X]]=0,tbal[[#This Row],[X]]=6)),tbal[[#This Row],[DEUDOR]],0)</f>
        <v>0</v>
      </c>
      <c r="N1760" s="18">
        <f>IF((OR(tbal[[#This Row],[X]]=0,tbal[[#This Row],[X]]=5)),tbal[[#This Row],[ACREEDOR]],0)</f>
        <v>0</v>
      </c>
    </row>
    <row r="1761" spans="1:14" hidden="1" x14ac:dyDescent="0.3">
      <c r="A1761" s="14">
        <f>+'PLAN DE CUENTAS'!A1761</f>
        <v>0</v>
      </c>
      <c r="B1761" s="13">
        <f>+'PLAN DE CUENTAS'!B1761</f>
        <v>0</v>
      </c>
      <c r="C1761" s="13">
        <f>+'PLAN DE CUENTAS'!C1761</f>
        <v>0</v>
      </c>
      <c r="D1761" t="str">
        <f>IF(tbal[[#This Row],[DEBE]]+tbal[[#This Row],[HABER]]=0,"","X")</f>
        <v/>
      </c>
      <c r="E1761" s="16">
        <f>SUMIF(tdiario[CUENTA],tbal[[#This Row],[CUENTA]],tdiario[DEBE])</f>
        <v>0</v>
      </c>
      <c r="F1761" s="17">
        <f>SUMIF(tdiario[CUENTA],tbal[[#This Row],[CUENTA]],tdiario[HABER])</f>
        <v>0</v>
      </c>
      <c r="G1761" s="16">
        <f>IF(tbal[[#This Row],[DEBE]]-tbal[[#This Row],[HABER]]&gt;0,tbal[[#This Row],[DEBE]]-tbal[[#This Row],[HABER]],0)</f>
        <v>0</v>
      </c>
      <c r="H1761" s="18">
        <f>IF(tbal[[#This Row],[HABER]]-tbal[[#This Row],[DEBE]]&gt;0,tbal[[#This Row],[HABER]]-tbal[[#This Row],[DEBE]],0)</f>
        <v>0</v>
      </c>
      <c r="I1761" s="16">
        <f>IF((OR(tbal[[#This Row],[X]]=1,tbal[[#This Row],[X]]=2)),tbal[[#This Row],[DEUDOR]],0)</f>
        <v>0</v>
      </c>
      <c r="J1761" s="18">
        <f>IF((OR(tbal[[#This Row],[X]]=2,tbal[[#This Row],[X]]=3)),tbal[[#This Row],[ACREEDOR]],0)</f>
        <v>0</v>
      </c>
      <c r="K1761" s="16">
        <f>IF((OR(tbal[[#This Row],[X]]=3,tbal[[#This Row],[X]]=5)),tbal[[#This Row],[DEUDOR]],0)</f>
        <v>0</v>
      </c>
      <c r="L1761" s="18">
        <f>IF((OR(tbal[[#This Row],[X]]=3,tbal[[#This Row],[X]]=4)),tbal[[#This Row],[ACREEDOR]],0)</f>
        <v>0</v>
      </c>
      <c r="M1761" s="16">
        <f>IF((OR(tbal[[#This Row],[X]]=0,tbal[[#This Row],[X]]=6)),tbal[[#This Row],[DEUDOR]],0)</f>
        <v>0</v>
      </c>
      <c r="N1761" s="18">
        <f>IF((OR(tbal[[#This Row],[X]]=0,tbal[[#This Row],[X]]=5)),tbal[[#This Row],[ACREEDOR]],0)</f>
        <v>0</v>
      </c>
    </row>
    <row r="1762" spans="1:14" hidden="1" x14ac:dyDescent="0.3">
      <c r="A1762" s="14">
        <f>+'PLAN DE CUENTAS'!A1762</f>
        <v>0</v>
      </c>
      <c r="B1762" s="13">
        <f>+'PLAN DE CUENTAS'!B1762</f>
        <v>0</v>
      </c>
      <c r="C1762" s="13">
        <f>+'PLAN DE CUENTAS'!C1762</f>
        <v>0</v>
      </c>
      <c r="D1762" t="str">
        <f>IF(tbal[[#This Row],[DEBE]]+tbal[[#This Row],[HABER]]=0,"","X")</f>
        <v/>
      </c>
      <c r="E1762" s="16">
        <f>SUMIF(tdiario[CUENTA],tbal[[#This Row],[CUENTA]],tdiario[DEBE])</f>
        <v>0</v>
      </c>
      <c r="F1762" s="17">
        <f>SUMIF(tdiario[CUENTA],tbal[[#This Row],[CUENTA]],tdiario[HABER])</f>
        <v>0</v>
      </c>
      <c r="G1762" s="16">
        <f>IF(tbal[[#This Row],[DEBE]]-tbal[[#This Row],[HABER]]&gt;0,tbal[[#This Row],[DEBE]]-tbal[[#This Row],[HABER]],0)</f>
        <v>0</v>
      </c>
      <c r="H1762" s="18">
        <f>IF(tbal[[#This Row],[HABER]]-tbal[[#This Row],[DEBE]]&gt;0,tbal[[#This Row],[HABER]]-tbal[[#This Row],[DEBE]],0)</f>
        <v>0</v>
      </c>
      <c r="I1762" s="16">
        <f>IF((OR(tbal[[#This Row],[X]]=1,tbal[[#This Row],[X]]=2)),tbal[[#This Row],[DEUDOR]],0)</f>
        <v>0</v>
      </c>
      <c r="J1762" s="18">
        <f>IF((OR(tbal[[#This Row],[X]]=2,tbal[[#This Row],[X]]=3)),tbal[[#This Row],[ACREEDOR]],0)</f>
        <v>0</v>
      </c>
      <c r="K1762" s="16">
        <f>IF((OR(tbal[[#This Row],[X]]=3,tbal[[#This Row],[X]]=5)),tbal[[#This Row],[DEUDOR]],0)</f>
        <v>0</v>
      </c>
      <c r="L1762" s="18">
        <f>IF((OR(tbal[[#This Row],[X]]=3,tbal[[#This Row],[X]]=4)),tbal[[#This Row],[ACREEDOR]],0)</f>
        <v>0</v>
      </c>
      <c r="M1762" s="16">
        <f>IF((OR(tbal[[#This Row],[X]]=0,tbal[[#This Row],[X]]=6)),tbal[[#This Row],[DEUDOR]],0)</f>
        <v>0</v>
      </c>
      <c r="N1762" s="18">
        <f>IF((OR(tbal[[#This Row],[X]]=0,tbal[[#This Row],[X]]=5)),tbal[[#This Row],[ACREEDOR]],0)</f>
        <v>0</v>
      </c>
    </row>
    <row r="1763" spans="1:14" hidden="1" x14ac:dyDescent="0.3">
      <c r="A1763" s="14">
        <f>+'PLAN DE CUENTAS'!A1763</f>
        <v>0</v>
      </c>
      <c r="B1763" s="13">
        <f>+'PLAN DE CUENTAS'!B1763</f>
        <v>0</v>
      </c>
      <c r="C1763" s="13">
        <f>+'PLAN DE CUENTAS'!C1763</f>
        <v>0</v>
      </c>
      <c r="D1763" t="str">
        <f>IF(tbal[[#This Row],[DEBE]]+tbal[[#This Row],[HABER]]=0,"","X")</f>
        <v/>
      </c>
      <c r="E1763" s="16">
        <f>SUMIF(tdiario[CUENTA],tbal[[#This Row],[CUENTA]],tdiario[DEBE])</f>
        <v>0</v>
      </c>
      <c r="F1763" s="17">
        <f>SUMIF(tdiario[CUENTA],tbal[[#This Row],[CUENTA]],tdiario[HABER])</f>
        <v>0</v>
      </c>
      <c r="G1763" s="16">
        <f>IF(tbal[[#This Row],[DEBE]]-tbal[[#This Row],[HABER]]&gt;0,tbal[[#This Row],[DEBE]]-tbal[[#This Row],[HABER]],0)</f>
        <v>0</v>
      </c>
      <c r="H1763" s="18">
        <f>IF(tbal[[#This Row],[HABER]]-tbal[[#This Row],[DEBE]]&gt;0,tbal[[#This Row],[HABER]]-tbal[[#This Row],[DEBE]],0)</f>
        <v>0</v>
      </c>
      <c r="I1763" s="16">
        <f>IF((OR(tbal[[#This Row],[X]]=1,tbal[[#This Row],[X]]=2)),tbal[[#This Row],[DEUDOR]],0)</f>
        <v>0</v>
      </c>
      <c r="J1763" s="18">
        <f>IF((OR(tbal[[#This Row],[X]]=2,tbal[[#This Row],[X]]=3)),tbal[[#This Row],[ACREEDOR]],0)</f>
        <v>0</v>
      </c>
      <c r="K1763" s="16">
        <f>IF((OR(tbal[[#This Row],[X]]=3,tbal[[#This Row],[X]]=5)),tbal[[#This Row],[DEUDOR]],0)</f>
        <v>0</v>
      </c>
      <c r="L1763" s="18">
        <f>IF((OR(tbal[[#This Row],[X]]=3,tbal[[#This Row],[X]]=4)),tbal[[#This Row],[ACREEDOR]],0)</f>
        <v>0</v>
      </c>
      <c r="M1763" s="16">
        <f>IF((OR(tbal[[#This Row],[X]]=0,tbal[[#This Row],[X]]=6)),tbal[[#This Row],[DEUDOR]],0)</f>
        <v>0</v>
      </c>
      <c r="N1763" s="18">
        <f>IF((OR(tbal[[#This Row],[X]]=0,tbal[[#This Row],[X]]=5)),tbal[[#This Row],[ACREEDOR]],0)</f>
        <v>0</v>
      </c>
    </row>
    <row r="1764" spans="1:14" hidden="1" x14ac:dyDescent="0.3">
      <c r="A1764" s="14">
        <f>+'PLAN DE CUENTAS'!A1764</f>
        <v>0</v>
      </c>
      <c r="B1764" s="13">
        <f>+'PLAN DE CUENTAS'!B1764</f>
        <v>0</v>
      </c>
      <c r="C1764" s="13">
        <f>+'PLAN DE CUENTAS'!C1764</f>
        <v>0</v>
      </c>
      <c r="D1764" t="str">
        <f>IF(tbal[[#This Row],[DEBE]]+tbal[[#This Row],[HABER]]=0,"","X")</f>
        <v/>
      </c>
      <c r="E1764" s="16">
        <f>SUMIF(tdiario[CUENTA],tbal[[#This Row],[CUENTA]],tdiario[DEBE])</f>
        <v>0</v>
      </c>
      <c r="F1764" s="17">
        <f>SUMIF(tdiario[CUENTA],tbal[[#This Row],[CUENTA]],tdiario[HABER])</f>
        <v>0</v>
      </c>
      <c r="G1764" s="16">
        <f>IF(tbal[[#This Row],[DEBE]]-tbal[[#This Row],[HABER]]&gt;0,tbal[[#This Row],[DEBE]]-tbal[[#This Row],[HABER]],0)</f>
        <v>0</v>
      </c>
      <c r="H1764" s="18">
        <f>IF(tbal[[#This Row],[HABER]]-tbal[[#This Row],[DEBE]]&gt;0,tbal[[#This Row],[HABER]]-tbal[[#This Row],[DEBE]],0)</f>
        <v>0</v>
      </c>
      <c r="I1764" s="16">
        <f>IF((OR(tbal[[#This Row],[X]]=1,tbal[[#This Row],[X]]=2)),tbal[[#This Row],[DEUDOR]],0)</f>
        <v>0</v>
      </c>
      <c r="J1764" s="18">
        <f>IF((OR(tbal[[#This Row],[X]]=2,tbal[[#This Row],[X]]=3)),tbal[[#This Row],[ACREEDOR]],0)</f>
        <v>0</v>
      </c>
      <c r="K1764" s="16">
        <f>IF((OR(tbal[[#This Row],[X]]=3,tbal[[#This Row],[X]]=5)),tbal[[#This Row],[DEUDOR]],0)</f>
        <v>0</v>
      </c>
      <c r="L1764" s="18">
        <f>IF((OR(tbal[[#This Row],[X]]=3,tbal[[#This Row],[X]]=4)),tbal[[#This Row],[ACREEDOR]],0)</f>
        <v>0</v>
      </c>
      <c r="M1764" s="16">
        <f>IF((OR(tbal[[#This Row],[X]]=0,tbal[[#This Row],[X]]=6)),tbal[[#This Row],[DEUDOR]],0)</f>
        <v>0</v>
      </c>
      <c r="N1764" s="18">
        <f>IF((OR(tbal[[#This Row],[X]]=0,tbal[[#This Row],[X]]=5)),tbal[[#This Row],[ACREEDOR]],0)</f>
        <v>0</v>
      </c>
    </row>
    <row r="1765" spans="1:14" hidden="1" x14ac:dyDescent="0.3">
      <c r="A1765" s="14">
        <f>+'PLAN DE CUENTAS'!A1765</f>
        <v>0</v>
      </c>
      <c r="B1765" s="13">
        <f>+'PLAN DE CUENTAS'!B1765</f>
        <v>0</v>
      </c>
      <c r="C1765" s="13">
        <f>+'PLAN DE CUENTAS'!C1765</f>
        <v>0</v>
      </c>
      <c r="D1765" t="str">
        <f>IF(tbal[[#This Row],[DEBE]]+tbal[[#This Row],[HABER]]=0,"","X")</f>
        <v/>
      </c>
      <c r="E1765" s="16">
        <f>SUMIF(tdiario[CUENTA],tbal[[#This Row],[CUENTA]],tdiario[DEBE])</f>
        <v>0</v>
      </c>
      <c r="F1765" s="17">
        <f>SUMIF(tdiario[CUENTA],tbal[[#This Row],[CUENTA]],tdiario[HABER])</f>
        <v>0</v>
      </c>
      <c r="G1765" s="16">
        <f>IF(tbal[[#This Row],[DEBE]]-tbal[[#This Row],[HABER]]&gt;0,tbal[[#This Row],[DEBE]]-tbal[[#This Row],[HABER]],0)</f>
        <v>0</v>
      </c>
      <c r="H1765" s="18">
        <f>IF(tbal[[#This Row],[HABER]]-tbal[[#This Row],[DEBE]]&gt;0,tbal[[#This Row],[HABER]]-tbal[[#This Row],[DEBE]],0)</f>
        <v>0</v>
      </c>
      <c r="I1765" s="16">
        <f>IF((OR(tbal[[#This Row],[X]]=1,tbal[[#This Row],[X]]=2)),tbal[[#This Row],[DEUDOR]],0)</f>
        <v>0</v>
      </c>
      <c r="J1765" s="18">
        <f>IF((OR(tbal[[#This Row],[X]]=2,tbal[[#This Row],[X]]=3)),tbal[[#This Row],[ACREEDOR]],0)</f>
        <v>0</v>
      </c>
      <c r="K1765" s="16">
        <f>IF((OR(tbal[[#This Row],[X]]=3,tbal[[#This Row],[X]]=5)),tbal[[#This Row],[DEUDOR]],0)</f>
        <v>0</v>
      </c>
      <c r="L1765" s="18">
        <f>IF((OR(tbal[[#This Row],[X]]=3,tbal[[#This Row],[X]]=4)),tbal[[#This Row],[ACREEDOR]],0)</f>
        <v>0</v>
      </c>
      <c r="M1765" s="16">
        <f>IF((OR(tbal[[#This Row],[X]]=0,tbal[[#This Row],[X]]=6)),tbal[[#This Row],[DEUDOR]],0)</f>
        <v>0</v>
      </c>
      <c r="N1765" s="18">
        <f>IF((OR(tbal[[#This Row],[X]]=0,tbal[[#This Row],[X]]=5)),tbal[[#This Row],[ACREEDOR]],0)</f>
        <v>0</v>
      </c>
    </row>
    <row r="1766" spans="1:14" hidden="1" x14ac:dyDescent="0.3">
      <c r="A1766" s="14">
        <f>+'PLAN DE CUENTAS'!A1766</f>
        <v>0</v>
      </c>
      <c r="B1766" s="13">
        <f>+'PLAN DE CUENTAS'!B1766</f>
        <v>0</v>
      </c>
      <c r="C1766" s="13">
        <f>+'PLAN DE CUENTAS'!C1766</f>
        <v>0</v>
      </c>
      <c r="D1766" t="str">
        <f>IF(tbal[[#This Row],[DEBE]]+tbal[[#This Row],[HABER]]=0,"","X")</f>
        <v/>
      </c>
      <c r="E1766" s="16">
        <f>SUMIF(tdiario[CUENTA],tbal[[#This Row],[CUENTA]],tdiario[DEBE])</f>
        <v>0</v>
      </c>
      <c r="F1766" s="17">
        <f>SUMIF(tdiario[CUENTA],tbal[[#This Row],[CUENTA]],tdiario[HABER])</f>
        <v>0</v>
      </c>
      <c r="G1766" s="16">
        <f>IF(tbal[[#This Row],[DEBE]]-tbal[[#This Row],[HABER]]&gt;0,tbal[[#This Row],[DEBE]]-tbal[[#This Row],[HABER]],0)</f>
        <v>0</v>
      </c>
      <c r="H1766" s="18">
        <f>IF(tbal[[#This Row],[HABER]]-tbal[[#This Row],[DEBE]]&gt;0,tbal[[#This Row],[HABER]]-tbal[[#This Row],[DEBE]],0)</f>
        <v>0</v>
      </c>
      <c r="I1766" s="16">
        <f>IF((OR(tbal[[#This Row],[X]]=1,tbal[[#This Row],[X]]=2)),tbal[[#This Row],[DEUDOR]],0)</f>
        <v>0</v>
      </c>
      <c r="J1766" s="18">
        <f>IF((OR(tbal[[#This Row],[X]]=2,tbal[[#This Row],[X]]=3)),tbal[[#This Row],[ACREEDOR]],0)</f>
        <v>0</v>
      </c>
      <c r="K1766" s="16">
        <f>IF((OR(tbal[[#This Row],[X]]=3,tbal[[#This Row],[X]]=5)),tbal[[#This Row],[DEUDOR]],0)</f>
        <v>0</v>
      </c>
      <c r="L1766" s="18">
        <f>IF((OR(tbal[[#This Row],[X]]=3,tbal[[#This Row],[X]]=4)),tbal[[#This Row],[ACREEDOR]],0)</f>
        <v>0</v>
      </c>
      <c r="M1766" s="16">
        <f>IF((OR(tbal[[#This Row],[X]]=0,tbal[[#This Row],[X]]=6)),tbal[[#This Row],[DEUDOR]],0)</f>
        <v>0</v>
      </c>
      <c r="N1766" s="18">
        <f>IF((OR(tbal[[#This Row],[X]]=0,tbal[[#This Row],[X]]=5)),tbal[[#This Row],[ACREEDOR]],0)</f>
        <v>0</v>
      </c>
    </row>
    <row r="1767" spans="1:14" hidden="1" x14ac:dyDescent="0.3">
      <c r="A1767" s="14">
        <f>+'PLAN DE CUENTAS'!A1767</f>
        <v>0</v>
      </c>
      <c r="B1767" s="13">
        <f>+'PLAN DE CUENTAS'!B1767</f>
        <v>0</v>
      </c>
      <c r="C1767" s="13">
        <f>+'PLAN DE CUENTAS'!C1767</f>
        <v>0</v>
      </c>
      <c r="D1767" t="str">
        <f>IF(tbal[[#This Row],[DEBE]]+tbal[[#This Row],[HABER]]=0,"","X")</f>
        <v/>
      </c>
      <c r="E1767" s="16">
        <f>SUMIF(tdiario[CUENTA],tbal[[#This Row],[CUENTA]],tdiario[DEBE])</f>
        <v>0</v>
      </c>
      <c r="F1767" s="17">
        <f>SUMIF(tdiario[CUENTA],tbal[[#This Row],[CUENTA]],tdiario[HABER])</f>
        <v>0</v>
      </c>
      <c r="G1767" s="16">
        <f>IF(tbal[[#This Row],[DEBE]]-tbal[[#This Row],[HABER]]&gt;0,tbal[[#This Row],[DEBE]]-tbal[[#This Row],[HABER]],0)</f>
        <v>0</v>
      </c>
      <c r="H1767" s="18">
        <f>IF(tbal[[#This Row],[HABER]]-tbal[[#This Row],[DEBE]]&gt;0,tbal[[#This Row],[HABER]]-tbal[[#This Row],[DEBE]],0)</f>
        <v>0</v>
      </c>
      <c r="I1767" s="16">
        <f>IF((OR(tbal[[#This Row],[X]]=1,tbal[[#This Row],[X]]=2)),tbal[[#This Row],[DEUDOR]],0)</f>
        <v>0</v>
      </c>
      <c r="J1767" s="18">
        <f>IF((OR(tbal[[#This Row],[X]]=2,tbal[[#This Row],[X]]=3)),tbal[[#This Row],[ACREEDOR]],0)</f>
        <v>0</v>
      </c>
      <c r="K1767" s="16">
        <f>IF((OR(tbal[[#This Row],[X]]=3,tbal[[#This Row],[X]]=5)),tbal[[#This Row],[DEUDOR]],0)</f>
        <v>0</v>
      </c>
      <c r="L1767" s="18">
        <f>IF((OR(tbal[[#This Row],[X]]=3,tbal[[#This Row],[X]]=4)),tbal[[#This Row],[ACREEDOR]],0)</f>
        <v>0</v>
      </c>
      <c r="M1767" s="16">
        <f>IF((OR(tbal[[#This Row],[X]]=0,tbal[[#This Row],[X]]=6)),tbal[[#This Row],[DEUDOR]],0)</f>
        <v>0</v>
      </c>
      <c r="N1767" s="18">
        <f>IF((OR(tbal[[#This Row],[X]]=0,tbal[[#This Row],[X]]=5)),tbal[[#This Row],[ACREEDOR]],0)</f>
        <v>0</v>
      </c>
    </row>
    <row r="1768" spans="1:14" hidden="1" x14ac:dyDescent="0.3">
      <c r="A1768" s="14">
        <f>+'PLAN DE CUENTAS'!A1768</f>
        <v>0</v>
      </c>
      <c r="B1768" s="13">
        <f>+'PLAN DE CUENTAS'!B1768</f>
        <v>0</v>
      </c>
      <c r="C1768" s="13">
        <f>+'PLAN DE CUENTAS'!C1768</f>
        <v>0</v>
      </c>
      <c r="D1768" t="str">
        <f>IF(tbal[[#This Row],[DEBE]]+tbal[[#This Row],[HABER]]=0,"","X")</f>
        <v/>
      </c>
      <c r="E1768" s="16">
        <f>SUMIF(tdiario[CUENTA],tbal[[#This Row],[CUENTA]],tdiario[DEBE])</f>
        <v>0</v>
      </c>
      <c r="F1768" s="17">
        <f>SUMIF(tdiario[CUENTA],tbal[[#This Row],[CUENTA]],tdiario[HABER])</f>
        <v>0</v>
      </c>
      <c r="G1768" s="16">
        <f>IF(tbal[[#This Row],[DEBE]]-tbal[[#This Row],[HABER]]&gt;0,tbal[[#This Row],[DEBE]]-tbal[[#This Row],[HABER]],0)</f>
        <v>0</v>
      </c>
      <c r="H1768" s="18">
        <f>IF(tbal[[#This Row],[HABER]]-tbal[[#This Row],[DEBE]]&gt;0,tbal[[#This Row],[HABER]]-tbal[[#This Row],[DEBE]],0)</f>
        <v>0</v>
      </c>
      <c r="I1768" s="16">
        <f>IF((OR(tbal[[#This Row],[X]]=1,tbal[[#This Row],[X]]=2)),tbal[[#This Row],[DEUDOR]],0)</f>
        <v>0</v>
      </c>
      <c r="J1768" s="18">
        <f>IF((OR(tbal[[#This Row],[X]]=2,tbal[[#This Row],[X]]=3)),tbal[[#This Row],[ACREEDOR]],0)</f>
        <v>0</v>
      </c>
      <c r="K1768" s="16">
        <f>IF((OR(tbal[[#This Row],[X]]=3,tbal[[#This Row],[X]]=5)),tbal[[#This Row],[DEUDOR]],0)</f>
        <v>0</v>
      </c>
      <c r="L1768" s="18">
        <f>IF((OR(tbal[[#This Row],[X]]=3,tbal[[#This Row],[X]]=4)),tbal[[#This Row],[ACREEDOR]],0)</f>
        <v>0</v>
      </c>
      <c r="M1768" s="16">
        <f>IF((OR(tbal[[#This Row],[X]]=0,tbal[[#This Row],[X]]=6)),tbal[[#This Row],[DEUDOR]],0)</f>
        <v>0</v>
      </c>
      <c r="N1768" s="18">
        <f>IF((OR(tbal[[#This Row],[X]]=0,tbal[[#This Row],[X]]=5)),tbal[[#This Row],[ACREEDOR]],0)</f>
        <v>0</v>
      </c>
    </row>
    <row r="1769" spans="1:14" hidden="1" x14ac:dyDescent="0.3">
      <c r="A1769" s="14">
        <f>+'PLAN DE CUENTAS'!A1769</f>
        <v>0</v>
      </c>
      <c r="B1769" s="13">
        <f>+'PLAN DE CUENTAS'!B1769</f>
        <v>0</v>
      </c>
      <c r="C1769" s="13">
        <f>+'PLAN DE CUENTAS'!C1769</f>
        <v>0</v>
      </c>
      <c r="D1769" t="str">
        <f>IF(tbal[[#This Row],[DEBE]]+tbal[[#This Row],[HABER]]=0,"","X")</f>
        <v/>
      </c>
      <c r="E1769" s="16">
        <f>SUMIF(tdiario[CUENTA],tbal[[#This Row],[CUENTA]],tdiario[DEBE])</f>
        <v>0</v>
      </c>
      <c r="F1769" s="17">
        <f>SUMIF(tdiario[CUENTA],tbal[[#This Row],[CUENTA]],tdiario[HABER])</f>
        <v>0</v>
      </c>
      <c r="G1769" s="16">
        <f>IF(tbal[[#This Row],[DEBE]]-tbal[[#This Row],[HABER]]&gt;0,tbal[[#This Row],[DEBE]]-tbal[[#This Row],[HABER]],0)</f>
        <v>0</v>
      </c>
      <c r="H1769" s="18">
        <f>IF(tbal[[#This Row],[HABER]]-tbal[[#This Row],[DEBE]]&gt;0,tbal[[#This Row],[HABER]]-tbal[[#This Row],[DEBE]],0)</f>
        <v>0</v>
      </c>
      <c r="I1769" s="16">
        <f>IF((OR(tbal[[#This Row],[X]]=1,tbal[[#This Row],[X]]=2)),tbal[[#This Row],[DEUDOR]],0)</f>
        <v>0</v>
      </c>
      <c r="J1769" s="18">
        <f>IF((OR(tbal[[#This Row],[X]]=2,tbal[[#This Row],[X]]=3)),tbal[[#This Row],[ACREEDOR]],0)</f>
        <v>0</v>
      </c>
      <c r="K1769" s="16">
        <f>IF((OR(tbal[[#This Row],[X]]=3,tbal[[#This Row],[X]]=5)),tbal[[#This Row],[DEUDOR]],0)</f>
        <v>0</v>
      </c>
      <c r="L1769" s="18">
        <f>IF((OR(tbal[[#This Row],[X]]=3,tbal[[#This Row],[X]]=4)),tbal[[#This Row],[ACREEDOR]],0)</f>
        <v>0</v>
      </c>
      <c r="M1769" s="16">
        <f>IF((OR(tbal[[#This Row],[X]]=0,tbal[[#This Row],[X]]=6)),tbal[[#This Row],[DEUDOR]],0)</f>
        <v>0</v>
      </c>
      <c r="N1769" s="18">
        <f>IF((OR(tbal[[#This Row],[X]]=0,tbal[[#This Row],[X]]=5)),tbal[[#This Row],[ACREEDOR]],0)</f>
        <v>0</v>
      </c>
    </row>
    <row r="1770" spans="1:14" hidden="1" x14ac:dyDescent="0.3">
      <c r="A1770" s="14">
        <f>+'PLAN DE CUENTAS'!A1770</f>
        <v>0</v>
      </c>
      <c r="B1770" s="13">
        <f>+'PLAN DE CUENTAS'!B1770</f>
        <v>0</v>
      </c>
      <c r="C1770" s="13">
        <f>+'PLAN DE CUENTAS'!C1770</f>
        <v>0</v>
      </c>
      <c r="D1770" t="str">
        <f>IF(tbal[[#This Row],[DEBE]]+tbal[[#This Row],[HABER]]=0,"","X")</f>
        <v/>
      </c>
      <c r="E1770" s="16">
        <f>SUMIF(tdiario[CUENTA],tbal[[#This Row],[CUENTA]],tdiario[DEBE])</f>
        <v>0</v>
      </c>
      <c r="F1770" s="17">
        <f>SUMIF(tdiario[CUENTA],tbal[[#This Row],[CUENTA]],tdiario[HABER])</f>
        <v>0</v>
      </c>
      <c r="G1770" s="16">
        <f>IF(tbal[[#This Row],[DEBE]]-tbal[[#This Row],[HABER]]&gt;0,tbal[[#This Row],[DEBE]]-tbal[[#This Row],[HABER]],0)</f>
        <v>0</v>
      </c>
      <c r="H1770" s="18">
        <f>IF(tbal[[#This Row],[HABER]]-tbal[[#This Row],[DEBE]]&gt;0,tbal[[#This Row],[HABER]]-tbal[[#This Row],[DEBE]],0)</f>
        <v>0</v>
      </c>
      <c r="I1770" s="16">
        <f>IF((OR(tbal[[#This Row],[X]]=1,tbal[[#This Row],[X]]=2)),tbal[[#This Row],[DEUDOR]],0)</f>
        <v>0</v>
      </c>
      <c r="J1770" s="18">
        <f>IF((OR(tbal[[#This Row],[X]]=2,tbal[[#This Row],[X]]=3)),tbal[[#This Row],[ACREEDOR]],0)</f>
        <v>0</v>
      </c>
      <c r="K1770" s="16">
        <f>IF((OR(tbal[[#This Row],[X]]=3,tbal[[#This Row],[X]]=5)),tbal[[#This Row],[DEUDOR]],0)</f>
        <v>0</v>
      </c>
      <c r="L1770" s="18">
        <f>IF((OR(tbal[[#This Row],[X]]=3,tbal[[#This Row],[X]]=4)),tbal[[#This Row],[ACREEDOR]],0)</f>
        <v>0</v>
      </c>
      <c r="M1770" s="16">
        <f>IF((OR(tbal[[#This Row],[X]]=0,tbal[[#This Row],[X]]=6)),tbal[[#This Row],[DEUDOR]],0)</f>
        <v>0</v>
      </c>
      <c r="N1770" s="18">
        <f>IF((OR(tbal[[#This Row],[X]]=0,tbal[[#This Row],[X]]=5)),tbal[[#This Row],[ACREEDOR]],0)</f>
        <v>0</v>
      </c>
    </row>
    <row r="1771" spans="1:14" hidden="1" x14ac:dyDescent="0.3">
      <c r="A1771" s="14">
        <f>+'PLAN DE CUENTAS'!A1771</f>
        <v>0</v>
      </c>
      <c r="B1771" s="13">
        <f>+'PLAN DE CUENTAS'!B1771</f>
        <v>0</v>
      </c>
      <c r="C1771" s="13">
        <f>+'PLAN DE CUENTAS'!C1771</f>
        <v>0</v>
      </c>
      <c r="D1771" t="str">
        <f>IF(tbal[[#This Row],[DEBE]]+tbal[[#This Row],[HABER]]=0,"","X")</f>
        <v/>
      </c>
      <c r="E1771" s="16">
        <f>SUMIF(tdiario[CUENTA],tbal[[#This Row],[CUENTA]],tdiario[DEBE])</f>
        <v>0</v>
      </c>
      <c r="F1771" s="17">
        <f>SUMIF(tdiario[CUENTA],tbal[[#This Row],[CUENTA]],tdiario[HABER])</f>
        <v>0</v>
      </c>
      <c r="G1771" s="16">
        <f>IF(tbal[[#This Row],[DEBE]]-tbal[[#This Row],[HABER]]&gt;0,tbal[[#This Row],[DEBE]]-tbal[[#This Row],[HABER]],0)</f>
        <v>0</v>
      </c>
      <c r="H1771" s="18">
        <f>IF(tbal[[#This Row],[HABER]]-tbal[[#This Row],[DEBE]]&gt;0,tbal[[#This Row],[HABER]]-tbal[[#This Row],[DEBE]],0)</f>
        <v>0</v>
      </c>
      <c r="I1771" s="16">
        <f>IF((OR(tbal[[#This Row],[X]]=1,tbal[[#This Row],[X]]=2)),tbal[[#This Row],[DEUDOR]],0)</f>
        <v>0</v>
      </c>
      <c r="J1771" s="18">
        <f>IF((OR(tbal[[#This Row],[X]]=2,tbal[[#This Row],[X]]=3)),tbal[[#This Row],[ACREEDOR]],0)</f>
        <v>0</v>
      </c>
      <c r="K1771" s="16">
        <f>IF((OR(tbal[[#This Row],[X]]=3,tbal[[#This Row],[X]]=5)),tbal[[#This Row],[DEUDOR]],0)</f>
        <v>0</v>
      </c>
      <c r="L1771" s="18">
        <f>IF((OR(tbal[[#This Row],[X]]=3,tbal[[#This Row],[X]]=4)),tbal[[#This Row],[ACREEDOR]],0)</f>
        <v>0</v>
      </c>
      <c r="M1771" s="16">
        <f>IF((OR(tbal[[#This Row],[X]]=0,tbal[[#This Row],[X]]=6)),tbal[[#This Row],[DEUDOR]],0)</f>
        <v>0</v>
      </c>
      <c r="N1771" s="18">
        <f>IF((OR(tbal[[#This Row],[X]]=0,tbal[[#This Row],[X]]=5)),tbal[[#This Row],[ACREEDOR]],0)</f>
        <v>0</v>
      </c>
    </row>
    <row r="1772" spans="1:14" hidden="1" x14ac:dyDescent="0.3">
      <c r="A1772" s="14">
        <f>+'PLAN DE CUENTAS'!A1772</f>
        <v>0</v>
      </c>
      <c r="B1772" s="13">
        <f>+'PLAN DE CUENTAS'!B1772</f>
        <v>0</v>
      </c>
      <c r="C1772" s="13">
        <f>+'PLAN DE CUENTAS'!C1772</f>
        <v>0</v>
      </c>
      <c r="D1772" t="str">
        <f>IF(tbal[[#This Row],[DEBE]]+tbal[[#This Row],[HABER]]=0,"","X")</f>
        <v/>
      </c>
      <c r="E1772" s="16">
        <f>SUMIF(tdiario[CUENTA],tbal[[#This Row],[CUENTA]],tdiario[DEBE])</f>
        <v>0</v>
      </c>
      <c r="F1772" s="17">
        <f>SUMIF(tdiario[CUENTA],tbal[[#This Row],[CUENTA]],tdiario[HABER])</f>
        <v>0</v>
      </c>
      <c r="G1772" s="16">
        <f>IF(tbal[[#This Row],[DEBE]]-tbal[[#This Row],[HABER]]&gt;0,tbal[[#This Row],[DEBE]]-tbal[[#This Row],[HABER]],0)</f>
        <v>0</v>
      </c>
      <c r="H1772" s="18">
        <f>IF(tbal[[#This Row],[HABER]]-tbal[[#This Row],[DEBE]]&gt;0,tbal[[#This Row],[HABER]]-tbal[[#This Row],[DEBE]],0)</f>
        <v>0</v>
      </c>
      <c r="I1772" s="16">
        <f>IF((OR(tbal[[#This Row],[X]]=1,tbal[[#This Row],[X]]=2)),tbal[[#This Row],[DEUDOR]],0)</f>
        <v>0</v>
      </c>
      <c r="J1772" s="18">
        <f>IF((OR(tbal[[#This Row],[X]]=2,tbal[[#This Row],[X]]=3)),tbal[[#This Row],[ACREEDOR]],0)</f>
        <v>0</v>
      </c>
      <c r="K1772" s="16">
        <f>IF((OR(tbal[[#This Row],[X]]=3,tbal[[#This Row],[X]]=5)),tbal[[#This Row],[DEUDOR]],0)</f>
        <v>0</v>
      </c>
      <c r="L1772" s="18">
        <f>IF((OR(tbal[[#This Row],[X]]=3,tbal[[#This Row],[X]]=4)),tbal[[#This Row],[ACREEDOR]],0)</f>
        <v>0</v>
      </c>
      <c r="M1772" s="16">
        <f>IF((OR(tbal[[#This Row],[X]]=0,tbal[[#This Row],[X]]=6)),tbal[[#This Row],[DEUDOR]],0)</f>
        <v>0</v>
      </c>
      <c r="N1772" s="18">
        <f>IF((OR(tbal[[#This Row],[X]]=0,tbal[[#This Row],[X]]=5)),tbal[[#This Row],[ACREEDOR]],0)</f>
        <v>0</v>
      </c>
    </row>
    <row r="1773" spans="1:14" hidden="1" x14ac:dyDescent="0.3">
      <c r="A1773" s="14">
        <f>+'PLAN DE CUENTAS'!A1773</f>
        <v>0</v>
      </c>
      <c r="B1773" s="13">
        <f>+'PLAN DE CUENTAS'!B1773</f>
        <v>0</v>
      </c>
      <c r="C1773" s="13">
        <f>+'PLAN DE CUENTAS'!C1773</f>
        <v>0</v>
      </c>
      <c r="D1773" t="str">
        <f>IF(tbal[[#This Row],[DEBE]]+tbal[[#This Row],[HABER]]=0,"","X")</f>
        <v/>
      </c>
      <c r="E1773" s="16">
        <f>SUMIF(tdiario[CUENTA],tbal[[#This Row],[CUENTA]],tdiario[DEBE])</f>
        <v>0</v>
      </c>
      <c r="F1773" s="17">
        <f>SUMIF(tdiario[CUENTA],tbal[[#This Row],[CUENTA]],tdiario[HABER])</f>
        <v>0</v>
      </c>
      <c r="G1773" s="16">
        <f>IF(tbal[[#This Row],[DEBE]]-tbal[[#This Row],[HABER]]&gt;0,tbal[[#This Row],[DEBE]]-tbal[[#This Row],[HABER]],0)</f>
        <v>0</v>
      </c>
      <c r="H1773" s="18">
        <f>IF(tbal[[#This Row],[HABER]]-tbal[[#This Row],[DEBE]]&gt;0,tbal[[#This Row],[HABER]]-tbal[[#This Row],[DEBE]],0)</f>
        <v>0</v>
      </c>
      <c r="I1773" s="16">
        <f>IF((OR(tbal[[#This Row],[X]]=1,tbal[[#This Row],[X]]=2)),tbal[[#This Row],[DEUDOR]],0)</f>
        <v>0</v>
      </c>
      <c r="J1773" s="18">
        <f>IF((OR(tbal[[#This Row],[X]]=2,tbal[[#This Row],[X]]=3)),tbal[[#This Row],[ACREEDOR]],0)</f>
        <v>0</v>
      </c>
      <c r="K1773" s="16">
        <f>IF((OR(tbal[[#This Row],[X]]=3,tbal[[#This Row],[X]]=5)),tbal[[#This Row],[DEUDOR]],0)</f>
        <v>0</v>
      </c>
      <c r="L1773" s="18">
        <f>IF((OR(tbal[[#This Row],[X]]=3,tbal[[#This Row],[X]]=4)),tbal[[#This Row],[ACREEDOR]],0)</f>
        <v>0</v>
      </c>
      <c r="M1773" s="16">
        <f>IF((OR(tbal[[#This Row],[X]]=0,tbal[[#This Row],[X]]=6)),tbal[[#This Row],[DEUDOR]],0)</f>
        <v>0</v>
      </c>
      <c r="N1773" s="18">
        <f>IF((OR(tbal[[#This Row],[X]]=0,tbal[[#This Row],[X]]=5)),tbal[[#This Row],[ACREEDOR]],0)</f>
        <v>0</v>
      </c>
    </row>
    <row r="1774" spans="1:14" hidden="1" x14ac:dyDescent="0.3">
      <c r="A1774" s="14">
        <f>+'PLAN DE CUENTAS'!A1774</f>
        <v>0</v>
      </c>
      <c r="B1774" s="13">
        <f>+'PLAN DE CUENTAS'!B1774</f>
        <v>0</v>
      </c>
      <c r="C1774" s="13">
        <f>+'PLAN DE CUENTAS'!C1774</f>
        <v>0</v>
      </c>
      <c r="D1774" t="str">
        <f>IF(tbal[[#This Row],[DEBE]]+tbal[[#This Row],[HABER]]=0,"","X")</f>
        <v/>
      </c>
      <c r="E1774" s="16">
        <f>SUMIF(tdiario[CUENTA],tbal[[#This Row],[CUENTA]],tdiario[DEBE])</f>
        <v>0</v>
      </c>
      <c r="F1774" s="17">
        <f>SUMIF(tdiario[CUENTA],tbal[[#This Row],[CUENTA]],tdiario[HABER])</f>
        <v>0</v>
      </c>
      <c r="G1774" s="16">
        <f>IF(tbal[[#This Row],[DEBE]]-tbal[[#This Row],[HABER]]&gt;0,tbal[[#This Row],[DEBE]]-tbal[[#This Row],[HABER]],0)</f>
        <v>0</v>
      </c>
      <c r="H1774" s="18">
        <f>IF(tbal[[#This Row],[HABER]]-tbal[[#This Row],[DEBE]]&gt;0,tbal[[#This Row],[HABER]]-tbal[[#This Row],[DEBE]],0)</f>
        <v>0</v>
      </c>
      <c r="I1774" s="16">
        <f>IF((OR(tbal[[#This Row],[X]]=1,tbal[[#This Row],[X]]=2)),tbal[[#This Row],[DEUDOR]],0)</f>
        <v>0</v>
      </c>
      <c r="J1774" s="18">
        <f>IF((OR(tbal[[#This Row],[X]]=2,tbal[[#This Row],[X]]=3)),tbal[[#This Row],[ACREEDOR]],0)</f>
        <v>0</v>
      </c>
      <c r="K1774" s="16">
        <f>IF((OR(tbal[[#This Row],[X]]=3,tbal[[#This Row],[X]]=5)),tbal[[#This Row],[DEUDOR]],0)</f>
        <v>0</v>
      </c>
      <c r="L1774" s="18">
        <f>IF((OR(tbal[[#This Row],[X]]=3,tbal[[#This Row],[X]]=4)),tbal[[#This Row],[ACREEDOR]],0)</f>
        <v>0</v>
      </c>
      <c r="M1774" s="16">
        <f>IF((OR(tbal[[#This Row],[X]]=0,tbal[[#This Row],[X]]=6)),tbal[[#This Row],[DEUDOR]],0)</f>
        <v>0</v>
      </c>
      <c r="N1774" s="18">
        <f>IF((OR(tbal[[#This Row],[X]]=0,tbal[[#This Row],[X]]=5)),tbal[[#This Row],[ACREEDOR]],0)</f>
        <v>0</v>
      </c>
    </row>
    <row r="1775" spans="1:14" hidden="1" x14ac:dyDescent="0.3">
      <c r="A1775" s="14">
        <f>+'PLAN DE CUENTAS'!A1775</f>
        <v>0</v>
      </c>
      <c r="B1775" s="13">
        <f>+'PLAN DE CUENTAS'!B1775</f>
        <v>0</v>
      </c>
      <c r="C1775" s="13">
        <f>+'PLAN DE CUENTAS'!C1775</f>
        <v>0</v>
      </c>
      <c r="D1775" t="str">
        <f>IF(tbal[[#This Row],[DEBE]]+tbal[[#This Row],[HABER]]=0,"","X")</f>
        <v/>
      </c>
      <c r="E1775" s="16">
        <f>SUMIF(tdiario[CUENTA],tbal[[#This Row],[CUENTA]],tdiario[DEBE])</f>
        <v>0</v>
      </c>
      <c r="F1775" s="17">
        <f>SUMIF(tdiario[CUENTA],tbal[[#This Row],[CUENTA]],tdiario[HABER])</f>
        <v>0</v>
      </c>
      <c r="G1775" s="16">
        <f>IF(tbal[[#This Row],[DEBE]]-tbal[[#This Row],[HABER]]&gt;0,tbal[[#This Row],[DEBE]]-tbal[[#This Row],[HABER]],0)</f>
        <v>0</v>
      </c>
      <c r="H1775" s="18">
        <f>IF(tbal[[#This Row],[HABER]]-tbal[[#This Row],[DEBE]]&gt;0,tbal[[#This Row],[HABER]]-tbal[[#This Row],[DEBE]],0)</f>
        <v>0</v>
      </c>
      <c r="I1775" s="16">
        <f>IF((OR(tbal[[#This Row],[X]]=1,tbal[[#This Row],[X]]=2)),tbal[[#This Row],[DEUDOR]],0)</f>
        <v>0</v>
      </c>
      <c r="J1775" s="18">
        <f>IF((OR(tbal[[#This Row],[X]]=2,tbal[[#This Row],[X]]=3)),tbal[[#This Row],[ACREEDOR]],0)</f>
        <v>0</v>
      </c>
      <c r="K1775" s="16">
        <f>IF((OR(tbal[[#This Row],[X]]=3,tbal[[#This Row],[X]]=5)),tbal[[#This Row],[DEUDOR]],0)</f>
        <v>0</v>
      </c>
      <c r="L1775" s="18">
        <f>IF((OR(tbal[[#This Row],[X]]=3,tbal[[#This Row],[X]]=4)),tbal[[#This Row],[ACREEDOR]],0)</f>
        <v>0</v>
      </c>
      <c r="M1775" s="16">
        <f>IF((OR(tbal[[#This Row],[X]]=0,tbal[[#This Row],[X]]=6)),tbal[[#This Row],[DEUDOR]],0)</f>
        <v>0</v>
      </c>
      <c r="N1775" s="18">
        <f>IF((OR(tbal[[#This Row],[X]]=0,tbal[[#This Row],[X]]=5)),tbal[[#This Row],[ACREEDOR]],0)</f>
        <v>0</v>
      </c>
    </row>
    <row r="1776" spans="1:14" hidden="1" x14ac:dyDescent="0.3">
      <c r="A1776" s="14">
        <f>+'PLAN DE CUENTAS'!A1776</f>
        <v>0</v>
      </c>
      <c r="B1776" s="13">
        <f>+'PLAN DE CUENTAS'!B1776</f>
        <v>0</v>
      </c>
      <c r="C1776" s="13">
        <f>+'PLAN DE CUENTAS'!C1776</f>
        <v>0</v>
      </c>
      <c r="D1776" t="str">
        <f>IF(tbal[[#This Row],[DEBE]]+tbal[[#This Row],[HABER]]=0,"","X")</f>
        <v/>
      </c>
      <c r="E1776" s="16">
        <f>SUMIF(tdiario[CUENTA],tbal[[#This Row],[CUENTA]],tdiario[DEBE])</f>
        <v>0</v>
      </c>
      <c r="F1776" s="17">
        <f>SUMIF(tdiario[CUENTA],tbal[[#This Row],[CUENTA]],tdiario[HABER])</f>
        <v>0</v>
      </c>
      <c r="G1776" s="16">
        <f>IF(tbal[[#This Row],[DEBE]]-tbal[[#This Row],[HABER]]&gt;0,tbal[[#This Row],[DEBE]]-tbal[[#This Row],[HABER]],0)</f>
        <v>0</v>
      </c>
      <c r="H1776" s="18">
        <f>IF(tbal[[#This Row],[HABER]]-tbal[[#This Row],[DEBE]]&gt;0,tbal[[#This Row],[HABER]]-tbal[[#This Row],[DEBE]],0)</f>
        <v>0</v>
      </c>
      <c r="I1776" s="16">
        <f>IF((OR(tbal[[#This Row],[X]]=1,tbal[[#This Row],[X]]=2)),tbal[[#This Row],[DEUDOR]],0)</f>
        <v>0</v>
      </c>
      <c r="J1776" s="18">
        <f>IF((OR(tbal[[#This Row],[X]]=2,tbal[[#This Row],[X]]=3)),tbal[[#This Row],[ACREEDOR]],0)</f>
        <v>0</v>
      </c>
      <c r="K1776" s="16">
        <f>IF((OR(tbal[[#This Row],[X]]=3,tbal[[#This Row],[X]]=5)),tbal[[#This Row],[DEUDOR]],0)</f>
        <v>0</v>
      </c>
      <c r="L1776" s="18">
        <f>IF((OR(tbal[[#This Row],[X]]=3,tbal[[#This Row],[X]]=4)),tbal[[#This Row],[ACREEDOR]],0)</f>
        <v>0</v>
      </c>
      <c r="M1776" s="16">
        <f>IF((OR(tbal[[#This Row],[X]]=0,tbal[[#This Row],[X]]=6)),tbal[[#This Row],[DEUDOR]],0)</f>
        <v>0</v>
      </c>
      <c r="N1776" s="18">
        <f>IF((OR(tbal[[#This Row],[X]]=0,tbal[[#This Row],[X]]=5)),tbal[[#This Row],[ACREEDOR]],0)</f>
        <v>0</v>
      </c>
    </row>
    <row r="1777" spans="1:14" hidden="1" x14ac:dyDescent="0.3">
      <c r="A1777" s="14">
        <f>+'PLAN DE CUENTAS'!A1777</f>
        <v>0</v>
      </c>
      <c r="B1777" s="13">
        <f>+'PLAN DE CUENTAS'!B1777</f>
        <v>0</v>
      </c>
      <c r="C1777" s="13">
        <f>+'PLAN DE CUENTAS'!C1777</f>
        <v>0</v>
      </c>
      <c r="D1777" t="str">
        <f>IF(tbal[[#This Row],[DEBE]]+tbal[[#This Row],[HABER]]=0,"","X")</f>
        <v/>
      </c>
      <c r="E1777" s="16">
        <f>SUMIF(tdiario[CUENTA],tbal[[#This Row],[CUENTA]],tdiario[DEBE])</f>
        <v>0</v>
      </c>
      <c r="F1777" s="17">
        <f>SUMIF(tdiario[CUENTA],tbal[[#This Row],[CUENTA]],tdiario[HABER])</f>
        <v>0</v>
      </c>
      <c r="G1777" s="16">
        <f>IF(tbal[[#This Row],[DEBE]]-tbal[[#This Row],[HABER]]&gt;0,tbal[[#This Row],[DEBE]]-tbal[[#This Row],[HABER]],0)</f>
        <v>0</v>
      </c>
      <c r="H1777" s="18">
        <f>IF(tbal[[#This Row],[HABER]]-tbal[[#This Row],[DEBE]]&gt;0,tbal[[#This Row],[HABER]]-tbal[[#This Row],[DEBE]],0)</f>
        <v>0</v>
      </c>
      <c r="I1777" s="16">
        <f>IF((OR(tbal[[#This Row],[X]]=1,tbal[[#This Row],[X]]=2)),tbal[[#This Row],[DEUDOR]],0)</f>
        <v>0</v>
      </c>
      <c r="J1777" s="18">
        <f>IF((OR(tbal[[#This Row],[X]]=2,tbal[[#This Row],[X]]=3)),tbal[[#This Row],[ACREEDOR]],0)</f>
        <v>0</v>
      </c>
      <c r="K1777" s="16">
        <f>IF((OR(tbal[[#This Row],[X]]=3,tbal[[#This Row],[X]]=5)),tbal[[#This Row],[DEUDOR]],0)</f>
        <v>0</v>
      </c>
      <c r="L1777" s="18">
        <f>IF((OR(tbal[[#This Row],[X]]=3,tbal[[#This Row],[X]]=4)),tbal[[#This Row],[ACREEDOR]],0)</f>
        <v>0</v>
      </c>
      <c r="M1777" s="16">
        <f>IF((OR(tbal[[#This Row],[X]]=0,tbal[[#This Row],[X]]=6)),tbal[[#This Row],[DEUDOR]],0)</f>
        <v>0</v>
      </c>
      <c r="N1777" s="18">
        <f>IF((OR(tbal[[#This Row],[X]]=0,tbal[[#This Row],[X]]=5)),tbal[[#This Row],[ACREEDOR]],0)</f>
        <v>0</v>
      </c>
    </row>
    <row r="1778" spans="1:14" hidden="1" x14ac:dyDescent="0.3">
      <c r="A1778" s="14">
        <f>+'PLAN DE CUENTAS'!A1778</f>
        <v>0</v>
      </c>
      <c r="B1778" s="13">
        <f>+'PLAN DE CUENTAS'!B1778</f>
        <v>0</v>
      </c>
      <c r="C1778" s="13">
        <f>+'PLAN DE CUENTAS'!C1778</f>
        <v>0</v>
      </c>
      <c r="D1778" t="str">
        <f>IF(tbal[[#This Row],[DEBE]]+tbal[[#This Row],[HABER]]=0,"","X")</f>
        <v/>
      </c>
      <c r="E1778" s="16">
        <f>SUMIF(tdiario[CUENTA],tbal[[#This Row],[CUENTA]],tdiario[DEBE])</f>
        <v>0</v>
      </c>
      <c r="F1778" s="17">
        <f>SUMIF(tdiario[CUENTA],tbal[[#This Row],[CUENTA]],tdiario[HABER])</f>
        <v>0</v>
      </c>
      <c r="G1778" s="16">
        <f>IF(tbal[[#This Row],[DEBE]]-tbal[[#This Row],[HABER]]&gt;0,tbal[[#This Row],[DEBE]]-tbal[[#This Row],[HABER]],0)</f>
        <v>0</v>
      </c>
      <c r="H1778" s="18">
        <f>IF(tbal[[#This Row],[HABER]]-tbal[[#This Row],[DEBE]]&gt;0,tbal[[#This Row],[HABER]]-tbal[[#This Row],[DEBE]],0)</f>
        <v>0</v>
      </c>
      <c r="I1778" s="16">
        <f>IF((OR(tbal[[#This Row],[X]]=1,tbal[[#This Row],[X]]=2)),tbal[[#This Row],[DEUDOR]],0)</f>
        <v>0</v>
      </c>
      <c r="J1778" s="18">
        <f>IF((OR(tbal[[#This Row],[X]]=2,tbal[[#This Row],[X]]=3)),tbal[[#This Row],[ACREEDOR]],0)</f>
        <v>0</v>
      </c>
      <c r="K1778" s="16">
        <f>IF((OR(tbal[[#This Row],[X]]=3,tbal[[#This Row],[X]]=5)),tbal[[#This Row],[DEUDOR]],0)</f>
        <v>0</v>
      </c>
      <c r="L1778" s="18">
        <f>IF((OR(tbal[[#This Row],[X]]=3,tbal[[#This Row],[X]]=4)),tbal[[#This Row],[ACREEDOR]],0)</f>
        <v>0</v>
      </c>
      <c r="M1778" s="16">
        <f>IF((OR(tbal[[#This Row],[X]]=0,tbal[[#This Row],[X]]=6)),tbal[[#This Row],[DEUDOR]],0)</f>
        <v>0</v>
      </c>
      <c r="N1778" s="18">
        <f>IF((OR(tbal[[#This Row],[X]]=0,tbal[[#This Row],[X]]=5)),tbal[[#This Row],[ACREEDOR]],0)</f>
        <v>0</v>
      </c>
    </row>
    <row r="1779" spans="1:14" hidden="1" x14ac:dyDescent="0.3">
      <c r="A1779" s="14">
        <f>+'PLAN DE CUENTAS'!A1779</f>
        <v>0</v>
      </c>
      <c r="B1779" s="13">
        <f>+'PLAN DE CUENTAS'!B1779</f>
        <v>0</v>
      </c>
      <c r="C1779" s="13">
        <f>+'PLAN DE CUENTAS'!C1779</f>
        <v>0</v>
      </c>
      <c r="D1779" t="str">
        <f>IF(tbal[[#This Row],[DEBE]]+tbal[[#This Row],[HABER]]=0,"","X")</f>
        <v/>
      </c>
      <c r="E1779" s="16">
        <f>SUMIF(tdiario[CUENTA],tbal[[#This Row],[CUENTA]],tdiario[DEBE])</f>
        <v>0</v>
      </c>
      <c r="F1779" s="17">
        <f>SUMIF(tdiario[CUENTA],tbal[[#This Row],[CUENTA]],tdiario[HABER])</f>
        <v>0</v>
      </c>
      <c r="G1779" s="16">
        <f>IF(tbal[[#This Row],[DEBE]]-tbal[[#This Row],[HABER]]&gt;0,tbal[[#This Row],[DEBE]]-tbal[[#This Row],[HABER]],0)</f>
        <v>0</v>
      </c>
      <c r="H1779" s="18">
        <f>IF(tbal[[#This Row],[HABER]]-tbal[[#This Row],[DEBE]]&gt;0,tbal[[#This Row],[HABER]]-tbal[[#This Row],[DEBE]],0)</f>
        <v>0</v>
      </c>
      <c r="I1779" s="16">
        <f>IF((OR(tbal[[#This Row],[X]]=1,tbal[[#This Row],[X]]=2)),tbal[[#This Row],[DEUDOR]],0)</f>
        <v>0</v>
      </c>
      <c r="J1779" s="18">
        <f>IF((OR(tbal[[#This Row],[X]]=2,tbal[[#This Row],[X]]=3)),tbal[[#This Row],[ACREEDOR]],0)</f>
        <v>0</v>
      </c>
      <c r="K1779" s="16">
        <f>IF((OR(tbal[[#This Row],[X]]=3,tbal[[#This Row],[X]]=5)),tbal[[#This Row],[DEUDOR]],0)</f>
        <v>0</v>
      </c>
      <c r="L1779" s="18">
        <f>IF((OR(tbal[[#This Row],[X]]=3,tbal[[#This Row],[X]]=4)),tbal[[#This Row],[ACREEDOR]],0)</f>
        <v>0</v>
      </c>
      <c r="M1779" s="16">
        <f>IF((OR(tbal[[#This Row],[X]]=0,tbal[[#This Row],[X]]=6)),tbal[[#This Row],[DEUDOR]],0)</f>
        <v>0</v>
      </c>
      <c r="N1779" s="18">
        <f>IF((OR(tbal[[#This Row],[X]]=0,tbal[[#This Row],[X]]=5)),tbal[[#This Row],[ACREEDOR]],0)</f>
        <v>0</v>
      </c>
    </row>
    <row r="1780" spans="1:14" hidden="1" x14ac:dyDescent="0.3">
      <c r="A1780" s="14">
        <f>+'PLAN DE CUENTAS'!A1780</f>
        <v>0</v>
      </c>
      <c r="B1780" s="13">
        <f>+'PLAN DE CUENTAS'!B1780</f>
        <v>0</v>
      </c>
      <c r="C1780" s="13">
        <f>+'PLAN DE CUENTAS'!C1780</f>
        <v>0</v>
      </c>
      <c r="D1780" t="str">
        <f>IF(tbal[[#This Row],[DEBE]]+tbal[[#This Row],[HABER]]=0,"","X")</f>
        <v/>
      </c>
      <c r="E1780" s="16">
        <f>SUMIF(tdiario[CUENTA],tbal[[#This Row],[CUENTA]],tdiario[DEBE])</f>
        <v>0</v>
      </c>
      <c r="F1780" s="17">
        <f>SUMIF(tdiario[CUENTA],tbal[[#This Row],[CUENTA]],tdiario[HABER])</f>
        <v>0</v>
      </c>
      <c r="G1780" s="16">
        <f>IF(tbal[[#This Row],[DEBE]]-tbal[[#This Row],[HABER]]&gt;0,tbal[[#This Row],[DEBE]]-tbal[[#This Row],[HABER]],0)</f>
        <v>0</v>
      </c>
      <c r="H1780" s="18">
        <f>IF(tbal[[#This Row],[HABER]]-tbal[[#This Row],[DEBE]]&gt;0,tbal[[#This Row],[HABER]]-tbal[[#This Row],[DEBE]],0)</f>
        <v>0</v>
      </c>
      <c r="I1780" s="16">
        <f>IF((OR(tbal[[#This Row],[X]]=1,tbal[[#This Row],[X]]=2)),tbal[[#This Row],[DEUDOR]],0)</f>
        <v>0</v>
      </c>
      <c r="J1780" s="18">
        <f>IF((OR(tbal[[#This Row],[X]]=2,tbal[[#This Row],[X]]=3)),tbal[[#This Row],[ACREEDOR]],0)</f>
        <v>0</v>
      </c>
      <c r="K1780" s="16">
        <f>IF((OR(tbal[[#This Row],[X]]=3,tbal[[#This Row],[X]]=5)),tbal[[#This Row],[DEUDOR]],0)</f>
        <v>0</v>
      </c>
      <c r="L1780" s="18">
        <f>IF((OR(tbal[[#This Row],[X]]=3,tbal[[#This Row],[X]]=4)),tbal[[#This Row],[ACREEDOR]],0)</f>
        <v>0</v>
      </c>
      <c r="M1780" s="16">
        <f>IF((OR(tbal[[#This Row],[X]]=0,tbal[[#This Row],[X]]=6)),tbal[[#This Row],[DEUDOR]],0)</f>
        <v>0</v>
      </c>
      <c r="N1780" s="18">
        <f>IF((OR(tbal[[#This Row],[X]]=0,tbal[[#This Row],[X]]=5)),tbal[[#This Row],[ACREEDOR]],0)</f>
        <v>0</v>
      </c>
    </row>
    <row r="1781" spans="1:14" hidden="1" x14ac:dyDescent="0.3">
      <c r="A1781" s="14">
        <f>+'PLAN DE CUENTAS'!A1781</f>
        <v>0</v>
      </c>
      <c r="B1781" s="13">
        <f>+'PLAN DE CUENTAS'!B1781</f>
        <v>0</v>
      </c>
      <c r="C1781" s="13">
        <f>+'PLAN DE CUENTAS'!C1781</f>
        <v>0</v>
      </c>
      <c r="D1781" t="str">
        <f>IF(tbal[[#This Row],[DEBE]]+tbal[[#This Row],[HABER]]=0,"","X")</f>
        <v/>
      </c>
      <c r="E1781" s="16">
        <f>SUMIF(tdiario[CUENTA],tbal[[#This Row],[CUENTA]],tdiario[DEBE])</f>
        <v>0</v>
      </c>
      <c r="F1781" s="17">
        <f>SUMIF(tdiario[CUENTA],tbal[[#This Row],[CUENTA]],tdiario[HABER])</f>
        <v>0</v>
      </c>
      <c r="G1781" s="16">
        <f>IF(tbal[[#This Row],[DEBE]]-tbal[[#This Row],[HABER]]&gt;0,tbal[[#This Row],[DEBE]]-tbal[[#This Row],[HABER]],0)</f>
        <v>0</v>
      </c>
      <c r="H1781" s="18">
        <f>IF(tbal[[#This Row],[HABER]]-tbal[[#This Row],[DEBE]]&gt;0,tbal[[#This Row],[HABER]]-tbal[[#This Row],[DEBE]],0)</f>
        <v>0</v>
      </c>
      <c r="I1781" s="16">
        <f>IF((OR(tbal[[#This Row],[X]]=1,tbal[[#This Row],[X]]=2)),tbal[[#This Row],[DEUDOR]],0)</f>
        <v>0</v>
      </c>
      <c r="J1781" s="18">
        <f>IF((OR(tbal[[#This Row],[X]]=2,tbal[[#This Row],[X]]=3)),tbal[[#This Row],[ACREEDOR]],0)</f>
        <v>0</v>
      </c>
      <c r="K1781" s="16">
        <f>IF((OR(tbal[[#This Row],[X]]=3,tbal[[#This Row],[X]]=5)),tbal[[#This Row],[DEUDOR]],0)</f>
        <v>0</v>
      </c>
      <c r="L1781" s="18">
        <f>IF((OR(tbal[[#This Row],[X]]=3,tbal[[#This Row],[X]]=4)),tbal[[#This Row],[ACREEDOR]],0)</f>
        <v>0</v>
      </c>
      <c r="M1781" s="16">
        <f>IF((OR(tbal[[#This Row],[X]]=0,tbal[[#This Row],[X]]=6)),tbal[[#This Row],[DEUDOR]],0)</f>
        <v>0</v>
      </c>
      <c r="N1781" s="18">
        <f>IF((OR(tbal[[#This Row],[X]]=0,tbal[[#This Row],[X]]=5)),tbal[[#This Row],[ACREEDOR]],0)</f>
        <v>0</v>
      </c>
    </row>
    <row r="1782" spans="1:14" hidden="1" x14ac:dyDescent="0.3">
      <c r="A1782" s="14">
        <f>+'PLAN DE CUENTAS'!A1782</f>
        <v>0</v>
      </c>
      <c r="B1782" s="13">
        <f>+'PLAN DE CUENTAS'!B1782</f>
        <v>0</v>
      </c>
      <c r="C1782" s="13">
        <f>+'PLAN DE CUENTAS'!C1782</f>
        <v>0</v>
      </c>
      <c r="D1782" t="str">
        <f>IF(tbal[[#This Row],[DEBE]]+tbal[[#This Row],[HABER]]=0,"","X")</f>
        <v/>
      </c>
      <c r="E1782" s="16">
        <f>SUMIF(tdiario[CUENTA],tbal[[#This Row],[CUENTA]],tdiario[DEBE])</f>
        <v>0</v>
      </c>
      <c r="F1782" s="17">
        <f>SUMIF(tdiario[CUENTA],tbal[[#This Row],[CUENTA]],tdiario[HABER])</f>
        <v>0</v>
      </c>
      <c r="G1782" s="16">
        <f>IF(tbal[[#This Row],[DEBE]]-tbal[[#This Row],[HABER]]&gt;0,tbal[[#This Row],[DEBE]]-tbal[[#This Row],[HABER]],0)</f>
        <v>0</v>
      </c>
      <c r="H1782" s="18">
        <f>IF(tbal[[#This Row],[HABER]]-tbal[[#This Row],[DEBE]]&gt;0,tbal[[#This Row],[HABER]]-tbal[[#This Row],[DEBE]],0)</f>
        <v>0</v>
      </c>
      <c r="I1782" s="16">
        <f>IF((OR(tbal[[#This Row],[X]]=1,tbal[[#This Row],[X]]=2)),tbal[[#This Row],[DEUDOR]],0)</f>
        <v>0</v>
      </c>
      <c r="J1782" s="18">
        <f>IF((OR(tbal[[#This Row],[X]]=2,tbal[[#This Row],[X]]=3)),tbal[[#This Row],[ACREEDOR]],0)</f>
        <v>0</v>
      </c>
      <c r="K1782" s="16">
        <f>IF((OR(tbal[[#This Row],[X]]=3,tbal[[#This Row],[X]]=5)),tbal[[#This Row],[DEUDOR]],0)</f>
        <v>0</v>
      </c>
      <c r="L1782" s="18">
        <f>IF((OR(tbal[[#This Row],[X]]=3,tbal[[#This Row],[X]]=4)),tbal[[#This Row],[ACREEDOR]],0)</f>
        <v>0</v>
      </c>
      <c r="M1782" s="16">
        <f>IF((OR(tbal[[#This Row],[X]]=0,tbal[[#This Row],[X]]=6)),tbal[[#This Row],[DEUDOR]],0)</f>
        <v>0</v>
      </c>
      <c r="N1782" s="18">
        <f>IF((OR(tbal[[#This Row],[X]]=0,tbal[[#This Row],[X]]=5)),tbal[[#This Row],[ACREEDOR]],0)</f>
        <v>0</v>
      </c>
    </row>
    <row r="1783" spans="1:14" hidden="1" x14ac:dyDescent="0.3">
      <c r="A1783" s="14">
        <f>+'PLAN DE CUENTAS'!A1783</f>
        <v>0</v>
      </c>
      <c r="B1783" s="13">
        <f>+'PLAN DE CUENTAS'!B1783</f>
        <v>0</v>
      </c>
      <c r="C1783" s="13">
        <f>+'PLAN DE CUENTAS'!C1783</f>
        <v>0</v>
      </c>
      <c r="D1783" t="str">
        <f>IF(tbal[[#This Row],[DEBE]]+tbal[[#This Row],[HABER]]=0,"","X")</f>
        <v/>
      </c>
      <c r="E1783" s="16">
        <f>SUMIF(tdiario[CUENTA],tbal[[#This Row],[CUENTA]],tdiario[DEBE])</f>
        <v>0</v>
      </c>
      <c r="F1783" s="17">
        <f>SUMIF(tdiario[CUENTA],tbal[[#This Row],[CUENTA]],tdiario[HABER])</f>
        <v>0</v>
      </c>
      <c r="G1783" s="16">
        <f>IF(tbal[[#This Row],[DEBE]]-tbal[[#This Row],[HABER]]&gt;0,tbal[[#This Row],[DEBE]]-tbal[[#This Row],[HABER]],0)</f>
        <v>0</v>
      </c>
      <c r="H1783" s="18">
        <f>IF(tbal[[#This Row],[HABER]]-tbal[[#This Row],[DEBE]]&gt;0,tbal[[#This Row],[HABER]]-tbal[[#This Row],[DEBE]],0)</f>
        <v>0</v>
      </c>
      <c r="I1783" s="16">
        <f>IF((OR(tbal[[#This Row],[X]]=1,tbal[[#This Row],[X]]=2)),tbal[[#This Row],[DEUDOR]],0)</f>
        <v>0</v>
      </c>
      <c r="J1783" s="18">
        <f>IF((OR(tbal[[#This Row],[X]]=2,tbal[[#This Row],[X]]=3)),tbal[[#This Row],[ACREEDOR]],0)</f>
        <v>0</v>
      </c>
      <c r="K1783" s="16">
        <f>IF((OR(tbal[[#This Row],[X]]=3,tbal[[#This Row],[X]]=5)),tbal[[#This Row],[DEUDOR]],0)</f>
        <v>0</v>
      </c>
      <c r="L1783" s="18">
        <f>IF((OR(tbal[[#This Row],[X]]=3,tbal[[#This Row],[X]]=4)),tbal[[#This Row],[ACREEDOR]],0)</f>
        <v>0</v>
      </c>
      <c r="M1783" s="16">
        <f>IF((OR(tbal[[#This Row],[X]]=0,tbal[[#This Row],[X]]=6)),tbal[[#This Row],[DEUDOR]],0)</f>
        <v>0</v>
      </c>
      <c r="N1783" s="18">
        <f>IF((OR(tbal[[#This Row],[X]]=0,tbal[[#This Row],[X]]=5)),tbal[[#This Row],[ACREEDOR]],0)</f>
        <v>0</v>
      </c>
    </row>
    <row r="1784" spans="1:14" hidden="1" x14ac:dyDescent="0.3">
      <c r="A1784" s="14">
        <f>+'PLAN DE CUENTAS'!A1784</f>
        <v>0</v>
      </c>
      <c r="B1784" s="13">
        <f>+'PLAN DE CUENTAS'!B1784</f>
        <v>0</v>
      </c>
      <c r="C1784" s="13">
        <f>+'PLAN DE CUENTAS'!C1784</f>
        <v>0</v>
      </c>
      <c r="D1784" t="str">
        <f>IF(tbal[[#This Row],[DEBE]]+tbal[[#This Row],[HABER]]=0,"","X")</f>
        <v/>
      </c>
      <c r="E1784" s="16">
        <f>SUMIF(tdiario[CUENTA],tbal[[#This Row],[CUENTA]],tdiario[DEBE])</f>
        <v>0</v>
      </c>
      <c r="F1784" s="17">
        <f>SUMIF(tdiario[CUENTA],tbal[[#This Row],[CUENTA]],tdiario[HABER])</f>
        <v>0</v>
      </c>
      <c r="G1784" s="16">
        <f>IF(tbal[[#This Row],[DEBE]]-tbal[[#This Row],[HABER]]&gt;0,tbal[[#This Row],[DEBE]]-tbal[[#This Row],[HABER]],0)</f>
        <v>0</v>
      </c>
      <c r="H1784" s="18">
        <f>IF(tbal[[#This Row],[HABER]]-tbal[[#This Row],[DEBE]]&gt;0,tbal[[#This Row],[HABER]]-tbal[[#This Row],[DEBE]],0)</f>
        <v>0</v>
      </c>
      <c r="I1784" s="16">
        <f>IF((OR(tbal[[#This Row],[X]]=1,tbal[[#This Row],[X]]=2)),tbal[[#This Row],[DEUDOR]],0)</f>
        <v>0</v>
      </c>
      <c r="J1784" s="18">
        <f>IF((OR(tbal[[#This Row],[X]]=2,tbal[[#This Row],[X]]=3)),tbal[[#This Row],[ACREEDOR]],0)</f>
        <v>0</v>
      </c>
      <c r="K1784" s="16">
        <f>IF((OR(tbal[[#This Row],[X]]=3,tbal[[#This Row],[X]]=5)),tbal[[#This Row],[DEUDOR]],0)</f>
        <v>0</v>
      </c>
      <c r="L1784" s="18">
        <f>IF((OR(tbal[[#This Row],[X]]=3,tbal[[#This Row],[X]]=4)),tbal[[#This Row],[ACREEDOR]],0)</f>
        <v>0</v>
      </c>
      <c r="M1784" s="16">
        <f>IF((OR(tbal[[#This Row],[X]]=0,tbal[[#This Row],[X]]=6)),tbal[[#This Row],[DEUDOR]],0)</f>
        <v>0</v>
      </c>
      <c r="N1784" s="18">
        <f>IF((OR(tbal[[#This Row],[X]]=0,tbal[[#This Row],[X]]=5)),tbal[[#This Row],[ACREEDOR]],0)</f>
        <v>0</v>
      </c>
    </row>
    <row r="1785" spans="1:14" hidden="1" x14ac:dyDescent="0.3">
      <c r="A1785" s="14">
        <f>+'PLAN DE CUENTAS'!A1785</f>
        <v>0</v>
      </c>
      <c r="B1785" s="13">
        <f>+'PLAN DE CUENTAS'!B1785</f>
        <v>0</v>
      </c>
      <c r="C1785" s="13">
        <f>+'PLAN DE CUENTAS'!C1785</f>
        <v>0</v>
      </c>
      <c r="D1785" t="str">
        <f>IF(tbal[[#This Row],[DEBE]]+tbal[[#This Row],[HABER]]=0,"","X")</f>
        <v/>
      </c>
      <c r="E1785" s="16">
        <f>SUMIF(tdiario[CUENTA],tbal[[#This Row],[CUENTA]],tdiario[DEBE])</f>
        <v>0</v>
      </c>
      <c r="F1785" s="17">
        <f>SUMIF(tdiario[CUENTA],tbal[[#This Row],[CUENTA]],tdiario[HABER])</f>
        <v>0</v>
      </c>
      <c r="G1785" s="16">
        <f>IF(tbal[[#This Row],[DEBE]]-tbal[[#This Row],[HABER]]&gt;0,tbal[[#This Row],[DEBE]]-tbal[[#This Row],[HABER]],0)</f>
        <v>0</v>
      </c>
      <c r="H1785" s="18">
        <f>IF(tbal[[#This Row],[HABER]]-tbal[[#This Row],[DEBE]]&gt;0,tbal[[#This Row],[HABER]]-tbal[[#This Row],[DEBE]],0)</f>
        <v>0</v>
      </c>
      <c r="I1785" s="16">
        <f>IF((OR(tbal[[#This Row],[X]]=1,tbal[[#This Row],[X]]=2)),tbal[[#This Row],[DEUDOR]],0)</f>
        <v>0</v>
      </c>
      <c r="J1785" s="18">
        <f>IF((OR(tbal[[#This Row],[X]]=2,tbal[[#This Row],[X]]=3)),tbal[[#This Row],[ACREEDOR]],0)</f>
        <v>0</v>
      </c>
      <c r="K1785" s="16">
        <f>IF((OR(tbal[[#This Row],[X]]=3,tbal[[#This Row],[X]]=5)),tbal[[#This Row],[DEUDOR]],0)</f>
        <v>0</v>
      </c>
      <c r="L1785" s="18">
        <f>IF((OR(tbal[[#This Row],[X]]=3,tbal[[#This Row],[X]]=4)),tbal[[#This Row],[ACREEDOR]],0)</f>
        <v>0</v>
      </c>
      <c r="M1785" s="16">
        <f>IF((OR(tbal[[#This Row],[X]]=0,tbal[[#This Row],[X]]=6)),tbal[[#This Row],[DEUDOR]],0)</f>
        <v>0</v>
      </c>
      <c r="N1785" s="18">
        <f>IF((OR(tbal[[#This Row],[X]]=0,tbal[[#This Row],[X]]=5)),tbal[[#This Row],[ACREEDOR]],0)</f>
        <v>0</v>
      </c>
    </row>
    <row r="1786" spans="1:14" hidden="1" x14ac:dyDescent="0.3">
      <c r="A1786" s="14">
        <f>+'PLAN DE CUENTAS'!A1786</f>
        <v>0</v>
      </c>
      <c r="B1786" s="13">
        <f>+'PLAN DE CUENTAS'!B1786</f>
        <v>0</v>
      </c>
      <c r="C1786" s="13">
        <f>+'PLAN DE CUENTAS'!C1786</f>
        <v>0</v>
      </c>
      <c r="D1786" t="str">
        <f>IF(tbal[[#This Row],[DEBE]]+tbal[[#This Row],[HABER]]=0,"","X")</f>
        <v/>
      </c>
      <c r="E1786" s="16">
        <f>SUMIF(tdiario[CUENTA],tbal[[#This Row],[CUENTA]],tdiario[DEBE])</f>
        <v>0</v>
      </c>
      <c r="F1786" s="17">
        <f>SUMIF(tdiario[CUENTA],tbal[[#This Row],[CUENTA]],tdiario[HABER])</f>
        <v>0</v>
      </c>
      <c r="G1786" s="16">
        <f>IF(tbal[[#This Row],[DEBE]]-tbal[[#This Row],[HABER]]&gt;0,tbal[[#This Row],[DEBE]]-tbal[[#This Row],[HABER]],0)</f>
        <v>0</v>
      </c>
      <c r="H1786" s="18">
        <f>IF(tbal[[#This Row],[HABER]]-tbal[[#This Row],[DEBE]]&gt;0,tbal[[#This Row],[HABER]]-tbal[[#This Row],[DEBE]],0)</f>
        <v>0</v>
      </c>
      <c r="I1786" s="16">
        <f>IF((OR(tbal[[#This Row],[X]]=1,tbal[[#This Row],[X]]=2)),tbal[[#This Row],[DEUDOR]],0)</f>
        <v>0</v>
      </c>
      <c r="J1786" s="18">
        <f>IF((OR(tbal[[#This Row],[X]]=2,tbal[[#This Row],[X]]=3)),tbal[[#This Row],[ACREEDOR]],0)</f>
        <v>0</v>
      </c>
      <c r="K1786" s="16">
        <f>IF((OR(tbal[[#This Row],[X]]=3,tbal[[#This Row],[X]]=5)),tbal[[#This Row],[DEUDOR]],0)</f>
        <v>0</v>
      </c>
      <c r="L1786" s="18">
        <f>IF((OR(tbal[[#This Row],[X]]=3,tbal[[#This Row],[X]]=4)),tbal[[#This Row],[ACREEDOR]],0)</f>
        <v>0</v>
      </c>
      <c r="M1786" s="16">
        <f>IF((OR(tbal[[#This Row],[X]]=0,tbal[[#This Row],[X]]=6)),tbal[[#This Row],[DEUDOR]],0)</f>
        <v>0</v>
      </c>
      <c r="N1786" s="18">
        <f>IF((OR(tbal[[#This Row],[X]]=0,tbal[[#This Row],[X]]=5)),tbal[[#This Row],[ACREEDOR]],0)</f>
        <v>0</v>
      </c>
    </row>
    <row r="1787" spans="1:14" hidden="1" x14ac:dyDescent="0.3">
      <c r="A1787" s="14">
        <f>+'PLAN DE CUENTAS'!A1787</f>
        <v>0</v>
      </c>
      <c r="B1787" s="13">
        <f>+'PLAN DE CUENTAS'!B1787</f>
        <v>0</v>
      </c>
      <c r="C1787" s="13">
        <f>+'PLAN DE CUENTAS'!C1787</f>
        <v>0</v>
      </c>
      <c r="D1787" t="str">
        <f>IF(tbal[[#This Row],[DEBE]]+tbal[[#This Row],[HABER]]=0,"","X")</f>
        <v/>
      </c>
      <c r="E1787" s="16">
        <f>SUMIF(tdiario[CUENTA],tbal[[#This Row],[CUENTA]],tdiario[DEBE])</f>
        <v>0</v>
      </c>
      <c r="F1787" s="17">
        <f>SUMIF(tdiario[CUENTA],tbal[[#This Row],[CUENTA]],tdiario[HABER])</f>
        <v>0</v>
      </c>
      <c r="G1787" s="16">
        <f>IF(tbal[[#This Row],[DEBE]]-tbal[[#This Row],[HABER]]&gt;0,tbal[[#This Row],[DEBE]]-tbal[[#This Row],[HABER]],0)</f>
        <v>0</v>
      </c>
      <c r="H1787" s="18">
        <f>IF(tbal[[#This Row],[HABER]]-tbal[[#This Row],[DEBE]]&gt;0,tbal[[#This Row],[HABER]]-tbal[[#This Row],[DEBE]],0)</f>
        <v>0</v>
      </c>
      <c r="I1787" s="16">
        <f>IF((OR(tbal[[#This Row],[X]]=1,tbal[[#This Row],[X]]=2)),tbal[[#This Row],[DEUDOR]],0)</f>
        <v>0</v>
      </c>
      <c r="J1787" s="18">
        <f>IF((OR(tbal[[#This Row],[X]]=2,tbal[[#This Row],[X]]=3)),tbal[[#This Row],[ACREEDOR]],0)</f>
        <v>0</v>
      </c>
      <c r="K1787" s="16">
        <f>IF((OR(tbal[[#This Row],[X]]=3,tbal[[#This Row],[X]]=5)),tbal[[#This Row],[DEUDOR]],0)</f>
        <v>0</v>
      </c>
      <c r="L1787" s="18">
        <f>IF((OR(tbal[[#This Row],[X]]=3,tbal[[#This Row],[X]]=4)),tbal[[#This Row],[ACREEDOR]],0)</f>
        <v>0</v>
      </c>
      <c r="M1787" s="16">
        <f>IF((OR(tbal[[#This Row],[X]]=0,tbal[[#This Row],[X]]=6)),tbal[[#This Row],[DEUDOR]],0)</f>
        <v>0</v>
      </c>
      <c r="N1787" s="18">
        <f>IF((OR(tbal[[#This Row],[X]]=0,tbal[[#This Row],[X]]=5)),tbal[[#This Row],[ACREEDOR]],0)</f>
        <v>0</v>
      </c>
    </row>
    <row r="1788" spans="1:14" hidden="1" x14ac:dyDescent="0.3">
      <c r="A1788" s="14">
        <f>+'PLAN DE CUENTAS'!A1788</f>
        <v>0</v>
      </c>
      <c r="B1788" s="13">
        <f>+'PLAN DE CUENTAS'!B1788</f>
        <v>0</v>
      </c>
      <c r="C1788" s="13">
        <f>+'PLAN DE CUENTAS'!C1788</f>
        <v>0</v>
      </c>
      <c r="D1788" t="str">
        <f>IF(tbal[[#This Row],[DEBE]]+tbal[[#This Row],[HABER]]=0,"","X")</f>
        <v/>
      </c>
      <c r="E1788" s="16">
        <f>SUMIF(tdiario[CUENTA],tbal[[#This Row],[CUENTA]],tdiario[DEBE])</f>
        <v>0</v>
      </c>
      <c r="F1788" s="17">
        <f>SUMIF(tdiario[CUENTA],tbal[[#This Row],[CUENTA]],tdiario[HABER])</f>
        <v>0</v>
      </c>
      <c r="G1788" s="16">
        <f>IF(tbal[[#This Row],[DEBE]]-tbal[[#This Row],[HABER]]&gt;0,tbal[[#This Row],[DEBE]]-tbal[[#This Row],[HABER]],0)</f>
        <v>0</v>
      </c>
      <c r="H1788" s="18">
        <f>IF(tbal[[#This Row],[HABER]]-tbal[[#This Row],[DEBE]]&gt;0,tbal[[#This Row],[HABER]]-tbal[[#This Row],[DEBE]],0)</f>
        <v>0</v>
      </c>
      <c r="I1788" s="16">
        <f>IF((OR(tbal[[#This Row],[X]]=1,tbal[[#This Row],[X]]=2)),tbal[[#This Row],[DEUDOR]],0)</f>
        <v>0</v>
      </c>
      <c r="J1788" s="18">
        <f>IF((OR(tbal[[#This Row],[X]]=2,tbal[[#This Row],[X]]=3)),tbal[[#This Row],[ACREEDOR]],0)</f>
        <v>0</v>
      </c>
      <c r="K1788" s="16">
        <f>IF((OR(tbal[[#This Row],[X]]=3,tbal[[#This Row],[X]]=5)),tbal[[#This Row],[DEUDOR]],0)</f>
        <v>0</v>
      </c>
      <c r="L1788" s="18">
        <f>IF((OR(tbal[[#This Row],[X]]=3,tbal[[#This Row],[X]]=4)),tbal[[#This Row],[ACREEDOR]],0)</f>
        <v>0</v>
      </c>
      <c r="M1788" s="16">
        <f>IF((OR(tbal[[#This Row],[X]]=0,tbal[[#This Row],[X]]=6)),tbal[[#This Row],[DEUDOR]],0)</f>
        <v>0</v>
      </c>
      <c r="N1788" s="18">
        <f>IF((OR(tbal[[#This Row],[X]]=0,tbal[[#This Row],[X]]=5)),tbal[[#This Row],[ACREEDOR]],0)</f>
        <v>0</v>
      </c>
    </row>
    <row r="1789" spans="1:14" hidden="1" x14ac:dyDescent="0.3">
      <c r="A1789" s="14">
        <f>+'PLAN DE CUENTAS'!A1789</f>
        <v>0</v>
      </c>
      <c r="B1789" s="13">
        <f>+'PLAN DE CUENTAS'!B1789</f>
        <v>0</v>
      </c>
      <c r="C1789" s="13">
        <f>+'PLAN DE CUENTAS'!C1789</f>
        <v>0</v>
      </c>
      <c r="D1789" t="str">
        <f>IF(tbal[[#This Row],[DEBE]]+tbal[[#This Row],[HABER]]=0,"","X")</f>
        <v/>
      </c>
      <c r="E1789" s="16">
        <f>SUMIF(tdiario[CUENTA],tbal[[#This Row],[CUENTA]],tdiario[DEBE])</f>
        <v>0</v>
      </c>
      <c r="F1789" s="17">
        <f>SUMIF(tdiario[CUENTA],tbal[[#This Row],[CUENTA]],tdiario[HABER])</f>
        <v>0</v>
      </c>
      <c r="G1789" s="16">
        <f>IF(tbal[[#This Row],[DEBE]]-tbal[[#This Row],[HABER]]&gt;0,tbal[[#This Row],[DEBE]]-tbal[[#This Row],[HABER]],0)</f>
        <v>0</v>
      </c>
      <c r="H1789" s="18">
        <f>IF(tbal[[#This Row],[HABER]]-tbal[[#This Row],[DEBE]]&gt;0,tbal[[#This Row],[HABER]]-tbal[[#This Row],[DEBE]],0)</f>
        <v>0</v>
      </c>
      <c r="I1789" s="16">
        <f>IF((OR(tbal[[#This Row],[X]]=1,tbal[[#This Row],[X]]=2)),tbal[[#This Row],[DEUDOR]],0)</f>
        <v>0</v>
      </c>
      <c r="J1789" s="18">
        <f>IF((OR(tbal[[#This Row],[X]]=2,tbal[[#This Row],[X]]=3)),tbal[[#This Row],[ACREEDOR]],0)</f>
        <v>0</v>
      </c>
      <c r="K1789" s="16">
        <f>IF((OR(tbal[[#This Row],[X]]=3,tbal[[#This Row],[X]]=5)),tbal[[#This Row],[DEUDOR]],0)</f>
        <v>0</v>
      </c>
      <c r="L1789" s="18">
        <f>IF((OR(tbal[[#This Row],[X]]=3,tbal[[#This Row],[X]]=4)),tbal[[#This Row],[ACREEDOR]],0)</f>
        <v>0</v>
      </c>
      <c r="M1789" s="16">
        <f>IF((OR(tbal[[#This Row],[X]]=0,tbal[[#This Row],[X]]=6)),tbal[[#This Row],[DEUDOR]],0)</f>
        <v>0</v>
      </c>
      <c r="N1789" s="18">
        <f>IF((OR(tbal[[#This Row],[X]]=0,tbal[[#This Row],[X]]=5)),tbal[[#This Row],[ACREEDOR]],0)</f>
        <v>0</v>
      </c>
    </row>
    <row r="1790" spans="1:14" hidden="1" x14ac:dyDescent="0.3">
      <c r="A1790" s="14">
        <f>+'PLAN DE CUENTAS'!A1790</f>
        <v>0</v>
      </c>
      <c r="B1790" s="13">
        <f>+'PLAN DE CUENTAS'!B1790</f>
        <v>0</v>
      </c>
      <c r="C1790" s="13">
        <f>+'PLAN DE CUENTAS'!C1790</f>
        <v>0</v>
      </c>
      <c r="D1790" t="str">
        <f>IF(tbal[[#This Row],[DEBE]]+tbal[[#This Row],[HABER]]=0,"","X")</f>
        <v/>
      </c>
      <c r="E1790" s="16">
        <f>SUMIF(tdiario[CUENTA],tbal[[#This Row],[CUENTA]],tdiario[DEBE])</f>
        <v>0</v>
      </c>
      <c r="F1790" s="17">
        <f>SUMIF(tdiario[CUENTA],tbal[[#This Row],[CUENTA]],tdiario[HABER])</f>
        <v>0</v>
      </c>
      <c r="G1790" s="16">
        <f>IF(tbal[[#This Row],[DEBE]]-tbal[[#This Row],[HABER]]&gt;0,tbal[[#This Row],[DEBE]]-tbal[[#This Row],[HABER]],0)</f>
        <v>0</v>
      </c>
      <c r="H1790" s="18">
        <f>IF(tbal[[#This Row],[HABER]]-tbal[[#This Row],[DEBE]]&gt;0,tbal[[#This Row],[HABER]]-tbal[[#This Row],[DEBE]],0)</f>
        <v>0</v>
      </c>
      <c r="I1790" s="16">
        <f>IF((OR(tbal[[#This Row],[X]]=1,tbal[[#This Row],[X]]=2)),tbal[[#This Row],[DEUDOR]],0)</f>
        <v>0</v>
      </c>
      <c r="J1790" s="18">
        <f>IF((OR(tbal[[#This Row],[X]]=2,tbal[[#This Row],[X]]=3)),tbal[[#This Row],[ACREEDOR]],0)</f>
        <v>0</v>
      </c>
      <c r="K1790" s="16">
        <f>IF((OR(tbal[[#This Row],[X]]=3,tbal[[#This Row],[X]]=5)),tbal[[#This Row],[DEUDOR]],0)</f>
        <v>0</v>
      </c>
      <c r="L1790" s="18">
        <f>IF((OR(tbal[[#This Row],[X]]=3,tbal[[#This Row],[X]]=4)),tbal[[#This Row],[ACREEDOR]],0)</f>
        <v>0</v>
      </c>
      <c r="M1790" s="16">
        <f>IF((OR(tbal[[#This Row],[X]]=0,tbal[[#This Row],[X]]=6)),tbal[[#This Row],[DEUDOR]],0)</f>
        <v>0</v>
      </c>
      <c r="N1790" s="18">
        <f>IF((OR(tbal[[#This Row],[X]]=0,tbal[[#This Row],[X]]=5)),tbal[[#This Row],[ACREEDOR]],0)</f>
        <v>0</v>
      </c>
    </row>
    <row r="1791" spans="1:14" hidden="1" x14ac:dyDescent="0.3">
      <c r="A1791" s="14">
        <f>+'PLAN DE CUENTAS'!A1791</f>
        <v>0</v>
      </c>
      <c r="B1791" s="13">
        <f>+'PLAN DE CUENTAS'!B1791</f>
        <v>0</v>
      </c>
      <c r="C1791" s="13">
        <f>+'PLAN DE CUENTAS'!C1791</f>
        <v>0</v>
      </c>
      <c r="D1791" t="str">
        <f>IF(tbal[[#This Row],[DEBE]]+tbal[[#This Row],[HABER]]=0,"","X")</f>
        <v/>
      </c>
      <c r="E1791" s="16">
        <f>SUMIF(tdiario[CUENTA],tbal[[#This Row],[CUENTA]],tdiario[DEBE])</f>
        <v>0</v>
      </c>
      <c r="F1791" s="17">
        <f>SUMIF(tdiario[CUENTA],tbal[[#This Row],[CUENTA]],tdiario[HABER])</f>
        <v>0</v>
      </c>
      <c r="G1791" s="16">
        <f>IF(tbal[[#This Row],[DEBE]]-tbal[[#This Row],[HABER]]&gt;0,tbal[[#This Row],[DEBE]]-tbal[[#This Row],[HABER]],0)</f>
        <v>0</v>
      </c>
      <c r="H1791" s="18">
        <f>IF(tbal[[#This Row],[HABER]]-tbal[[#This Row],[DEBE]]&gt;0,tbal[[#This Row],[HABER]]-tbal[[#This Row],[DEBE]],0)</f>
        <v>0</v>
      </c>
      <c r="I1791" s="16">
        <f>IF((OR(tbal[[#This Row],[X]]=1,tbal[[#This Row],[X]]=2)),tbal[[#This Row],[DEUDOR]],0)</f>
        <v>0</v>
      </c>
      <c r="J1791" s="18">
        <f>IF((OR(tbal[[#This Row],[X]]=2,tbal[[#This Row],[X]]=3)),tbal[[#This Row],[ACREEDOR]],0)</f>
        <v>0</v>
      </c>
      <c r="K1791" s="16">
        <f>IF((OR(tbal[[#This Row],[X]]=3,tbal[[#This Row],[X]]=5)),tbal[[#This Row],[DEUDOR]],0)</f>
        <v>0</v>
      </c>
      <c r="L1791" s="18">
        <f>IF((OR(tbal[[#This Row],[X]]=3,tbal[[#This Row],[X]]=4)),tbal[[#This Row],[ACREEDOR]],0)</f>
        <v>0</v>
      </c>
      <c r="M1791" s="16">
        <f>IF((OR(tbal[[#This Row],[X]]=0,tbal[[#This Row],[X]]=6)),tbal[[#This Row],[DEUDOR]],0)</f>
        <v>0</v>
      </c>
      <c r="N1791" s="18">
        <f>IF((OR(tbal[[#This Row],[X]]=0,tbal[[#This Row],[X]]=5)),tbal[[#This Row],[ACREEDOR]],0)</f>
        <v>0</v>
      </c>
    </row>
    <row r="1792" spans="1:14" hidden="1" x14ac:dyDescent="0.3">
      <c r="A1792" s="14">
        <f>+'PLAN DE CUENTAS'!A1792</f>
        <v>0</v>
      </c>
      <c r="B1792" s="13">
        <f>+'PLAN DE CUENTAS'!B1792</f>
        <v>0</v>
      </c>
      <c r="C1792" s="13">
        <f>+'PLAN DE CUENTAS'!C1792</f>
        <v>0</v>
      </c>
      <c r="D1792" t="str">
        <f>IF(tbal[[#This Row],[DEBE]]+tbal[[#This Row],[HABER]]=0,"","X")</f>
        <v/>
      </c>
      <c r="E1792" s="16">
        <f>SUMIF(tdiario[CUENTA],tbal[[#This Row],[CUENTA]],tdiario[DEBE])</f>
        <v>0</v>
      </c>
      <c r="F1792" s="17">
        <f>SUMIF(tdiario[CUENTA],tbal[[#This Row],[CUENTA]],tdiario[HABER])</f>
        <v>0</v>
      </c>
      <c r="G1792" s="16">
        <f>IF(tbal[[#This Row],[DEBE]]-tbal[[#This Row],[HABER]]&gt;0,tbal[[#This Row],[DEBE]]-tbal[[#This Row],[HABER]],0)</f>
        <v>0</v>
      </c>
      <c r="H1792" s="18">
        <f>IF(tbal[[#This Row],[HABER]]-tbal[[#This Row],[DEBE]]&gt;0,tbal[[#This Row],[HABER]]-tbal[[#This Row],[DEBE]],0)</f>
        <v>0</v>
      </c>
      <c r="I1792" s="16">
        <f>IF((OR(tbal[[#This Row],[X]]=1,tbal[[#This Row],[X]]=2)),tbal[[#This Row],[DEUDOR]],0)</f>
        <v>0</v>
      </c>
      <c r="J1792" s="18">
        <f>IF((OR(tbal[[#This Row],[X]]=2,tbal[[#This Row],[X]]=3)),tbal[[#This Row],[ACREEDOR]],0)</f>
        <v>0</v>
      </c>
      <c r="K1792" s="16">
        <f>IF((OR(tbal[[#This Row],[X]]=3,tbal[[#This Row],[X]]=5)),tbal[[#This Row],[DEUDOR]],0)</f>
        <v>0</v>
      </c>
      <c r="L1792" s="18">
        <f>IF((OR(tbal[[#This Row],[X]]=3,tbal[[#This Row],[X]]=4)),tbal[[#This Row],[ACREEDOR]],0)</f>
        <v>0</v>
      </c>
      <c r="M1792" s="16">
        <f>IF((OR(tbal[[#This Row],[X]]=0,tbal[[#This Row],[X]]=6)),tbal[[#This Row],[DEUDOR]],0)</f>
        <v>0</v>
      </c>
      <c r="N1792" s="18">
        <f>IF((OR(tbal[[#This Row],[X]]=0,tbal[[#This Row],[X]]=5)),tbal[[#This Row],[ACREEDOR]],0)</f>
        <v>0</v>
      </c>
    </row>
    <row r="1793" spans="1:14" hidden="1" x14ac:dyDescent="0.3">
      <c r="A1793" s="14">
        <f>+'PLAN DE CUENTAS'!A1793</f>
        <v>0</v>
      </c>
      <c r="B1793" s="13">
        <f>+'PLAN DE CUENTAS'!B1793</f>
        <v>0</v>
      </c>
      <c r="C1793" s="13">
        <f>+'PLAN DE CUENTAS'!C1793</f>
        <v>0</v>
      </c>
      <c r="D1793" t="str">
        <f>IF(tbal[[#This Row],[DEBE]]+tbal[[#This Row],[HABER]]=0,"","X")</f>
        <v/>
      </c>
      <c r="E1793" s="16">
        <f>SUMIF(tdiario[CUENTA],tbal[[#This Row],[CUENTA]],tdiario[DEBE])</f>
        <v>0</v>
      </c>
      <c r="F1793" s="17">
        <f>SUMIF(tdiario[CUENTA],tbal[[#This Row],[CUENTA]],tdiario[HABER])</f>
        <v>0</v>
      </c>
      <c r="G1793" s="16">
        <f>IF(tbal[[#This Row],[DEBE]]-tbal[[#This Row],[HABER]]&gt;0,tbal[[#This Row],[DEBE]]-tbal[[#This Row],[HABER]],0)</f>
        <v>0</v>
      </c>
      <c r="H1793" s="18">
        <f>IF(tbal[[#This Row],[HABER]]-tbal[[#This Row],[DEBE]]&gt;0,tbal[[#This Row],[HABER]]-tbal[[#This Row],[DEBE]],0)</f>
        <v>0</v>
      </c>
      <c r="I1793" s="16">
        <f>IF((OR(tbal[[#This Row],[X]]=1,tbal[[#This Row],[X]]=2)),tbal[[#This Row],[DEUDOR]],0)</f>
        <v>0</v>
      </c>
      <c r="J1793" s="18">
        <f>IF((OR(tbal[[#This Row],[X]]=2,tbal[[#This Row],[X]]=3)),tbal[[#This Row],[ACREEDOR]],0)</f>
        <v>0</v>
      </c>
      <c r="K1793" s="16">
        <f>IF((OR(tbal[[#This Row],[X]]=3,tbal[[#This Row],[X]]=5)),tbal[[#This Row],[DEUDOR]],0)</f>
        <v>0</v>
      </c>
      <c r="L1793" s="18">
        <f>IF((OR(tbal[[#This Row],[X]]=3,tbal[[#This Row],[X]]=4)),tbal[[#This Row],[ACREEDOR]],0)</f>
        <v>0</v>
      </c>
      <c r="M1793" s="16">
        <f>IF((OR(tbal[[#This Row],[X]]=0,tbal[[#This Row],[X]]=6)),tbal[[#This Row],[DEUDOR]],0)</f>
        <v>0</v>
      </c>
      <c r="N1793" s="18">
        <f>IF((OR(tbal[[#This Row],[X]]=0,tbal[[#This Row],[X]]=5)),tbal[[#This Row],[ACREEDOR]],0)</f>
        <v>0</v>
      </c>
    </row>
    <row r="1794" spans="1:14" hidden="1" x14ac:dyDescent="0.3">
      <c r="A1794" s="14">
        <f>+'PLAN DE CUENTAS'!A1794</f>
        <v>0</v>
      </c>
      <c r="B1794" s="13">
        <f>+'PLAN DE CUENTAS'!B1794</f>
        <v>0</v>
      </c>
      <c r="C1794" s="13">
        <f>+'PLAN DE CUENTAS'!C1794</f>
        <v>0</v>
      </c>
      <c r="D1794" t="str">
        <f>IF(tbal[[#This Row],[DEBE]]+tbal[[#This Row],[HABER]]=0,"","X")</f>
        <v/>
      </c>
      <c r="E1794" s="16">
        <f>SUMIF(tdiario[CUENTA],tbal[[#This Row],[CUENTA]],tdiario[DEBE])</f>
        <v>0</v>
      </c>
      <c r="F1794" s="17">
        <f>SUMIF(tdiario[CUENTA],tbal[[#This Row],[CUENTA]],tdiario[HABER])</f>
        <v>0</v>
      </c>
      <c r="G1794" s="16">
        <f>IF(tbal[[#This Row],[DEBE]]-tbal[[#This Row],[HABER]]&gt;0,tbal[[#This Row],[DEBE]]-tbal[[#This Row],[HABER]],0)</f>
        <v>0</v>
      </c>
      <c r="H1794" s="18">
        <f>IF(tbal[[#This Row],[HABER]]-tbal[[#This Row],[DEBE]]&gt;0,tbal[[#This Row],[HABER]]-tbal[[#This Row],[DEBE]],0)</f>
        <v>0</v>
      </c>
      <c r="I1794" s="16">
        <f>IF((OR(tbal[[#This Row],[X]]=1,tbal[[#This Row],[X]]=2)),tbal[[#This Row],[DEUDOR]],0)</f>
        <v>0</v>
      </c>
      <c r="J1794" s="18">
        <f>IF((OR(tbal[[#This Row],[X]]=2,tbal[[#This Row],[X]]=3)),tbal[[#This Row],[ACREEDOR]],0)</f>
        <v>0</v>
      </c>
      <c r="K1794" s="16">
        <f>IF((OR(tbal[[#This Row],[X]]=3,tbal[[#This Row],[X]]=5)),tbal[[#This Row],[DEUDOR]],0)</f>
        <v>0</v>
      </c>
      <c r="L1794" s="18">
        <f>IF((OR(tbal[[#This Row],[X]]=3,tbal[[#This Row],[X]]=4)),tbal[[#This Row],[ACREEDOR]],0)</f>
        <v>0</v>
      </c>
      <c r="M1794" s="16">
        <f>IF((OR(tbal[[#This Row],[X]]=0,tbal[[#This Row],[X]]=6)),tbal[[#This Row],[DEUDOR]],0)</f>
        <v>0</v>
      </c>
      <c r="N1794" s="18">
        <f>IF((OR(tbal[[#This Row],[X]]=0,tbal[[#This Row],[X]]=5)),tbal[[#This Row],[ACREEDOR]],0)</f>
        <v>0</v>
      </c>
    </row>
    <row r="1795" spans="1:14" hidden="1" x14ac:dyDescent="0.3">
      <c r="A1795" s="14">
        <f>+'PLAN DE CUENTAS'!A1795</f>
        <v>0</v>
      </c>
      <c r="B1795" s="13">
        <f>+'PLAN DE CUENTAS'!B1795</f>
        <v>0</v>
      </c>
      <c r="C1795" s="13">
        <f>+'PLAN DE CUENTAS'!C1795</f>
        <v>0</v>
      </c>
      <c r="D1795" t="str">
        <f>IF(tbal[[#This Row],[DEBE]]+tbal[[#This Row],[HABER]]=0,"","X")</f>
        <v/>
      </c>
      <c r="E1795" s="16">
        <f>SUMIF(tdiario[CUENTA],tbal[[#This Row],[CUENTA]],tdiario[DEBE])</f>
        <v>0</v>
      </c>
      <c r="F1795" s="17">
        <f>SUMIF(tdiario[CUENTA],tbal[[#This Row],[CUENTA]],tdiario[HABER])</f>
        <v>0</v>
      </c>
      <c r="G1795" s="16">
        <f>IF(tbal[[#This Row],[DEBE]]-tbal[[#This Row],[HABER]]&gt;0,tbal[[#This Row],[DEBE]]-tbal[[#This Row],[HABER]],0)</f>
        <v>0</v>
      </c>
      <c r="H1795" s="18">
        <f>IF(tbal[[#This Row],[HABER]]-tbal[[#This Row],[DEBE]]&gt;0,tbal[[#This Row],[HABER]]-tbal[[#This Row],[DEBE]],0)</f>
        <v>0</v>
      </c>
      <c r="I1795" s="16">
        <f>IF((OR(tbal[[#This Row],[X]]=1,tbal[[#This Row],[X]]=2)),tbal[[#This Row],[DEUDOR]],0)</f>
        <v>0</v>
      </c>
      <c r="J1795" s="18">
        <f>IF((OR(tbal[[#This Row],[X]]=2,tbal[[#This Row],[X]]=3)),tbal[[#This Row],[ACREEDOR]],0)</f>
        <v>0</v>
      </c>
      <c r="K1795" s="16">
        <f>IF((OR(tbal[[#This Row],[X]]=3,tbal[[#This Row],[X]]=5)),tbal[[#This Row],[DEUDOR]],0)</f>
        <v>0</v>
      </c>
      <c r="L1795" s="18">
        <f>IF((OR(tbal[[#This Row],[X]]=3,tbal[[#This Row],[X]]=4)),tbal[[#This Row],[ACREEDOR]],0)</f>
        <v>0</v>
      </c>
      <c r="M1795" s="16">
        <f>IF((OR(tbal[[#This Row],[X]]=0,tbal[[#This Row],[X]]=6)),tbal[[#This Row],[DEUDOR]],0)</f>
        <v>0</v>
      </c>
      <c r="N1795" s="18">
        <f>IF((OR(tbal[[#This Row],[X]]=0,tbal[[#This Row],[X]]=5)),tbal[[#This Row],[ACREEDOR]],0)</f>
        <v>0</v>
      </c>
    </row>
    <row r="1796" spans="1:14" hidden="1" x14ac:dyDescent="0.3">
      <c r="A1796" s="14">
        <f>+'PLAN DE CUENTAS'!A1796</f>
        <v>0</v>
      </c>
      <c r="B1796" s="13">
        <f>+'PLAN DE CUENTAS'!B1796</f>
        <v>0</v>
      </c>
      <c r="C1796" s="13">
        <f>+'PLAN DE CUENTAS'!C1796</f>
        <v>0</v>
      </c>
      <c r="D1796" t="str">
        <f>IF(tbal[[#This Row],[DEBE]]+tbal[[#This Row],[HABER]]=0,"","X")</f>
        <v/>
      </c>
      <c r="E1796" s="16">
        <f>SUMIF(tdiario[CUENTA],tbal[[#This Row],[CUENTA]],tdiario[DEBE])</f>
        <v>0</v>
      </c>
      <c r="F1796" s="17">
        <f>SUMIF(tdiario[CUENTA],tbal[[#This Row],[CUENTA]],tdiario[HABER])</f>
        <v>0</v>
      </c>
      <c r="G1796" s="16">
        <f>IF(tbal[[#This Row],[DEBE]]-tbal[[#This Row],[HABER]]&gt;0,tbal[[#This Row],[DEBE]]-tbal[[#This Row],[HABER]],0)</f>
        <v>0</v>
      </c>
      <c r="H1796" s="18">
        <f>IF(tbal[[#This Row],[HABER]]-tbal[[#This Row],[DEBE]]&gt;0,tbal[[#This Row],[HABER]]-tbal[[#This Row],[DEBE]],0)</f>
        <v>0</v>
      </c>
      <c r="I1796" s="16">
        <f>IF((OR(tbal[[#This Row],[X]]=1,tbal[[#This Row],[X]]=2)),tbal[[#This Row],[DEUDOR]],0)</f>
        <v>0</v>
      </c>
      <c r="J1796" s="18">
        <f>IF((OR(tbal[[#This Row],[X]]=2,tbal[[#This Row],[X]]=3)),tbal[[#This Row],[ACREEDOR]],0)</f>
        <v>0</v>
      </c>
      <c r="K1796" s="16">
        <f>IF((OR(tbal[[#This Row],[X]]=3,tbal[[#This Row],[X]]=5)),tbal[[#This Row],[DEUDOR]],0)</f>
        <v>0</v>
      </c>
      <c r="L1796" s="18">
        <f>IF((OR(tbal[[#This Row],[X]]=3,tbal[[#This Row],[X]]=4)),tbal[[#This Row],[ACREEDOR]],0)</f>
        <v>0</v>
      </c>
      <c r="M1796" s="16">
        <f>IF((OR(tbal[[#This Row],[X]]=0,tbal[[#This Row],[X]]=6)),tbal[[#This Row],[DEUDOR]],0)</f>
        <v>0</v>
      </c>
      <c r="N1796" s="18">
        <f>IF((OR(tbal[[#This Row],[X]]=0,tbal[[#This Row],[X]]=5)),tbal[[#This Row],[ACREEDOR]],0)</f>
        <v>0</v>
      </c>
    </row>
    <row r="1797" spans="1:14" hidden="1" x14ac:dyDescent="0.3">
      <c r="A1797" s="14">
        <f>+'PLAN DE CUENTAS'!A1797</f>
        <v>0</v>
      </c>
      <c r="B1797" s="13">
        <f>+'PLAN DE CUENTAS'!B1797</f>
        <v>0</v>
      </c>
      <c r="C1797" s="13">
        <f>+'PLAN DE CUENTAS'!C1797</f>
        <v>0</v>
      </c>
      <c r="D1797" t="str">
        <f>IF(tbal[[#This Row],[DEBE]]+tbal[[#This Row],[HABER]]=0,"","X")</f>
        <v/>
      </c>
      <c r="E1797" s="16">
        <f>SUMIF(tdiario[CUENTA],tbal[[#This Row],[CUENTA]],tdiario[DEBE])</f>
        <v>0</v>
      </c>
      <c r="F1797" s="17">
        <f>SUMIF(tdiario[CUENTA],tbal[[#This Row],[CUENTA]],tdiario[HABER])</f>
        <v>0</v>
      </c>
      <c r="G1797" s="16">
        <f>IF(tbal[[#This Row],[DEBE]]-tbal[[#This Row],[HABER]]&gt;0,tbal[[#This Row],[DEBE]]-tbal[[#This Row],[HABER]],0)</f>
        <v>0</v>
      </c>
      <c r="H1797" s="18">
        <f>IF(tbal[[#This Row],[HABER]]-tbal[[#This Row],[DEBE]]&gt;0,tbal[[#This Row],[HABER]]-tbal[[#This Row],[DEBE]],0)</f>
        <v>0</v>
      </c>
      <c r="I1797" s="16">
        <f>IF((OR(tbal[[#This Row],[X]]=1,tbal[[#This Row],[X]]=2)),tbal[[#This Row],[DEUDOR]],0)</f>
        <v>0</v>
      </c>
      <c r="J1797" s="18">
        <f>IF((OR(tbal[[#This Row],[X]]=2,tbal[[#This Row],[X]]=3)),tbal[[#This Row],[ACREEDOR]],0)</f>
        <v>0</v>
      </c>
      <c r="K1797" s="16">
        <f>IF((OR(tbal[[#This Row],[X]]=3,tbal[[#This Row],[X]]=5)),tbal[[#This Row],[DEUDOR]],0)</f>
        <v>0</v>
      </c>
      <c r="L1797" s="18">
        <f>IF((OR(tbal[[#This Row],[X]]=3,tbal[[#This Row],[X]]=4)),tbal[[#This Row],[ACREEDOR]],0)</f>
        <v>0</v>
      </c>
      <c r="M1797" s="16">
        <f>IF((OR(tbal[[#This Row],[X]]=0,tbal[[#This Row],[X]]=6)),tbal[[#This Row],[DEUDOR]],0)</f>
        <v>0</v>
      </c>
      <c r="N1797" s="18">
        <f>IF((OR(tbal[[#This Row],[X]]=0,tbal[[#This Row],[X]]=5)),tbal[[#This Row],[ACREEDOR]],0)</f>
        <v>0</v>
      </c>
    </row>
    <row r="1798" spans="1:14" hidden="1" x14ac:dyDescent="0.3">
      <c r="A1798" s="14">
        <f>+'PLAN DE CUENTAS'!A1798</f>
        <v>0</v>
      </c>
      <c r="B1798" s="13">
        <f>+'PLAN DE CUENTAS'!B1798</f>
        <v>0</v>
      </c>
      <c r="C1798" s="13">
        <f>+'PLAN DE CUENTAS'!C1798</f>
        <v>0</v>
      </c>
      <c r="D1798" t="str">
        <f>IF(tbal[[#This Row],[DEBE]]+tbal[[#This Row],[HABER]]=0,"","X")</f>
        <v/>
      </c>
      <c r="E1798" s="16">
        <f>SUMIF(tdiario[CUENTA],tbal[[#This Row],[CUENTA]],tdiario[DEBE])</f>
        <v>0</v>
      </c>
      <c r="F1798" s="17">
        <f>SUMIF(tdiario[CUENTA],tbal[[#This Row],[CUENTA]],tdiario[HABER])</f>
        <v>0</v>
      </c>
      <c r="G1798" s="16">
        <f>IF(tbal[[#This Row],[DEBE]]-tbal[[#This Row],[HABER]]&gt;0,tbal[[#This Row],[DEBE]]-tbal[[#This Row],[HABER]],0)</f>
        <v>0</v>
      </c>
      <c r="H1798" s="18">
        <f>IF(tbal[[#This Row],[HABER]]-tbal[[#This Row],[DEBE]]&gt;0,tbal[[#This Row],[HABER]]-tbal[[#This Row],[DEBE]],0)</f>
        <v>0</v>
      </c>
      <c r="I1798" s="16">
        <f>IF((OR(tbal[[#This Row],[X]]=1,tbal[[#This Row],[X]]=2)),tbal[[#This Row],[DEUDOR]],0)</f>
        <v>0</v>
      </c>
      <c r="J1798" s="18">
        <f>IF((OR(tbal[[#This Row],[X]]=2,tbal[[#This Row],[X]]=3)),tbal[[#This Row],[ACREEDOR]],0)</f>
        <v>0</v>
      </c>
      <c r="K1798" s="16">
        <f>IF((OR(tbal[[#This Row],[X]]=3,tbal[[#This Row],[X]]=5)),tbal[[#This Row],[DEUDOR]],0)</f>
        <v>0</v>
      </c>
      <c r="L1798" s="18">
        <f>IF((OR(tbal[[#This Row],[X]]=3,tbal[[#This Row],[X]]=4)),tbal[[#This Row],[ACREEDOR]],0)</f>
        <v>0</v>
      </c>
      <c r="M1798" s="16">
        <f>IF((OR(tbal[[#This Row],[X]]=0,tbal[[#This Row],[X]]=6)),tbal[[#This Row],[DEUDOR]],0)</f>
        <v>0</v>
      </c>
      <c r="N1798" s="18">
        <f>IF((OR(tbal[[#This Row],[X]]=0,tbal[[#This Row],[X]]=5)),tbal[[#This Row],[ACREEDOR]],0)</f>
        <v>0</v>
      </c>
    </row>
    <row r="1799" spans="1:14" hidden="1" x14ac:dyDescent="0.3">
      <c r="A1799" s="14">
        <f>+'PLAN DE CUENTAS'!A1799</f>
        <v>0</v>
      </c>
      <c r="B1799" s="13">
        <f>+'PLAN DE CUENTAS'!B1799</f>
        <v>0</v>
      </c>
      <c r="C1799" s="13">
        <f>+'PLAN DE CUENTAS'!C1799</f>
        <v>0</v>
      </c>
      <c r="D1799" t="str">
        <f>IF(tbal[[#This Row],[DEBE]]+tbal[[#This Row],[HABER]]=0,"","X")</f>
        <v/>
      </c>
      <c r="E1799" s="16">
        <f>SUMIF(tdiario[CUENTA],tbal[[#This Row],[CUENTA]],tdiario[DEBE])</f>
        <v>0</v>
      </c>
      <c r="F1799" s="17">
        <f>SUMIF(tdiario[CUENTA],tbal[[#This Row],[CUENTA]],tdiario[HABER])</f>
        <v>0</v>
      </c>
      <c r="G1799" s="16">
        <f>IF(tbal[[#This Row],[DEBE]]-tbal[[#This Row],[HABER]]&gt;0,tbal[[#This Row],[DEBE]]-tbal[[#This Row],[HABER]],0)</f>
        <v>0</v>
      </c>
      <c r="H1799" s="18">
        <f>IF(tbal[[#This Row],[HABER]]-tbal[[#This Row],[DEBE]]&gt;0,tbal[[#This Row],[HABER]]-tbal[[#This Row],[DEBE]],0)</f>
        <v>0</v>
      </c>
      <c r="I1799" s="16">
        <f>IF((OR(tbal[[#This Row],[X]]=1,tbal[[#This Row],[X]]=2)),tbal[[#This Row],[DEUDOR]],0)</f>
        <v>0</v>
      </c>
      <c r="J1799" s="18">
        <f>IF((OR(tbal[[#This Row],[X]]=2,tbal[[#This Row],[X]]=3)),tbal[[#This Row],[ACREEDOR]],0)</f>
        <v>0</v>
      </c>
      <c r="K1799" s="16">
        <f>IF((OR(tbal[[#This Row],[X]]=3,tbal[[#This Row],[X]]=5)),tbal[[#This Row],[DEUDOR]],0)</f>
        <v>0</v>
      </c>
      <c r="L1799" s="18">
        <f>IF((OR(tbal[[#This Row],[X]]=3,tbal[[#This Row],[X]]=4)),tbal[[#This Row],[ACREEDOR]],0)</f>
        <v>0</v>
      </c>
      <c r="M1799" s="16">
        <f>IF((OR(tbal[[#This Row],[X]]=0,tbal[[#This Row],[X]]=6)),tbal[[#This Row],[DEUDOR]],0)</f>
        <v>0</v>
      </c>
      <c r="N1799" s="18">
        <f>IF((OR(tbal[[#This Row],[X]]=0,tbal[[#This Row],[X]]=5)),tbal[[#This Row],[ACREEDOR]],0)</f>
        <v>0</v>
      </c>
    </row>
    <row r="1800" spans="1:14" hidden="1" x14ac:dyDescent="0.3">
      <c r="A1800" s="14">
        <f>+'PLAN DE CUENTAS'!A1800</f>
        <v>0</v>
      </c>
      <c r="B1800" s="13">
        <f>+'PLAN DE CUENTAS'!B1800</f>
        <v>0</v>
      </c>
      <c r="C1800" s="13">
        <f>+'PLAN DE CUENTAS'!C1800</f>
        <v>0</v>
      </c>
      <c r="D1800" t="str">
        <f>IF(tbal[[#This Row],[DEBE]]+tbal[[#This Row],[HABER]]=0,"","X")</f>
        <v/>
      </c>
      <c r="E1800" s="16">
        <f>SUMIF(tdiario[CUENTA],tbal[[#This Row],[CUENTA]],tdiario[DEBE])</f>
        <v>0</v>
      </c>
      <c r="F1800" s="17">
        <f>SUMIF(tdiario[CUENTA],tbal[[#This Row],[CUENTA]],tdiario[HABER])</f>
        <v>0</v>
      </c>
      <c r="G1800" s="16">
        <f>IF(tbal[[#This Row],[DEBE]]-tbal[[#This Row],[HABER]]&gt;0,tbal[[#This Row],[DEBE]]-tbal[[#This Row],[HABER]],0)</f>
        <v>0</v>
      </c>
      <c r="H1800" s="18">
        <f>IF(tbal[[#This Row],[HABER]]-tbal[[#This Row],[DEBE]]&gt;0,tbal[[#This Row],[HABER]]-tbal[[#This Row],[DEBE]],0)</f>
        <v>0</v>
      </c>
      <c r="I1800" s="16">
        <f>IF((OR(tbal[[#This Row],[X]]=1,tbal[[#This Row],[X]]=2)),tbal[[#This Row],[DEUDOR]],0)</f>
        <v>0</v>
      </c>
      <c r="J1800" s="18">
        <f>IF((OR(tbal[[#This Row],[X]]=2,tbal[[#This Row],[X]]=3)),tbal[[#This Row],[ACREEDOR]],0)</f>
        <v>0</v>
      </c>
      <c r="K1800" s="16">
        <f>IF((OR(tbal[[#This Row],[X]]=3,tbal[[#This Row],[X]]=5)),tbal[[#This Row],[DEUDOR]],0)</f>
        <v>0</v>
      </c>
      <c r="L1800" s="18">
        <f>IF((OR(tbal[[#This Row],[X]]=3,tbal[[#This Row],[X]]=4)),tbal[[#This Row],[ACREEDOR]],0)</f>
        <v>0</v>
      </c>
      <c r="M1800" s="16">
        <f>IF((OR(tbal[[#This Row],[X]]=0,tbal[[#This Row],[X]]=6)),tbal[[#This Row],[DEUDOR]],0)</f>
        <v>0</v>
      </c>
      <c r="N1800" s="18">
        <f>IF((OR(tbal[[#This Row],[X]]=0,tbal[[#This Row],[X]]=5)),tbal[[#This Row],[ACREEDOR]],0)</f>
        <v>0</v>
      </c>
    </row>
    <row r="1801" spans="1:14" hidden="1" x14ac:dyDescent="0.3">
      <c r="A1801" s="14">
        <f>+'PLAN DE CUENTAS'!A1801</f>
        <v>0</v>
      </c>
      <c r="B1801" s="13">
        <f>+'PLAN DE CUENTAS'!B1801</f>
        <v>0</v>
      </c>
      <c r="C1801" s="13">
        <f>+'PLAN DE CUENTAS'!C1801</f>
        <v>0</v>
      </c>
      <c r="D1801" t="str">
        <f>IF(tbal[[#This Row],[DEBE]]+tbal[[#This Row],[HABER]]=0,"","X")</f>
        <v/>
      </c>
      <c r="E1801" s="16">
        <f>SUMIF(tdiario[CUENTA],tbal[[#This Row],[CUENTA]],tdiario[DEBE])</f>
        <v>0</v>
      </c>
      <c r="F1801" s="17">
        <f>SUMIF(tdiario[CUENTA],tbal[[#This Row],[CUENTA]],tdiario[HABER])</f>
        <v>0</v>
      </c>
      <c r="G1801" s="16">
        <f>IF(tbal[[#This Row],[DEBE]]-tbal[[#This Row],[HABER]]&gt;0,tbal[[#This Row],[DEBE]]-tbal[[#This Row],[HABER]],0)</f>
        <v>0</v>
      </c>
      <c r="H1801" s="18">
        <f>IF(tbal[[#This Row],[HABER]]-tbal[[#This Row],[DEBE]]&gt;0,tbal[[#This Row],[HABER]]-tbal[[#This Row],[DEBE]],0)</f>
        <v>0</v>
      </c>
      <c r="I1801" s="16">
        <f>IF((OR(tbal[[#This Row],[X]]=1,tbal[[#This Row],[X]]=2)),tbal[[#This Row],[DEUDOR]],0)</f>
        <v>0</v>
      </c>
      <c r="J1801" s="18">
        <f>IF((OR(tbal[[#This Row],[X]]=2,tbal[[#This Row],[X]]=3)),tbal[[#This Row],[ACREEDOR]],0)</f>
        <v>0</v>
      </c>
      <c r="K1801" s="16">
        <f>IF((OR(tbal[[#This Row],[X]]=3,tbal[[#This Row],[X]]=5)),tbal[[#This Row],[DEUDOR]],0)</f>
        <v>0</v>
      </c>
      <c r="L1801" s="18">
        <f>IF((OR(tbal[[#This Row],[X]]=3,tbal[[#This Row],[X]]=4)),tbal[[#This Row],[ACREEDOR]],0)</f>
        <v>0</v>
      </c>
      <c r="M1801" s="16">
        <f>IF((OR(tbal[[#This Row],[X]]=0,tbal[[#This Row],[X]]=6)),tbal[[#This Row],[DEUDOR]],0)</f>
        <v>0</v>
      </c>
      <c r="N1801" s="18">
        <f>IF((OR(tbal[[#This Row],[X]]=0,tbal[[#This Row],[X]]=5)),tbal[[#This Row],[ACREEDOR]],0)</f>
        <v>0</v>
      </c>
    </row>
    <row r="1802" spans="1:14" hidden="1" x14ac:dyDescent="0.3">
      <c r="A1802" s="14">
        <f>+'PLAN DE CUENTAS'!A1802</f>
        <v>0</v>
      </c>
      <c r="B1802" s="13">
        <f>+'PLAN DE CUENTAS'!B1802</f>
        <v>0</v>
      </c>
      <c r="C1802" s="13">
        <f>+'PLAN DE CUENTAS'!C1802</f>
        <v>0</v>
      </c>
      <c r="D1802" t="str">
        <f>IF(tbal[[#This Row],[DEBE]]+tbal[[#This Row],[HABER]]=0,"","X")</f>
        <v/>
      </c>
      <c r="E1802" s="16">
        <f>SUMIF(tdiario[CUENTA],tbal[[#This Row],[CUENTA]],tdiario[DEBE])</f>
        <v>0</v>
      </c>
      <c r="F1802" s="17">
        <f>SUMIF(tdiario[CUENTA],tbal[[#This Row],[CUENTA]],tdiario[HABER])</f>
        <v>0</v>
      </c>
      <c r="G1802" s="16">
        <f>IF(tbal[[#This Row],[DEBE]]-tbal[[#This Row],[HABER]]&gt;0,tbal[[#This Row],[DEBE]]-tbal[[#This Row],[HABER]],0)</f>
        <v>0</v>
      </c>
      <c r="H1802" s="18">
        <f>IF(tbal[[#This Row],[HABER]]-tbal[[#This Row],[DEBE]]&gt;0,tbal[[#This Row],[HABER]]-tbal[[#This Row],[DEBE]],0)</f>
        <v>0</v>
      </c>
      <c r="I1802" s="16">
        <f>IF((OR(tbal[[#This Row],[X]]=1,tbal[[#This Row],[X]]=2)),tbal[[#This Row],[DEUDOR]],0)</f>
        <v>0</v>
      </c>
      <c r="J1802" s="18">
        <f>IF((OR(tbal[[#This Row],[X]]=2,tbal[[#This Row],[X]]=3)),tbal[[#This Row],[ACREEDOR]],0)</f>
        <v>0</v>
      </c>
      <c r="K1802" s="16">
        <f>IF((OR(tbal[[#This Row],[X]]=3,tbal[[#This Row],[X]]=5)),tbal[[#This Row],[DEUDOR]],0)</f>
        <v>0</v>
      </c>
      <c r="L1802" s="18">
        <f>IF((OR(tbal[[#This Row],[X]]=3,tbal[[#This Row],[X]]=4)),tbal[[#This Row],[ACREEDOR]],0)</f>
        <v>0</v>
      </c>
      <c r="M1802" s="16">
        <f>IF((OR(tbal[[#This Row],[X]]=0,tbal[[#This Row],[X]]=6)),tbal[[#This Row],[DEUDOR]],0)</f>
        <v>0</v>
      </c>
      <c r="N1802" s="18">
        <f>IF((OR(tbal[[#This Row],[X]]=0,tbal[[#This Row],[X]]=5)),tbal[[#This Row],[ACREEDOR]],0)</f>
        <v>0</v>
      </c>
    </row>
    <row r="1803" spans="1:14" hidden="1" x14ac:dyDescent="0.3">
      <c r="A1803" s="14">
        <f>+'PLAN DE CUENTAS'!A1803</f>
        <v>0</v>
      </c>
      <c r="B1803" s="13">
        <f>+'PLAN DE CUENTAS'!B1803</f>
        <v>0</v>
      </c>
      <c r="C1803" s="13">
        <f>+'PLAN DE CUENTAS'!C1803</f>
        <v>0</v>
      </c>
      <c r="D1803" t="str">
        <f>IF(tbal[[#This Row],[DEBE]]+tbal[[#This Row],[HABER]]=0,"","X")</f>
        <v/>
      </c>
      <c r="E1803" s="16">
        <f>SUMIF(tdiario[CUENTA],tbal[[#This Row],[CUENTA]],tdiario[DEBE])</f>
        <v>0</v>
      </c>
      <c r="F1803" s="17">
        <f>SUMIF(tdiario[CUENTA],tbal[[#This Row],[CUENTA]],tdiario[HABER])</f>
        <v>0</v>
      </c>
      <c r="G1803" s="16">
        <f>IF(tbal[[#This Row],[DEBE]]-tbal[[#This Row],[HABER]]&gt;0,tbal[[#This Row],[DEBE]]-tbal[[#This Row],[HABER]],0)</f>
        <v>0</v>
      </c>
      <c r="H1803" s="18">
        <f>IF(tbal[[#This Row],[HABER]]-tbal[[#This Row],[DEBE]]&gt;0,tbal[[#This Row],[HABER]]-tbal[[#This Row],[DEBE]],0)</f>
        <v>0</v>
      </c>
      <c r="I1803" s="16">
        <f>IF((OR(tbal[[#This Row],[X]]=1,tbal[[#This Row],[X]]=2)),tbal[[#This Row],[DEUDOR]],0)</f>
        <v>0</v>
      </c>
      <c r="J1803" s="18">
        <f>IF((OR(tbal[[#This Row],[X]]=2,tbal[[#This Row],[X]]=3)),tbal[[#This Row],[ACREEDOR]],0)</f>
        <v>0</v>
      </c>
      <c r="K1803" s="16">
        <f>IF((OR(tbal[[#This Row],[X]]=3,tbal[[#This Row],[X]]=5)),tbal[[#This Row],[DEUDOR]],0)</f>
        <v>0</v>
      </c>
      <c r="L1803" s="18">
        <f>IF((OR(tbal[[#This Row],[X]]=3,tbal[[#This Row],[X]]=4)),tbal[[#This Row],[ACREEDOR]],0)</f>
        <v>0</v>
      </c>
      <c r="M1803" s="16">
        <f>IF((OR(tbal[[#This Row],[X]]=0,tbal[[#This Row],[X]]=6)),tbal[[#This Row],[DEUDOR]],0)</f>
        <v>0</v>
      </c>
      <c r="N1803" s="18">
        <f>IF((OR(tbal[[#This Row],[X]]=0,tbal[[#This Row],[X]]=5)),tbal[[#This Row],[ACREEDOR]],0)</f>
        <v>0</v>
      </c>
    </row>
    <row r="1804" spans="1:14" hidden="1" x14ac:dyDescent="0.3">
      <c r="A1804" s="14">
        <f>+'PLAN DE CUENTAS'!A1804</f>
        <v>0</v>
      </c>
      <c r="B1804" s="13">
        <f>+'PLAN DE CUENTAS'!B1804</f>
        <v>0</v>
      </c>
      <c r="C1804" s="13">
        <f>+'PLAN DE CUENTAS'!C1804</f>
        <v>0</v>
      </c>
      <c r="D1804" t="str">
        <f>IF(tbal[[#This Row],[DEBE]]+tbal[[#This Row],[HABER]]=0,"","X")</f>
        <v/>
      </c>
      <c r="E1804" s="16">
        <f>SUMIF(tdiario[CUENTA],tbal[[#This Row],[CUENTA]],tdiario[DEBE])</f>
        <v>0</v>
      </c>
      <c r="F1804" s="17">
        <f>SUMIF(tdiario[CUENTA],tbal[[#This Row],[CUENTA]],tdiario[HABER])</f>
        <v>0</v>
      </c>
      <c r="G1804" s="16">
        <f>IF(tbal[[#This Row],[DEBE]]-tbal[[#This Row],[HABER]]&gt;0,tbal[[#This Row],[DEBE]]-tbal[[#This Row],[HABER]],0)</f>
        <v>0</v>
      </c>
      <c r="H1804" s="18">
        <f>IF(tbal[[#This Row],[HABER]]-tbal[[#This Row],[DEBE]]&gt;0,tbal[[#This Row],[HABER]]-tbal[[#This Row],[DEBE]],0)</f>
        <v>0</v>
      </c>
      <c r="I1804" s="16">
        <f>IF((OR(tbal[[#This Row],[X]]=1,tbal[[#This Row],[X]]=2)),tbal[[#This Row],[DEUDOR]],0)</f>
        <v>0</v>
      </c>
      <c r="J1804" s="18">
        <f>IF((OR(tbal[[#This Row],[X]]=2,tbal[[#This Row],[X]]=3)),tbal[[#This Row],[ACREEDOR]],0)</f>
        <v>0</v>
      </c>
      <c r="K1804" s="16">
        <f>IF((OR(tbal[[#This Row],[X]]=3,tbal[[#This Row],[X]]=5)),tbal[[#This Row],[DEUDOR]],0)</f>
        <v>0</v>
      </c>
      <c r="L1804" s="18">
        <f>IF((OR(tbal[[#This Row],[X]]=3,tbal[[#This Row],[X]]=4)),tbal[[#This Row],[ACREEDOR]],0)</f>
        <v>0</v>
      </c>
      <c r="M1804" s="16">
        <f>IF((OR(tbal[[#This Row],[X]]=0,tbal[[#This Row],[X]]=6)),tbal[[#This Row],[DEUDOR]],0)</f>
        <v>0</v>
      </c>
      <c r="N1804" s="18">
        <f>IF((OR(tbal[[#This Row],[X]]=0,tbal[[#This Row],[X]]=5)),tbal[[#This Row],[ACREEDOR]],0)</f>
        <v>0</v>
      </c>
    </row>
    <row r="1805" spans="1:14" hidden="1" x14ac:dyDescent="0.3">
      <c r="A1805" s="14">
        <f>+'PLAN DE CUENTAS'!A1805</f>
        <v>0</v>
      </c>
      <c r="B1805" s="13">
        <f>+'PLAN DE CUENTAS'!B1805</f>
        <v>0</v>
      </c>
      <c r="C1805" s="13">
        <f>+'PLAN DE CUENTAS'!C1805</f>
        <v>0</v>
      </c>
      <c r="D1805" t="str">
        <f>IF(tbal[[#This Row],[DEBE]]+tbal[[#This Row],[HABER]]=0,"","X")</f>
        <v/>
      </c>
      <c r="E1805" s="16">
        <f>SUMIF(tdiario[CUENTA],tbal[[#This Row],[CUENTA]],tdiario[DEBE])</f>
        <v>0</v>
      </c>
      <c r="F1805" s="17">
        <f>SUMIF(tdiario[CUENTA],tbal[[#This Row],[CUENTA]],tdiario[HABER])</f>
        <v>0</v>
      </c>
      <c r="G1805" s="16">
        <f>IF(tbal[[#This Row],[DEBE]]-tbal[[#This Row],[HABER]]&gt;0,tbal[[#This Row],[DEBE]]-tbal[[#This Row],[HABER]],0)</f>
        <v>0</v>
      </c>
      <c r="H1805" s="18">
        <f>IF(tbal[[#This Row],[HABER]]-tbal[[#This Row],[DEBE]]&gt;0,tbal[[#This Row],[HABER]]-tbal[[#This Row],[DEBE]],0)</f>
        <v>0</v>
      </c>
      <c r="I1805" s="16">
        <f>IF((OR(tbal[[#This Row],[X]]=1,tbal[[#This Row],[X]]=2)),tbal[[#This Row],[DEUDOR]],0)</f>
        <v>0</v>
      </c>
      <c r="J1805" s="18">
        <f>IF((OR(tbal[[#This Row],[X]]=2,tbal[[#This Row],[X]]=3)),tbal[[#This Row],[ACREEDOR]],0)</f>
        <v>0</v>
      </c>
      <c r="K1805" s="16">
        <f>IF((OR(tbal[[#This Row],[X]]=3,tbal[[#This Row],[X]]=5)),tbal[[#This Row],[DEUDOR]],0)</f>
        <v>0</v>
      </c>
      <c r="L1805" s="18">
        <f>IF((OR(tbal[[#This Row],[X]]=3,tbal[[#This Row],[X]]=4)),tbal[[#This Row],[ACREEDOR]],0)</f>
        <v>0</v>
      </c>
      <c r="M1805" s="16">
        <f>IF((OR(tbal[[#This Row],[X]]=0,tbal[[#This Row],[X]]=6)),tbal[[#This Row],[DEUDOR]],0)</f>
        <v>0</v>
      </c>
      <c r="N1805" s="18">
        <f>IF((OR(tbal[[#This Row],[X]]=0,tbal[[#This Row],[X]]=5)),tbal[[#This Row],[ACREEDOR]],0)</f>
        <v>0</v>
      </c>
    </row>
    <row r="1806" spans="1:14" hidden="1" x14ac:dyDescent="0.3">
      <c r="A1806" s="14">
        <f>+'PLAN DE CUENTAS'!A1806</f>
        <v>0</v>
      </c>
      <c r="B1806" s="13">
        <f>+'PLAN DE CUENTAS'!B1806</f>
        <v>0</v>
      </c>
      <c r="C1806" s="13">
        <f>+'PLAN DE CUENTAS'!C1806</f>
        <v>0</v>
      </c>
      <c r="D1806" t="str">
        <f>IF(tbal[[#This Row],[DEBE]]+tbal[[#This Row],[HABER]]=0,"","X")</f>
        <v/>
      </c>
      <c r="E1806" s="16">
        <f>SUMIF(tdiario[CUENTA],tbal[[#This Row],[CUENTA]],tdiario[DEBE])</f>
        <v>0</v>
      </c>
      <c r="F1806" s="17">
        <f>SUMIF(tdiario[CUENTA],tbal[[#This Row],[CUENTA]],tdiario[HABER])</f>
        <v>0</v>
      </c>
      <c r="G1806" s="16">
        <f>IF(tbal[[#This Row],[DEBE]]-tbal[[#This Row],[HABER]]&gt;0,tbal[[#This Row],[DEBE]]-tbal[[#This Row],[HABER]],0)</f>
        <v>0</v>
      </c>
      <c r="H1806" s="18">
        <f>IF(tbal[[#This Row],[HABER]]-tbal[[#This Row],[DEBE]]&gt;0,tbal[[#This Row],[HABER]]-tbal[[#This Row],[DEBE]],0)</f>
        <v>0</v>
      </c>
      <c r="I1806" s="16">
        <f>IF((OR(tbal[[#This Row],[X]]=1,tbal[[#This Row],[X]]=2)),tbal[[#This Row],[DEUDOR]],0)</f>
        <v>0</v>
      </c>
      <c r="J1806" s="18">
        <f>IF((OR(tbal[[#This Row],[X]]=2,tbal[[#This Row],[X]]=3)),tbal[[#This Row],[ACREEDOR]],0)</f>
        <v>0</v>
      </c>
      <c r="K1806" s="16">
        <f>IF((OR(tbal[[#This Row],[X]]=3,tbal[[#This Row],[X]]=5)),tbal[[#This Row],[DEUDOR]],0)</f>
        <v>0</v>
      </c>
      <c r="L1806" s="18">
        <f>IF((OR(tbal[[#This Row],[X]]=3,tbal[[#This Row],[X]]=4)),tbal[[#This Row],[ACREEDOR]],0)</f>
        <v>0</v>
      </c>
      <c r="M1806" s="16">
        <f>IF((OR(tbal[[#This Row],[X]]=0,tbal[[#This Row],[X]]=6)),tbal[[#This Row],[DEUDOR]],0)</f>
        <v>0</v>
      </c>
      <c r="N1806" s="18">
        <f>IF((OR(tbal[[#This Row],[X]]=0,tbal[[#This Row],[X]]=5)),tbal[[#This Row],[ACREEDOR]],0)</f>
        <v>0</v>
      </c>
    </row>
    <row r="1807" spans="1:14" hidden="1" x14ac:dyDescent="0.3">
      <c r="A1807" s="14">
        <f>+'PLAN DE CUENTAS'!A1807</f>
        <v>0</v>
      </c>
      <c r="B1807" s="13">
        <f>+'PLAN DE CUENTAS'!B1807</f>
        <v>0</v>
      </c>
      <c r="C1807" s="13">
        <f>+'PLAN DE CUENTAS'!C1807</f>
        <v>0</v>
      </c>
      <c r="D1807" t="str">
        <f>IF(tbal[[#This Row],[DEBE]]+tbal[[#This Row],[HABER]]=0,"","X")</f>
        <v/>
      </c>
      <c r="E1807" s="16">
        <f>SUMIF(tdiario[CUENTA],tbal[[#This Row],[CUENTA]],tdiario[DEBE])</f>
        <v>0</v>
      </c>
      <c r="F1807" s="17">
        <f>SUMIF(tdiario[CUENTA],tbal[[#This Row],[CUENTA]],tdiario[HABER])</f>
        <v>0</v>
      </c>
      <c r="G1807" s="16">
        <f>IF(tbal[[#This Row],[DEBE]]-tbal[[#This Row],[HABER]]&gt;0,tbal[[#This Row],[DEBE]]-tbal[[#This Row],[HABER]],0)</f>
        <v>0</v>
      </c>
      <c r="H1807" s="18">
        <f>IF(tbal[[#This Row],[HABER]]-tbal[[#This Row],[DEBE]]&gt;0,tbal[[#This Row],[HABER]]-tbal[[#This Row],[DEBE]],0)</f>
        <v>0</v>
      </c>
      <c r="I1807" s="16">
        <f>IF((OR(tbal[[#This Row],[X]]=1,tbal[[#This Row],[X]]=2)),tbal[[#This Row],[DEUDOR]],0)</f>
        <v>0</v>
      </c>
      <c r="J1807" s="18">
        <f>IF((OR(tbal[[#This Row],[X]]=2,tbal[[#This Row],[X]]=3)),tbal[[#This Row],[ACREEDOR]],0)</f>
        <v>0</v>
      </c>
      <c r="K1807" s="16">
        <f>IF((OR(tbal[[#This Row],[X]]=3,tbal[[#This Row],[X]]=5)),tbal[[#This Row],[DEUDOR]],0)</f>
        <v>0</v>
      </c>
      <c r="L1807" s="18">
        <f>IF((OR(tbal[[#This Row],[X]]=3,tbal[[#This Row],[X]]=4)),tbal[[#This Row],[ACREEDOR]],0)</f>
        <v>0</v>
      </c>
      <c r="M1807" s="16">
        <f>IF((OR(tbal[[#This Row],[X]]=0,tbal[[#This Row],[X]]=6)),tbal[[#This Row],[DEUDOR]],0)</f>
        <v>0</v>
      </c>
      <c r="N1807" s="18">
        <f>IF((OR(tbal[[#This Row],[X]]=0,tbal[[#This Row],[X]]=5)),tbal[[#This Row],[ACREEDOR]],0)</f>
        <v>0</v>
      </c>
    </row>
    <row r="1808" spans="1:14" hidden="1" x14ac:dyDescent="0.3">
      <c r="A1808" s="14">
        <f>+'PLAN DE CUENTAS'!A1808</f>
        <v>0</v>
      </c>
      <c r="B1808" s="13">
        <f>+'PLAN DE CUENTAS'!B1808</f>
        <v>0</v>
      </c>
      <c r="C1808" s="13">
        <f>+'PLAN DE CUENTAS'!C1808</f>
        <v>0</v>
      </c>
      <c r="D1808" t="str">
        <f>IF(tbal[[#This Row],[DEBE]]+tbal[[#This Row],[HABER]]=0,"","X")</f>
        <v/>
      </c>
      <c r="E1808" s="16">
        <f>SUMIF(tdiario[CUENTA],tbal[[#This Row],[CUENTA]],tdiario[DEBE])</f>
        <v>0</v>
      </c>
      <c r="F1808" s="17">
        <f>SUMIF(tdiario[CUENTA],tbal[[#This Row],[CUENTA]],tdiario[HABER])</f>
        <v>0</v>
      </c>
      <c r="G1808" s="16">
        <f>IF(tbal[[#This Row],[DEBE]]-tbal[[#This Row],[HABER]]&gt;0,tbal[[#This Row],[DEBE]]-tbal[[#This Row],[HABER]],0)</f>
        <v>0</v>
      </c>
      <c r="H1808" s="18">
        <f>IF(tbal[[#This Row],[HABER]]-tbal[[#This Row],[DEBE]]&gt;0,tbal[[#This Row],[HABER]]-tbal[[#This Row],[DEBE]],0)</f>
        <v>0</v>
      </c>
      <c r="I1808" s="16">
        <f>IF((OR(tbal[[#This Row],[X]]=1,tbal[[#This Row],[X]]=2)),tbal[[#This Row],[DEUDOR]],0)</f>
        <v>0</v>
      </c>
      <c r="J1808" s="18">
        <f>IF((OR(tbal[[#This Row],[X]]=2,tbal[[#This Row],[X]]=3)),tbal[[#This Row],[ACREEDOR]],0)</f>
        <v>0</v>
      </c>
      <c r="K1808" s="16">
        <f>IF((OR(tbal[[#This Row],[X]]=3,tbal[[#This Row],[X]]=5)),tbal[[#This Row],[DEUDOR]],0)</f>
        <v>0</v>
      </c>
      <c r="L1808" s="18">
        <f>IF((OR(tbal[[#This Row],[X]]=3,tbal[[#This Row],[X]]=4)),tbal[[#This Row],[ACREEDOR]],0)</f>
        <v>0</v>
      </c>
      <c r="M1808" s="16">
        <f>IF((OR(tbal[[#This Row],[X]]=0,tbal[[#This Row],[X]]=6)),tbal[[#This Row],[DEUDOR]],0)</f>
        <v>0</v>
      </c>
      <c r="N1808" s="18">
        <f>IF((OR(tbal[[#This Row],[X]]=0,tbal[[#This Row],[X]]=5)),tbal[[#This Row],[ACREEDOR]],0)</f>
        <v>0</v>
      </c>
    </row>
    <row r="1809" spans="1:14" hidden="1" x14ac:dyDescent="0.3">
      <c r="A1809" s="14">
        <f>+'PLAN DE CUENTAS'!A1809</f>
        <v>0</v>
      </c>
      <c r="B1809" s="13">
        <f>+'PLAN DE CUENTAS'!B1809</f>
        <v>0</v>
      </c>
      <c r="C1809" s="13">
        <f>+'PLAN DE CUENTAS'!C1809</f>
        <v>0</v>
      </c>
      <c r="D1809" t="str">
        <f>IF(tbal[[#This Row],[DEBE]]+tbal[[#This Row],[HABER]]=0,"","X")</f>
        <v/>
      </c>
      <c r="E1809" s="16">
        <f>SUMIF(tdiario[CUENTA],tbal[[#This Row],[CUENTA]],tdiario[DEBE])</f>
        <v>0</v>
      </c>
      <c r="F1809" s="17">
        <f>SUMIF(tdiario[CUENTA],tbal[[#This Row],[CUENTA]],tdiario[HABER])</f>
        <v>0</v>
      </c>
      <c r="G1809" s="16">
        <f>IF(tbal[[#This Row],[DEBE]]-tbal[[#This Row],[HABER]]&gt;0,tbal[[#This Row],[DEBE]]-tbal[[#This Row],[HABER]],0)</f>
        <v>0</v>
      </c>
      <c r="H1809" s="18">
        <f>IF(tbal[[#This Row],[HABER]]-tbal[[#This Row],[DEBE]]&gt;0,tbal[[#This Row],[HABER]]-tbal[[#This Row],[DEBE]],0)</f>
        <v>0</v>
      </c>
      <c r="I1809" s="16">
        <f>IF((OR(tbal[[#This Row],[X]]=1,tbal[[#This Row],[X]]=2)),tbal[[#This Row],[DEUDOR]],0)</f>
        <v>0</v>
      </c>
      <c r="J1809" s="18">
        <f>IF((OR(tbal[[#This Row],[X]]=2,tbal[[#This Row],[X]]=3)),tbal[[#This Row],[ACREEDOR]],0)</f>
        <v>0</v>
      </c>
      <c r="K1809" s="16">
        <f>IF((OR(tbal[[#This Row],[X]]=3,tbal[[#This Row],[X]]=5)),tbal[[#This Row],[DEUDOR]],0)</f>
        <v>0</v>
      </c>
      <c r="L1809" s="18">
        <f>IF((OR(tbal[[#This Row],[X]]=3,tbal[[#This Row],[X]]=4)),tbal[[#This Row],[ACREEDOR]],0)</f>
        <v>0</v>
      </c>
      <c r="M1809" s="16">
        <f>IF((OR(tbal[[#This Row],[X]]=0,tbal[[#This Row],[X]]=6)),tbal[[#This Row],[DEUDOR]],0)</f>
        <v>0</v>
      </c>
      <c r="N1809" s="18">
        <f>IF((OR(tbal[[#This Row],[X]]=0,tbal[[#This Row],[X]]=5)),tbal[[#This Row],[ACREEDOR]],0)</f>
        <v>0</v>
      </c>
    </row>
    <row r="1810" spans="1:14" hidden="1" x14ac:dyDescent="0.3">
      <c r="A1810" s="14">
        <f>+'PLAN DE CUENTAS'!A1810</f>
        <v>0</v>
      </c>
      <c r="B1810" s="13">
        <f>+'PLAN DE CUENTAS'!B1810</f>
        <v>0</v>
      </c>
      <c r="C1810" s="13">
        <f>+'PLAN DE CUENTAS'!C1810</f>
        <v>0</v>
      </c>
      <c r="D1810" t="str">
        <f>IF(tbal[[#This Row],[DEBE]]+tbal[[#This Row],[HABER]]=0,"","X")</f>
        <v/>
      </c>
      <c r="E1810" s="16">
        <f>SUMIF(tdiario[CUENTA],tbal[[#This Row],[CUENTA]],tdiario[DEBE])</f>
        <v>0</v>
      </c>
      <c r="F1810" s="17">
        <f>SUMIF(tdiario[CUENTA],tbal[[#This Row],[CUENTA]],tdiario[HABER])</f>
        <v>0</v>
      </c>
      <c r="G1810" s="16">
        <f>IF(tbal[[#This Row],[DEBE]]-tbal[[#This Row],[HABER]]&gt;0,tbal[[#This Row],[DEBE]]-tbal[[#This Row],[HABER]],0)</f>
        <v>0</v>
      </c>
      <c r="H1810" s="18">
        <f>IF(tbal[[#This Row],[HABER]]-tbal[[#This Row],[DEBE]]&gt;0,tbal[[#This Row],[HABER]]-tbal[[#This Row],[DEBE]],0)</f>
        <v>0</v>
      </c>
      <c r="I1810" s="16">
        <f>IF((OR(tbal[[#This Row],[X]]=1,tbal[[#This Row],[X]]=2)),tbal[[#This Row],[DEUDOR]],0)</f>
        <v>0</v>
      </c>
      <c r="J1810" s="18">
        <f>IF((OR(tbal[[#This Row],[X]]=2,tbal[[#This Row],[X]]=3)),tbal[[#This Row],[ACREEDOR]],0)</f>
        <v>0</v>
      </c>
      <c r="K1810" s="16">
        <f>IF((OR(tbal[[#This Row],[X]]=3,tbal[[#This Row],[X]]=5)),tbal[[#This Row],[DEUDOR]],0)</f>
        <v>0</v>
      </c>
      <c r="L1810" s="18">
        <f>IF((OR(tbal[[#This Row],[X]]=3,tbal[[#This Row],[X]]=4)),tbal[[#This Row],[ACREEDOR]],0)</f>
        <v>0</v>
      </c>
      <c r="M1810" s="16">
        <f>IF((OR(tbal[[#This Row],[X]]=0,tbal[[#This Row],[X]]=6)),tbal[[#This Row],[DEUDOR]],0)</f>
        <v>0</v>
      </c>
      <c r="N1810" s="18">
        <f>IF((OR(tbal[[#This Row],[X]]=0,tbal[[#This Row],[X]]=5)),tbal[[#This Row],[ACREEDOR]],0)</f>
        <v>0</v>
      </c>
    </row>
    <row r="1811" spans="1:14" hidden="1" x14ac:dyDescent="0.3">
      <c r="A1811" s="14">
        <f>+'PLAN DE CUENTAS'!A1811</f>
        <v>0</v>
      </c>
      <c r="B1811" s="13">
        <f>+'PLAN DE CUENTAS'!B1811</f>
        <v>0</v>
      </c>
      <c r="C1811" s="13">
        <f>+'PLAN DE CUENTAS'!C1811</f>
        <v>0</v>
      </c>
      <c r="D1811" t="str">
        <f>IF(tbal[[#This Row],[DEBE]]+tbal[[#This Row],[HABER]]=0,"","X")</f>
        <v/>
      </c>
      <c r="E1811" s="16">
        <f>SUMIF(tdiario[CUENTA],tbal[[#This Row],[CUENTA]],tdiario[DEBE])</f>
        <v>0</v>
      </c>
      <c r="F1811" s="17">
        <f>SUMIF(tdiario[CUENTA],tbal[[#This Row],[CUENTA]],tdiario[HABER])</f>
        <v>0</v>
      </c>
      <c r="G1811" s="16">
        <f>IF(tbal[[#This Row],[DEBE]]-tbal[[#This Row],[HABER]]&gt;0,tbal[[#This Row],[DEBE]]-tbal[[#This Row],[HABER]],0)</f>
        <v>0</v>
      </c>
      <c r="H1811" s="18">
        <f>IF(tbal[[#This Row],[HABER]]-tbal[[#This Row],[DEBE]]&gt;0,tbal[[#This Row],[HABER]]-tbal[[#This Row],[DEBE]],0)</f>
        <v>0</v>
      </c>
      <c r="I1811" s="16">
        <f>IF((OR(tbal[[#This Row],[X]]=1,tbal[[#This Row],[X]]=2)),tbal[[#This Row],[DEUDOR]],0)</f>
        <v>0</v>
      </c>
      <c r="J1811" s="18">
        <f>IF((OR(tbal[[#This Row],[X]]=2,tbal[[#This Row],[X]]=3)),tbal[[#This Row],[ACREEDOR]],0)</f>
        <v>0</v>
      </c>
      <c r="K1811" s="16">
        <f>IF((OR(tbal[[#This Row],[X]]=3,tbal[[#This Row],[X]]=5)),tbal[[#This Row],[DEUDOR]],0)</f>
        <v>0</v>
      </c>
      <c r="L1811" s="18">
        <f>IF((OR(tbal[[#This Row],[X]]=3,tbal[[#This Row],[X]]=4)),tbal[[#This Row],[ACREEDOR]],0)</f>
        <v>0</v>
      </c>
      <c r="M1811" s="16">
        <f>IF((OR(tbal[[#This Row],[X]]=0,tbal[[#This Row],[X]]=6)),tbal[[#This Row],[DEUDOR]],0)</f>
        <v>0</v>
      </c>
      <c r="N1811" s="18">
        <f>IF((OR(tbal[[#This Row],[X]]=0,tbal[[#This Row],[X]]=5)),tbal[[#This Row],[ACREEDOR]],0)</f>
        <v>0</v>
      </c>
    </row>
    <row r="1812" spans="1:14" hidden="1" x14ac:dyDescent="0.3">
      <c r="A1812" s="14">
        <f>+'PLAN DE CUENTAS'!A1812</f>
        <v>0</v>
      </c>
      <c r="B1812" s="13">
        <f>+'PLAN DE CUENTAS'!B1812</f>
        <v>0</v>
      </c>
      <c r="C1812" s="13">
        <f>+'PLAN DE CUENTAS'!C1812</f>
        <v>0</v>
      </c>
      <c r="D1812" t="str">
        <f>IF(tbal[[#This Row],[DEBE]]+tbal[[#This Row],[HABER]]=0,"","X")</f>
        <v/>
      </c>
      <c r="E1812" s="16">
        <f>SUMIF(tdiario[CUENTA],tbal[[#This Row],[CUENTA]],tdiario[DEBE])</f>
        <v>0</v>
      </c>
      <c r="F1812" s="17">
        <f>SUMIF(tdiario[CUENTA],tbal[[#This Row],[CUENTA]],tdiario[HABER])</f>
        <v>0</v>
      </c>
      <c r="G1812" s="16">
        <f>IF(tbal[[#This Row],[DEBE]]-tbal[[#This Row],[HABER]]&gt;0,tbal[[#This Row],[DEBE]]-tbal[[#This Row],[HABER]],0)</f>
        <v>0</v>
      </c>
      <c r="H1812" s="18">
        <f>IF(tbal[[#This Row],[HABER]]-tbal[[#This Row],[DEBE]]&gt;0,tbal[[#This Row],[HABER]]-tbal[[#This Row],[DEBE]],0)</f>
        <v>0</v>
      </c>
      <c r="I1812" s="16">
        <f>IF((OR(tbal[[#This Row],[X]]=1,tbal[[#This Row],[X]]=2)),tbal[[#This Row],[DEUDOR]],0)</f>
        <v>0</v>
      </c>
      <c r="J1812" s="18">
        <f>IF((OR(tbal[[#This Row],[X]]=2,tbal[[#This Row],[X]]=3)),tbal[[#This Row],[ACREEDOR]],0)</f>
        <v>0</v>
      </c>
      <c r="K1812" s="16">
        <f>IF((OR(tbal[[#This Row],[X]]=3,tbal[[#This Row],[X]]=5)),tbal[[#This Row],[DEUDOR]],0)</f>
        <v>0</v>
      </c>
      <c r="L1812" s="18">
        <f>IF((OR(tbal[[#This Row],[X]]=3,tbal[[#This Row],[X]]=4)),tbal[[#This Row],[ACREEDOR]],0)</f>
        <v>0</v>
      </c>
      <c r="M1812" s="16">
        <f>IF((OR(tbal[[#This Row],[X]]=0,tbal[[#This Row],[X]]=6)),tbal[[#This Row],[DEUDOR]],0)</f>
        <v>0</v>
      </c>
      <c r="N1812" s="18">
        <f>IF((OR(tbal[[#This Row],[X]]=0,tbal[[#This Row],[X]]=5)),tbal[[#This Row],[ACREEDOR]],0)</f>
        <v>0</v>
      </c>
    </row>
    <row r="1813" spans="1:14" hidden="1" x14ac:dyDescent="0.3">
      <c r="A1813" s="14">
        <f>+'PLAN DE CUENTAS'!A1813</f>
        <v>0</v>
      </c>
      <c r="B1813" s="13">
        <f>+'PLAN DE CUENTAS'!B1813</f>
        <v>0</v>
      </c>
      <c r="C1813" s="13">
        <f>+'PLAN DE CUENTAS'!C1813</f>
        <v>0</v>
      </c>
      <c r="D1813" t="str">
        <f>IF(tbal[[#This Row],[DEBE]]+tbal[[#This Row],[HABER]]=0,"","X")</f>
        <v/>
      </c>
      <c r="E1813" s="16">
        <f>SUMIF(tdiario[CUENTA],tbal[[#This Row],[CUENTA]],tdiario[DEBE])</f>
        <v>0</v>
      </c>
      <c r="F1813" s="17">
        <f>SUMIF(tdiario[CUENTA],tbal[[#This Row],[CUENTA]],tdiario[HABER])</f>
        <v>0</v>
      </c>
      <c r="G1813" s="16">
        <f>IF(tbal[[#This Row],[DEBE]]-tbal[[#This Row],[HABER]]&gt;0,tbal[[#This Row],[DEBE]]-tbal[[#This Row],[HABER]],0)</f>
        <v>0</v>
      </c>
      <c r="H1813" s="18">
        <f>IF(tbal[[#This Row],[HABER]]-tbal[[#This Row],[DEBE]]&gt;0,tbal[[#This Row],[HABER]]-tbal[[#This Row],[DEBE]],0)</f>
        <v>0</v>
      </c>
      <c r="I1813" s="16">
        <f>IF((OR(tbal[[#This Row],[X]]=1,tbal[[#This Row],[X]]=2)),tbal[[#This Row],[DEUDOR]],0)</f>
        <v>0</v>
      </c>
      <c r="J1813" s="18">
        <f>IF((OR(tbal[[#This Row],[X]]=2,tbal[[#This Row],[X]]=3)),tbal[[#This Row],[ACREEDOR]],0)</f>
        <v>0</v>
      </c>
      <c r="K1813" s="16">
        <f>IF((OR(tbal[[#This Row],[X]]=3,tbal[[#This Row],[X]]=5)),tbal[[#This Row],[DEUDOR]],0)</f>
        <v>0</v>
      </c>
      <c r="L1813" s="18">
        <f>IF((OR(tbal[[#This Row],[X]]=3,tbal[[#This Row],[X]]=4)),tbal[[#This Row],[ACREEDOR]],0)</f>
        <v>0</v>
      </c>
      <c r="M1813" s="16">
        <f>IF((OR(tbal[[#This Row],[X]]=0,tbal[[#This Row],[X]]=6)),tbal[[#This Row],[DEUDOR]],0)</f>
        <v>0</v>
      </c>
      <c r="N1813" s="18">
        <f>IF((OR(tbal[[#This Row],[X]]=0,tbal[[#This Row],[X]]=5)),tbal[[#This Row],[ACREEDOR]],0)</f>
        <v>0</v>
      </c>
    </row>
    <row r="1814" spans="1:14" hidden="1" x14ac:dyDescent="0.3">
      <c r="A1814" s="14">
        <f>+'PLAN DE CUENTAS'!A1814</f>
        <v>0</v>
      </c>
      <c r="B1814" s="13">
        <f>+'PLAN DE CUENTAS'!B1814</f>
        <v>0</v>
      </c>
      <c r="C1814" s="13">
        <f>+'PLAN DE CUENTAS'!C1814</f>
        <v>0</v>
      </c>
      <c r="D1814" t="str">
        <f>IF(tbal[[#This Row],[DEBE]]+tbal[[#This Row],[HABER]]=0,"","X")</f>
        <v/>
      </c>
      <c r="E1814" s="16">
        <f>SUMIF(tdiario[CUENTA],tbal[[#This Row],[CUENTA]],tdiario[DEBE])</f>
        <v>0</v>
      </c>
      <c r="F1814" s="17">
        <f>SUMIF(tdiario[CUENTA],tbal[[#This Row],[CUENTA]],tdiario[HABER])</f>
        <v>0</v>
      </c>
      <c r="G1814" s="16">
        <f>IF(tbal[[#This Row],[DEBE]]-tbal[[#This Row],[HABER]]&gt;0,tbal[[#This Row],[DEBE]]-tbal[[#This Row],[HABER]],0)</f>
        <v>0</v>
      </c>
      <c r="H1814" s="18">
        <f>IF(tbal[[#This Row],[HABER]]-tbal[[#This Row],[DEBE]]&gt;0,tbal[[#This Row],[HABER]]-tbal[[#This Row],[DEBE]],0)</f>
        <v>0</v>
      </c>
      <c r="I1814" s="16">
        <f>IF((OR(tbal[[#This Row],[X]]=1,tbal[[#This Row],[X]]=2)),tbal[[#This Row],[DEUDOR]],0)</f>
        <v>0</v>
      </c>
      <c r="J1814" s="18">
        <f>IF((OR(tbal[[#This Row],[X]]=2,tbal[[#This Row],[X]]=3)),tbal[[#This Row],[ACREEDOR]],0)</f>
        <v>0</v>
      </c>
      <c r="K1814" s="16">
        <f>IF((OR(tbal[[#This Row],[X]]=3,tbal[[#This Row],[X]]=5)),tbal[[#This Row],[DEUDOR]],0)</f>
        <v>0</v>
      </c>
      <c r="L1814" s="18">
        <f>IF((OR(tbal[[#This Row],[X]]=3,tbal[[#This Row],[X]]=4)),tbal[[#This Row],[ACREEDOR]],0)</f>
        <v>0</v>
      </c>
      <c r="M1814" s="16">
        <f>IF((OR(tbal[[#This Row],[X]]=0,tbal[[#This Row],[X]]=6)),tbal[[#This Row],[DEUDOR]],0)</f>
        <v>0</v>
      </c>
      <c r="N1814" s="18">
        <f>IF((OR(tbal[[#This Row],[X]]=0,tbal[[#This Row],[X]]=5)),tbal[[#This Row],[ACREEDOR]],0)</f>
        <v>0</v>
      </c>
    </row>
    <row r="1815" spans="1:14" hidden="1" x14ac:dyDescent="0.3">
      <c r="A1815" s="14">
        <f>+'PLAN DE CUENTAS'!A1815</f>
        <v>0</v>
      </c>
      <c r="B1815" s="13">
        <f>+'PLAN DE CUENTAS'!B1815</f>
        <v>0</v>
      </c>
      <c r="C1815" s="13">
        <f>+'PLAN DE CUENTAS'!C1815</f>
        <v>0</v>
      </c>
      <c r="D1815" t="str">
        <f>IF(tbal[[#This Row],[DEBE]]+tbal[[#This Row],[HABER]]=0,"","X")</f>
        <v/>
      </c>
      <c r="E1815" s="16">
        <f>SUMIF(tdiario[CUENTA],tbal[[#This Row],[CUENTA]],tdiario[DEBE])</f>
        <v>0</v>
      </c>
      <c r="F1815" s="17">
        <f>SUMIF(tdiario[CUENTA],tbal[[#This Row],[CUENTA]],tdiario[HABER])</f>
        <v>0</v>
      </c>
      <c r="G1815" s="16">
        <f>IF(tbal[[#This Row],[DEBE]]-tbal[[#This Row],[HABER]]&gt;0,tbal[[#This Row],[DEBE]]-tbal[[#This Row],[HABER]],0)</f>
        <v>0</v>
      </c>
      <c r="H1815" s="18">
        <f>IF(tbal[[#This Row],[HABER]]-tbal[[#This Row],[DEBE]]&gt;0,tbal[[#This Row],[HABER]]-tbal[[#This Row],[DEBE]],0)</f>
        <v>0</v>
      </c>
      <c r="I1815" s="16">
        <f>IF((OR(tbal[[#This Row],[X]]=1,tbal[[#This Row],[X]]=2)),tbal[[#This Row],[DEUDOR]],0)</f>
        <v>0</v>
      </c>
      <c r="J1815" s="18">
        <f>IF((OR(tbal[[#This Row],[X]]=2,tbal[[#This Row],[X]]=3)),tbal[[#This Row],[ACREEDOR]],0)</f>
        <v>0</v>
      </c>
      <c r="K1815" s="16">
        <f>IF((OR(tbal[[#This Row],[X]]=3,tbal[[#This Row],[X]]=5)),tbal[[#This Row],[DEUDOR]],0)</f>
        <v>0</v>
      </c>
      <c r="L1815" s="18">
        <f>IF((OR(tbal[[#This Row],[X]]=3,tbal[[#This Row],[X]]=4)),tbal[[#This Row],[ACREEDOR]],0)</f>
        <v>0</v>
      </c>
      <c r="M1815" s="16">
        <f>IF((OR(tbal[[#This Row],[X]]=0,tbal[[#This Row],[X]]=6)),tbal[[#This Row],[DEUDOR]],0)</f>
        <v>0</v>
      </c>
      <c r="N1815" s="18">
        <f>IF((OR(tbal[[#This Row],[X]]=0,tbal[[#This Row],[X]]=5)),tbal[[#This Row],[ACREEDOR]],0)</f>
        <v>0</v>
      </c>
    </row>
    <row r="1816" spans="1:14" hidden="1" x14ac:dyDescent="0.3">
      <c r="A1816" s="14">
        <f>+'PLAN DE CUENTAS'!A1816</f>
        <v>0</v>
      </c>
      <c r="B1816" s="13">
        <f>+'PLAN DE CUENTAS'!B1816</f>
        <v>0</v>
      </c>
      <c r="C1816" s="13">
        <f>+'PLAN DE CUENTAS'!C1816</f>
        <v>0</v>
      </c>
      <c r="D1816" t="str">
        <f>IF(tbal[[#This Row],[DEBE]]+tbal[[#This Row],[HABER]]=0,"","X")</f>
        <v/>
      </c>
      <c r="E1816" s="16">
        <f>SUMIF(tdiario[CUENTA],tbal[[#This Row],[CUENTA]],tdiario[DEBE])</f>
        <v>0</v>
      </c>
      <c r="F1816" s="17">
        <f>SUMIF(tdiario[CUENTA],tbal[[#This Row],[CUENTA]],tdiario[HABER])</f>
        <v>0</v>
      </c>
      <c r="G1816" s="16">
        <f>IF(tbal[[#This Row],[DEBE]]-tbal[[#This Row],[HABER]]&gt;0,tbal[[#This Row],[DEBE]]-tbal[[#This Row],[HABER]],0)</f>
        <v>0</v>
      </c>
      <c r="H1816" s="18">
        <f>IF(tbal[[#This Row],[HABER]]-tbal[[#This Row],[DEBE]]&gt;0,tbal[[#This Row],[HABER]]-tbal[[#This Row],[DEBE]],0)</f>
        <v>0</v>
      </c>
      <c r="I1816" s="16">
        <f>IF((OR(tbal[[#This Row],[X]]=1,tbal[[#This Row],[X]]=2)),tbal[[#This Row],[DEUDOR]],0)</f>
        <v>0</v>
      </c>
      <c r="J1816" s="18">
        <f>IF((OR(tbal[[#This Row],[X]]=2,tbal[[#This Row],[X]]=3)),tbal[[#This Row],[ACREEDOR]],0)</f>
        <v>0</v>
      </c>
      <c r="K1816" s="16">
        <f>IF((OR(tbal[[#This Row],[X]]=3,tbal[[#This Row],[X]]=5)),tbal[[#This Row],[DEUDOR]],0)</f>
        <v>0</v>
      </c>
      <c r="L1816" s="18">
        <f>IF((OR(tbal[[#This Row],[X]]=3,tbal[[#This Row],[X]]=4)),tbal[[#This Row],[ACREEDOR]],0)</f>
        <v>0</v>
      </c>
      <c r="M1816" s="16">
        <f>IF((OR(tbal[[#This Row],[X]]=0,tbal[[#This Row],[X]]=6)),tbal[[#This Row],[DEUDOR]],0)</f>
        <v>0</v>
      </c>
      <c r="N1816" s="18">
        <f>IF((OR(tbal[[#This Row],[X]]=0,tbal[[#This Row],[X]]=5)),tbal[[#This Row],[ACREEDOR]],0)</f>
        <v>0</v>
      </c>
    </row>
    <row r="1817" spans="1:14" hidden="1" x14ac:dyDescent="0.3">
      <c r="A1817" s="14">
        <f>+'PLAN DE CUENTAS'!A1817</f>
        <v>0</v>
      </c>
      <c r="B1817" s="13">
        <f>+'PLAN DE CUENTAS'!B1817</f>
        <v>0</v>
      </c>
      <c r="C1817" s="13">
        <f>+'PLAN DE CUENTAS'!C1817</f>
        <v>0</v>
      </c>
      <c r="D1817" t="str">
        <f>IF(tbal[[#This Row],[DEBE]]+tbal[[#This Row],[HABER]]=0,"","X")</f>
        <v/>
      </c>
      <c r="E1817" s="16">
        <f>SUMIF(tdiario[CUENTA],tbal[[#This Row],[CUENTA]],tdiario[DEBE])</f>
        <v>0</v>
      </c>
      <c r="F1817" s="17">
        <f>SUMIF(tdiario[CUENTA],tbal[[#This Row],[CUENTA]],tdiario[HABER])</f>
        <v>0</v>
      </c>
      <c r="G1817" s="16">
        <f>IF(tbal[[#This Row],[DEBE]]-tbal[[#This Row],[HABER]]&gt;0,tbal[[#This Row],[DEBE]]-tbal[[#This Row],[HABER]],0)</f>
        <v>0</v>
      </c>
      <c r="H1817" s="18">
        <f>IF(tbal[[#This Row],[HABER]]-tbal[[#This Row],[DEBE]]&gt;0,tbal[[#This Row],[HABER]]-tbal[[#This Row],[DEBE]],0)</f>
        <v>0</v>
      </c>
      <c r="I1817" s="16">
        <f>IF((OR(tbal[[#This Row],[X]]=1,tbal[[#This Row],[X]]=2)),tbal[[#This Row],[DEUDOR]],0)</f>
        <v>0</v>
      </c>
      <c r="J1817" s="18">
        <f>IF((OR(tbal[[#This Row],[X]]=2,tbal[[#This Row],[X]]=3)),tbal[[#This Row],[ACREEDOR]],0)</f>
        <v>0</v>
      </c>
      <c r="K1817" s="16">
        <f>IF((OR(tbal[[#This Row],[X]]=3,tbal[[#This Row],[X]]=5)),tbal[[#This Row],[DEUDOR]],0)</f>
        <v>0</v>
      </c>
      <c r="L1817" s="18">
        <f>IF((OR(tbal[[#This Row],[X]]=3,tbal[[#This Row],[X]]=4)),tbal[[#This Row],[ACREEDOR]],0)</f>
        <v>0</v>
      </c>
      <c r="M1817" s="16">
        <f>IF((OR(tbal[[#This Row],[X]]=0,tbal[[#This Row],[X]]=6)),tbal[[#This Row],[DEUDOR]],0)</f>
        <v>0</v>
      </c>
      <c r="N1817" s="18">
        <f>IF((OR(tbal[[#This Row],[X]]=0,tbal[[#This Row],[X]]=5)),tbal[[#This Row],[ACREEDOR]],0)</f>
        <v>0</v>
      </c>
    </row>
    <row r="1818" spans="1:14" hidden="1" x14ac:dyDescent="0.3">
      <c r="A1818" s="14">
        <f>+'PLAN DE CUENTAS'!A1818</f>
        <v>0</v>
      </c>
      <c r="B1818" s="13">
        <f>+'PLAN DE CUENTAS'!B1818</f>
        <v>0</v>
      </c>
      <c r="C1818" s="13">
        <f>+'PLAN DE CUENTAS'!C1818</f>
        <v>0</v>
      </c>
      <c r="D1818" t="str">
        <f>IF(tbal[[#This Row],[DEBE]]+tbal[[#This Row],[HABER]]=0,"","X")</f>
        <v/>
      </c>
      <c r="E1818" s="16">
        <f>SUMIF(tdiario[CUENTA],tbal[[#This Row],[CUENTA]],tdiario[DEBE])</f>
        <v>0</v>
      </c>
      <c r="F1818" s="17">
        <f>SUMIF(tdiario[CUENTA],tbal[[#This Row],[CUENTA]],tdiario[HABER])</f>
        <v>0</v>
      </c>
      <c r="G1818" s="16">
        <f>IF(tbal[[#This Row],[DEBE]]-tbal[[#This Row],[HABER]]&gt;0,tbal[[#This Row],[DEBE]]-tbal[[#This Row],[HABER]],0)</f>
        <v>0</v>
      </c>
      <c r="H1818" s="18">
        <f>IF(tbal[[#This Row],[HABER]]-tbal[[#This Row],[DEBE]]&gt;0,tbal[[#This Row],[HABER]]-tbal[[#This Row],[DEBE]],0)</f>
        <v>0</v>
      </c>
      <c r="I1818" s="16">
        <f>IF((OR(tbal[[#This Row],[X]]=1,tbal[[#This Row],[X]]=2)),tbal[[#This Row],[DEUDOR]],0)</f>
        <v>0</v>
      </c>
      <c r="J1818" s="18">
        <f>IF((OR(tbal[[#This Row],[X]]=2,tbal[[#This Row],[X]]=3)),tbal[[#This Row],[ACREEDOR]],0)</f>
        <v>0</v>
      </c>
      <c r="K1818" s="16">
        <f>IF((OR(tbal[[#This Row],[X]]=3,tbal[[#This Row],[X]]=5)),tbal[[#This Row],[DEUDOR]],0)</f>
        <v>0</v>
      </c>
      <c r="L1818" s="18">
        <f>IF((OR(tbal[[#This Row],[X]]=3,tbal[[#This Row],[X]]=4)),tbal[[#This Row],[ACREEDOR]],0)</f>
        <v>0</v>
      </c>
      <c r="M1818" s="16">
        <f>IF((OR(tbal[[#This Row],[X]]=0,tbal[[#This Row],[X]]=6)),tbal[[#This Row],[DEUDOR]],0)</f>
        <v>0</v>
      </c>
      <c r="N1818" s="18">
        <f>IF((OR(tbal[[#This Row],[X]]=0,tbal[[#This Row],[X]]=5)),tbal[[#This Row],[ACREEDOR]],0)</f>
        <v>0</v>
      </c>
    </row>
    <row r="1819" spans="1:14" hidden="1" x14ac:dyDescent="0.3">
      <c r="A1819" s="14">
        <f>+'PLAN DE CUENTAS'!A1819</f>
        <v>0</v>
      </c>
      <c r="B1819" s="13">
        <f>+'PLAN DE CUENTAS'!B1819</f>
        <v>0</v>
      </c>
      <c r="C1819" s="13">
        <f>+'PLAN DE CUENTAS'!C1819</f>
        <v>0</v>
      </c>
      <c r="D1819" t="str">
        <f>IF(tbal[[#This Row],[DEBE]]+tbal[[#This Row],[HABER]]=0,"","X")</f>
        <v/>
      </c>
      <c r="E1819" s="16">
        <f>SUMIF(tdiario[CUENTA],tbal[[#This Row],[CUENTA]],tdiario[DEBE])</f>
        <v>0</v>
      </c>
      <c r="F1819" s="17">
        <f>SUMIF(tdiario[CUENTA],tbal[[#This Row],[CUENTA]],tdiario[HABER])</f>
        <v>0</v>
      </c>
      <c r="G1819" s="16">
        <f>IF(tbal[[#This Row],[DEBE]]-tbal[[#This Row],[HABER]]&gt;0,tbal[[#This Row],[DEBE]]-tbal[[#This Row],[HABER]],0)</f>
        <v>0</v>
      </c>
      <c r="H1819" s="18">
        <f>IF(tbal[[#This Row],[HABER]]-tbal[[#This Row],[DEBE]]&gt;0,tbal[[#This Row],[HABER]]-tbal[[#This Row],[DEBE]],0)</f>
        <v>0</v>
      </c>
      <c r="I1819" s="16">
        <f>IF((OR(tbal[[#This Row],[X]]=1,tbal[[#This Row],[X]]=2)),tbal[[#This Row],[DEUDOR]],0)</f>
        <v>0</v>
      </c>
      <c r="J1819" s="18">
        <f>IF((OR(tbal[[#This Row],[X]]=2,tbal[[#This Row],[X]]=3)),tbal[[#This Row],[ACREEDOR]],0)</f>
        <v>0</v>
      </c>
      <c r="K1819" s="16">
        <f>IF((OR(tbal[[#This Row],[X]]=3,tbal[[#This Row],[X]]=5)),tbal[[#This Row],[DEUDOR]],0)</f>
        <v>0</v>
      </c>
      <c r="L1819" s="18">
        <f>IF((OR(tbal[[#This Row],[X]]=3,tbal[[#This Row],[X]]=4)),tbal[[#This Row],[ACREEDOR]],0)</f>
        <v>0</v>
      </c>
      <c r="M1819" s="16">
        <f>IF((OR(tbal[[#This Row],[X]]=0,tbal[[#This Row],[X]]=6)),tbal[[#This Row],[DEUDOR]],0)</f>
        <v>0</v>
      </c>
      <c r="N1819" s="18">
        <f>IF((OR(tbal[[#This Row],[X]]=0,tbal[[#This Row],[X]]=5)),tbal[[#This Row],[ACREEDOR]],0)</f>
        <v>0</v>
      </c>
    </row>
    <row r="1820" spans="1:14" hidden="1" x14ac:dyDescent="0.3">
      <c r="A1820" s="14">
        <f>+'PLAN DE CUENTAS'!A1820</f>
        <v>0</v>
      </c>
      <c r="B1820" s="13">
        <f>+'PLAN DE CUENTAS'!B1820</f>
        <v>0</v>
      </c>
      <c r="C1820" s="13">
        <f>+'PLAN DE CUENTAS'!C1820</f>
        <v>0</v>
      </c>
      <c r="D1820" t="str">
        <f>IF(tbal[[#This Row],[DEBE]]+tbal[[#This Row],[HABER]]=0,"","X")</f>
        <v/>
      </c>
      <c r="E1820" s="16">
        <f>SUMIF(tdiario[CUENTA],tbal[[#This Row],[CUENTA]],tdiario[DEBE])</f>
        <v>0</v>
      </c>
      <c r="F1820" s="17">
        <f>SUMIF(tdiario[CUENTA],tbal[[#This Row],[CUENTA]],tdiario[HABER])</f>
        <v>0</v>
      </c>
      <c r="G1820" s="16">
        <f>IF(tbal[[#This Row],[DEBE]]-tbal[[#This Row],[HABER]]&gt;0,tbal[[#This Row],[DEBE]]-tbal[[#This Row],[HABER]],0)</f>
        <v>0</v>
      </c>
      <c r="H1820" s="18">
        <f>IF(tbal[[#This Row],[HABER]]-tbal[[#This Row],[DEBE]]&gt;0,tbal[[#This Row],[HABER]]-tbal[[#This Row],[DEBE]],0)</f>
        <v>0</v>
      </c>
      <c r="I1820" s="16">
        <f>IF((OR(tbal[[#This Row],[X]]=1,tbal[[#This Row],[X]]=2)),tbal[[#This Row],[DEUDOR]],0)</f>
        <v>0</v>
      </c>
      <c r="J1820" s="18">
        <f>IF((OR(tbal[[#This Row],[X]]=2,tbal[[#This Row],[X]]=3)),tbal[[#This Row],[ACREEDOR]],0)</f>
        <v>0</v>
      </c>
      <c r="K1820" s="16">
        <f>IF((OR(tbal[[#This Row],[X]]=3,tbal[[#This Row],[X]]=5)),tbal[[#This Row],[DEUDOR]],0)</f>
        <v>0</v>
      </c>
      <c r="L1820" s="18">
        <f>IF((OR(tbal[[#This Row],[X]]=3,tbal[[#This Row],[X]]=4)),tbal[[#This Row],[ACREEDOR]],0)</f>
        <v>0</v>
      </c>
      <c r="M1820" s="16">
        <f>IF((OR(tbal[[#This Row],[X]]=0,tbal[[#This Row],[X]]=6)),tbal[[#This Row],[DEUDOR]],0)</f>
        <v>0</v>
      </c>
      <c r="N1820" s="18">
        <f>IF((OR(tbal[[#This Row],[X]]=0,tbal[[#This Row],[X]]=5)),tbal[[#This Row],[ACREEDOR]],0)</f>
        <v>0</v>
      </c>
    </row>
    <row r="1821" spans="1:14" hidden="1" x14ac:dyDescent="0.3">
      <c r="A1821" s="14">
        <f>+'PLAN DE CUENTAS'!A1821</f>
        <v>0</v>
      </c>
      <c r="B1821" s="13">
        <f>+'PLAN DE CUENTAS'!B1821</f>
        <v>0</v>
      </c>
      <c r="C1821" s="13">
        <f>+'PLAN DE CUENTAS'!C1821</f>
        <v>0</v>
      </c>
      <c r="D1821" t="str">
        <f>IF(tbal[[#This Row],[DEBE]]+tbal[[#This Row],[HABER]]=0,"","X")</f>
        <v/>
      </c>
      <c r="E1821" s="16">
        <f>SUMIF(tdiario[CUENTA],tbal[[#This Row],[CUENTA]],tdiario[DEBE])</f>
        <v>0</v>
      </c>
      <c r="F1821" s="17">
        <f>SUMIF(tdiario[CUENTA],tbal[[#This Row],[CUENTA]],tdiario[HABER])</f>
        <v>0</v>
      </c>
      <c r="G1821" s="16">
        <f>IF(tbal[[#This Row],[DEBE]]-tbal[[#This Row],[HABER]]&gt;0,tbal[[#This Row],[DEBE]]-tbal[[#This Row],[HABER]],0)</f>
        <v>0</v>
      </c>
      <c r="H1821" s="18">
        <f>IF(tbal[[#This Row],[HABER]]-tbal[[#This Row],[DEBE]]&gt;0,tbal[[#This Row],[HABER]]-tbal[[#This Row],[DEBE]],0)</f>
        <v>0</v>
      </c>
      <c r="I1821" s="16">
        <f>IF((OR(tbal[[#This Row],[X]]=1,tbal[[#This Row],[X]]=2)),tbal[[#This Row],[DEUDOR]],0)</f>
        <v>0</v>
      </c>
      <c r="J1821" s="18">
        <f>IF((OR(tbal[[#This Row],[X]]=2,tbal[[#This Row],[X]]=3)),tbal[[#This Row],[ACREEDOR]],0)</f>
        <v>0</v>
      </c>
      <c r="K1821" s="16">
        <f>IF((OR(tbal[[#This Row],[X]]=3,tbal[[#This Row],[X]]=5)),tbal[[#This Row],[DEUDOR]],0)</f>
        <v>0</v>
      </c>
      <c r="L1821" s="18">
        <f>IF((OR(tbal[[#This Row],[X]]=3,tbal[[#This Row],[X]]=4)),tbal[[#This Row],[ACREEDOR]],0)</f>
        <v>0</v>
      </c>
      <c r="M1821" s="16">
        <f>IF((OR(tbal[[#This Row],[X]]=0,tbal[[#This Row],[X]]=6)),tbal[[#This Row],[DEUDOR]],0)</f>
        <v>0</v>
      </c>
      <c r="N1821" s="18">
        <f>IF((OR(tbal[[#This Row],[X]]=0,tbal[[#This Row],[X]]=5)),tbal[[#This Row],[ACREEDOR]],0)</f>
        <v>0</v>
      </c>
    </row>
    <row r="1822" spans="1:14" hidden="1" x14ac:dyDescent="0.3">
      <c r="A1822" s="14">
        <f>+'PLAN DE CUENTAS'!A1822</f>
        <v>0</v>
      </c>
      <c r="B1822" s="13">
        <f>+'PLAN DE CUENTAS'!B1822</f>
        <v>0</v>
      </c>
      <c r="C1822" s="13">
        <f>+'PLAN DE CUENTAS'!C1822</f>
        <v>0</v>
      </c>
      <c r="D1822" t="str">
        <f>IF(tbal[[#This Row],[DEBE]]+tbal[[#This Row],[HABER]]=0,"","X")</f>
        <v/>
      </c>
      <c r="E1822" s="16">
        <f>SUMIF(tdiario[CUENTA],tbal[[#This Row],[CUENTA]],tdiario[DEBE])</f>
        <v>0</v>
      </c>
      <c r="F1822" s="17">
        <f>SUMIF(tdiario[CUENTA],tbal[[#This Row],[CUENTA]],tdiario[HABER])</f>
        <v>0</v>
      </c>
      <c r="G1822" s="16">
        <f>IF(tbal[[#This Row],[DEBE]]-tbal[[#This Row],[HABER]]&gt;0,tbal[[#This Row],[DEBE]]-tbal[[#This Row],[HABER]],0)</f>
        <v>0</v>
      </c>
      <c r="H1822" s="18">
        <f>IF(tbal[[#This Row],[HABER]]-tbal[[#This Row],[DEBE]]&gt;0,tbal[[#This Row],[HABER]]-tbal[[#This Row],[DEBE]],0)</f>
        <v>0</v>
      </c>
      <c r="I1822" s="16">
        <f>IF((OR(tbal[[#This Row],[X]]=1,tbal[[#This Row],[X]]=2)),tbal[[#This Row],[DEUDOR]],0)</f>
        <v>0</v>
      </c>
      <c r="J1822" s="18">
        <f>IF((OR(tbal[[#This Row],[X]]=2,tbal[[#This Row],[X]]=3)),tbal[[#This Row],[ACREEDOR]],0)</f>
        <v>0</v>
      </c>
      <c r="K1822" s="16">
        <f>IF((OR(tbal[[#This Row],[X]]=3,tbal[[#This Row],[X]]=5)),tbal[[#This Row],[DEUDOR]],0)</f>
        <v>0</v>
      </c>
      <c r="L1822" s="18">
        <f>IF((OR(tbal[[#This Row],[X]]=3,tbal[[#This Row],[X]]=4)),tbal[[#This Row],[ACREEDOR]],0)</f>
        <v>0</v>
      </c>
      <c r="M1822" s="16">
        <f>IF((OR(tbal[[#This Row],[X]]=0,tbal[[#This Row],[X]]=6)),tbal[[#This Row],[DEUDOR]],0)</f>
        <v>0</v>
      </c>
      <c r="N1822" s="18">
        <f>IF((OR(tbal[[#This Row],[X]]=0,tbal[[#This Row],[X]]=5)),tbal[[#This Row],[ACREEDOR]],0)</f>
        <v>0</v>
      </c>
    </row>
    <row r="1823" spans="1:14" hidden="1" x14ac:dyDescent="0.3">
      <c r="A1823" s="14">
        <f>+'PLAN DE CUENTAS'!A1823</f>
        <v>0</v>
      </c>
      <c r="B1823" s="13">
        <f>+'PLAN DE CUENTAS'!B1823</f>
        <v>0</v>
      </c>
      <c r="C1823" s="13">
        <f>+'PLAN DE CUENTAS'!C1823</f>
        <v>0</v>
      </c>
      <c r="D1823" t="str">
        <f>IF(tbal[[#This Row],[DEBE]]+tbal[[#This Row],[HABER]]=0,"","X")</f>
        <v/>
      </c>
      <c r="E1823" s="16">
        <f>SUMIF(tdiario[CUENTA],tbal[[#This Row],[CUENTA]],tdiario[DEBE])</f>
        <v>0</v>
      </c>
      <c r="F1823" s="17">
        <f>SUMIF(tdiario[CUENTA],tbal[[#This Row],[CUENTA]],tdiario[HABER])</f>
        <v>0</v>
      </c>
      <c r="G1823" s="16">
        <f>IF(tbal[[#This Row],[DEBE]]-tbal[[#This Row],[HABER]]&gt;0,tbal[[#This Row],[DEBE]]-tbal[[#This Row],[HABER]],0)</f>
        <v>0</v>
      </c>
      <c r="H1823" s="18">
        <f>IF(tbal[[#This Row],[HABER]]-tbal[[#This Row],[DEBE]]&gt;0,tbal[[#This Row],[HABER]]-tbal[[#This Row],[DEBE]],0)</f>
        <v>0</v>
      </c>
      <c r="I1823" s="16">
        <f>IF((OR(tbal[[#This Row],[X]]=1,tbal[[#This Row],[X]]=2)),tbal[[#This Row],[DEUDOR]],0)</f>
        <v>0</v>
      </c>
      <c r="J1823" s="18">
        <f>IF((OR(tbal[[#This Row],[X]]=2,tbal[[#This Row],[X]]=3)),tbal[[#This Row],[ACREEDOR]],0)</f>
        <v>0</v>
      </c>
      <c r="K1823" s="16">
        <f>IF((OR(tbal[[#This Row],[X]]=3,tbal[[#This Row],[X]]=5)),tbal[[#This Row],[DEUDOR]],0)</f>
        <v>0</v>
      </c>
      <c r="L1823" s="18">
        <f>IF((OR(tbal[[#This Row],[X]]=3,tbal[[#This Row],[X]]=4)),tbal[[#This Row],[ACREEDOR]],0)</f>
        <v>0</v>
      </c>
      <c r="M1823" s="16">
        <f>IF((OR(tbal[[#This Row],[X]]=0,tbal[[#This Row],[X]]=6)),tbal[[#This Row],[DEUDOR]],0)</f>
        <v>0</v>
      </c>
      <c r="N1823" s="18">
        <f>IF((OR(tbal[[#This Row],[X]]=0,tbal[[#This Row],[X]]=5)),tbal[[#This Row],[ACREEDOR]],0)</f>
        <v>0</v>
      </c>
    </row>
    <row r="1824" spans="1:14" hidden="1" x14ac:dyDescent="0.3">
      <c r="A1824" s="14">
        <f>+'PLAN DE CUENTAS'!A1824</f>
        <v>0</v>
      </c>
      <c r="B1824" s="13">
        <f>+'PLAN DE CUENTAS'!B1824</f>
        <v>0</v>
      </c>
      <c r="C1824" s="13">
        <f>+'PLAN DE CUENTAS'!C1824</f>
        <v>0</v>
      </c>
      <c r="D1824" t="str">
        <f>IF(tbal[[#This Row],[DEBE]]+tbal[[#This Row],[HABER]]=0,"","X")</f>
        <v/>
      </c>
      <c r="E1824" s="16">
        <f>SUMIF(tdiario[CUENTA],tbal[[#This Row],[CUENTA]],tdiario[DEBE])</f>
        <v>0</v>
      </c>
      <c r="F1824" s="17">
        <f>SUMIF(tdiario[CUENTA],tbal[[#This Row],[CUENTA]],tdiario[HABER])</f>
        <v>0</v>
      </c>
      <c r="G1824" s="16">
        <f>IF(tbal[[#This Row],[DEBE]]-tbal[[#This Row],[HABER]]&gt;0,tbal[[#This Row],[DEBE]]-tbal[[#This Row],[HABER]],0)</f>
        <v>0</v>
      </c>
      <c r="H1824" s="18">
        <f>IF(tbal[[#This Row],[HABER]]-tbal[[#This Row],[DEBE]]&gt;0,tbal[[#This Row],[HABER]]-tbal[[#This Row],[DEBE]],0)</f>
        <v>0</v>
      </c>
      <c r="I1824" s="16">
        <f>IF((OR(tbal[[#This Row],[X]]=1,tbal[[#This Row],[X]]=2)),tbal[[#This Row],[DEUDOR]],0)</f>
        <v>0</v>
      </c>
      <c r="J1824" s="18">
        <f>IF((OR(tbal[[#This Row],[X]]=2,tbal[[#This Row],[X]]=3)),tbal[[#This Row],[ACREEDOR]],0)</f>
        <v>0</v>
      </c>
      <c r="K1824" s="16">
        <f>IF((OR(tbal[[#This Row],[X]]=3,tbal[[#This Row],[X]]=5)),tbal[[#This Row],[DEUDOR]],0)</f>
        <v>0</v>
      </c>
      <c r="L1824" s="18">
        <f>IF((OR(tbal[[#This Row],[X]]=3,tbal[[#This Row],[X]]=4)),tbal[[#This Row],[ACREEDOR]],0)</f>
        <v>0</v>
      </c>
      <c r="M1824" s="16">
        <f>IF((OR(tbal[[#This Row],[X]]=0,tbal[[#This Row],[X]]=6)),tbal[[#This Row],[DEUDOR]],0)</f>
        <v>0</v>
      </c>
      <c r="N1824" s="18">
        <f>IF((OR(tbal[[#This Row],[X]]=0,tbal[[#This Row],[X]]=5)),tbal[[#This Row],[ACREEDOR]],0)</f>
        <v>0</v>
      </c>
    </row>
    <row r="1825" spans="1:14" hidden="1" x14ac:dyDescent="0.3">
      <c r="A1825" s="14">
        <f>+'PLAN DE CUENTAS'!A1825</f>
        <v>0</v>
      </c>
      <c r="B1825" s="13">
        <f>+'PLAN DE CUENTAS'!B1825</f>
        <v>0</v>
      </c>
      <c r="C1825" s="13">
        <f>+'PLAN DE CUENTAS'!C1825</f>
        <v>0</v>
      </c>
      <c r="D1825" t="str">
        <f>IF(tbal[[#This Row],[DEBE]]+tbal[[#This Row],[HABER]]=0,"","X")</f>
        <v/>
      </c>
      <c r="E1825" s="16">
        <f>SUMIF(tdiario[CUENTA],tbal[[#This Row],[CUENTA]],tdiario[DEBE])</f>
        <v>0</v>
      </c>
      <c r="F1825" s="17">
        <f>SUMIF(tdiario[CUENTA],tbal[[#This Row],[CUENTA]],tdiario[HABER])</f>
        <v>0</v>
      </c>
      <c r="G1825" s="16">
        <f>IF(tbal[[#This Row],[DEBE]]-tbal[[#This Row],[HABER]]&gt;0,tbal[[#This Row],[DEBE]]-tbal[[#This Row],[HABER]],0)</f>
        <v>0</v>
      </c>
      <c r="H1825" s="18">
        <f>IF(tbal[[#This Row],[HABER]]-tbal[[#This Row],[DEBE]]&gt;0,tbal[[#This Row],[HABER]]-tbal[[#This Row],[DEBE]],0)</f>
        <v>0</v>
      </c>
      <c r="I1825" s="16">
        <f>IF((OR(tbal[[#This Row],[X]]=1,tbal[[#This Row],[X]]=2)),tbal[[#This Row],[DEUDOR]],0)</f>
        <v>0</v>
      </c>
      <c r="J1825" s="18">
        <f>IF((OR(tbal[[#This Row],[X]]=2,tbal[[#This Row],[X]]=3)),tbal[[#This Row],[ACREEDOR]],0)</f>
        <v>0</v>
      </c>
      <c r="K1825" s="16">
        <f>IF((OR(tbal[[#This Row],[X]]=3,tbal[[#This Row],[X]]=5)),tbal[[#This Row],[DEUDOR]],0)</f>
        <v>0</v>
      </c>
      <c r="L1825" s="18">
        <f>IF((OR(tbal[[#This Row],[X]]=3,tbal[[#This Row],[X]]=4)),tbal[[#This Row],[ACREEDOR]],0)</f>
        <v>0</v>
      </c>
      <c r="M1825" s="16">
        <f>IF((OR(tbal[[#This Row],[X]]=0,tbal[[#This Row],[X]]=6)),tbal[[#This Row],[DEUDOR]],0)</f>
        <v>0</v>
      </c>
      <c r="N1825" s="18">
        <f>IF((OR(tbal[[#This Row],[X]]=0,tbal[[#This Row],[X]]=5)),tbal[[#This Row],[ACREEDOR]],0)</f>
        <v>0</v>
      </c>
    </row>
    <row r="1826" spans="1:14" hidden="1" x14ac:dyDescent="0.3">
      <c r="A1826" s="14">
        <f>+'PLAN DE CUENTAS'!A1826</f>
        <v>0</v>
      </c>
      <c r="B1826" s="13">
        <f>+'PLAN DE CUENTAS'!B1826</f>
        <v>0</v>
      </c>
      <c r="C1826" s="13">
        <f>+'PLAN DE CUENTAS'!C1826</f>
        <v>0</v>
      </c>
      <c r="D1826" t="str">
        <f>IF(tbal[[#This Row],[DEBE]]+tbal[[#This Row],[HABER]]=0,"","X")</f>
        <v/>
      </c>
      <c r="E1826" s="16">
        <f>SUMIF(tdiario[CUENTA],tbal[[#This Row],[CUENTA]],tdiario[DEBE])</f>
        <v>0</v>
      </c>
      <c r="F1826" s="17">
        <f>SUMIF(tdiario[CUENTA],tbal[[#This Row],[CUENTA]],tdiario[HABER])</f>
        <v>0</v>
      </c>
      <c r="G1826" s="16">
        <f>IF(tbal[[#This Row],[DEBE]]-tbal[[#This Row],[HABER]]&gt;0,tbal[[#This Row],[DEBE]]-tbal[[#This Row],[HABER]],0)</f>
        <v>0</v>
      </c>
      <c r="H1826" s="18">
        <f>IF(tbal[[#This Row],[HABER]]-tbal[[#This Row],[DEBE]]&gt;0,tbal[[#This Row],[HABER]]-tbal[[#This Row],[DEBE]],0)</f>
        <v>0</v>
      </c>
      <c r="I1826" s="16">
        <f>IF((OR(tbal[[#This Row],[X]]=1,tbal[[#This Row],[X]]=2)),tbal[[#This Row],[DEUDOR]],0)</f>
        <v>0</v>
      </c>
      <c r="J1826" s="18">
        <f>IF((OR(tbal[[#This Row],[X]]=2,tbal[[#This Row],[X]]=3)),tbal[[#This Row],[ACREEDOR]],0)</f>
        <v>0</v>
      </c>
      <c r="K1826" s="16">
        <f>IF((OR(tbal[[#This Row],[X]]=3,tbal[[#This Row],[X]]=5)),tbal[[#This Row],[DEUDOR]],0)</f>
        <v>0</v>
      </c>
      <c r="L1826" s="18">
        <f>IF((OR(tbal[[#This Row],[X]]=3,tbal[[#This Row],[X]]=4)),tbal[[#This Row],[ACREEDOR]],0)</f>
        <v>0</v>
      </c>
      <c r="M1826" s="16">
        <f>IF((OR(tbal[[#This Row],[X]]=0,tbal[[#This Row],[X]]=6)),tbal[[#This Row],[DEUDOR]],0)</f>
        <v>0</v>
      </c>
      <c r="N1826" s="18">
        <f>IF((OR(tbal[[#This Row],[X]]=0,tbal[[#This Row],[X]]=5)),tbal[[#This Row],[ACREEDOR]],0)</f>
        <v>0</v>
      </c>
    </row>
    <row r="1827" spans="1:14" hidden="1" x14ac:dyDescent="0.3">
      <c r="A1827" s="14">
        <f>+'PLAN DE CUENTAS'!A1827</f>
        <v>0</v>
      </c>
      <c r="B1827" s="13">
        <f>+'PLAN DE CUENTAS'!B1827</f>
        <v>0</v>
      </c>
      <c r="C1827" s="13">
        <f>+'PLAN DE CUENTAS'!C1827</f>
        <v>0</v>
      </c>
      <c r="D1827" t="str">
        <f>IF(tbal[[#This Row],[DEBE]]+tbal[[#This Row],[HABER]]=0,"","X")</f>
        <v/>
      </c>
      <c r="E1827" s="16">
        <f>SUMIF(tdiario[CUENTA],tbal[[#This Row],[CUENTA]],tdiario[DEBE])</f>
        <v>0</v>
      </c>
      <c r="F1827" s="17">
        <f>SUMIF(tdiario[CUENTA],tbal[[#This Row],[CUENTA]],tdiario[HABER])</f>
        <v>0</v>
      </c>
      <c r="G1827" s="16">
        <f>IF(tbal[[#This Row],[DEBE]]-tbal[[#This Row],[HABER]]&gt;0,tbal[[#This Row],[DEBE]]-tbal[[#This Row],[HABER]],0)</f>
        <v>0</v>
      </c>
      <c r="H1827" s="18">
        <f>IF(tbal[[#This Row],[HABER]]-tbal[[#This Row],[DEBE]]&gt;0,tbal[[#This Row],[HABER]]-tbal[[#This Row],[DEBE]],0)</f>
        <v>0</v>
      </c>
      <c r="I1827" s="16">
        <f>IF((OR(tbal[[#This Row],[X]]=1,tbal[[#This Row],[X]]=2)),tbal[[#This Row],[DEUDOR]],0)</f>
        <v>0</v>
      </c>
      <c r="J1827" s="18">
        <f>IF((OR(tbal[[#This Row],[X]]=2,tbal[[#This Row],[X]]=3)),tbal[[#This Row],[ACREEDOR]],0)</f>
        <v>0</v>
      </c>
      <c r="K1827" s="16">
        <f>IF((OR(tbal[[#This Row],[X]]=3,tbal[[#This Row],[X]]=5)),tbal[[#This Row],[DEUDOR]],0)</f>
        <v>0</v>
      </c>
      <c r="L1827" s="18">
        <f>IF((OR(tbal[[#This Row],[X]]=3,tbal[[#This Row],[X]]=4)),tbal[[#This Row],[ACREEDOR]],0)</f>
        <v>0</v>
      </c>
      <c r="M1827" s="16">
        <f>IF((OR(tbal[[#This Row],[X]]=0,tbal[[#This Row],[X]]=6)),tbal[[#This Row],[DEUDOR]],0)</f>
        <v>0</v>
      </c>
      <c r="N1827" s="18">
        <f>IF((OR(tbal[[#This Row],[X]]=0,tbal[[#This Row],[X]]=5)),tbal[[#This Row],[ACREEDOR]],0)</f>
        <v>0</v>
      </c>
    </row>
    <row r="1828" spans="1:14" hidden="1" x14ac:dyDescent="0.3">
      <c r="A1828" s="14">
        <f>+'PLAN DE CUENTAS'!A1828</f>
        <v>0</v>
      </c>
      <c r="B1828" s="13">
        <f>+'PLAN DE CUENTAS'!B1828</f>
        <v>0</v>
      </c>
      <c r="C1828" s="13">
        <f>+'PLAN DE CUENTAS'!C1828</f>
        <v>0</v>
      </c>
      <c r="D1828" t="str">
        <f>IF(tbal[[#This Row],[DEBE]]+tbal[[#This Row],[HABER]]=0,"","X")</f>
        <v/>
      </c>
      <c r="E1828" s="16">
        <f>SUMIF(tdiario[CUENTA],tbal[[#This Row],[CUENTA]],tdiario[DEBE])</f>
        <v>0</v>
      </c>
      <c r="F1828" s="17">
        <f>SUMIF(tdiario[CUENTA],tbal[[#This Row],[CUENTA]],tdiario[HABER])</f>
        <v>0</v>
      </c>
      <c r="G1828" s="16">
        <f>IF(tbal[[#This Row],[DEBE]]-tbal[[#This Row],[HABER]]&gt;0,tbal[[#This Row],[DEBE]]-tbal[[#This Row],[HABER]],0)</f>
        <v>0</v>
      </c>
      <c r="H1828" s="18">
        <f>IF(tbal[[#This Row],[HABER]]-tbal[[#This Row],[DEBE]]&gt;0,tbal[[#This Row],[HABER]]-tbal[[#This Row],[DEBE]],0)</f>
        <v>0</v>
      </c>
      <c r="I1828" s="16">
        <f>IF((OR(tbal[[#This Row],[X]]=1,tbal[[#This Row],[X]]=2)),tbal[[#This Row],[DEUDOR]],0)</f>
        <v>0</v>
      </c>
      <c r="J1828" s="18">
        <f>IF((OR(tbal[[#This Row],[X]]=2,tbal[[#This Row],[X]]=3)),tbal[[#This Row],[ACREEDOR]],0)</f>
        <v>0</v>
      </c>
      <c r="K1828" s="16">
        <f>IF((OR(tbal[[#This Row],[X]]=3,tbal[[#This Row],[X]]=5)),tbal[[#This Row],[DEUDOR]],0)</f>
        <v>0</v>
      </c>
      <c r="L1828" s="18">
        <f>IF((OR(tbal[[#This Row],[X]]=3,tbal[[#This Row],[X]]=4)),tbal[[#This Row],[ACREEDOR]],0)</f>
        <v>0</v>
      </c>
      <c r="M1828" s="16">
        <f>IF((OR(tbal[[#This Row],[X]]=0,tbal[[#This Row],[X]]=6)),tbal[[#This Row],[DEUDOR]],0)</f>
        <v>0</v>
      </c>
      <c r="N1828" s="18">
        <f>IF((OR(tbal[[#This Row],[X]]=0,tbal[[#This Row],[X]]=5)),tbal[[#This Row],[ACREEDOR]],0)</f>
        <v>0</v>
      </c>
    </row>
    <row r="1829" spans="1:14" hidden="1" x14ac:dyDescent="0.3">
      <c r="A1829" s="14">
        <f>+'PLAN DE CUENTAS'!A1829</f>
        <v>0</v>
      </c>
      <c r="B1829" s="13">
        <f>+'PLAN DE CUENTAS'!B1829</f>
        <v>0</v>
      </c>
      <c r="C1829" s="13">
        <f>+'PLAN DE CUENTAS'!C1829</f>
        <v>0</v>
      </c>
      <c r="D1829" t="str">
        <f>IF(tbal[[#This Row],[DEBE]]+tbal[[#This Row],[HABER]]=0,"","X")</f>
        <v/>
      </c>
      <c r="E1829" s="16">
        <f>SUMIF(tdiario[CUENTA],tbal[[#This Row],[CUENTA]],tdiario[DEBE])</f>
        <v>0</v>
      </c>
      <c r="F1829" s="17">
        <f>SUMIF(tdiario[CUENTA],tbal[[#This Row],[CUENTA]],tdiario[HABER])</f>
        <v>0</v>
      </c>
      <c r="G1829" s="16">
        <f>IF(tbal[[#This Row],[DEBE]]-tbal[[#This Row],[HABER]]&gt;0,tbal[[#This Row],[DEBE]]-tbal[[#This Row],[HABER]],0)</f>
        <v>0</v>
      </c>
      <c r="H1829" s="18">
        <f>IF(tbal[[#This Row],[HABER]]-tbal[[#This Row],[DEBE]]&gt;0,tbal[[#This Row],[HABER]]-tbal[[#This Row],[DEBE]],0)</f>
        <v>0</v>
      </c>
      <c r="I1829" s="16">
        <f>IF((OR(tbal[[#This Row],[X]]=1,tbal[[#This Row],[X]]=2)),tbal[[#This Row],[DEUDOR]],0)</f>
        <v>0</v>
      </c>
      <c r="J1829" s="18">
        <f>IF((OR(tbal[[#This Row],[X]]=2,tbal[[#This Row],[X]]=3)),tbal[[#This Row],[ACREEDOR]],0)</f>
        <v>0</v>
      </c>
      <c r="K1829" s="16">
        <f>IF((OR(tbal[[#This Row],[X]]=3,tbal[[#This Row],[X]]=5)),tbal[[#This Row],[DEUDOR]],0)</f>
        <v>0</v>
      </c>
      <c r="L1829" s="18">
        <f>IF((OR(tbal[[#This Row],[X]]=3,tbal[[#This Row],[X]]=4)),tbal[[#This Row],[ACREEDOR]],0)</f>
        <v>0</v>
      </c>
      <c r="M1829" s="16">
        <f>IF((OR(tbal[[#This Row],[X]]=0,tbal[[#This Row],[X]]=6)),tbal[[#This Row],[DEUDOR]],0)</f>
        <v>0</v>
      </c>
      <c r="N1829" s="18">
        <f>IF((OR(tbal[[#This Row],[X]]=0,tbal[[#This Row],[X]]=5)),tbal[[#This Row],[ACREEDOR]],0)</f>
        <v>0</v>
      </c>
    </row>
    <row r="1830" spans="1:14" hidden="1" x14ac:dyDescent="0.3">
      <c r="A1830" s="14">
        <f>+'PLAN DE CUENTAS'!A1830</f>
        <v>0</v>
      </c>
      <c r="B1830" s="13">
        <f>+'PLAN DE CUENTAS'!B1830</f>
        <v>0</v>
      </c>
      <c r="C1830" s="13">
        <f>+'PLAN DE CUENTAS'!C1830</f>
        <v>0</v>
      </c>
      <c r="D1830" t="str">
        <f>IF(tbal[[#This Row],[DEBE]]+tbal[[#This Row],[HABER]]=0,"","X")</f>
        <v/>
      </c>
      <c r="E1830" s="16">
        <f>SUMIF(tdiario[CUENTA],tbal[[#This Row],[CUENTA]],tdiario[DEBE])</f>
        <v>0</v>
      </c>
      <c r="F1830" s="17">
        <f>SUMIF(tdiario[CUENTA],tbal[[#This Row],[CUENTA]],tdiario[HABER])</f>
        <v>0</v>
      </c>
      <c r="G1830" s="16">
        <f>IF(tbal[[#This Row],[DEBE]]-tbal[[#This Row],[HABER]]&gt;0,tbal[[#This Row],[DEBE]]-tbal[[#This Row],[HABER]],0)</f>
        <v>0</v>
      </c>
      <c r="H1830" s="18">
        <f>IF(tbal[[#This Row],[HABER]]-tbal[[#This Row],[DEBE]]&gt;0,tbal[[#This Row],[HABER]]-tbal[[#This Row],[DEBE]],0)</f>
        <v>0</v>
      </c>
      <c r="I1830" s="16">
        <f>IF((OR(tbal[[#This Row],[X]]=1,tbal[[#This Row],[X]]=2)),tbal[[#This Row],[DEUDOR]],0)</f>
        <v>0</v>
      </c>
      <c r="J1830" s="18">
        <f>IF((OR(tbal[[#This Row],[X]]=2,tbal[[#This Row],[X]]=3)),tbal[[#This Row],[ACREEDOR]],0)</f>
        <v>0</v>
      </c>
      <c r="K1830" s="16">
        <f>IF((OR(tbal[[#This Row],[X]]=3,tbal[[#This Row],[X]]=5)),tbal[[#This Row],[DEUDOR]],0)</f>
        <v>0</v>
      </c>
      <c r="L1830" s="18">
        <f>IF((OR(tbal[[#This Row],[X]]=3,tbal[[#This Row],[X]]=4)),tbal[[#This Row],[ACREEDOR]],0)</f>
        <v>0</v>
      </c>
      <c r="M1830" s="16">
        <f>IF((OR(tbal[[#This Row],[X]]=0,tbal[[#This Row],[X]]=6)),tbal[[#This Row],[DEUDOR]],0)</f>
        <v>0</v>
      </c>
      <c r="N1830" s="18">
        <f>IF((OR(tbal[[#This Row],[X]]=0,tbal[[#This Row],[X]]=5)),tbal[[#This Row],[ACREEDOR]],0)</f>
        <v>0</v>
      </c>
    </row>
    <row r="1831" spans="1:14" hidden="1" x14ac:dyDescent="0.3">
      <c r="A1831" s="14">
        <f>+'PLAN DE CUENTAS'!A1831</f>
        <v>0</v>
      </c>
      <c r="B1831" s="13">
        <f>+'PLAN DE CUENTAS'!B1831</f>
        <v>0</v>
      </c>
      <c r="C1831" s="13">
        <f>+'PLAN DE CUENTAS'!C1831</f>
        <v>0</v>
      </c>
      <c r="D1831" t="str">
        <f>IF(tbal[[#This Row],[DEBE]]+tbal[[#This Row],[HABER]]=0,"","X")</f>
        <v/>
      </c>
      <c r="E1831" s="16">
        <f>SUMIF(tdiario[CUENTA],tbal[[#This Row],[CUENTA]],tdiario[DEBE])</f>
        <v>0</v>
      </c>
      <c r="F1831" s="17">
        <f>SUMIF(tdiario[CUENTA],tbal[[#This Row],[CUENTA]],tdiario[HABER])</f>
        <v>0</v>
      </c>
      <c r="G1831" s="16">
        <f>IF(tbal[[#This Row],[DEBE]]-tbal[[#This Row],[HABER]]&gt;0,tbal[[#This Row],[DEBE]]-tbal[[#This Row],[HABER]],0)</f>
        <v>0</v>
      </c>
      <c r="H1831" s="18">
        <f>IF(tbal[[#This Row],[HABER]]-tbal[[#This Row],[DEBE]]&gt;0,tbal[[#This Row],[HABER]]-tbal[[#This Row],[DEBE]],0)</f>
        <v>0</v>
      </c>
      <c r="I1831" s="16">
        <f>IF((OR(tbal[[#This Row],[X]]=1,tbal[[#This Row],[X]]=2)),tbal[[#This Row],[DEUDOR]],0)</f>
        <v>0</v>
      </c>
      <c r="J1831" s="18">
        <f>IF((OR(tbal[[#This Row],[X]]=2,tbal[[#This Row],[X]]=3)),tbal[[#This Row],[ACREEDOR]],0)</f>
        <v>0</v>
      </c>
      <c r="K1831" s="16">
        <f>IF((OR(tbal[[#This Row],[X]]=3,tbal[[#This Row],[X]]=5)),tbal[[#This Row],[DEUDOR]],0)</f>
        <v>0</v>
      </c>
      <c r="L1831" s="18">
        <f>IF((OR(tbal[[#This Row],[X]]=3,tbal[[#This Row],[X]]=4)),tbal[[#This Row],[ACREEDOR]],0)</f>
        <v>0</v>
      </c>
      <c r="M1831" s="16">
        <f>IF((OR(tbal[[#This Row],[X]]=0,tbal[[#This Row],[X]]=6)),tbal[[#This Row],[DEUDOR]],0)</f>
        <v>0</v>
      </c>
      <c r="N1831" s="18">
        <f>IF((OR(tbal[[#This Row],[X]]=0,tbal[[#This Row],[X]]=5)),tbal[[#This Row],[ACREEDOR]],0)</f>
        <v>0</v>
      </c>
    </row>
    <row r="1832" spans="1:14" hidden="1" x14ac:dyDescent="0.3">
      <c r="A1832" s="14">
        <f>+'PLAN DE CUENTAS'!A1832</f>
        <v>0</v>
      </c>
      <c r="B1832" s="13">
        <f>+'PLAN DE CUENTAS'!B1832</f>
        <v>0</v>
      </c>
      <c r="C1832" s="13">
        <f>+'PLAN DE CUENTAS'!C1832</f>
        <v>0</v>
      </c>
      <c r="D1832" t="str">
        <f>IF(tbal[[#This Row],[DEBE]]+tbal[[#This Row],[HABER]]=0,"","X")</f>
        <v/>
      </c>
      <c r="E1832" s="16">
        <f>SUMIF(tdiario[CUENTA],tbal[[#This Row],[CUENTA]],tdiario[DEBE])</f>
        <v>0</v>
      </c>
      <c r="F1832" s="17">
        <f>SUMIF(tdiario[CUENTA],tbal[[#This Row],[CUENTA]],tdiario[HABER])</f>
        <v>0</v>
      </c>
      <c r="G1832" s="16">
        <f>IF(tbal[[#This Row],[DEBE]]-tbal[[#This Row],[HABER]]&gt;0,tbal[[#This Row],[DEBE]]-tbal[[#This Row],[HABER]],0)</f>
        <v>0</v>
      </c>
      <c r="H1832" s="18">
        <f>IF(tbal[[#This Row],[HABER]]-tbal[[#This Row],[DEBE]]&gt;0,tbal[[#This Row],[HABER]]-tbal[[#This Row],[DEBE]],0)</f>
        <v>0</v>
      </c>
      <c r="I1832" s="16">
        <f>IF((OR(tbal[[#This Row],[X]]=1,tbal[[#This Row],[X]]=2)),tbal[[#This Row],[DEUDOR]],0)</f>
        <v>0</v>
      </c>
      <c r="J1832" s="18">
        <f>IF((OR(tbal[[#This Row],[X]]=2,tbal[[#This Row],[X]]=3)),tbal[[#This Row],[ACREEDOR]],0)</f>
        <v>0</v>
      </c>
      <c r="K1832" s="16">
        <f>IF((OR(tbal[[#This Row],[X]]=3,tbal[[#This Row],[X]]=5)),tbal[[#This Row],[DEUDOR]],0)</f>
        <v>0</v>
      </c>
      <c r="L1832" s="18">
        <f>IF((OR(tbal[[#This Row],[X]]=3,tbal[[#This Row],[X]]=4)),tbal[[#This Row],[ACREEDOR]],0)</f>
        <v>0</v>
      </c>
      <c r="M1832" s="16">
        <f>IF((OR(tbal[[#This Row],[X]]=0,tbal[[#This Row],[X]]=6)),tbal[[#This Row],[DEUDOR]],0)</f>
        <v>0</v>
      </c>
      <c r="N1832" s="18">
        <f>IF((OR(tbal[[#This Row],[X]]=0,tbal[[#This Row],[X]]=5)),tbal[[#This Row],[ACREEDOR]],0)</f>
        <v>0</v>
      </c>
    </row>
    <row r="1833" spans="1:14" hidden="1" x14ac:dyDescent="0.3">
      <c r="A1833" s="14">
        <f>+'PLAN DE CUENTAS'!A1833</f>
        <v>0</v>
      </c>
      <c r="B1833" s="13">
        <f>+'PLAN DE CUENTAS'!B1833</f>
        <v>0</v>
      </c>
      <c r="C1833" s="13">
        <f>+'PLAN DE CUENTAS'!C1833</f>
        <v>0</v>
      </c>
      <c r="D1833" t="str">
        <f>IF(tbal[[#This Row],[DEBE]]+tbal[[#This Row],[HABER]]=0,"","X")</f>
        <v/>
      </c>
      <c r="E1833" s="16">
        <f>SUMIF(tdiario[CUENTA],tbal[[#This Row],[CUENTA]],tdiario[DEBE])</f>
        <v>0</v>
      </c>
      <c r="F1833" s="17">
        <f>SUMIF(tdiario[CUENTA],tbal[[#This Row],[CUENTA]],tdiario[HABER])</f>
        <v>0</v>
      </c>
      <c r="G1833" s="16">
        <f>IF(tbal[[#This Row],[DEBE]]-tbal[[#This Row],[HABER]]&gt;0,tbal[[#This Row],[DEBE]]-tbal[[#This Row],[HABER]],0)</f>
        <v>0</v>
      </c>
      <c r="H1833" s="18">
        <f>IF(tbal[[#This Row],[HABER]]-tbal[[#This Row],[DEBE]]&gt;0,tbal[[#This Row],[HABER]]-tbal[[#This Row],[DEBE]],0)</f>
        <v>0</v>
      </c>
      <c r="I1833" s="16">
        <f>IF((OR(tbal[[#This Row],[X]]=1,tbal[[#This Row],[X]]=2)),tbal[[#This Row],[DEUDOR]],0)</f>
        <v>0</v>
      </c>
      <c r="J1833" s="18">
        <f>IF((OR(tbal[[#This Row],[X]]=2,tbal[[#This Row],[X]]=3)),tbal[[#This Row],[ACREEDOR]],0)</f>
        <v>0</v>
      </c>
      <c r="K1833" s="16">
        <f>IF((OR(tbal[[#This Row],[X]]=3,tbal[[#This Row],[X]]=5)),tbal[[#This Row],[DEUDOR]],0)</f>
        <v>0</v>
      </c>
      <c r="L1833" s="18">
        <f>IF((OR(tbal[[#This Row],[X]]=3,tbal[[#This Row],[X]]=4)),tbal[[#This Row],[ACREEDOR]],0)</f>
        <v>0</v>
      </c>
      <c r="M1833" s="16">
        <f>IF((OR(tbal[[#This Row],[X]]=0,tbal[[#This Row],[X]]=6)),tbal[[#This Row],[DEUDOR]],0)</f>
        <v>0</v>
      </c>
      <c r="N1833" s="18">
        <f>IF((OR(tbal[[#This Row],[X]]=0,tbal[[#This Row],[X]]=5)),tbal[[#This Row],[ACREEDOR]],0)</f>
        <v>0</v>
      </c>
    </row>
    <row r="1834" spans="1:14" hidden="1" x14ac:dyDescent="0.3">
      <c r="A1834" s="14">
        <f>+'PLAN DE CUENTAS'!A1834</f>
        <v>0</v>
      </c>
      <c r="B1834" s="13">
        <f>+'PLAN DE CUENTAS'!B1834</f>
        <v>0</v>
      </c>
      <c r="C1834" s="13">
        <f>+'PLAN DE CUENTAS'!C1834</f>
        <v>0</v>
      </c>
      <c r="D1834" t="str">
        <f>IF(tbal[[#This Row],[DEBE]]+tbal[[#This Row],[HABER]]=0,"","X")</f>
        <v/>
      </c>
      <c r="E1834" s="16">
        <f>SUMIF(tdiario[CUENTA],tbal[[#This Row],[CUENTA]],tdiario[DEBE])</f>
        <v>0</v>
      </c>
      <c r="F1834" s="17">
        <f>SUMIF(tdiario[CUENTA],tbal[[#This Row],[CUENTA]],tdiario[HABER])</f>
        <v>0</v>
      </c>
      <c r="G1834" s="16">
        <f>IF(tbal[[#This Row],[DEBE]]-tbal[[#This Row],[HABER]]&gt;0,tbal[[#This Row],[DEBE]]-tbal[[#This Row],[HABER]],0)</f>
        <v>0</v>
      </c>
      <c r="H1834" s="18">
        <f>IF(tbal[[#This Row],[HABER]]-tbal[[#This Row],[DEBE]]&gt;0,tbal[[#This Row],[HABER]]-tbal[[#This Row],[DEBE]],0)</f>
        <v>0</v>
      </c>
      <c r="I1834" s="16">
        <f>IF((OR(tbal[[#This Row],[X]]=1,tbal[[#This Row],[X]]=2)),tbal[[#This Row],[DEUDOR]],0)</f>
        <v>0</v>
      </c>
      <c r="J1834" s="18">
        <f>IF((OR(tbal[[#This Row],[X]]=2,tbal[[#This Row],[X]]=3)),tbal[[#This Row],[ACREEDOR]],0)</f>
        <v>0</v>
      </c>
      <c r="K1834" s="16">
        <f>IF((OR(tbal[[#This Row],[X]]=3,tbal[[#This Row],[X]]=5)),tbal[[#This Row],[DEUDOR]],0)</f>
        <v>0</v>
      </c>
      <c r="L1834" s="18">
        <f>IF((OR(tbal[[#This Row],[X]]=3,tbal[[#This Row],[X]]=4)),tbal[[#This Row],[ACREEDOR]],0)</f>
        <v>0</v>
      </c>
      <c r="M1834" s="16">
        <f>IF((OR(tbal[[#This Row],[X]]=0,tbal[[#This Row],[X]]=6)),tbal[[#This Row],[DEUDOR]],0)</f>
        <v>0</v>
      </c>
      <c r="N1834" s="18">
        <f>IF((OR(tbal[[#This Row],[X]]=0,tbal[[#This Row],[X]]=5)),tbal[[#This Row],[ACREEDOR]],0)</f>
        <v>0</v>
      </c>
    </row>
    <row r="1835" spans="1:14" hidden="1" x14ac:dyDescent="0.3">
      <c r="A1835" s="14">
        <f>+'PLAN DE CUENTAS'!A1835</f>
        <v>0</v>
      </c>
      <c r="B1835" s="13">
        <f>+'PLAN DE CUENTAS'!B1835</f>
        <v>0</v>
      </c>
      <c r="C1835" s="13">
        <f>+'PLAN DE CUENTAS'!C1835</f>
        <v>0</v>
      </c>
      <c r="D1835" t="str">
        <f>IF(tbal[[#This Row],[DEBE]]+tbal[[#This Row],[HABER]]=0,"","X")</f>
        <v/>
      </c>
      <c r="E1835" s="16">
        <f>SUMIF(tdiario[CUENTA],tbal[[#This Row],[CUENTA]],tdiario[DEBE])</f>
        <v>0</v>
      </c>
      <c r="F1835" s="17">
        <f>SUMIF(tdiario[CUENTA],tbal[[#This Row],[CUENTA]],tdiario[HABER])</f>
        <v>0</v>
      </c>
      <c r="G1835" s="16">
        <f>IF(tbal[[#This Row],[DEBE]]-tbal[[#This Row],[HABER]]&gt;0,tbal[[#This Row],[DEBE]]-tbal[[#This Row],[HABER]],0)</f>
        <v>0</v>
      </c>
      <c r="H1835" s="18">
        <f>IF(tbal[[#This Row],[HABER]]-tbal[[#This Row],[DEBE]]&gt;0,tbal[[#This Row],[HABER]]-tbal[[#This Row],[DEBE]],0)</f>
        <v>0</v>
      </c>
      <c r="I1835" s="16">
        <f>IF((OR(tbal[[#This Row],[X]]=1,tbal[[#This Row],[X]]=2)),tbal[[#This Row],[DEUDOR]],0)</f>
        <v>0</v>
      </c>
      <c r="J1835" s="18">
        <f>IF((OR(tbal[[#This Row],[X]]=2,tbal[[#This Row],[X]]=3)),tbal[[#This Row],[ACREEDOR]],0)</f>
        <v>0</v>
      </c>
      <c r="K1835" s="16">
        <f>IF((OR(tbal[[#This Row],[X]]=3,tbal[[#This Row],[X]]=5)),tbal[[#This Row],[DEUDOR]],0)</f>
        <v>0</v>
      </c>
      <c r="L1835" s="18">
        <f>IF((OR(tbal[[#This Row],[X]]=3,tbal[[#This Row],[X]]=4)),tbal[[#This Row],[ACREEDOR]],0)</f>
        <v>0</v>
      </c>
      <c r="M1835" s="16">
        <f>IF((OR(tbal[[#This Row],[X]]=0,tbal[[#This Row],[X]]=6)),tbal[[#This Row],[DEUDOR]],0)</f>
        <v>0</v>
      </c>
      <c r="N1835" s="18">
        <f>IF((OR(tbal[[#This Row],[X]]=0,tbal[[#This Row],[X]]=5)),tbal[[#This Row],[ACREEDOR]],0)</f>
        <v>0</v>
      </c>
    </row>
    <row r="1836" spans="1:14" hidden="1" x14ac:dyDescent="0.3">
      <c r="A1836" s="14">
        <f>+'PLAN DE CUENTAS'!A1836</f>
        <v>0</v>
      </c>
      <c r="B1836" s="13">
        <f>+'PLAN DE CUENTAS'!B1836</f>
        <v>0</v>
      </c>
      <c r="C1836" s="13">
        <f>+'PLAN DE CUENTAS'!C1836</f>
        <v>0</v>
      </c>
      <c r="D1836" t="str">
        <f>IF(tbal[[#This Row],[DEBE]]+tbal[[#This Row],[HABER]]=0,"","X")</f>
        <v/>
      </c>
      <c r="E1836" s="16">
        <f>SUMIF(tdiario[CUENTA],tbal[[#This Row],[CUENTA]],tdiario[DEBE])</f>
        <v>0</v>
      </c>
      <c r="F1836" s="17">
        <f>SUMIF(tdiario[CUENTA],tbal[[#This Row],[CUENTA]],tdiario[HABER])</f>
        <v>0</v>
      </c>
      <c r="G1836" s="16">
        <f>IF(tbal[[#This Row],[DEBE]]-tbal[[#This Row],[HABER]]&gt;0,tbal[[#This Row],[DEBE]]-tbal[[#This Row],[HABER]],0)</f>
        <v>0</v>
      </c>
      <c r="H1836" s="18">
        <f>IF(tbal[[#This Row],[HABER]]-tbal[[#This Row],[DEBE]]&gt;0,tbal[[#This Row],[HABER]]-tbal[[#This Row],[DEBE]],0)</f>
        <v>0</v>
      </c>
      <c r="I1836" s="16">
        <f>IF((OR(tbal[[#This Row],[X]]=1,tbal[[#This Row],[X]]=2)),tbal[[#This Row],[DEUDOR]],0)</f>
        <v>0</v>
      </c>
      <c r="J1836" s="18">
        <f>IF((OR(tbal[[#This Row],[X]]=2,tbal[[#This Row],[X]]=3)),tbal[[#This Row],[ACREEDOR]],0)</f>
        <v>0</v>
      </c>
      <c r="K1836" s="16">
        <f>IF((OR(tbal[[#This Row],[X]]=3,tbal[[#This Row],[X]]=5)),tbal[[#This Row],[DEUDOR]],0)</f>
        <v>0</v>
      </c>
      <c r="L1836" s="18">
        <f>IF((OR(tbal[[#This Row],[X]]=3,tbal[[#This Row],[X]]=4)),tbal[[#This Row],[ACREEDOR]],0)</f>
        <v>0</v>
      </c>
      <c r="M1836" s="16">
        <f>IF((OR(tbal[[#This Row],[X]]=0,tbal[[#This Row],[X]]=6)),tbal[[#This Row],[DEUDOR]],0)</f>
        <v>0</v>
      </c>
      <c r="N1836" s="18">
        <f>IF((OR(tbal[[#This Row],[X]]=0,tbal[[#This Row],[X]]=5)),tbal[[#This Row],[ACREEDOR]],0)</f>
        <v>0</v>
      </c>
    </row>
    <row r="1837" spans="1:14" hidden="1" x14ac:dyDescent="0.3">
      <c r="A1837" s="14">
        <f>+'PLAN DE CUENTAS'!A1837</f>
        <v>0</v>
      </c>
      <c r="B1837" s="13">
        <f>+'PLAN DE CUENTAS'!B1837</f>
        <v>0</v>
      </c>
      <c r="C1837" s="13">
        <f>+'PLAN DE CUENTAS'!C1837</f>
        <v>0</v>
      </c>
      <c r="D1837" t="str">
        <f>IF(tbal[[#This Row],[DEBE]]+tbal[[#This Row],[HABER]]=0,"","X")</f>
        <v/>
      </c>
      <c r="E1837" s="16">
        <f>SUMIF(tdiario[CUENTA],tbal[[#This Row],[CUENTA]],tdiario[DEBE])</f>
        <v>0</v>
      </c>
      <c r="F1837" s="17">
        <f>SUMIF(tdiario[CUENTA],tbal[[#This Row],[CUENTA]],tdiario[HABER])</f>
        <v>0</v>
      </c>
      <c r="G1837" s="16">
        <f>IF(tbal[[#This Row],[DEBE]]-tbal[[#This Row],[HABER]]&gt;0,tbal[[#This Row],[DEBE]]-tbal[[#This Row],[HABER]],0)</f>
        <v>0</v>
      </c>
      <c r="H1837" s="18">
        <f>IF(tbal[[#This Row],[HABER]]-tbal[[#This Row],[DEBE]]&gt;0,tbal[[#This Row],[HABER]]-tbal[[#This Row],[DEBE]],0)</f>
        <v>0</v>
      </c>
      <c r="I1837" s="16">
        <f>IF((OR(tbal[[#This Row],[X]]=1,tbal[[#This Row],[X]]=2)),tbal[[#This Row],[DEUDOR]],0)</f>
        <v>0</v>
      </c>
      <c r="J1837" s="18">
        <f>IF((OR(tbal[[#This Row],[X]]=2,tbal[[#This Row],[X]]=3)),tbal[[#This Row],[ACREEDOR]],0)</f>
        <v>0</v>
      </c>
      <c r="K1837" s="16">
        <f>IF((OR(tbal[[#This Row],[X]]=3,tbal[[#This Row],[X]]=5)),tbal[[#This Row],[DEUDOR]],0)</f>
        <v>0</v>
      </c>
      <c r="L1837" s="18">
        <f>IF((OR(tbal[[#This Row],[X]]=3,tbal[[#This Row],[X]]=4)),tbal[[#This Row],[ACREEDOR]],0)</f>
        <v>0</v>
      </c>
      <c r="M1837" s="16">
        <f>IF((OR(tbal[[#This Row],[X]]=0,tbal[[#This Row],[X]]=6)),tbal[[#This Row],[DEUDOR]],0)</f>
        <v>0</v>
      </c>
      <c r="N1837" s="18">
        <f>IF((OR(tbal[[#This Row],[X]]=0,tbal[[#This Row],[X]]=5)),tbal[[#This Row],[ACREEDOR]],0)</f>
        <v>0</v>
      </c>
    </row>
    <row r="1838" spans="1:14" hidden="1" x14ac:dyDescent="0.3">
      <c r="A1838" s="14">
        <f>+'PLAN DE CUENTAS'!A1838</f>
        <v>0</v>
      </c>
      <c r="B1838" s="13">
        <f>+'PLAN DE CUENTAS'!B1838</f>
        <v>0</v>
      </c>
      <c r="C1838" s="13">
        <f>+'PLAN DE CUENTAS'!C1838</f>
        <v>0</v>
      </c>
      <c r="D1838" t="str">
        <f>IF(tbal[[#This Row],[DEBE]]+tbal[[#This Row],[HABER]]=0,"","X")</f>
        <v/>
      </c>
      <c r="E1838" s="16">
        <f>SUMIF(tdiario[CUENTA],tbal[[#This Row],[CUENTA]],tdiario[DEBE])</f>
        <v>0</v>
      </c>
      <c r="F1838" s="17">
        <f>SUMIF(tdiario[CUENTA],tbal[[#This Row],[CUENTA]],tdiario[HABER])</f>
        <v>0</v>
      </c>
      <c r="G1838" s="16">
        <f>IF(tbal[[#This Row],[DEBE]]-tbal[[#This Row],[HABER]]&gt;0,tbal[[#This Row],[DEBE]]-tbal[[#This Row],[HABER]],0)</f>
        <v>0</v>
      </c>
      <c r="H1838" s="18">
        <f>IF(tbal[[#This Row],[HABER]]-tbal[[#This Row],[DEBE]]&gt;0,tbal[[#This Row],[HABER]]-tbal[[#This Row],[DEBE]],0)</f>
        <v>0</v>
      </c>
      <c r="I1838" s="16">
        <f>IF((OR(tbal[[#This Row],[X]]=1,tbal[[#This Row],[X]]=2)),tbal[[#This Row],[DEUDOR]],0)</f>
        <v>0</v>
      </c>
      <c r="J1838" s="18">
        <f>IF((OR(tbal[[#This Row],[X]]=2,tbal[[#This Row],[X]]=3)),tbal[[#This Row],[ACREEDOR]],0)</f>
        <v>0</v>
      </c>
      <c r="K1838" s="16">
        <f>IF((OR(tbal[[#This Row],[X]]=3,tbal[[#This Row],[X]]=5)),tbal[[#This Row],[DEUDOR]],0)</f>
        <v>0</v>
      </c>
      <c r="L1838" s="18">
        <f>IF((OR(tbal[[#This Row],[X]]=3,tbal[[#This Row],[X]]=4)),tbal[[#This Row],[ACREEDOR]],0)</f>
        <v>0</v>
      </c>
      <c r="M1838" s="16">
        <f>IF((OR(tbal[[#This Row],[X]]=0,tbal[[#This Row],[X]]=6)),tbal[[#This Row],[DEUDOR]],0)</f>
        <v>0</v>
      </c>
      <c r="N1838" s="18">
        <f>IF((OR(tbal[[#This Row],[X]]=0,tbal[[#This Row],[X]]=5)),tbal[[#This Row],[ACREEDOR]],0)</f>
        <v>0</v>
      </c>
    </row>
    <row r="1839" spans="1:14" hidden="1" x14ac:dyDescent="0.3">
      <c r="A1839" s="14">
        <f>+'PLAN DE CUENTAS'!A1839</f>
        <v>0</v>
      </c>
      <c r="B1839" s="13">
        <f>+'PLAN DE CUENTAS'!B1839</f>
        <v>0</v>
      </c>
      <c r="C1839" s="13">
        <f>+'PLAN DE CUENTAS'!C1839</f>
        <v>0</v>
      </c>
      <c r="D1839" t="str">
        <f>IF(tbal[[#This Row],[DEBE]]+tbal[[#This Row],[HABER]]=0,"","X")</f>
        <v/>
      </c>
      <c r="E1839" s="16">
        <f>SUMIF(tdiario[CUENTA],tbal[[#This Row],[CUENTA]],tdiario[DEBE])</f>
        <v>0</v>
      </c>
      <c r="F1839" s="17">
        <f>SUMIF(tdiario[CUENTA],tbal[[#This Row],[CUENTA]],tdiario[HABER])</f>
        <v>0</v>
      </c>
      <c r="G1839" s="16">
        <f>IF(tbal[[#This Row],[DEBE]]-tbal[[#This Row],[HABER]]&gt;0,tbal[[#This Row],[DEBE]]-tbal[[#This Row],[HABER]],0)</f>
        <v>0</v>
      </c>
      <c r="H1839" s="18">
        <f>IF(tbal[[#This Row],[HABER]]-tbal[[#This Row],[DEBE]]&gt;0,tbal[[#This Row],[HABER]]-tbal[[#This Row],[DEBE]],0)</f>
        <v>0</v>
      </c>
      <c r="I1839" s="16">
        <f>IF((OR(tbal[[#This Row],[X]]=1,tbal[[#This Row],[X]]=2)),tbal[[#This Row],[DEUDOR]],0)</f>
        <v>0</v>
      </c>
      <c r="J1839" s="18">
        <f>IF((OR(tbal[[#This Row],[X]]=2,tbal[[#This Row],[X]]=3)),tbal[[#This Row],[ACREEDOR]],0)</f>
        <v>0</v>
      </c>
      <c r="K1839" s="16">
        <f>IF((OR(tbal[[#This Row],[X]]=3,tbal[[#This Row],[X]]=5)),tbal[[#This Row],[DEUDOR]],0)</f>
        <v>0</v>
      </c>
      <c r="L1839" s="18">
        <f>IF((OR(tbal[[#This Row],[X]]=3,tbal[[#This Row],[X]]=4)),tbal[[#This Row],[ACREEDOR]],0)</f>
        <v>0</v>
      </c>
      <c r="M1839" s="16">
        <f>IF((OR(tbal[[#This Row],[X]]=0,tbal[[#This Row],[X]]=6)),tbal[[#This Row],[DEUDOR]],0)</f>
        <v>0</v>
      </c>
      <c r="N1839" s="18">
        <f>IF((OR(tbal[[#This Row],[X]]=0,tbal[[#This Row],[X]]=5)),tbal[[#This Row],[ACREEDOR]],0)</f>
        <v>0</v>
      </c>
    </row>
    <row r="1840" spans="1:14" hidden="1" x14ac:dyDescent="0.3">
      <c r="A1840" s="14">
        <f>+'PLAN DE CUENTAS'!A1840</f>
        <v>0</v>
      </c>
      <c r="B1840" s="13">
        <f>+'PLAN DE CUENTAS'!B1840</f>
        <v>0</v>
      </c>
      <c r="C1840" s="13">
        <f>+'PLAN DE CUENTAS'!C1840</f>
        <v>0</v>
      </c>
      <c r="D1840" t="str">
        <f>IF(tbal[[#This Row],[DEBE]]+tbal[[#This Row],[HABER]]=0,"","X")</f>
        <v/>
      </c>
      <c r="E1840" s="16">
        <f>SUMIF(tdiario[CUENTA],tbal[[#This Row],[CUENTA]],tdiario[DEBE])</f>
        <v>0</v>
      </c>
      <c r="F1840" s="17">
        <f>SUMIF(tdiario[CUENTA],tbal[[#This Row],[CUENTA]],tdiario[HABER])</f>
        <v>0</v>
      </c>
      <c r="G1840" s="16">
        <f>IF(tbal[[#This Row],[DEBE]]-tbal[[#This Row],[HABER]]&gt;0,tbal[[#This Row],[DEBE]]-tbal[[#This Row],[HABER]],0)</f>
        <v>0</v>
      </c>
      <c r="H1840" s="18">
        <f>IF(tbal[[#This Row],[HABER]]-tbal[[#This Row],[DEBE]]&gt;0,tbal[[#This Row],[HABER]]-tbal[[#This Row],[DEBE]],0)</f>
        <v>0</v>
      </c>
      <c r="I1840" s="16">
        <f>IF((OR(tbal[[#This Row],[X]]=1,tbal[[#This Row],[X]]=2)),tbal[[#This Row],[DEUDOR]],0)</f>
        <v>0</v>
      </c>
      <c r="J1840" s="18">
        <f>IF((OR(tbal[[#This Row],[X]]=2,tbal[[#This Row],[X]]=3)),tbal[[#This Row],[ACREEDOR]],0)</f>
        <v>0</v>
      </c>
      <c r="K1840" s="16">
        <f>IF((OR(tbal[[#This Row],[X]]=3,tbal[[#This Row],[X]]=5)),tbal[[#This Row],[DEUDOR]],0)</f>
        <v>0</v>
      </c>
      <c r="L1840" s="18">
        <f>IF((OR(tbal[[#This Row],[X]]=3,tbal[[#This Row],[X]]=4)),tbal[[#This Row],[ACREEDOR]],0)</f>
        <v>0</v>
      </c>
      <c r="M1840" s="16">
        <f>IF((OR(tbal[[#This Row],[X]]=0,tbal[[#This Row],[X]]=6)),tbal[[#This Row],[DEUDOR]],0)</f>
        <v>0</v>
      </c>
      <c r="N1840" s="18">
        <f>IF((OR(tbal[[#This Row],[X]]=0,tbal[[#This Row],[X]]=5)),tbal[[#This Row],[ACREEDOR]],0)</f>
        <v>0</v>
      </c>
    </row>
    <row r="1841" spans="1:14" hidden="1" x14ac:dyDescent="0.3">
      <c r="A1841" s="14">
        <f>+'PLAN DE CUENTAS'!A1841</f>
        <v>0</v>
      </c>
      <c r="B1841" s="13">
        <f>+'PLAN DE CUENTAS'!B1841</f>
        <v>0</v>
      </c>
      <c r="C1841" s="13">
        <f>+'PLAN DE CUENTAS'!C1841</f>
        <v>0</v>
      </c>
      <c r="D1841" t="str">
        <f>IF(tbal[[#This Row],[DEBE]]+tbal[[#This Row],[HABER]]=0,"","X")</f>
        <v/>
      </c>
      <c r="E1841" s="16">
        <f>SUMIF(tdiario[CUENTA],tbal[[#This Row],[CUENTA]],tdiario[DEBE])</f>
        <v>0</v>
      </c>
      <c r="F1841" s="17">
        <f>SUMIF(tdiario[CUENTA],tbal[[#This Row],[CUENTA]],tdiario[HABER])</f>
        <v>0</v>
      </c>
      <c r="G1841" s="16">
        <f>IF(tbal[[#This Row],[DEBE]]-tbal[[#This Row],[HABER]]&gt;0,tbal[[#This Row],[DEBE]]-tbal[[#This Row],[HABER]],0)</f>
        <v>0</v>
      </c>
      <c r="H1841" s="18">
        <f>IF(tbal[[#This Row],[HABER]]-tbal[[#This Row],[DEBE]]&gt;0,tbal[[#This Row],[HABER]]-tbal[[#This Row],[DEBE]],0)</f>
        <v>0</v>
      </c>
      <c r="I1841" s="16">
        <f>IF((OR(tbal[[#This Row],[X]]=1,tbal[[#This Row],[X]]=2)),tbal[[#This Row],[DEUDOR]],0)</f>
        <v>0</v>
      </c>
      <c r="J1841" s="18">
        <f>IF((OR(tbal[[#This Row],[X]]=2,tbal[[#This Row],[X]]=3)),tbal[[#This Row],[ACREEDOR]],0)</f>
        <v>0</v>
      </c>
      <c r="K1841" s="16">
        <f>IF((OR(tbal[[#This Row],[X]]=3,tbal[[#This Row],[X]]=5)),tbal[[#This Row],[DEUDOR]],0)</f>
        <v>0</v>
      </c>
      <c r="L1841" s="18">
        <f>IF((OR(tbal[[#This Row],[X]]=3,tbal[[#This Row],[X]]=4)),tbal[[#This Row],[ACREEDOR]],0)</f>
        <v>0</v>
      </c>
      <c r="M1841" s="16">
        <f>IF((OR(tbal[[#This Row],[X]]=0,tbal[[#This Row],[X]]=6)),tbal[[#This Row],[DEUDOR]],0)</f>
        <v>0</v>
      </c>
      <c r="N1841" s="18">
        <f>IF((OR(tbal[[#This Row],[X]]=0,tbal[[#This Row],[X]]=5)),tbal[[#This Row],[ACREEDOR]],0)</f>
        <v>0</v>
      </c>
    </row>
    <row r="1842" spans="1:14" hidden="1" x14ac:dyDescent="0.3">
      <c r="A1842" s="14">
        <f>+'PLAN DE CUENTAS'!A1842</f>
        <v>0</v>
      </c>
      <c r="B1842" s="13">
        <f>+'PLAN DE CUENTAS'!B1842</f>
        <v>0</v>
      </c>
      <c r="C1842" s="13">
        <f>+'PLAN DE CUENTAS'!C1842</f>
        <v>0</v>
      </c>
      <c r="D1842" t="str">
        <f>IF(tbal[[#This Row],[DEBE]]+tbal[[#This Row],[HABER]]=0,"","X")</f>
        <v/>
      </c>
      <c r="E1842" s="16">
        <f>SUMIF(tdiario[CUENTA],tbal[[#This Row],[CUENTA]],tdiario[DEBE])</f>
        <v>0</v>
      </c>
      <c r="F1842" s="17">
        <f>SUMIF(tdiario[CUENTA],tbal[[#This Row],[CUENTA]],tdiario[HABER])</f>
        <v>0</v>
      </c>
      <c r="G1842" s="16">
        <f>IF(tbal[[#This Row],[DEBE]]-tbal[[#This Row],[HABER]]&gt;0,tbal[[#This Row],[DEBE]]-tbal[[#This Row],[HABER]],0)</f>
        <v>0</v>
      </c>
      <c r="H1842" s="18">
        <f>IF(tbal[[#This Row],[HABER]]-tbal[[#This Row],[DEBE]]&gt;0,tbal[[#This Row],[HABER]]-tbal[[#This Row],[DEBE]],0)</f>
        <v>0</v>
      </c>
      <c r="I1842" s="16">
        <f>IF((OR(tbal[[#This Row],[X]]=1,tbal[[#This Row],[X]]=2)),tbal[[#This Row],[DEUDOR]],0)</f>
        <v>0</v>
      </c>
      <c r="J1842" s="18">
        <f>IF((OR(tbal[[#This Row],[X]]=2,tbal[[#This Row],[X]]=3)),tbal[[#This Row],[ACREEDOR]],0)</f>
        <v>0</v>
      </c>
      <c r="K1842" s="16">
        <f>IF((OR(tbal[[#This Row],[X]]=3,tbal[[#This Row],[X]]=5)),tbal[[#This Row],[DEUDOR]],0)</f>
        <v>0</v>
      </c>
      <c r="L1842" s="18">
        <f>IF((OR(tbal[[#This Row],[X]]=3,tbal[[#This Row],[X]]=4)),tbal[[#This Row],[ACREEDOR]],0)</f>
        <v>0</v>
      </c>
      <c r="M1842" s="16">
        <f>IF((OR(tbal[[#This Row],[X]]=0,tbal[[#This Row],[X]]=6)),tbal[[#This Row],[DEUDOR]],0)</f>
        <v>0</v>
      </c>
      <c r="N1842" s="18">
        <f>IF((OR(tbal[[#This Row],[X]]=0,tbal[[#This Row],[X]]=5)),tbal[[#This Row],[ACREEDOR]],0)</f>
        <v>0</v>
      </c>
    </row>
    <row r="1843" spans="1:14" hidden="1" x14ac:dyDescent="0.3">
      <c r="A1843" s="14">
        <f>+'PLAN DE CUENTAS'!A1843</f>
        <v>0</v>
      </c>
      <c r="B1843" s="13">
        <f>+'PLAN DE CUENTAS'!B1843</f>
        <v>0</v>
      </c>
      <c r="C1843" s="13">
        <f>+'PLAN DE CUENTAS'!C1843</f>
        <v>0</v>
      </c>
      <c r="D1843" t="str">
        <f>IF(tbal[[#This Row],[DEBE]]+tbal[[#This Row],[HABER]]=0,"","X")</f>
        <v/>
      </c>
      <c r="E1843" s="16">
        <f>SUMIF(tdiario[CUENTA],tbal[[#This Row],[CUENTA]],tdiario[DEBE])</f>
        <v>0</v>
      </c>
      <c r="F1843" s="17">
        <f>SUMIF(tdiario[CUENTA],tbal[[#This Row],[CUENTA]],tdiario[HABER])</f>
        <v>0</v>
      </c>
      <c r="G1843" s="16">
        <f>IF(tbal[[#This Row],[DEBE]]-tbal[[#This Row],[HABER]]&gt;0,tbal[[#This Row],[DEBE]]-tbal[[#This Row],[HABER]],0)</f>
        <v>0</v>
      </c>
      <c r="H1843" s="18">
        <f>IF(tbal[[#This Row],[HABER]]-tbal[[#This Row],[DEBE]]&gt;0,tbal[[#This Row],[HABER]]-tbal[[#This Row],[DEBE]],0)</f>
        <v>0</v>
      </c>
      <c r="I1843" s="16">
        <f>IF((OR(tbal[[#This Row],[X]]=1,tbal[[#This Row],[X]]=2)),tbal[[#This Row],[DEUDOR]],0)</f>
        <v>0</v>
      </c>
      <c r="J1843" s="18">
        <f>IF((OR(tbal[[#This Row],[X]]=2,tbal[[#This Row],[X]]=3)),tbal[[#This Row],[ACREEDOR]],0)</f>
        <v>0</v>
      </c>
      <c r="K1843" s="16">
        <f>IF((OR(tbal[[#This Row],[X]]=3,tbal[[#This Row],[X]]=5)),tbal[[#This Row],[DEUDOR]],0)</f>
        <v>0</v>
      </c>
      <c r="L1843" s="18">
        <f>IF((OR(tbal[[#This Row],[X]]=3,tbal[[#This Row],[X]]=4)),tbal[[#This Row],[ACREEDOR]],0)</f>
        <v>0</v>
      </c>
      <c r="M1843" s="16">
        <f>IF((OR(tbal[[#This Row],[X]]=0,tbal[[#This Row],[X]]=6)),tbal[[#This Row],[DEUDOR]],0)</f>
        <v>0</v>
      </c>
      <c r="N1843" s="18">
        <f>IF((OR(tbal[[#This Row],[X]]=0,tbal[[#This Row],[X]]=5)),tbal[[#This Row],[ACREEDOR]],0)</f>
        <v>0</v>
      </c>
    </row>
    <row r="1844" spans="1:14" hidden="1" x14ac:dyDescent="0.3">
      <c r="A1844" s="14">
        <f>+'PLAN DE CUENTAS'!A1844</f>
        <v>0</v>
      </c>
      <c r="B1844" s="13">
        <f>+'PLAN DE CUENTAS'!B1844</f>
        <v>0</v>
      </c>
      <c r="C1844" s="13">
        <f>+'PLAN DE CUENTAS'!C1844</f>
        <v>0</v>
      </c>
      <c r="D1844" t="str">
        <f>IF(tbal[[#This Row],[DEBE]]+tbal[[#This Row],[HABER]]=0,"","X")</f>
        <v/>
      </c>
      <c r="E1844" s="16">
        <f>SUMIF(tdiario[CUENTA],tbal[[#This Row],[CUENTA]],tdiario[DEBE])</f>
        <v>0</v>
      </c>
      <c r="F1844" s="17">
        <f>SUMIF(tdiario[CUENTA],tbal[[#This Row],[CUENTA]],tdiario[HABER])</f>
        <v>0</v>
      </c>
      <c r="G1844" s="16">
        <f>IF(tbal[[#This Row],[DEBE]]-tbal[[#This Row],[HABER]]&gt;0,tbal[[#This Row],[DEBE]]-tbal[[#This Row],[HABER]],0)</f>
        <v>0</v>
      </c>
      <c r="H1844" s="18">
        <f>IF(tbal[[#This Row],[HABER]]-tbal[[#This Row],[DEBE]]&gt;0,tbal[[#This Row],[HABER]]-tbal[[#This Row],[DEBE]],0)</f>
        <v>0</v>
      </c>
      <c r="I1844" s="16">
        <f>IF((OR(tbal[[#This Row],[X]]=1,tbal[[#This Row],[X]]=2)),tbal[[#This Row],[DEUDOR]],0)</f>
        <v>0</v>
      </c>
      <c r="J1844" s="18">
        <f>IF((OR(tbal[[#This Row],[X]]=2,tbal[[#This Row],[X]]=3)),tbal[[#This Row],[ACREEDOR]],0)</f>
        <v>0</v>
      </c>
      <c r="K1844" s="16">
        <f>IF((OR(tbal[[#This Row],[X]]=3,tbal[[#This Row],[X]]=5)),tbal[[#This Row],[DEUDOR]],0)</f>
        <v>0</v>
      </c>
      <c r="L1844" s="18">
        <f>IF((OR(tbal[[#This Row],[X]]=3,tbal[[#This Row],[X]]=4)),tbal[[#This Row],[ACREEDOR]],0)</f>
        <v>0</v>
      </c>
      <c r="M1844" s="16">
        <f>IF((OR(tbal[[#This Row],[X]]=0,tbal[[#This Row],[X]]=6)),tbal[[#This Row],[DEUDOR]],0)</f>
        <v>0</v>
      </c>
      <c r="N1844" s="18">
        <f>IF((OR(tbal[[#This Row],[X]]=0,tbal[[#This Row],[X]]=5)),tbal[[#This Row],[ACREEDOR]],0)</f>
        <v>0</v>
      </c>
    </row>
    <row r="1845" spans="1:14" hidden="1" x14ac:dyDescent="0.3">
      <c r="A1845" s="14">
        <f>+'PLAN DE CUENTAS'!A1845</f>
        <v>0</v>
      </c>
      <c r="B1845" s="13">
        <f>+'PLAN DE CUENTAS'!B1845</f>
        <v>0</v>
      </c>
      <c r="C1845" s="13">
        <f>+'PLAN DE CUENTAS'!C1845</f>
        <v>0</v>
      </c>
      <c r="D1845" t="str">
        <f>IF(tbal[[#This Row],[DEBE]]+tbal[[#This Row],[HABER]]=0,"","X")</f>
        <v/>
      </c>
      <c r="E1845" s="16">
        <f>SUMIF(tdiario[CUENTA],tbal[[#This Row],[CUENTA]],tdiario[DEBE])</f>
        <v>0</v>
      </c>
      <c r="F1845" s="17">
        <f>SUMIF(tdiario[CUENTA],tbal[[#This Row],[CUENTA]],tdiario[HABER])</f>
        <v>0</v>
      </c>
      <c r="G1845" s="16">
        <f>IF(tbal[[#This Row],[DEBE]]-tbal[[#This Row],[HABER]]&gt;0,tbal[[#This Row],[DEBE]]-tbal[[#This Row],[HABER]],0)</f>
        <v>0</v>
      </c>
      <c r="H1845" s="18">
        <f>IF(tbal[[#This Row],[HABER]]-tbal[[#This Row],[DEBE]]&gt;0,tbal[[#This Row],[HABER]]-tbal[[#This Row],[DEBE]],0)</f>
        <v>0</v>
      </c>
      <c r="I1845" s="16">
        <f>IF((OR(tbal[[#This Row],[X]]=1,tbal[[#This Row],[X]]=2)),tbal[[#This Row],[DEUDOR]],0)</f>
        <v>0</v>
      </c>
      <c r="J1845" s="18">
        <f>IF((OR(tbal[[#This Row],[X]]=2,tbal[[#This Row],[X]]=3)),tbal[[#This Row],[ACREEDOR]],0)</f>
        <v>0</v>
      </c>
      <c r="K1845" s="16">
        <f>IF((OR(tbal[[#This Row],[X]]=3,tbal[[#This Row],[X]]=5)),tbal[[#This Row],[DEUDOR]],0)</f>
        <v>0</v>
      </c>
      <c r="L1845" s="18">
        <f>IF((OR(tbal[[#This Row],[X]]=3,tbal[[#This Row],[X]]=4)),tbal[[#This Row],[ACREEDOR]],0)</f>
        <v>0</v>
      </c>
      <c r="M1845" s="16">
        <f>IF((OR(tbal[[#This Row],[X]]=0,tbal[[#This Row],[X]]=6)),tbal[[#This Row],[DEUDOR]],0)</f>
        <v>0</v>
      </c>
      <c r="N1845" s="18">
        <f>IF((OR(tbal[[#This Row],[X]]=0,tbal[[#This Row],[X]]=5)),tbal[[#This Row],[ACREEDOR]],0)</f>
        <v>0</v>
      </c>
    </row>
    <row r="1846" spans="1:14" hidden="1" x14ac:dyDescent="0.3">
      <c r="A1846" s="14">
        <f>+'PLAN DE CUENTAS'!A1846</f>
        <v>0</v>
      </c>
      <c r="B1846" s="13">
        <f>+'PLAN DE CUENTAS'!B1846</f>
        <v>0</v>
      </c>
      <c r="C1846" s="13">
        <f>+'PLAN DE CUENTAS'!C1846</f>
        <v>0</v>
      </c>
      <c r="D1846" t="str">
        <f>IF(tbal[[#This Row],[DEBE]]+tbal[[#This Row],[HABER]]=0,"","X")</f>
        <v/>
      </c>
      <c r="E1846" s="16">
        <f>SUMIF(tdiario[CUENTA],tbal[[#This Row],[CUENTA]],tdiario[DEBE])</f>
        <v>0</v>
      </c>
      <c r="F1846" s="17">
        <f>SUMIF(tdiario[CUENTA],tbal[[#This Row],[CUENTA]],tdiario[HABER])</f>
        <v>0</v>
      </c>
      <c r="G1846" s="16">
        <f>IF(tbal[[#This Row],[DEBE]]-tbal[[#This Row],[HABER]]&gt;0,tbal[[#This Row],[DEBE]]-tbal[[#This Row],[HABER]],0)</f>
        <v>0</v>
      </c>
      <c r="H1846" s="18">
        <f>IF(tbal[[#This Row],[HABER]]-tbal[[#This Row],[DEBE]]&gt;0,tbal[[#This Row],[HABER]]-tbal[[#This Row],[DEBE]],0)</f>
        <v>0</v>
      </c>
      <c r="I1846" s="16">
        <f>IF((OR(tbal[[#This Row],[X]]=1,tbal[[#This Row],[X]]=2)),tbal[[#This Row],[DEUDOR]],0)</f>
        <v>0</v>
      </c>
      <c r="J1846" s="18">
        <f>IF((OR(tbal[[#This Row],[X]]=2,tbal[[#This Row],[X]]=3)),tbal[[#This Row],[ACREEDOR]],0)</f>
        <v>0</v>
      </c>
      <c r="K1846" s="16">
        <f>IF((OR(tbal[[#This Row],[X]]=3,tbal[[#This Row],[X]]=5)),tbal[[#This Row],[DEUDOR]],0)</f>
        <v>0</v>
      </c>
      <c r="L1846" s="18">
        <f>IF((OR(tbal[[#This Row],[X]]=3,tbal[[#This Row],[X]]=4)),tbal[[#This Row],[ACREEDOR]],0)</f>
        <v>0</v>
      </c>
      <c r="M1846" s="16">
        <f>IF((OR(tbal[[#This Row],[X]]=0,tbal[[#This Row],[X]]=6)),tbal[[#This Row],[DEUDOR]],0)</f>
        <v>0</v>
      </c>
      <c r="N1846" s="18">
        <f>IF((OR(tbal[[#This Row],[X]]=0,tbal[[#This Row],[X]]=5)),tbal[[#This Row],[ACREEDOR]],0)</f>
        <v>0</v>
      </c>
    </row>
    <row r="1847" spans="1:14" hidden="1" x14ac:dyDescent="0.3">
      <c r="A1847" s="14">
        <f>+'PLAN DE CUENTAS'!A1847</f>
        <v>0</v>
      </c>
      <c r="B1847" s="13">
        <f>+'PLAN DE CUENTAS'!B1847</f>
        <v>0</v>
      </c>
      <c r="C1847" s="13">
        <f>+'PLAN DE CUENTAS'!C1847</f>
        <v>0</v>
      </c>
      <c r="D1847" t="str">
        <f>IF(tbal[[#This Row],[DEBE]]+tbal[[#This Row],[HABER]]=0,"","X")</f>
        <v/>
      </c>
      <c r="E1847" s="16">
        <f>SUMIF(tdiario[CUENTA],tbal[[#This Row],[CUENTA]],tdiario[DEBE])</f>
        <v>0</v>
      </c>
      <c r="F1847" s="17">
        <f>SUMIF(tdiario[CUENTA],tbal[[#This Row],[CUENTA]],tdiario[HABER])</f>
        <v>0</v>
      </c>
      <c r="G1847" s="16">
        <f>IF(tbal[[#This Row],[DEBE]]-tbal[[#This Row],[HABER]]&gt;0,tbal[[#This Row],[DEBE]]-tbal[[#This Row],[HABER]],0)</f>
        <v>0</v>
      </c>
      <c r="H1847" s="18">
        <f>IF(tbal[[#This Row],[HABER]]-tbal[[#This Row],[DEBE]]&gt;0,tbal[[#This Row],[HABER]]-tbal[[#This Row],[DEBE]],0)</f>
        <v>0</v>
      </c>
      <c r="I1847" s="16">
        <f>IF((OR(tbal[[#This Row],[X]]=1,tbal[[#This Row],[X]]=2)),tbal[[#This Row],[DEUDOR]],0)</f>
        <v>0</v>
      </c>
      <c r="J1847" s="18">
        <f>IF((OR(tbal[[#This Row],[X]]=2,tbal[[#This Row],[X]]=3)),tbal[[#This Row],[ACREEDOR]],0)</f>
        <v>0</v>
      </c>
      <c r="K1847" s="16">
        <f>IF((OR(tbal[[#This Row],[X]]=3,tbal[[#This Row],[X]]=5)),tbal[[#This Row],[DEUDOR]],0)</f>
        <v>0</v>
      </c>
      <c r="L1847" s="18">
        <f>IF((OR(tbal[[#This Row],[X]]=3,tbal[[#This Row],[X]]=4)),tbal[[#This Row],[ACREEDOR]],0)</f>
        <v>0</v>
      </c>
      <c r="M1847" s="16">
        <f>IF((OR(tbal[[#This Row],[X]]=0,tbal[[#This Row],[X]]=6)),tbal[[#This Row],[DEUDOR]],0)</f>
        <v>0</v>
      </c>
      <c r="N1847" s="18">
        <f>IF((OR(tbal[[#This Row],[X]]=0,tbal[[#This Row],[X]]=5)),tbal[[#This Row],[ACREEDOR]],0)</f>
        <v>0</v>
      </c>
    </row>
    <row r="1848" spans="1:14" hidden="1" x14ac:dyDescent="0.3">
      <c r="A1848" s="14">
        <f>+'PLAN DE CUENTAS'!A1848</f>
        <v>0</v>
      </c>
      <c r="B1848" s="13">
        <f>+'PLAN DE CUENTAS'!B1848</f>
        <v>0</v>
      </c>
      <c r="C1848" s="13">
        <f>+'PLAN DE CUENTAS'!C1848</f>
        <v>0</v>
      </c>
      <c r="D1848" t="str">
        <f>IF(tbal[[#This Row],[DEBE]]+tbal[[#This Row],[HABER]]=0,"","X")</f>
        <v/>
      </c>
      <c r="E1848" s="16">
        <f>SUMIF(tdiario[CUENTA],tbal[[#This Row],[CUENTA]],tdiario[DEBE])</f>
        <v>0</v>
      </c>
      <c r="F1848" s="17">
        <f>SUMIF(tdiario[CUENTA],tbal[[#This Row],[CUENTA]],tdiario[HABER])</f>
        <v>0</v>
      </c>
      <c r="G1848" s="16">
        <f>IF(tbal[[#This Row],[DEBE]]-tbal[[#This Row],[HABER]]&gt;0,tbal[[#This Row],[DEBE]]-tbal[[#This Row],[HABER]],0)</f>
        <v>0</v>
      </c>
      <c r="H1848" s="18">
        <f>IF(tbal[[#This Row],[HABER]]-tbal[[#This Row],[DEBE]]&gt;0,tbal[[#This Row],[HABER]]-tbal[[#This Row],[DEBE]],0)</f>
        <v>0</v>
      </c>
      <c r="I1848" s="16">
        <f>IF((OR(tbal[[#This Row],[X]]=1,tbal[[#This Row],[X]]=2)),tbal[[#This Row],[DEUDOR]],0)</f>
        <v>0</v>
      </c>
      <c r="J1848" s="18">
        <f>IF((OR(tbal[[#This Row],[X]]=2,tbal[[#This Row],[X]]=3)),tbal[[#This Row],[ACREEDOR]],0)</f>
        <v>0</v>
      </c>
      <c r="K1848" s="16">
        <f>IF((OR(tbal[[#This Row],[X]]=3,tbal[[#This Row],[X]]=5)),tbal[[#This Row],[DEUDOR]],0)</f>
        <v>0</v>
      </c>
      <c r="L1848" s="18">
        <f>IF((OR(tbal[[#This Row],[X]]=3,tbal[[#This Row],[X]]=4)),tbal[[#This Row],[ACREEDOR]],0)</f>
        <v>0</v>
      </c>
      <c r="M1848" s="16">
        <f>IF((OR(tbal[[#This Row],[X]]=0,tbal[[#This Row],[X]]=6)),tbal[[#This Row],[DEUDOR]],0)</f>
        <v>0</v>
      </c>
      <c r="N1848" s="18">
        <f>IF((OR(tbal[[#This Row],[X]]=0,tbal[[#This Row],[X]]=5)),tbal[[#This Row],[ACREEDOR]],0)</f>
        <v>0</v>
      </c>
    </row>
    <row r="1849" spans="1:14" hidden="1" x14ac:dyDescent="0.3">
      <c r="A1849" s="14">
        <f>+'PLAN DE CUENTAS'!A1849</f>
        <v>0</v>
      </c>
      <c r="B1849" s="13">
        <f>+'PLAN DE CUENTAS'!B1849</f>
        <v>0</v>
      </c>
      <c r="C1849" s="13">
        <f>+'PLAN DE CUENTAS'!C1849</f>
        <v>0</v>
      </c>
      <c r="D1849" t="str">
        <f>IF(tbal[[#This Row],[DEBE]]+tbal[[#This Row],[HABER]]=0,"","X")</f>
        <v/>
      </c>
      <c r="E1849" s="16">
        <f>SUMIF(tdiario[CUENTA],tbal[[#This Row],[CUENTA]],tdiario[DEBE])</f>
        <v>0</v>
      </c>
      <c r="F1849" s="17">
        <f>SUMIF(tdiario[CUENTA],tbal[[#This Row],[CUENTA]],tdiario[HABER])</f>
        <v>0</v>
      </c>
      <c r="G1849" s="16">
        <f>IF(tbal[[#This Row],[DEBE]]-tbal[[#This Row],[HABER]]&gt;0,tbal[[#This Row],[DEBE]]-tbal[[#This Row],[HABER]],0)</f>
        <v>0</v>
      </c>
      <c r="H1849" s="18">
        <f>IF(tbal[[#This Row],[HABER]]-tbal[[#This Row],[DEBE]]&gt;0,tbal[[#This Row],[HABER]]-tbal[[#This Row],[DEBE]],0)</f>
        <v>0</v>
      </c>
      <c r="I1849" s="16">
        <f>IF((OR(tbal[[#This Row],[X]]=1,tbal[[#This Row],[X]]=2)),tbal[[#This Row],[DEUDOR]],0)</f>
        <v>0</v>
      </c>
      <c r="J1849" s="18">
        <f>IF((OR(tbal[[#This Row],[X]]=2,tbal[[#This Row],[X]]=3)),tbal[[#This Row],[ACREEDOR]],0)</f>
        <v>0</v>
      </c>
      <c r="K1849" s="16">
        <f>IF((OR(tbal[[#This Row],[X]]=3,tbal[[#This Row],[X]]=5)),tbal[[#This Row],[DEUDOR]],0)</f>
        <v>0</v>
      </c>
      <c r="L1849" s="18">
        <f>IF((OR(tbal[[#This Row],[X]]=3,tbal[[#This Row],[X]]=4)),tbal[[#This Row],[ACREEDOR]],0)</f>
        <v>0</v>
      </c>
      <c r="M1849" s="16">
        <f>IF((OR(tbal[[#This Row],[X]]=0,tbal[[#This Row],[X]]=6)),tbal[[#This Row],[DEUDOR]],0)</f>
        <v>0</v>
      </c>
      <c r="N1849" s="18">
        <f>IF((OR(tbal[[#This Row],[X]]=0,tbal[[#This Row],[X]]=5)),tbal[[#This Row],[ACREEDOR]],0)</f>
        <v>0</v>
      </c>
    </row>
    <row r="1850" spans="1:14" hidden="1" x14ac:dyDescent="0.3">
      <c r="A1850" s="14">
        <f>+'PLAN DE CUENTAS'!A1850</f>
        <v>0</v>
      </c>
      <c r="B1850" s="13">
        <f>+'PLAN DE CUENTAS'!B1850</f>
        <v>0</v>
      </c>
      <c r="C1850" s="13">
        <f>+'PLAN DE CUENTAS'!C1850</f>
        <v>0</v>
      </c>
      <c r="D1850" t="str">
        <f>IF(tbal[[#This Row],[DEBE]]+tbal[[#This Row],[HABER]]=0,"","X")</f>
        <v/>
      </c>
      <c r="E1850" s="16">
        <f>SUMIF(tdiario[CUENTA],tbal[[#This Row],[CUENTA]],tdiario[DEBE])</f>
        <v>0</v>
      </c>
      <c r="F1850" s="17">
        <f>SUMIF(tdiario[CUENTA],tbal[[#This Row],[CUENTA]],tdiario[HABER])</f>
        <v>0</v>
      </c>
      <c r="G1850" s="16">
        <f>IF(tbal[[#This Row],[DEBE]]-tbal[[#This Row],[HABER]]&gt;0,tbal[[#This Row],[DEBE]]-tbal[[#This Row],[HABER]],0)</f>
        <v>0</v>
      </c>
      <c r="H1850" s="18">
        <f>IF(tbal[[#This Row],[HABER]]-tbal[[#This Row],[DEBE]]&gt;0,tbal[[#This Row],[HABER]]-tbal[[#This Row],[DEBE]],0)</f>
        <v>0</v>
      </c>
      <c r="I1850" s="16">
        <f>IF((OR(tbal[[#This Row],[X]]=1,tbal[[#This Row],[X]]=2)),tbal[[#This Row],[DEUDOR]],0)</f>
        <v>0</v>
      </c>
      <c r="J1850" s="18">
        <f>IF((OR(tbal[[#This Row],[X]]=2,tbal[[#This Row],[X]]=3)),tbal[[#This Row],[ACREEDOR]],0)</f>
        <v>0</v>
      </c>
      <c r="K1850" s="16">
        <f>IF((OR(tbal[[#This Row],[X]]=3,tbal[[#This Row],[X]]=5)),tbal[[#This Row],[DEUDOR]],0)</f>
        <v>0</v>
      </c>
      <c r="L1850" s="18">
        <f>IF((OR(tbal[[#This Row],[X]]=3,tbal[[#This Row],[X]]=4)),tbal[[#This Row],[ACREEDOR]],0)</f>
        <v>0</v>
      </c>
      <c r="M1850" s="16">
        <f>IF((OR(tbal[[#This Row],[X]]=0,tbal[[#This Row],[X]]=6)),tbal[[#This Row],[DEUDOR]],0)</f>
        <v>0</v>
      </c>
      <c r="N1850" s="18">
        <f>IF((OR(tbal[[#This Row],[X]]=0,tbal[[#This Row],[X]]=5)),tbal[[#This Row],[ACREEDOR]],0)</f>
        <v>0</v>
      </c>
    </row>
    <row r="1851" spans="1:14" hidden="1" x14ac:dyDescent="0.3">
      <c r="A1851" s="14">
        <f>+'PLAN DE CUENTAS'!A1851</f>
        <v>0</v>
      </c>
      <c r="B1851" s="13">
        <f>+'PLAN DE CUENTAS'!B1851</f>
        <v>0</v>
      </c>
      <c r="C1851" s="13">
        <f>+'PLAN DE CUENTAS'!C1851</f>
        <v>0</v>
      </c>
      <c r="D1851" t="str">
        <f>IF(tbal[[#This Row],[DEBE]]+tbal[[#This Row],[HABER]]=0,"","X")</f>
        <v/>
      </c>
      <c r="E1851" s="16">
        <f>SUMIF(tdiario[CUENTA],tbal[[#This Row],[CUENTA]],tdiario[DEBE])</f>
        <v>0</v>
      </c>
      <c r="F1851" s="17">
        <f>SUMIF(tdiario[CUENTA],tbal[[#This Row],[CUENTA]],tdiario[HABER])</f>
        <v>0</v>
      </c>
      <c r="G1851" s="16">
        <f>IF(tbal[[#This Row],[DEBE]]-tbal[[#This Row],[HABER]]&gt;0,tbal[[#This Row],[DEBE]]-tbal[[#This Row],[HABER]],0)</f>
        <v>0</v>
      </c>
      <c r="H1851" s="18">
        <f>IF(tbal[[#This Row],[HABER]]-tbal[[#This Row],[DEBE]]&gt;0,tbal[[#This Row],[HABER]]-tbal[[#This Row],[DEBE]],0)</f>
        <v>0</v>
      </c>
      <c r="I1851" s="16">
        <f>IF((OR(tbal[[#This Row],[X]]=1,tbal[[#This Row],[X]]=2)),tbal[[#This Row],[DEUDOR]],0)</f>
        <v>0</v>
      </c>
      <c r="J1851" s="18">
        <f>IF((OR(tbal[[#This Row],[X]]=2,tbal[[#This Row],[X]]=3)),tbal[[#This Row],[ACREEDOR]],0)</f>
        <v>0</v>
      </c>
      <c r="K1851" s="16">
        <f>IF((OR(tbal[[#This Row],[X]]=3,tbal[[#This Row],[X]]=5)),tbal[[#This Row],[DEUDOR]],0)</f>
        <v>0</v>
      </c>
      <c r="L1851" s="18">
        <f>IF((OR(tbal[[#This Row],[X]]=3,tbal[[#This Row],[X]]=4)),tbal[[#This Row],[ACREEDOR]],0)</f>
        <v>0</v>
      </c>
      <c r="M1851" s="16">
        <f>IF((OR(tbal[[#This Row],[X]]=0,tbal[[#This Row],[X]]=6)),tbal[[#This Row],[DEUDOR]],0)</f>
        <v>0</v>
      </c>
      <c r="N1851" s="18">
        <f>IF((OR(tbal[[#This Row],[X]]=0,tbal[[#This Row],[X]]=5)),tbal[[#This Row],[ACREEDOR]],0)</f>
        <v>0</v>
      </c>
    </row>
    <row r="1852" spans="1:14" hidden="1" x14ac:dyDescent="0.3">
      <c r="A1852" s="14">
        <f>+'PLAN DE CUENTAS'!A1852</f>
        <v>0</v>
      </c>
      <c r="B1852" s="13">
        <f>+'PLAN DE CUENTAS'!B1852</f>
        <v>0</v>
      </c>
      <c r="C1852" s="13">
        <f>+'PLAN DE CUENTAS'!C1852</f>
        <v>0</v>
      </c>
      <c r="D1852" t="str">
        <f>IF(tbal[[#This Row],[DEBE]]+tbal[[#This Row],[HABER]]=0,"","X")</f>
        <v/>
      </c>
      <c r="E1852" s="16">
        <f>SUMIF(tdiario[CUENTA],tbal[[#This Row],[CUENTA]],tdiario[DEBE])</f>
        <v>0</v>
      </c>
      <c r="F1852" s="17">
        <f>SUMIF(tdiario[CUENTA],tbal[[#This Row],[CUENTA]],tdiario[HABER])</f>
        <v>0</v>
      </c>
      <c r="G1852" s="16">
        <f>IF(tbal[[#This Row],[DEBE]]-tbal[[#This Row],[HABER]]&gt;0,tbal[[#This Row],[DEBE]]-tbal[[#This Row],[HABER]],0)</f>
        <v>0</v>
      </c>
      <c r="H1852" s="18">
        <f>IF(tbal[[#This Row],[HABER]]-tbal[[#This Row],[DEBE]]&gt;0,tbal[[#This Row],[HABER]]-tbal[[#This Row],[DEBE]],0)</f>
        <v>0</v>
      </c>
      <c r="I1852" s="16">
        <f>IF((OR(tbal[[#This Row],[X]]=1,tbal[[#This Row],[X]]=2)),tbal[[#This Row],[DEUDOR]],0)</f>
        <v>0</v>
      </c>
      <c r="J1852" s="18">
        <f>IF((OR(tbal[[#This Row],[X]]=2,tbal[[#This Row],[X]]=3)),tbal[[#This Row],[ACREEDOR]],0)</f>
        <v>0</v>
      </c>
      <c r="K1852" s="16">
        <f>IF((OR(tbal[[#This Row],[X]]=3,tbal[[#This Row],[X]]=5)),tbal[[#This Row],[DEUDOR]],0)</f>
        <v>0</v>
      </c>
      <c r="L1852" s="18">
        <f>IF((OR(tbal[[#This Row],[X]]=3,tbal[[#This Row],[X]]=4)),tbal[[#This Row],[ACREEDOR]],0)</f>
        <v>0</v>
      </c>
      <c r="M1852" s="16">
        <f>IF((OR(tbal[[#This Row],[X]]=0,tbal[[#This Row],[X]]=6)),tbal[[#This Row],[DEUDOR]],0)</f>
        <v>0</v>
      </c>
      <c r="N1852" s="18">
        <f>IF((OR(tbal[[#This Row],[X]]=0,tbal[[#This Row],[X]]=5)),tbal[[#This Row],[ACREEDOR]],0)</f>
        <v>0</v>
      </c>
    </row>
    <row r="1853" spans="1:14" hidden="1" x14ac:dyDescent="0.3">
      <c r="A1853" s="14">
        <f>+'PLAN DE CUENTAS'!A1853</f>
        <v>0</v>
      </c>
      <c r="B1853" s="13">
        <f>+'PLAN DE CUENTAS'!B1853</f>
        <v>0</v>
      </c>
      <c r="C1853" s="13">
        <f>+'PLAN DE CUENTAS'!C1853</f>
        <v>0</v>
      </c>
      <c r="D1853" t="str">
        <f>IF(tbal[[#This Row],[DEBE]]+tbal[[#This Row],[HABER]]=0,"","X")</f>
        <v/>
      </c>
      <c r="E1853" s="16">
        <f>SUMIF(tdiario[CUENTA],tbal[[#This Row],[CUENTA]],tdiario[DEBE])</f>
        <v>0</v>
      </c>
      <c r="F1853" s="17">
        <f>SUMIF(tdiario[CUENTA],tbal[[#This Row],[CUENTA]],tdiario[HABER])</f>
        <v>0</v>
      </c>
      <c r="G1853" s="16">
        <f>IF(tbal[[#This Row],[DEBE]]-tbal[[#This Row],[HABER]]&gt;0,tbal[[#This Row],[DEBE]]-tbal[[#This Row],[HABER]],0)</f>
        <v>0</v>
      </c>
      <c r="H1853" s="18">
        <f>IF(tbal[[#This Row],[HABER]]-tbal[[#This Row],[DEBE]]&gt;0,tbal[[#This Row],[HABER]]-tbal[[#This Row],[DEBE]],0)</f>
        <v>0</v>
      </c>
      <c r="I1853" s="16">
        <f>IF((OR(tbal[[#This Row],[X]]=1,tbal[[#This Row],[X]]=2)),tbal[[#This Row],[DEUDOR]],0)</f>
        <v>0</v>
      </c>
      <c r="J1853" s="18">
        <f>IF((OR(tbal[[#This Row],[X]]=2,tbal[[#This Row],[X]]=3)),tbal[[#This Row],[ACREEDOR]],0)</f>
        <v>0</v>
      </c>
      <c r="K1853" s="16">
        <f>IF((OR(tbal[[#This Row],[X]]=3,tbal[[#This Row],[X]]=5)),tbal[[#This Row],[DEUDOR]],0)</f>
        <v>0</v>
      </c>
      <c r="L1853" s="18">
        <f>IF((OR(tbal[[#This Row],[X]]=3,tbal[[#This Row],[X]]=4)),tbal[[#This Row],[ACREEDOR]],0)</f>
        <v>0</v>
      </c>
      <c r="M1853" s="16">
        <f>IF((OR(tbal[[#This Row],[X]]=0,tbal[[#This Row],[X]]=6)),tbal[[#This Row],[DEUDOR]],0)</f>
        <v>0</v>
      </c>
      <c r="N1853" s="18">
        <f>IF((OR(tbal[[#This Row],[X]]=0,tbal[[#This Row],[X]]=5)),tbal[[#This Row],[ACREEDOR]],0)</f>
        <v>0</v>
      </c>
    </row>
    <row r="1854" spans="1:14" hidden="1" x14ac:dyDescent="0.3">
      <c r="A1854" s="14">
        <f>+'PLAN DE CUENTAS'!A1854</f>
        <v>0</v>
      </c>
      <c r="B1854" s="13">
        <f>+'PLAN DE CUENTAS'!B1854</f>
        <v>0</v>
      </c>
      <c r="C1854" s="13">
        <f>+'PLAN DE CUENTAS'!C1854</f>
        <v>0</v>
      </c>
      <c r="D1854" t="str">
        <f>IF(tbal[[#This Row],[DEBE]]+tbal[[#This Row],[HABER]]=0,"","X")</f>
        <v/>
      </c>
      <c r="E1854" s="16">
        <f>SUMIF(tdiario[CUENTA],tbal[[#This Row],[CUENTA]],tdiario[DEBE])</f>
        <v>0</v>
      </c>
      <c r="F1854" s="17">
        <f>SUMIF(tdiario[CUENTA],tbal[[#This Row],[CUENTA]],tdiario[HABER])</f>
        <v>0</v>
      </c>
      <c r="G1854" s="16">
        <f>IF(tbal[[#This Row],[DEBE]]-tbal[[#This Row],[HABER]]&gt;0,tbal[[#This Row],[DEBE]]-tbal[[#This Row],[HABER]],0)</f>
        <v>0</v>
      </c>
      <c r="H1854" s="18">
        <f>IF(tbal[[#This Row],[HABER]]-tbal[[#This Row],[DEBE]]&gt;0,tbal[[#This Row],[HABER]]-tbal[[#This Row],[DEBE]],0)</f>
        <v>0</v>
      </c>
      <c r="I1854" s="16">
        <f>IF((OR(tbal[[#This Row],[X]]=1,tbal[[#This Row],[X]]=2)),tbal[[#This Row],[DEUDOR]],0)</f>
        <v>0</v>
      </c>
      <c r="J1854" s="18">
        <f>IF((OR(tbal[[#This Row],[X]]=2,tbal[[#This Row],[X]]=3)),tbal[[#This Row],[ACREEDOR]],0)</f>
        <v>0</v>
      </c>
      <c r="K1854" s="16">
        <f>IF((OR(tbal[[#This Row],[X]]=3,tbal[[#This Row],[X]]=5)),tbal[[#This Row],[DEUDOR]],0)</f>
        <v>0</v>
      </c>
      <c r="L1854" s="18">
        <f>IF((OR(tbal[[#This Row],[X]]=3,tbal[[#This Row],[X]]=4)),tbal[[#This Row],[ACREEDOR]],0)</f>
        <v>0</v>
      </c>
      <c r="M1854" s="16">
        <f>IF((OR(tbal[[#This Row],[X]]=0,tbal[[#This Row],[X]]=6)),tbal[[#This Row],[DEUDOR]],0)</f>
        <v>0</v>
      </c>
      <c r="N1854" s="18">
        <f>IF((OR(tbal[[#This Row],[X]]=0,tbal[[#This Row],[X]]=5)),tbal[[#This Row],[ACREEDOR]],0)</f>
        <v>0</v>
      </c>
    </row>
    <row r="1855" spans="1:14" hidden="1" x14ac:dyDescent="0.3">
      <c r="A1855" s="14">
        <f>+'PLAN DE CUENTAS'!A1855</f>
        <v>0</v>
      </c>
      <c r="B1855" s="13">
        <f>+'PLAN DE CUENTAS'!B1855</f>
        <v>0</v>
      </c>
      <c r="C1855" s="13">
        <f>+'PLAN DE CUENTAS'!C1855</f>
        <v>0</v>
      </c>
      <c r="D1855" t="str">
        <f>IF(tbal[[#This Row],[DEBE]]+tbal[[#This Row],[HABER]]=0,"","X")</f>
        <v/>
      </c>
      <c r="E1855" s="16">
        <f>SUMIF(tdiario[CUENTA],tbal[[#This Row],[CUENTA]],tdiario[DEBE])</f>
        <v>0</v>
      </c>
      <c r="F1855" s="17">
        <f>SUMIF(tdiario[CUENTA],tbal[[#This Row],[CUENTA]],tdiario[HABER])</f>
        <v>0</v>
      </c>
      <c r="G1855" s="16">
        <f>IF(tbal[[#This Row],[DEBE]]-tbal[[#This Row],[HABER]]&gt;0,tbal[[#This Row],[DEBE]]-tbal[[#This Row],[HABER]],0)</f>
        <v>0</v>
      </c>
      <c r="H1855" s="18">
        <f>IF(tbal[[#This Row],[HABER]]-tbal[[#This Row],[DEBE]]&gt;0,tbal[[#This Row],[HABER]]-tbal[[#This Row],[DEBE]],0)</f>
        <v>0</v>
      </c>
      <c r="I1855" s="16">
        <f>IF((OR(tbal[[#This Row],[X]]=1,tbal[[#This Row],[X]]=2)),tbal[[#This Row],[DEUDOR]],0)</f>
        <v>0</v>
      </c>
      <c r="J1855" s="18">
        <f>IF((OR(tbal[[#This Row],[X]]=2,tbal[[#This Row],[X]]=3)),tbal[[#This Row],[ACREEDOR]],0)</f>
        <v>0</v>
      </c>
      <c r="K1855" s="16">
        <f>IF((OR(tbal[[#This Row],[X]]=3,tbal[[#This Row],[X]]=5)),tbal[[#This Row],[DEUDOR]],0)</f>
        <v>0</v>
      </c>
      <c r="L1855" s="18">
        <f>IF((OR(tbal[[#This Row],[X]]=3,tbal[[#This Row],[X]]=4)),tbal[[#This Row],[ACREEDOR]],0)</f>
        <v>0</v>
      </c>
      <c r="M1855" s="16">
        <f>IF((OR(tbal[[#This Row],[X]]=0,tbal[[#This Row],[X]]=6)),tbal[[#This Row],[DEUDOR]],0)</f>
        <v>0</v>
      </c>
      <c r="N1855" s="18">
        <f>IF((OR(tbal[[#This Row],[X]]=0,tbal[[#This Row],[X]]=5)),tbal[[#This Row],[ACREEDOR]],0)</f>
        <v>0</v>
      </c>
    </row>
    <row r="1856" spans="1:14" hidden="1" x14ac:dyDescent="0.3">
      <c r="A1856" s="14">
        <f>+'PLAN DE CUENTAS'!A1856</f>
        <v>0</v>
      </c>
      <c r="B1856" s="13">
        <f>+'PLAN DE CUENTAS'!B1856</f>
        <v>0</v>
      </c>
      <c r="C1856" s="13">
        <f>+'PLAN DE CUENTAS'!C1856</f>
        <v>0</v>
      </c>
      <c r="D1856" t="str">
        <f>IF(tbal[[#This Row],[DEBE]]+tbal[[#This Row],[HABER]]=0,"","X")</f>
        <v/>
      </c>
      <c r="E1856" s="16">
        <f>SUMIF(tdiario[CUENTA],tbal[[#This Row],[CUENTA]],tdiario[DEBE])</f>
        <v>0</v>
      </c>
      <c r="F1856" s="17">
        <f>SUMIF(tdiario[CUENTA],tbal[[#This Row],[CUENTA]],tdiario[HABER])</f>
        <v>0</v>
      </c>
      <c r="G1856" s="16">
        <f>IF(tbal[[#This Row],[DEBE]]-tbal[[#This Row],[HABER]]&gt;0,tbal[[#This Row],[DEBE]]-tbal[[#This Row],[HABER]],0)</f>
        <v>0</v>
      </c>
      <c r="H1856" s="18">
        <f>IF(tbal[[#This Row],[HABER]]-tbal[[#This Row],[DEBE]]&gt;0,tbal[[#This Row],[HABER]]-tbal[[#This Row],[DEBE]],0)</f>
        <v>0</v>
      </c>
      <c r="I1856" s="16">
        <f>IF((OR(tbal[[#This Row],[X]]=1,tbal[[#This Row],[X]]=2)),tbal[[#This Row],[DEUDOR]],0)</f>
        <v>0</v>
      </c>
      <c r="J1856" s="18">
        <f>IF((OR(tbal[[#This Row],[X]]=2,tbal[[#This Row],[X]]=3)),tbal[[#This Row],[ACREEDOR]],0)</f>
        <v>0</v>
      </c>
      <c r="K1856" s="16">
        <f>IF((OR(tbal[[#This Row],[X]]=3,tbal[[#This Row],[X]]=5)),tbal[[#This Row],[DEUDOR]],0)</f>
        <v>0</v>
      </c>
      <c r="L1856" s="18">
        <f>IF((OR(tbal[[#This Row],[X]]=3,tbal[[#This Row],[X]]=4)),tbal[[#This Row],[ACREEDOR]],0)</f>
        <v>0</v>
      </c>
      <c r="M1856" s="16">
        <f>IF((OR(tbal[[#This Row],[X]]=0,tbal[[#This Row],[X]]=6)),tbal[[#This Row],[DEUDOR]],0)</f>
        <v>0</v>
      </c>
      <c r="N1856" s="18">
        <f>IF((OR(tbal[[#This Row],[X]]=0,tbal[[#This Row],[X]]=5)),tbal[[#This Row],[ACREEDOR]],0)</f>
        <v>0</v>
      </c>
    </row>
    <row r="1857" spans="1:14" hidden="1" x14ac:dyDescent="0.3">
      <c r="A1857" s="14">
        <f>+'PLAN DE CUENTAS'!A1857</f>
        <v>0</v>
      </c>
      <c r="B1857" s="13">
        <f>+'PLAN DE CUENTAS'!B1857</f>
        <v>0</v>
      </c>
      <c r="C1857" s="13">
        <f>+'PLAN DE CUENTAS'!C1857</f>
        <v>0</v>
      </c>
      <c r="D1857" t="str">
        <f>IF(tbal[[#This Row],[DEBE]]+tbal[[#This Row],[HABER]]=0,"","X")</f>
        <v/>
      </c>
      <c r="E1857" s="16">
        <f>SUMIF(tdiario[CUENTA],tbal[[#This Row],[CUENTA]],tdiario[DEBE])</f>
        <v>0</v>
      </c>
      <c r="F1857" s="17">
        <f>SUMIF(tdiario[CUENTA],tbal[[#This Row],[CUENTA]],tdiario[HABER])</f>
        <v>0</v>
      </c>
      <c r="G1857" s="16">
        <f>IF(tbal[[#This Row],[DEBE]]-tbal[[#This Row],[HABER]]&gt;0,tbal[[#This Row],[DEBE]]-tbal[[#This Row],[HABER]],0)</f>
        <v>0</v>
      </c>
      <c r="H1857" s="18">
        <f>IF(tbal[[#This Row],[HABER]]-tbal[[#This Row],[DEBE]]&gt;0,tbal[[#This Row],[HABER]]-tbal[[#This Row],[DEBE]],0)</f>
        <v>0</v>
      </c>
      <c r="I1857" s="16">
        <f>IF((OR(tbal[[#This Row],[X]]=1,tbal[[#This Row],[X]]=2)),tbal[[#This Row],[DEUDOR]],0)</f>
        <v>0</v>
      </c>
      <c r="J1857" s="18">
        <f>IF((OR(tbal[[#This Row],[X]]=2,tbal[[#This Row],[X]]=3)),tbal[[#This Row],[ACREEDOR]],0)</f>
        <v>0</v>
      </c>
      <c r="K1857" s="16">
        <f>IF((OR(tbal[[#This Row],[X]]=3,tbal[[#This Row],[X]]=5)),tbal[[#This Row],[DEUDOR]],0)</f>
        <v>0</v>
      </c>
      <c r="L1857" s="18">
        <f>IF((OR(tbal[[#This Row],[X]]=3,tbal[[#This Row],[X]]=4)),tbal[[#This Row],[ACREEDOR]],0)</f>
        <v>0</v>
      </c>
      <c r="M1857" s="16">
        <f>IF((OR(tbal[[#This Row],[X]]=0,tbal[[#This Row],[X]]=6)),tbal[[#This Row],[DEUDOR]],0)</f>
        <v>0</v>
      </c>
      <c r="N1857" s="18">
        <f>IF((OR(tbal[[#This Row],[X]]=0,tbal[[#This Row],[X]]=5)),tbal[[#This Row],[ACREEDOR]],0)</f>
        <v>0</v>
      </c>
    </row>
    <row r="1858" spans="1:14" hidden="1" x14ac:dyDescent="0.3">
      <c r="A1858" s="14">
        <f>+'PLAN DE CUENTAS'!A1858</f>
        <v>0</v>
      </c>
      <c r="B1858" s="13">
        <f>+'PLAN DE CUENTAS'!B1858</f>
        <v>0</v>
      </c>
      <c r="C1858" s="13">
        <f>+'PLAN DE CUENTAS'!C1858</f>
        <v>0</v>
      </c>
      <c r="D1858" t="str">
        <f>IF(tbal[[#This Row],[DEBE]]+tbal[[#This Row],[HABER]]=0,"","X")</f>
        <v/>
      </c>
      <c r="E1858" s="16">
        <f>SUMIF(tdiario[CUENTA],tbal[[#This Row],[CUENTA]],tdiario[DEBE])</f>
        <v>0</v>
      </c>
      <c r="F1858" s="17">
        <f>SUMIF(tdiario[CUENTA],tbal[[#This Row],[CUENTA]],tdiario[HABER])</f>
        <v>0</v>
      </c>
      <c r="G1858" s="16">
        <f>IF(tbal[[#This Row],[DEBE]]-tbal[[#This Row],[HABER]]&gt;0,tbal[[#This Row],[DEBE]]-tbal[[#This Row],[HABER]],0)</f>
        <v>0</v>
      </c>
      <c r="H1858" s="18">
        <f>IF(tbal[[#This Row],[HABER]]-tbal[[#This Row],[DEBE]]&gt;0,tbal[[#This Row],[HABER]]-tbal[[#This Row],[DEBE]],0)</f>
        <v>0</v>
      </c>
      <c r="I1858" s="16">
        <f>IF((OR(tbal[[#This Row],[X]]=1,tbal[[#This Row],[X]]=2)),tbal[[#This Row],[DEUDOR]],0)</f>
        <v>0</v>
      </c>
      <c r="J1858" s="18">
        <f>IF((OR(tbal[[#This Row],[X]]=2,tbal[[#This Row],[X]]=3)),tbal[[#This Row],[ACREEDOR]],0)</f>
        <v>0</v>
      </c>
      <c r="K1858" s="16">
        <f>IF((OR(tbal[[#This Row],[X]]=3,tbal[[#This Row],[X]]=5)),tbal[[#This Row],[DEUDOR]],0)</f>
        <v>0</v>
      </c>
      <c r="L1858" s="18">
        <f>IF((OR(tbal[[#This Row],[X]]=3,tbal[[#This Row],[X]]=4)),tbal[[#This Row],[ACREEDOR]],0)</f>
        <v>0</v>
      </c>
      <c r="M1858" s="16">
        <f>IF((OR(tbal[[#This Row],[X]]=0,tbal[[#This Row],[X]]=6)),tbal[[#This Row],[DEUDOR]],0)</f>
        <v>0</v>
      </c>
      <c r="N1858" s="18">
        <f>IF((OR(tbal[[#This Row],[X]]=0,tbal[[#This Row],[X]]=5)),tbal[[#This Row],[ACREEDOR]],0)</f>
        <v>0</v>
      </c>
    </row>
    <row r="1859" spans="1:14" hidden="1" x14ac:dyDescent="0.3">
      <c r="A1859" s="14">
        <f>+'PLAN DE CUENTAS'!A1859</f>
        <v>0</v>
      </c>
      <c r="B1859" s="13">
        <f>+'PLAN DE CUENTAS'!B1859</f>
        <v>0</v>
      </c>
      <c r="C1859" s="13">
        <f>+'PLAN DE CUENTAS'!C1859</f>
        <v>0</v>
      </c>
      <c r="D1859" t="str">
        <f>IF(tbal[[#This Row],[DEBE]]+tbal[[#This Row],[HABER]]=0,"","X")</f>
        <v/>
      </c>
      <c r="E1859" s="16">
        <f>SUMIF(tdiario[CUENTA],tbal[[#This Row],[CUENTA]],tdiario[DEBE])</f>
        <v>0</v>
      </c>
      <c r="F1859" s="17">
        <f>SUMIF(tdiario[CUENTA],tbal[[#This Row],[CUENTA]],tdiario[HABER])</f>
        <v>0</v>
      </c>
      <c r="G1859" s="16">
        <f>IF(tbal[[#This Row],[DEBE]]-tbal[[#This Row],[HABER]]&gt;0,tbal[[#This Row],[DEBE]]-tbal[[#This Row],[HABER]],0)</f>
        <v>0</v>
      </c>
      <c r="H1859" s="18">
        <f>IF(tbal[[#This Row],[HABER]]-tbal[[#This Row],[DEBE]]&gt;0,tbal[[#This Row],[HABER]]-tbal[[#This Row],[DEBE]],0)</f>
        <v>0</v>
      </c>
      <c r="I1859" s="16">
        <f>IF((OR(tbal[[#This Row],[X]]=1,tbal[[#This Row],[X]]=2)),tbal[[#This Row],[DEUDOR]],0)</f>
        <v>0</v>
      </c>
      <c r="J1859" s="18">
        <f>IF((OR(tbal[[#This Row],[X]]=2,tbal[[#This Row],[X]]=3)),tbal[[#This Row],[ACREEDOR]],0)</f>
        <v>0</v>
      </c>
      <c r="K1859" s="16">
        <f>IF((OR(tbal[[#This Row],[X]]=3,tbal[[#This Row],[X]]=5)),tbal[[#This Row],[DEUDOR]],0)</f>
        <v>0</v>
      </c>
      <c r="L1859" s="18">
        <f>IF((OR(tbal[[#This Row],[X]]=3,tbal[[#This Row],[X]]=4)),tbal[[#This Row],[ACREEDOR]],0)</f>
        <v>0</v>
      </c>
      <c r="M1859" s="16">
        <f>IF((OR(tbal[[#This Row],[X]]=0,tbal[[#This Row],[X]]=6)),tbal[[#This Row],[DEUDOR]],0)</f>
        <v>0</v>
      </c>
      <c r="N1859" s="18">
        <f>IF((OR(tbal[[#This Row],[X]]=0,tbal[[#This Row],[X]]=5)),tbal[[#This Row],[ACREEDOR]],0)</f>
        <v>0</v>
      </c>
    </row>
    <row r="1860" spans="1:14" hidden="1" x14ac:dyDescent="0.3">
      <c r="A1860" s="14">
        <f>+'PLAN DE CUENTAS'!A1860</f>
        <v>0</v>
      </c>
      <c r="B1860" s="13">
        <f>+'PLAN DE CUENTAS'!B1860</f>
        <v>0</v>
      </c>
      <c r="C1860" s="13">
        <f>+'PLAN DE CUENTAS'!C1860</f>
        <v>0</v>
      </c>
      <c r="D1860" t="str">
        <f>IF(tbal[[#This Row],[DEBE]]+tbal[[#This Row],[HABER]]=0,"","X")</f>
        <v/>
      </c>
      <c r="E1860" s="16">
        <f>SUMIF(tdiario[CUENTA],tbal[[#This Row],[CUENTA]],tdiario[DEBE])</f>
        <v>0</v>
      </c>
      <c r="F1860" s="17">
        <f>SUMIF(tdiario[CUENTA],tbal[[#This Row],[CUENTA]],tdiario[HABER])</f>
        <v>0</v>
      </c>
      <c r="G1860" s="16">
        <f>IF(tbal[[#This Row],[DEBE]]-tbal[[#This Row],[HABER]]&gt;0,tbal[[#This Row],[DEBE]]-tbal[[#This Row],[HABER]],0)</f>
        <v>0</v>
      </c>
      <c r="H1860" s="18">
        <f>IF(tbal[[#This Row],[HABER]]-tbal[[#This Row],[DEBE]]&gt;0,tbal[[#This Row],[HABER]]-tbal[[#This Row],[DEBE]],0)</f>
        <v>0</v>
      </c>
      <c r="I1860" s="16">
        <f>IF((OR(tbal[[#This Row],[X]]=1,tbal[[#This Row],[X]]=2)),tbal[[#This Row],[DEUDOR]],0)</f>
        <v>0</v>
      </c>
      <c r="J1860" s="18">
        <f>IF((OR(tbal[[#This Row],[X]]=2,tbal[[#This Row],[X]]=3)),tbal[[#This Row],[ACREEDOR]],0)</f>
        <v>0</v>
      </c>
      <c r="K1860" s="16">
        <f>IF((OR(tbal[[#This Row],[X]]=3,tbal[[#This Row],[X]]=5)),tbal[[#This Row],[DEUDOR]],0)</f>
        <v>0</v>
      </c>
      <c r="L1860" s="18">
        <f>IF((OR(tbal[[#This Row],[X]]=3,tbal[[#This Row],[X]]=4)),tbal[[#This Row],[ACREEDOR]],0)</f>
        <v>0</v>
      </c>
      <c r="M1860" s="16">
        <f>IF((OR(tbal[[#This Row],[X]]=0,tbal[[#This Row],[X]]=6)),tbal[[#This Row],[DEUDOR]],0)</f>
        <v>0</v>
      </c>
      <c r="N1860" s="18">
        <f>IF((OR(tbal[[#This Row],[X]]=0,tbal[[#This Row],[X]]=5)),tbal[[#This Row],[ACREEDOR]],0)</f>
        <v>0</v>
      </c>
    </row>
    <row r="1861" spans="1:14" hidden="1" x14ac:dyDescent="0.3">
      <c r="A1861" s="14">
        <f>+'PLAN DE CUENTAS'!A1861</f>
        <v>0</v>
      </c>
      <c r="B1861" s="13">
        <f>+'PLAN DE CUENTAS'!B1861</f>
        <v>0</v>
      </c>
      <c r="C1861" s="13">
        <f>+'PLAN DE CUENTAS'!C1861</f>
        <v>0</v>
      </c>
      <c r="D1861" t="str">
        <f>IF(tbal[[#This Row],[DEBE]]+tbal[[#This Row],[HABER]]=0,"","X")</f>
        <v/>
      </c>
      <c r="E1861" s="16">
        <f>SUMIF(tdiario[CUENTA],tbal[[#This Row],[CUENTA]],tdiario[DEBE])</f>
        <v>0</v>
      </c>
      <c r="F1861" s="17">
        <f>SUMIF(tdiario[CUENTA],tbal[[#This Row],[CUENTA]],tdiario[HABER])</f>
        <v>0</v>
      </c>
      <c r="G1861" s="16">
        <f>IF(tbal[[#This Row],[DEBE]]-tbal[[#This Row],[HABER]]&gt;0,tbal[[#This Row],[DEBE]]-tbal[[#This Row],[HABER]],0)</f>
        <v>0</v>
      </c>
      <c r="H1861" s="18">
        <f>IF(tbal[[#This Row],[HABER]]-tbal[[#This Row],[DEBE]]&gt;0,tbal[[#This Row],[HABER]]-tbal[[#This Row],[DEBE]],0)</f>
        <v>0</v>
      </c>
      <c r="I1861" s="16">
        <f>IF((OR(tbal[[#This Row],[X]]=1,tbal[[#This Row],[X]]=2)),tbal[[#This Row],[DEUDOR]],0)</f>
        <v>0</v>
      </c>
      <c r="J1861" s="18">
        <f>IF((OR(tbal[[#This Row],[X]]=2,tbal[[#This Row],[X]]=3)),tbal[[#This Row],[ACREEDOR]],0)</f>
        <v>0</v>
      </c>
      <c r="K1861" s="16">
        <f>IF((OR(tbal[[#This Row],[X]]=3,tbal[[#This Row],[X]]=5)),tbal[[#This Row],[DEUDOR]],0)</f>
        <v>0</v>
      </c>
      <c r="L1861" s="18">
        <f>IF((OR(tbal[[#This Row],[X]]=3,tbal[[#This Row],[X]]=4)),tbal[[#This Row],[ACREEDOR]],0)</f>
        <v>0</v>
      </c>
      <c r="M1861" s="16">
        <f>IF((OR(tbal[[#This Row],[X]]=0,tbal[[#This Row],[X]]=6)),tbal[[#This Row],[DEUDOR]],0)</f>
        <v>0</v>
      </c>
      <c r="N1861" s="18">
        <f>IF((OR(tbal[[#This Row],[X]]=0,tbal[[#This Row],[X]]=5)),tbal[[#This Row],[ACREEDOR]],0)</f>
        <v>0</v>
      </c>
    </row>
    <row r="1862" spans="1:14" hidden="1" x14ac:dyDescent="0.3">
      <c r="A1862" s="14">
        <f>+'PLAN DE CUENTAS'!A1862</f>
        <v>0</v>
      </c>
      <c r="B1862" s="13">
        <f>+'PLAN DE CUENTAS'!B1862</f>
        <v>0</v>
      </c>
      <c r="C1862" s="13">
        <f>+'PLAN DE CUENTAS'!C1862</f>
        <v>0</v>
      </c>
      <c r="D1862" t="str">
        <f>IF(tbal[[#This Row],[DEBE]]+tbal[[#This Row],[HABER]]=0,"","X")</f>
        <v/>
      </c>
      <c r="E1862" s="16">
        <f>SUMIF(tdiario[CUENTA],tbal[[#This Row],[CUENTA]],tdiario[DEBE])</f>
        <v>0</v>
      </c>
      <c r="F1862" s="17">
        <f>SUMIF(tdiario[CUENTA],tbal[[#This Row],[CUENTA]],tdiario[HABER])</f>
        <v>0</v>
      </c>
      <c r="G1862" s="16">
        <f>IF(tbal[[#This Row],[DEBE]]-tbal[[#This Row],[HABER]]&gt;0,tbal[[#This Row],[DEBE]]-tbal[[#This Row],[HABER]],0)</f>
        <v>0</v>
      </c>
      <c r="H1862" s="18">
        <f>IF(tbal[[#This Row],[HABER]]-tbal[[#This Row],[DEBE]]&gt;0,tbal[[#This Row],[HABER]]-tbal[[#This Row],[DEBE]],0)</f>
        <v>0</v>
      </c>
      <c r="I1862" s="16">
        <f>IF((OR(tbal[[#This Row],[X]]=1,tbal[[#This Row],[X]]=2)),tbal[[#This Row],[DEUDOR]],0)</f>
        <v>0</v>
      </c>
      <c r="J1862" s="18">
        <f>IF((OR(tbal[[#This Row],[X]]=2,tbal[[#This Row],[X]]=3)),tbal[[#This Row],[ACREEDOR]],0)</f>
        <v>0</v>
      </c>
      <c r="K1862" s="16">
        <f>IF((OR(tbal[[#This Row],[X]]=3,tbal[[#This Row],[X]]=5)),tbal[[#This Row],[DEUDOR]],0)</f>
        <v>0</v>
      </c>
      <c r="L1862" s="18">
        <f>IF((OR(tbal[[#This Row],[X]]=3,tbal[[#This Row],[X]]=4)),tbal[[#This Row],[ACREEDOR]],0)</f>
        <v>0</v>
      </c>
      <c r="M1862" s="16">
        <f>IF((OR(tbal[[#This Row],[X]]=0,tbal[[#This Row],[X]]=6)),tbal[[#This Row],[DEUDOR]],0)</f>
        <v>0</v>
      </c>
      <c r="N1862" s="18">
        <f>IF((OR(tbal[[#This Row],[X]]=0,tbal[[#This Row],[X]]=5)),tbal[[#This Row],[ACREEDOR]],0)</f>
        <v>0</v>
      </c>
    </row>
    <row r="1863" spans="1:14" hidden="1" x14ac:dyDescent="0.3">
      <c r="A1863" s="14">
        <f>+'PLAN DE CUENTAS'!A1863</f>
        <v>0</v>
      </c>
      <c r="B1863" s="13">
        <f>+'PLAN DE CUENTAS'!B1863</f>
        <v>0</v>
      </c>
      <c r="C1863" s="13">
        <f>+'PLAN DE CUENTAS'!C1863</f>
        <v>0</v>
      </c>
      <c r="D1863" t="str">
        <f>IF(tbal[[#This Row],[DEBE]]+tbal[[#This Row],[HABER]]=0,"","X")</f>
        <v/>
      </c>
      <c r="E1863" s="16">
        <f>SUMIF(tdiario[CUENTA],tbal[[#This Row],[CUENTA]],tdiario[DEBE])</f>
        <v>0</v>
      </c>
      <c r="F1863" s="17">
        <f>SUMIF(tdiario[CUENTA],tbal[[#This Row],[CUENTA]],tdiario[HABER])</f>
        <v>0</v>
      </c>
      <c r="G1863" s="16">
        <f>IF(tbal[[#This Row],[DEBE]]-tbal[[#This Row],[HABER]]&gt;0,tbal[[#This Row],[DEBE]]-tbal[[#This Row],[HABER]],0)</f>
        <v>0</v>
      </c>
      <c r="H1863" s="18">
        <f>IF(tbal[[#This Row],[HABER]]-tbal[[#This Row],[DEBE]]&gt;0,tbal[[#This Row],[HABER]]-tbal[[#This Row],[DEBE]],0)</f>
        <v>0</v>
      </c>
      <c r="I1863" s="16">
        <f>IF((OR(tbal[[#This Row],[X]]=1,tbal[[#This Row],[X]]=2)),tbal[[#This Row],[DEUDOR]],0)</f>
        <v>0</v>
      </c>
      <c r="J1863" s="18">
        <f>IF((OR(tbal[[#This Row],[X]]=2,tbal[[#This Row],[X]]=3)),tbal[[#This Row],[ACREEDOR]],0)</f>
        <v>0</v>
      </c>
      <c r="K1863" s="16">
        <f>IF((OR(tbal[[#This Row],[X]]=3,tbal[[#This Row],[X]]=5)),tbal[[#This Row],[DEUDOR]],0)</f>
        <v>0</v>
      </c>
      <c r="L1863" s="18">
        <f>IF((OR(tbal[[#This Row],[X]]=3,tbal[[#This Row],[X]]=4)),tbal[[#This Row],[ACREEDOR]],0)</f>
        <v>0</v>
      </c>
      <c r="M1863" s="16">
        <f>IF((OR(tbal[[#This Row],[X]]=0,tbal[[#This Row],[X]]=6)),tbal[[#This Row],[DEUDOR]],0)</f>
        <v>0</v>
      </c>
      <c r="N1863" s="18">
        <f>IF((OR(tbal[[#This Row],[X]]=0,tbal[[#This Row],[X]]=5)),tbal[[#This Row],[ACREEDOR]],0)</f>
        <v>0</v>
      </c>
    </row>
    <row r="1864" spans="1:14" hidden="1" x14ac:dyDescent="0.3">
      <c r="A1864" s="14">
        <f>+'PLAN DE CUENTAS'!A1864</f>
        <v>0</v>
      </c>
      <c r="B1864" s="13">
        <f>+'PLAN DE CUENTAS'!B1864</f>
        <v>0</v>
      </c>
      <c r="C1864" s="13">
        <f>+'PLAN DE CUENTAS'!C1864</f>
        <v>0</v>
      </c>
      <c r="D1864" t="str">
        <f>IF(tbal[[#This Row],[DEBE]]+tbal[[#This Row],[HABER]]=0,"","X")</f>
        <v/>
      </c>
      <c r="E1864" s="16">
        <f>SUMIF(tdiario[CUENTA],tbal[[#This Row],[CUENTA]],tdiario[DEBE])</f>
        <v>0</v>
      </c>
      <c r="F1864" s="17">
        <f>SUMIF(tdiario[CUENTA],tbal[[#This Row],[CUENTA]],tdiario[HABER])</f>
        <v>0</v>
      </c>
      <c r="G1864" s="16">
        <f>IF(tbal[[#This Row],[DEBE]]-tbal[[#This Row],[HABER]]&gt;0,tbal[[#This Row],[DEBE]]-tbal[[#This Row],[HABER]],0)</f>
        <v>0</v>
      </c>
      <c r="H1864" s="18">
        <f>IF(tbal[[#This Row],[HABER]]-tbal[[#This Row],[DEBE]]&gt;0,tbal[[#This Row],[HABER]]-tbal[[#This Row],[DEBE]],0)</f>
        <v>0</v>
      </c>
      <c r="I1864" s="16">
        <f>IF((OR(tbal[[#This Row],[X]]=1,tbal[[#This Row],[X]]=2)),tbal[[#This Row],[DEUDOR]],0)</f>
        <v>0</v>
      </c>
      <c r="J1864" s="18">
        <f>IF((OR(tbal[[#This Row],[X]]=2,tbal[[#This Row],[X]]=3)),tbal[[#This Row],[ACREEDOR]],0)</f>
        <v>0</v>
      </c>
      <c r="K1864" s="16">
        <f>IF((OR(tbal[[#This Row],[X]]=3,tbal[[#This Row],[X]]=5)),tbal[[#This Row],[DEUDOR]],0)</f>
        <v>0</v>
      </c>
      <c r="L1864" s="18">
        <f>IF((OR(tbal[[#This Row],[X]]=3,tbal[[#This Row],[X]]=4)),tbal[[#This Row],[ACREEDOR]],0)</f>
        <v>0</v>
      </c>
      <c r="M1864" s="16">
        <f>IF((OR(tbal[[#This Row],[X]]=0,tbal[[#This Row],[X]]=6)),tbal[[#This Row],[DEUDOR]],0)</f>
        <v>0</v>
      </c>
      <c r="N1864" s="18">
        <f>IF((OR(tbal[[#This Row],[X]]=0,tbal[[#This Row],[X]]=5)),tbal[[#This Row],[ACREEDOR]],0)</f>
        <v>0</v>
      </c>
    </row>
    <row r="1865" spans="1:14" hidden="1" x14ac:dyDescent="0.3">
      <c r="A1865" s="14">
        <f>+'PLAN DE CUENTAS'!A1865</f>
        <v>0</v>
      </c>
      <c r="B1865" s="13">
        <f>+'PLAN DE CUENTAS'!B1865</f>
        <v>0</v>
      </c>
      <c r="C1865" s="13">
        <f>+'PLAN DE CUENTAS'!C1865</f>
        <v>0</v>
      </c>
      <c r="D1865" t="str">
        <f>IF(tbal[[#This Row],[DEBE]]+tbal[[#This Row],[HABER]]=0,"","X")</f>
        <v/>
      </c>
      <c r="E1865" s="16">
        <f>SUMIF(tdiario[CUENTA],tbal[[#This Row],[CUENTA]],tdiario[DEBE])</f>
        <v>0</v>
      </c>
      <c r="F1865" s="17">
        <f>SUMIF(tdiario[CUENTA],tbal[[#This Row],[CUENTA]],tdiario[HABER])</f>
        <v>0</v>
      </c>
      <c r="G1865" s="16">
        <f>IF(tbal[[#This Row],[DEBE]]-tbal[[#This Row],[HABER]]&gt;0,tbal[[#This Row],[DEBE]]-tbal[[#This Row],[HABER]],0)</f>
        <v>0</v>
      </c>
      <c r="H1865" s="18">
        <f>IF(tbal[[#This Row],[HABER]]-tbal[[#This Row],[DEBE]]&gt;0,tbal[[#This Row],[HABER]]-tbal[[#This Row],[DEBE]],0)</f>
        <v>0</v>
      </c>
      <c r="I1865" s="16">
        <f>IF((OR(tbal[[#This Row],[X]]=1,tbal[[#This Row],[X]]=2)),tbal[[#This Row],[DEUDOR]],0)</f>
        <v>0</v>
      </c>
      <c r="J1865" s="18">
        <f>IF((OR(tbal[[#This Row],[X]]=2,tbal[[#This Row],[X]]=3)),tbal[[#This Row],[ACREEDOR]],0)</f>
        <v>0</v>
      </c>
      <c r="K1865" s="16">
        <f>IF((OR(tbal[[#This Row],[X]]=3,tbal[[#This Row],[X]]=5)),tbal[[#This Row],[DEUDOR]],0)</f>
        <v>0</v>
      </c>
      <c r="L1865" s="18">
        <f>IF((OR(tbal[[#This Row],[X]]=3,tbal[[#This Row],[X]]=4)),tbal[[#This Row],[ACREEDOR]],0)</f>
        <v>0</v>
      </c>
      <c r="M1865" s="16">
        <f>IF((OR(tbal[[#This Row],[X]]=0,tbal[[#This Row],[X]]=6)),tbal[[#This Row],[DEUDOR]],0)</f>
        <v>0</v>
      </c>
      <c r="N1865" s="18">
        <f>IF((OR(tbal[[#This Row],[X]]=0,tbal[[#This Row],[X]]=5)),tbal[[#This Row],[ACREEDOR]],0)</f>
        <v>0</v>
      </c>
    </row>
    <row r="1866" spans="1:14" hidden="1" x14ac:dyDescent="0.3">
      <c r="A1866" s="14">
        <f>+'PLAN DE CUENTAS'!A1866</f>
        <v>0</v>
      </c>
      <c r="B1866" s="13">
        <f>+'PLAN DE CUENTAS'!B1866</f>
        <v>0</v>
      </c>
      <c r="C1866" s="13">
        <f>+'PLAN DE CUENTAS'!C1866</f>
        <v>0</v>
      </c>
      <c r="D1866" t="str">
        <f>IF(tbal[[#This Row],[DEBE]]+tbal[[#This Row],[HABER]]=0,"","X")</f>
        <v/>
      </c>
      <c r="E1866" s="16">
        <f>SUMIF(tdiario[CUENTA],tbal[[#This Row],[CUENTA]],tdiario[DEBE])</f>
        <v>0</v>
      </c>
      <c r="F1866" s="17">
        <f>SUMIF(tdiario[CUENTA],tbal[[#This Row],[CUENTA]],tdiario[HABER])</f>
        <v>0</v>
      </c>
      <c r="G1866" s="16">
        <f>IF(tbal[[#This Row],[DEBE]]-tbal[[#This Row],[HABER]]&gt;0,tbal[[#This Row],[DEBE]]-tbal[[#This Row],[HABER]],0)</f>
        <v>0</v>
      </c>
      <c r="H1866" s="18">
        <f>IF(tbal[[#This Row],[HABER]]-tbal[[#This Row],[DEBE]]&gt;0,tbal[[#This Row],[HABER]]-tbal[[#This Row],[DEBE]],0)</f>
        <v>0</v>
      </c>
      <c r="I1866" s="16">
        <f>IF((OR(tbal[[#This Row],[X]]=1,tbal[[#This Row],[X]]=2)),tbal[[#This Row],[DEUDOR]],0)</f>
        <v>0</v>
      </c>
      <c r="J1866" s="18">
        <f>IF((OR(tbal[[#This Row],[X]]=2,tbal[[#This Row],[X]]=3)),tbal[[#This Row],[ACREEDOR]],0)</f>
        <v>0</v>
      </c>
      <c r="K1866" s="16">
        <f>IF((OR(tbal[[#This Row],[X]]=3,tbal[[#This Row],[X]]=5)),tbal[[#This Row],[DEUDOR]],0)</f>
        <v>0</v>
      </c>
      <c r="L1866" s="18">
        <f>IF((OR(tbal[[#This Row],[X]]=3,tbal[[#This Row],[X]]=4)),tbal[[#This Row],[ACREEDOR]],0)</f>
        <v>0</v>
      </c>
      <c r="M1866" s="16">
        <f>IF((OR(tbal[[#This Row],[X]]=0,tbal[[#This Row],[X]]=6)),tbal[[#This Row],[DEUDOR]],0)</f>
        <v>0</v>
      </c>
      <c r="N1866" s="18">
        <f>IF((OR(tbal[[#This Row],[X]]=0,tbal[[#This Row],[X]]=5)),tbal[[#This Row],[ACREEDOR]],0)</f>
        <v>0</v>
      </c>
    </row>
    <row r="1867" spans="1:14" hidden="1" x14ac:dyDescent="0.3">
      <c r="A1867" s="14">
        <f>+'PLAN DE CUENTAS'!A1867</f>
        <v>0</v>
      </c>
      <c r="B1867" s="13">
        <f>+'PLAN DE CUENTAS'!B1867</f>
        <v>0</v>
      </c>
      <c r="C1867" s="13">
        <f>+'PLAN DE CUENTAS'!C1867</f>
        <v>0</v>
      </c>
      <c r="D1867" t="str">
        <f>IF(tbal[[#This Row],[DEBE]]+tbal[[#This Row],[HABER]]=0,"","X")</f>
        <v/>
      </c>
      <c r="E1867" s="16">
        <f>SUMIF(tdiario[CUENTA],tbal[[#This Row],[CUENTA]],tdiario[DEBE])</f>
        <v>0</v>
      </c>
      <c r="F1867" s="17">
        <f>SUMIF(tdiario[CUENTA],tbal[[#This Row],[CUENTA]],tdiario[HABER])</f>
        <v>0</v>
      </c>
      <c r="G1867" s="16">
        <f>IF(tbal[[#This Row],[DEBE]]-tbal[[#This Row],[HABER]]&gt;0,tbal[[#This Row],[DEBE]]-tbal[[#This Row],[HABER]],0)</f>
        <v>0</v>
      </c>
      <c r="H1867" s="18">
        <f>IF(tbal[[#This Row],[HABER]]-tbal[[#This Row],[DEBE]]&gt;0,tbal[[#This Row],[HABER]]-tbal[[#This Row],[DEBE]],0)</f>
        <v>0</v>
      </c>
      <c r="I1867" s="16">
        <f>IF((OR(tbal[[#This Row],[X]]=1,tbal[[#This Row],[X]]=2)),tbal[[#This Row],[DEUDOR]],0)</f>
        <v>0</v>
      </c>
      <c r="J1867" s="18">
        <f>IF((OR(tbal[[#This Row],[X]]=2,tbal[[#This Row],[X]]=3)),tbal[[#This Row],[ACREEDOR]],0)</f>
        <v>0</v>
      </c>
      <c r="K1867" s="16">
        <f>IF((OR(tbal[[#This Row],[X]]=3,tbal[[#This Row],[X]]=5)),tbal[[#This Row],[DEUDOR]],0)</f>
        <v>0</v>
      </c>
      <c r="L1867" s="18">
        <f>IF((OR(tbal[[#This Row],[X]]=3,tbal[[#This Row],[X]]=4)),tbal[[#This Row],[ACREEDOR]],0)</f>
        <v>0</v>
      </c>
      <c r="M1867" s="16">
        <f>IF((OR(tbal[[#This Row],[X]]=0,tbal[[#This Row],[X]]=6)),tbal[[#This Row],[DEUDOR]],0)</f>
        <v>0</v>
      </c>
      <c r="N1867" s="18">
        <f>IF((OR(tbal[[#This Row],[X]]=0,tbal[[#This Row],[X]]=5)),tbal[[#This Row],[ACREEDOR]],0)</f>
        <v>0</v>
      </c>
    </row>
    <row r="1868" spans="1:14" hidden="1" x14ac:dyDescent="0.3">
      <c r="A1868" s="14">
        <f>+'PLAN DE CUENTAS'!A1868</f>
        <v>0</v>
      </c>
      <c r="B1868" s="13">
        <f>+'PLAN DE CUENTAS'!B1868</f>
        <v>0</v>
      </c>
      <c r="C1868" s="13">
        <f>+'PLAN DE CUENTAS'!C1868</f>
        <v>0</v>
      </c>
      <c r="D1868" t="str">
        <f>IF(tbal[[#This Row],[DEBE]]+tbal[[#This Row],[HABER]]=0,"","X")</f>
        <v/>
      </c>
      <c r="E1868" s="16">
        <f>SUMIF(tdiario[CUENTA],tbal[[#This Row],[CUENTA]],tdiario[DEBE])</f>
        <v>0</v>
      </c>
      <c r="F1868" s="17">
        <f>SUMIF(tdiario[CUENTA],tbal[[#This Row],[CUENTA]],tdiario[HABER])</f>
        <v>0</v>
      </c>
      <c r="G1868" s="16">
        <f>IF(tbal[[#This Row],[DEBE]]-tbal[[#This Row],[HABER]]&gt;0,tbal[[#This Row],[DEBE]]-tbal[[#This Row],[HABER]],0)</f>
        <v>0</v>
      </c>
      <c r="H1868" s="18">
        <f>IF(tbal[[#This Row],[HABER]]-tbal[[#This Row],[DEBE]]&gt;0,tbal[[#This Row],[HABER]]-tbal[[#This Row],[DEBE]],0)</f>
        <v>0</v>
      </c>
      <c r="I1868" s="16">
        <f>IF((OR(tbal[[#This Row],[X]]=1,tbal[[#This Row],[X]]=2)),tbal[[#This Row],[DEUDOR]],0)</f>
        <v>0</v>
      </c>
      <c r="J1868" s="18">
        <f>IF((OR(tbal[[#This Row],[X]]=2,tbal[[#This Row],[X]]=3)),tbal[[#This Row],[ACREEDOR]],0)</f>
        <v>0</v>
      </c>
      <c r="K1868" s="16">
        <f>IF((OR(tbal[[#This Row],[X]]=3,tbal[[#This Row],[X]]=5)),tbal[[#This Row],[DEUDOR]],0)</f>
        <v>0</v>
      </c>
      <c r="L1868" s="18">
        <f>IF((OR(tbal[[#This Row],[X]]=3,tbal[[#This Row],[X]]=4)),tbal[[#This Row],[ACREEDOR]],0)</f>
        <v>0</v>
      </c>
      <c r="M1868" s="16">
        <f>IF((OR(tbal[[#This Row],[X]]=0,tbal[[#This Row],[X]]=6)),tbal[[#This Row],[DEUDOR]],0)</f>
        <v>0</v>
      </c>
      <c r="N1868" s="18">
        <f>IF((OR(tbal[[#This Row],[X]]=0,tbal[[#This Row],[X]]=5)),tbal[[#This Row],[ACREEDOR]],0)</f>
        <v>0</v>
      </c>
    </row>
    <row r="1869" spans="1:14" hidden="1" x14ac:dyDescent="0.3">
      <c r="A1869" s="14">
        <f>+'PLAN DE CUENTAS'!A1869</f>
        <v>0</v>
      </c>
      <c r="B1869" s="13">
        <f>+'PLAN DE CUENTAS'!B1869</f>
        <v>0</v>
      </c>
      <c r="C1869" s="13">
        <f>+'PLAN DE CUENTAS'!C1869</f>
        <v>0</v>
      </c>
      <c r="D1869" t="str">
        <f>IF(tbal[[#This Row],[DEBE]]+tbal[[#This Row],[HABER]]=0,"","X")</f>
        <v/>
      </c>
      <c r="E1869" s="16">
        <f>SUMIF(tdiario[CUENTA],tbal[[#This Row],[CUENTA]],tdiario[DEBE])</f>
        <v>0</v>
      </c>
      <c r="F1869" s="17">
        <f>SUMIF(tdiario[CUENTA],tbal[[#This Row],[CUENTA]],tdiario[HABER])</f>
        <v>0</v>
      </c>
      <c r="G1869" s="16">
        <f>IF(tbal[[#This Row],[DEBE]]-tbal[[#This Row],[HABER]]&gt;0,tbal[[#This Row],[DEBE]]-tbal[[#This Row],[HABER]],0)</f>
        <v>0</v>
      </c>
      <c r="H1869" s="18">
        <f>IF(tbal[[#This Row],[HABER]]-tbal[[#This Row],[DEBE]]&gt;0,tbal[[#This Row],[HABER]]-tbal[[#This Row],[DEBE]],0)</f>
        <v>0</v>
      </c>
      <c r="I1869" s="16">
        <f>IF((OR(tbal[[#This Row],[X]]=1,tbal[[#This Row],[X]]=2)),tbal[[#This Row],[DEUDOR]],0)</f>
        <v>0</v>
      </c>
      <c r="J1869" s="18">
        <f>IF((OR(tbal[[#This Row],[X]]=2,tbal[[#This Row],[X]]=3)),tbal[[#This Row],[ACREEDOR]],0)</f>
        <v>0</v>
      </c>
      <c r="K1869" s="16">
        <f>IF((OR(tbal[[#This Row],[X]]=3,tbal[[#This Row],[X]]=5)),tbal[[#This Row],[DEUDOR]],0)</f>
        <v>0</v>
      </c>
      <c r="L1869" s="18">
        <f>IF((OR(tbal[[#This Row],[X]]=3,tbal[[#This Row],[X]]=4)),tbal[[#This Row],[ACREEDOR]],0)</f>
        <v>0</v>
      </c>
      <c r="M1869" s="16">
        <f>IF((OR(tbal[[#This Row],[X]]=0,tbal[[#This Row],[X]]=6)),tbal[[#This Row],[DEUDOR]],0)</f>
        <v>0</v>
      </c>
      <c r="N1869" s="18">
        <f>IF((OR(tbal[[#This Row],[X]]=0,tbal[[#This Row],[X]]=5)),tbal[[#This Row],[ACREEDOR]],0)</f>
        <v>0</v>
      </c>
    </row>
    <row r="1870" spans="1:14" hidden="1" x14ac:dyDescent="0.3">
      <c r="A1870" s="14">
        <f>+'PLAN DE CUENTAS'!A1870</f>
        <v>0</v>
      </c>
      <c r="B1870" s="13">
        <f>+'PLAN DE CUENTAS'!B1870</f>
        <v>0</v>
      </c>
      <c r="C1870" s="13">
        <f>+'PLAN DE CUENTAS'!C1870</f>
        <v>0</v>
      </c>
      <c r="D1870" t="str">
        <f>IF(tbal[[#This Row],[DEBE]]+tbal[[#This Row],[HABER]]=0,"","X")</f>
        <v/>
      </c>
      <c r="E1870" s="16">
        <f>SUMIF(tdiario[CUENTA],tbal[[#This Row],[CUENTA]],tdiario[DEBE])</f>
        <v>0</v>
      </c>
      <c r="F1870" s="17">
        <f>SUMIF(tdiario[CUENTA],tbal[[#This Row],[CUENTA]],tdiario[HABER])</f>
        <v>0</v>
      </c>
      <c r="G1870" s="16">
        <f>IF(tbal[[#This Row],[DEBE]]-tbal[[#This Row],[HABER]]&gt;0,tbal[[#This Row],[DEBE]]-tbal[[#This Row],[HABER]],0)</f>
        <v>0</v>
      </c>
      <c r="H1870" s="18">
        <f>IF(tbal[[#This Row],[HABER]]-tbal[[#This Row],[DEBE]]&gt;0,tbal[[#This Row],[HABER]]-tbal[[#This Row],[DEBE]],0)</f>
        <v>0</v>
      </c>
      <c r="I1870" s="16">
        <f>IF((OR(tbal[[#This Row],[X]]=1,tbal[[#This Row],[X]]=2)),tbal[[#This Row],[DEUDOR]],0)</f>
        <v>0</v>
      </c>
      <c r="J1870" s="18">
        <f>IF((OR(tbal[[#This Row],[X]]=2,tbal[[#This Row],[X]]=3)),tbal[[#This Row],[ACREEDOR]],0)</f>
        <v>0</v>
      </c>
      <c r="K1870" s="16">
        <f>IF((OR(tbal[[#This Row],[X]]=3,tbal[[#This Row],[X]]=5)),tbal[[#This Row],[DEUDOR]],0)</f>
        <v>0</v>
      </c>
      <c r="L1870" s="18">
        <f>IF((OR(tbal[[#This Row],[X]]=3,tbal[[#This Row],[X]]=4)),tbal[[#This Row],[ACREEDOR]],0)</f>
        <v>0</v>
      </c>
      <c r="M1870" s="16">
        <f>IF((OR(tbal[[#This Row],[X]]=0,tbal[[#This Row],[X]]=6)),tbal[[#This Row],[DEUDOR]],0)</f>
        <v>0</v>
      </c>
      <c r="N1870" s="18">
        <f>IF((OR(tbal[[#This Row],[X]]=0,tbal[[#This Row],[X]]=5)),tbal[[#This Row],[ACREEDOR]],0)</f>
        <v>0</v>
      </c>
    </row>
    <row r="1871" spans="1:14" hidden="1" x14ac:dyDescent="0.3">
      <c r="A1871" s="14">
        <f>+'PLAN DE CUENTAS'!A1871</f>
        <v>0</v>
      </c>
      <c r="B1871" s="13">
        <f>+'PLAN DE CUENTAS'!B1871</f>
        <v>0</v>
      </c>
      <c r="C1871" s="13">
        <f>+'PLAN DE CUENTAS'!C1871</f>
        <v>0</v>
      </c>
      <c r="D1871" t="str">
        <f>IF(tbal[[#This Row],[DEBE]]+tbal[[#This Row],[HABER]]=0,"","X")</f>
        <v/>
      </c>
      <c r="E1871" s="16">
        <f>SUMIF(tdiario[CUENTA],tbal[[#This Row],[CUENTA]],tdiario[DEBE])</f>
        <v>0</v>
      </c>
      <c r="F1871" s="17">
        <f>SUMIF(tdiario[CUENTA],tbal[[#This Row],[CUENTA]],tdiario[HABER])</f>
        <v>0</v>
      </c>
      <c r="G1871" s="16">
        <f>IF(tbal[[#This Row],[DEBE]]-tbal[[#This Row],[HABER]]&gt;0,tbal[[#This Row],[DEBE]]-tbal[[#This Row],[HABER]],0)</f>
        <v>0</v>
      </c>
      <c r="H1871" s="18">
        <f>IF(tbal[[#This Row],[HABER]]-tbal[[#This Row],[DEBE]]&gt;0,tbal[[#This Row],[HABER]]-tbal[[#This Row],[DEBE]],0)</f>
        <v>0</v>
      </c>
      <c r="I1871" s="16">
        <f>IF((OR(tbal[[#This Row],[X]]=1,tbal[[#This Row],[X]]=2)),tbal[[#This Row],[DEUDOR]],0)</f>
        <v>0</v>
      </c>
      <c r="J1871" s="18">
        <f>IF((OR(tbal[[#This Row],[X]]=2,tbal[[#This Row],[X]]=3)),tbal[[#This Row],[ACREEDOR]],0)</f>
        <v>0</v>
      </c>
      <c r="K1871" s="16">
        <f>IF((OR(tbal[[#This Row],[X]]=3,tbal[[#This Row],[X]]=5)),tbal[[#This Row],[DEUDOR]],0)</f>
        <v>0</v>
      </c>
      <c r="L1871" s="18">
        <f>IF((OR(tbal[[#This Row],[X]]=3,tbal[[#This Row],[X]]=4)),tbal[[#This Row],[ACREEDOR]],0)</f>
        <v>0</v>
      </c>
      <c r="M1871" s="16">
        <f>IF((OR(tbal[[#This Row],[X]]=0,tbal[[#This Row],[X]]=6)),tbal[[#This Row],[DEUDOR]],0)</f>
        <v>0</v>
      </c>
      <c r="N1871" s="18">
        <f>IF((OR(tbal[[#This Row],[X]]=0,tbal[[#This Row],[X]]=5)),tbal[[#This Row],[ACREEDOR]],0)</f>
        <v>0</v>
      </c>
    </row>
    <row r="1872" spans="1:14" hidden="1" x14ac:dyDescent="0.3">
      <c r="A1872" s="14">
        <f>+'PLAN DE CUENTAS'!A1872</f>
        <v>0</v>
      </c>
      <c r="B1872" s="13">
        <f>+'PLAN DE CUENTAS'!B1872</f>
        <v>0</v>
      </c>
      <c r="C1872" s="13">
        <f>+'PLAN DE CUENTAS'!C1872</f>
        <v>0</v>
      </c>
      <c r="D1872" t="str">
        <f>IF(tbal[[#This Row],[DEBE]]+tbal[[#This Row],[HABER]]=0,"","X")</f>
        <v/>
      </c>
      <c r="E1872" s="16">
        <f>SUMIF(tdiario[CUENTA],tbal[[#This Row],[CUENTA]],tdiario[DEBE])</f>
        <v>0</v>
      </c>
      <c r="F1872" s="17">
        <f>SUMIF(tdiario[CUENTA],tbal[[#This Row],[CUENTA]],tdiario[HABER])</f>
        <v>0</v>
      </c>
      <c r="G1872" s="16">
        <f>IF(tbal[[#This Row],[DEBE]]-tbal[[#This Row],[HABER]]&gt;0,tbal[[#This Row],[DEBE]]-tbal[[#This Row],[HABER]],0)</f>
        <v>0</v>
      </c>
      <c r="H1872" s="18">
        <f>IF(tbal[[#This Row],[HABER]]-tbal[[#This Row],[DEBE]]&gt;0,tbal[[#This Row],[HABER]]-tbal[[#This Row],[DEBE]],0)</f>
        <v>0</v>
      </c>
      <c r="I1872" s="16">
        <f>IF((OR(tbal[[#This Row],[X]]=1,tbal[[#This Row],[X]]=2)),tbal[[#This Row],[DEUDOR]],0)</f>
        <v>0</v>
      </c>
      <c r="J1872" s="18">
        <f>IF((OR(tbal[[#This Row],[X]]=2,tbal[[#This Row],[X]]=3)),tbal[[#This Row],[ACREEDOR]],0)</f>
        <v>0</v>
      </c>
      <c r="K1872" s="16">
        <f>IF((OR(tbal[[#This Row],[X]]=3,tbal[[#This Row],[X]]=5)),tbal[[#This Row],[DEUDOR]],0)</f>
        <v>0</v>
      </c>
      <c r="L1872" s="18">
        <f>IF((OR(tbal[[#This Row],[X]]=3,tbal[[#This Row],[X]]=4)),tbal[[#This Row],[ACREEDOR]],0)</f>
        <v>0</v>
      </c>
      <c r="M1872" s="16">
        <f>IF((OR(tbal[[#This Row],[X]]=0,tbal[[#This Row],[X]]=6)),tbal[[#This Row],[DEUDOR]],0)</f>
        <v>0</v>
      </c>
      <c r="N1872" s="18">
        <f>IF((OR(tbal[[#This Row],[X]]=0,tbal[[#This Row],[X]]=5)),tbal[[#This Row],[ACREEDOR]],0)</f>
        <v>0</v>
      </c>
    </row>
    <row r="1873" spans="1:14" hidden="1" x14ac:dyDescent="0.3">
      <c r="A1873" s="14">
        <f>+'PLAN DE CUENTAS'!A1873</f>
        <v>0</v>
      </c>
      <c r="B1873" s="13">
        <f>+'PLAN DE CUENTAS'!B1873</f>
        <v>0</v>
      </c>
      <c r="C1873" s="13">
        <f>+'PLAN DE CUENTAS'!C1873</f>
        <v>0</v>
      </c>
      <c r="D1873" t="str">
        <f>IF(tbal[[#This Row],[DEBE]]+tbal[[#This Row],[HABER]]=0,"","X")</f>
        <v/>
      </c>
      <c r="E1873" s="16">
        <f>SUMIF(tdiario[CUENTA],tbal[[#This Row],[CUENTA]],tdiario[DEBE])</f>
        <v>0</v>
      </c>
      <c r="F1873" s="17">
        <f>SUMIF(tdiario[CUENTA],tbal[[#This Row],[CUENTA]],tdiario[HABER])</f>
        <v>0</v>
      </c>
      <c r="G1873" s="16">
        <f>IF(tbal[[#This Row],[DEBE]]-tbal[[#This Row],[HABER]]&gt;0,tbal[[#This Row],[DEBE]]-tbal[[#This Row],[HABER]],0)</f>
        <v>0</v>
      </c>
      <c r="H1873" s="18">
        <f>IF(tbal[[#This Row],[HABER]]-tbal[[#This Row],[DEBE]]&gt;0,tbal[[#This Row],[HABER]]-tbal[[#This Row],[DEBE]],0)</f>
        <v>0</v>
      </c>
      <c r="I1873" s="16">
        <f>IF((OR(tbal[[#This Row],[X]]=1,tbal[[#This Row],[X]]=2)),tbal[[#This Row],[DEUDOR]],0)</f>
        <v>0</v>
      </c>
      <c r="J1873" s="18">
        <f>IF((OR(tbal[[#This Row],[X]]=2,tbal[[#This Row],[X]]=3)),tbal[[#This Row],[ACREEDOR]],0)</f>
        <v>0</v>
      </c>
      <c r="K1873" s="16">
        <f>IF((OR(tbal[[#This Row],[X]]=3,tbal[[#This Row],[X]]=5)),tbal[[#This Row],[DEUDOR]],0)</f>
        <v>0</v>
      </c>
      <c r="L1873" s="18">
        <f>IF((OR(tbal[[#This Row],[X]]=3,tbal[[#This Row],[X]]=4)),tbal[[#This Row],[ACREEDOR]],0)</f>
        <v>0</v>
      </c>
      <c r="M1873" s="16">
        <f>IF((OR(tbal[[#This Row],[X]]=0,tbal[[#This Row],[X]]=6)),tbal[[#This Row],[DEUDOR]],0)</f>
        <v>0</v>
      </c>
      <c r="N1873" s="18">
        <f>IF((OR(tbal[[#This Row],[X]]=0,tbal[[#This Row],[X]]=5)),tbal[[#This Row],[ACREEDOR]],0)</f>
        <v>0</v>
      </c>
    </row>
    <row r="1874" spans="1:14" hidden="1" x14ac:dyDescent="0.3">
      <c r="A1874" s="14">
        <f>+'PLAN DE CUENTAS'!A1874</f>
        <v>0</v>
      </c>
      <c r="B1874" s="13">
        <f>+'PLAN DE CUENTAS'!B1874</f>
        <v>0</v>
      </c>
      <c r="C1874" s="13">
        <f>+'PLAN DE CUENTAS'!C1874</f>
        <v>0</v>
      </c>
      <c r="D1874" t="str">
        <f>IF(tbal[[#This Row],[DEBE]]+tbal[[#This Row],[HABER]]=0,"","X")</f>
        <v/>
      </c>
      <c r="E1874" s="16">
        <f>SUMIF(tdiario[CUENTA],tbal[[#This Row],[CUENTA]],tdiario[DEBE])</f>
        <v>0</v>
      </c>
      <c r="F1874" s="17">
        <f>SUMIF(tdiario[CUENTA],tbal[[#This Row],[CUENTA]],tdiario[HABER])</f>
        <v>0</v>
      </c>
      <c r="G1874" s="16">
        <f>IF(tbal[[#This Row],[DEBE]]-tbal[[#This Row],[HABER]]&gt;0,tbal[[#This Row],[DEBE]]-tbal[[#This Row],[HABER]],0)</f>
        <v>0</v>
      </c>
      <c r="H1874" s="18">
        <f>IF(tbal[[#This Row],[HABER]]-tbal[[#This Row],[DEBE]]&gt;0,tbal[[#This Row],[HABER]]-tbal[[#This Row],[DEBE]],0)</f>
        <v>0</v>
      </c>
      <c r="I1874" s="16">
        <f>IF((OR(tbal[[#This Row],[X]]=1,tbal[[#This Row],[X]]=2)),tbal[[#This Row],[DEUDOR]],0)</f>
        <v>0</v>
      </c>
      <c r="J1874" s="18">
        <f>IF((OR(tbal[[#This Row],[X]]=2,tbal[[#This Row],[X]]=3)),tbal[[#This Row],[ACREEDOR]],0)</f>
        <v>0</v>
      </c>
      <c r="K1874" s="16">
        <f>IF((OR(tbal[[#This Row],[X]]=3,tbal[[#This Row],[X]]=5)),tbal[[#This Row],[DEUDOR]],0)</f>
        <v>0</v>
      </c>
      <c r="L1874" s="18">
        <f>IF((OR(tbal[[#This Row],[X]]=3,tbal[[#This Row],[X]]=4)),tbal[[#This Row],[ACREEDOR]],0)</f>
        <v>0</v>
      </c>
      <c r="M1874" s="16">
        <f>IF((OR(tbal[[#This Row],[X]]=0,tbal[[#This Row],[X]]=6)),tbal[[#This Row],[DEUDOR]],0)</f>
        <v>0</v>
      </c>
      <c r="N1874" s="18">
        <f>IF((OR(tbal[[#This Row],[X]]=0,tbal[[#This Row],[X]]=5)),tbal[[#This Row],[ACREEDOR]],0)</f>
        <v>0</v>
      </c>
    </row>
    <row r="1875" spans="1:14" hidden="1" x14ac:dyDescent="0.3">
      <c r="A1875" s="14">
        <f>+'PLAN DE CUENTAS'!A1875</f>
        <v>0</v>
      </c>
      <c r="B1875" s="13">
        <f>+'PLAN DE CUENTAS'!B1875</f>
        <v>0</v>
      </c>
      <c r="C1875" s="13">
        <f>+'PLAN DE CUENTAS'!C1875</f>
        <v>0</v>
      </c>
      <c r="D1875" t="str">
        <f>IF(tbal[[#This Row],[DEBE]]+tbal[[#This Row],[HABER]]=0,"","X")</f>
        <v/>
      </c>
      <c r="E1875" s="16">
        <f>SUMIF(tdiario[CUENTA],tbal[[#This Row],[CUENTA]],tdiario[DEBE])</f>
        <v>0</v>
      </c>
      <c r="F1875" s="17">
        <f>SUMIF(tdiario[CUENTA],tbal[[#This Row],[CUENTA]],tdiario[HABER])</f>
        <v>0</v>
      </c>
      <c r="G1875" s="16">
        <f>IF(tbal[[#This Row],[DEBE]]-tbal[[#This Row],[HABER]]&gt;0,tbal[[#This Row],[DEBE]]-tbal[[#This Row],[HABER]],0)</f>
        <v>0</v>
      </c>
      <c r="H1875" s="18">
        <f>IF(tbal[[#This Row],[HABER]]-tbal[[#This Row],[DEBE]]&gt;0,tbal[[#This Row],[HABER]]-tbal[[#This Row],[DEBE]],0)</f>
        <v>0</v>
      </c>
      <c r="I1875" s="16">
        <f>IF((OR(tbal[[#This Row],[X]]=1,tbal[[#This Row],[X]]=2)),tbal[[#This Row],[DEUDOR]],0)</f>
        <v>0</v>
      </c>
      <c r="J1875" s="18">
        <f>IF((OR(tbal[[#This Row],[X]]=2,tbal[[#This Row],[X]]=3)),tbal[[#This Row],[ACREEDOR]],0)</f>
        <v>0</v>
      </c>
      <c r="K1875" s="16">
        <f>IF((OR(tbal[[#This Row],[X]]=3,tbal[[#This Row],[X]]=5)),tbal[[#This Row],[DEUDOR]],0)</f>
        <v>0</v>
      </c>
      <c r="L1875" s="18">
        <f>IF((OR(tbal[[#This Row],[X]]=3,tbal[[#This Row],[X]]=4)),tbal[[#This Row],[ACREEDOR]],0)</f>
        <v>0</v>
      </c>
      <c r="M1875" s="16">
        <f>IF((OR(tbal[[#This Row],[X]]=0,tbal[[#This Row],[X]]=6)),tbal[[#This Row],[DEUDOR]],0)</f>
        <v>0</v>
      </c>
      <c r="N1875" s="18">
        <f>IF((OR(tbal[[#This Row],[X]]=0,tbal[[#This Row],[X]]=5)),tbal[[#This Row],[ACREEDOR]],0)</f>
        <v>0</v>
      </c>
    </row>
    <row r="1876" spans="1:14" hidden="1" x14ac:dyDescent="0.3">
      <c r="A1876" s="14">
        <f>+'PLAN DE CUENTAS'!A1876</f>
        <v>0</v>
      </c>
      <c r="B1876" s="13">
        <f>+'PLAN DE CUENTAS'!B1876</f>
        <v>0</v>
      </c>
      <c r="C1876" s="13">
        <f>+'PLAN DE CUENTAS'!C1876</f>
        <v>0</v>
      </c>
      <c r="D1876" t="str">
        <f>IF(tbal[[#This Row],[DEBE]]+tbal[[#This Row],[HABER]]=0,"","X")</f>
        <v/>
      </c>
      <c r="E1876" s="16">
        <f>SUMIF(tdiario[CUENTA],tbal[[#This Row],[CUENTA]],tdiario[DEBE])</f>
        <v>0</v>
      </c>
      <c r="F1876" s="17">
        <f>SUMIF(tdiario[CUENTA],tbal[[#This Row],[CUENTA]],tdiario[HABER])</f>
        <v>0</v>
      </c>
      <c r="G1876" s="16">
        <f>IF(tbal[[#This Row],[DEBE]]-tbal[[#This Row],[HABER]]&gt;0,tbal[[#This Row],[DEBE]]-tbal[[#This Row],[HABER]],0)</f>
        <v>0</v>
      </c>
      <c r="H1876" s="18">
        <f>IF(tbal[[#This Row],[HABER]]-tbal[[#This Row],[DEBE]]&gt;0,tbal[[#This Row],[HABER]]-tbal[[#This Row],[DEBE]],0)</f>
        <v>0</v>
      </c>
      <c r="I1876" s="16">
        <f>IF((OR(tbal[[#This Row],[X]]=1,tbal[[#This Row],[X]]=2)),tbal[[#This Row],[DEUDOR]],0)</f>
        <v>0</v>
      </c>
      <c r="J1876" s="18">
        <f>IF((OR(tbal[[#This Row],[X]]=2,tbal[[#This Row],[X]]=3)),tbal[[#This Row],[ACREEDOR]],0)</f>
        <v>0</v>
      </c>
      <c r="K1876" s="16">
        <f>IF((OR(tbal[[#This Row],[X]]=3,tbal[[#This Row],[X]]=5)),tbal[[#This Row],[DEUDOR]],0)</f>
        <v>0</v>
      </c>
      <c r="L1876" s="18">
        <f>IF((OR(tbal[[#This Row],[X]]=3,tbal[[#This Row],[X]]=4)),tbal[[#This Row],[ACREEDOR]],0)</f>
        <v>0</v>
      </c>
      <c r="M1876" s="16">
        <f>IF((OR(tbal[[#This Row],[X]]=0,tbal[[#This Row],[X]]=6)),tbal[[#This Row],[DEUDOR]],0)</f>
        <v>0</v>
      </c>
      <c r="N1876" s="18">
        <f>IF((OR(tbal[[#This Row],[X]]=0,tbal[[#This Row],[X]]=5)),tbal[[#This Row],[ACREEDOR]],0)</f>
        <v>0</v>
      </c>
    </row>
    <row r="1877" spans="1:14" hidden="1" x14ac:dyDescent="0.3">
      <c r="A1877" s="14">
        <f>+'PLAN DE CUENTAS'!A1877</f>
        <v>0</v>
      </c>
      <c r="B1877" s="13">
        <f>+'PLAN DE CUENTAS'!B1877</f>
        <v>0</v>
      </c>
      <c r="C1877" s="13">
        <f>+'PLAN DE CUENTAS'!C1877</f>
        <v>0</v>
      </c>
      <c r="D1877" t="str">
        <f>IF(tbal[[#This Row],[DEBE]]+tbal[[#This Row],[HABER]]=0,"","X")</f>
        <v/>
      </c>
      <c r="E1877" s="16">
        <f>SUMIF(tdiario[CUENTA],tbal[[#This Row],[CUENTA]],tdiario[DEBE])</f>
        <v>0</v>
      </c>
      <c r="F1877" s="17">
        <f>SUMIF(tdiario[CUENTA],tbal[[#This Row],[CUENTA]],tdiario[HABER])</f>
        <v>0</v>
      </c>
      <c r="G1877" s="16">
        <f>IF(tbal[[#This Row],[DEBE]]-tbal[[#This Row],[HABER]]&gt;0,tbal[[#This Row],[DEBE]]-tbal[[#This Row],[HABER]],0)</f>
        <v>0</v>
      </c>
      <c r="H1877" s="18">
        <f>IF(tbal[[#This Row],[HABER]]-tbal[[#This Row],[DEBE]]&gt;0,tbal[[#This Row],[HABER]]-tbal[[#This Row],[DEBE]],0)</f>
        <v>0</v>
      </c>
      <c r="I1877" s="16">
        <f>IF((OR(tbal[[#This Row],[X]]=1,tbal[[#This Row],[X]]=2)),tbal[[#This Row],[DEUDOR]],0)</f>
        <v>0</v>
      </c>
      <c r="J1877" s="18">
        <f>IF((OR(tbal[[#This Row],[X]]=2,tbal[[#This Row],[X]]=3)),tbal[[#This Row],[ACREEDOR]],0)</f>
        <v>0</v>
      </c>
      <c r="K1877" s="16">
        <f>IF((OR(tbal[[#This Row],[X]]=3,tbal[[#This Row],[X]]=5)),tbal[[#This Row],[DEUDOR]],0)</f>
        <v>0</v>
      </c>
      <c r="L1877" s="18">
        <f>IF((OR(tbal[[#This Row],[X]]=3,tbal[[#This Row],[X]]=4)),tbal[[#This Row],[ACREEDOR]],0)</f>
        <v>0</v>
      </c>
      <c r="M1877" s="16">
        <f>IF((OR(tbal[[#This Row],[X]]=0,tbal[[#This Row],[X]]=6)),tbal[[#This Row],[DEUDOR]],0)</f>
        <v>0</v>
      </c>
      <c r="N1877" s="18">
        <f>IF((OR(tbal[[#This Row],[X]]=0,tbal[[#This Row],[X]]=5)),tbal[[#This Row],[ACREEDOR]],0)</f>
        <v>0</v>
      </c>
    </row>
    <row r="1878" spans="1:14" hidden="1" x14ac:dyDescent="0.3">
      <c r="A1878" s="14">
        <f>+'PLAN DE CUENTAS'!A1878</f>
        <v>0</v>
      </c>
      <c r="B1878" s="13">
        <f>+'PLAN DE CUENTAS'!B1878</f>
        <v>0</v>
      </c>
      <c r="C1878" s="13">
        <f>+'PLAN DE CUENTAS'!C1878</f>
        <v>0</v>
      </c>
      <c r="D1878" t="str">
        <f>IF(tbal[[#This Row],[DEBE]]+tbal[[#This Row],[HABER]]=0,"","X")</f>
        <v/>
      </c>
      <c r="E1878" s="16">
        <f>SUMIF(tdiario[CUENTA],tbal[[#This Row],[CUENTA]],tdiario[DEBE])</f>
        <v>0</v>
      </c>
      <c r="F1878" s="17">
        <f>SUMIF(tdiario[CUENTA],tbal[[#This Row],[CUENTA]],tdiario[HABER])</f>
        <v>0</v>
      </c>
      <c r="G1878" s="16">
        <f>IF(tbal[[#This Row],[DEBE]]-tbal[[#This Row],[HABER]]&gt;0,tbal[[#This Row],[DEBE]]-tbal[[#This Row],[HABER]],0)</f>
        <v>0</v>
      </c>
      <c r="H1878" s="18">
        <f>IF(tbal[[#This Row],[HABER]]-tbal[[#This Row],[DEBE]]&gt;0,tbal[[#This Row],[HABER]]-tbal[[#This Row],[DEBE]],0)</f>
        <v>0</v>
      </c>
      <c r="I1878" s="16">
        <f>IF((OR(tbal[[#This Row],[X]]=1,tbal[[#This Row],[X]]=2)),tbal[[#This Row],[DEUDOR]],0)</f>
        <v>0</v>
      </c>
      <c r="J1878" s="18">
        <f>IF((OR(tbal[[#This Row],[X]]=2,tbal[[#This Row],[X]]=3)),tbal[[#This Row],[ACREEDOR]],0)</f>
        <v>0</v>
      </c>
      <c r="K1878" s="16">
        <f>IF((OR(tbal[[#This Row],[X]]=3,tbal[[#This Row],[X]]=5)),tbal[[#This Row],[DEUDOR]],0)</f>
        <v>0</v>
      </c>
      <c r="L1878" s="18">
        <f>IF((OR(tbal[[#This Row],[X]]=3,tbal[[#This Row],[X]]=4)),tbal[[#This Row],[ACREEDOR]],0)</f>
        <v>0</v>
      </c>
      <c r="M1878" s="16">
        <f>IF((OR(tbal[[#This Row],[X]]=0,tbal[[#This Row],[X]]=6)),tbal[[#This Row],[DEUDOR]],0)</f>
        <v>0</v>
      </c>
      <c r="N1878" s="18">
        <f>IF((OR(tbal[[#This Row],[X]]=0,tbal[[#This Row],[X]]=5)),tbal[[#This Row],[ACREEDOR]],0)</f>
        <v>0</v>
      </c>
    </row>
    <row r="1879" spans="1:14" hidden="1" x14ac:dyDescent="0.3">
      <c r="A1879" s="14">
        <f>+'PLAN DE CUENTAS'!A1879</f>
        <v>0</v>
      </c>
      <c r="B1879" s="13">
        <f>+'PLAN DE CUENTAS'!B1879</f>
        <v>0</v>
      </c>
      <c r="C1879" s="13">
        <f>+'PLAN DE CUENTAS'!C1879</f>
        <v>0</v>
      </c>
      <c r="D1879" t="str">
        <f>IF(tbal[[#This Row],[DEBE]]+tbal[[#This Row],[HABER]]=0,"","X")</f>
        <v/>
      </c>
      <c r="E1879" s="16">
        <f>SUMIF(tdiario[CUENTA],tbal[[#This Row],[CUENTA]],tdiario[DEBE])</f>
        <v>0</v>
      </c>
      <c r="F1879" s="17">
        <f>SUMIF(tdiario[CUENTA],tbal[[#This Row],[CUENTA]],tdiario[HABER])</f>
        <v>0</v>
      </c>
      <c r="G1879" s="16">
        <f>IF(tbal[[#This Row],[DEBE]]-tbal[[#This Row],[HABER]]&gt;0,tbal[[#This Row],[DEBE]]-tbal[[#This Row],[HABER]],0)</f>
        <v>0</v>
      </c>
      <c r="H1879" s="18">
        <f>IF(tbal[[#This Row],[HABER]]-tbal[[#This Row],[DEBE]]&gt;0,tbal[[#This Row],[HABER]]-tbal[[#This Row],[DEBE]],0)</f>
        <v>0</v>
      </c>
      <c r="I1879" s="16">
        <f>IF((OR(tbal[[#This Row],[X]]=1,tbal[[#This Row],[X]]=2)),tbal[[#This Row],[DEUDOR]],0)</f>
        <v>0</v>
      </c>
      <c r="J1879" s="18">
        <f>IF((OR(tbal[[#This Row],[X]]=2,tbal[[#This Row],[X]]=3)),tbal[[#This Row],[ACREEDOR]],0)</f>
        <v>0</v>
      </c>
      <c r="K1879" s="16">
        <f>IF((OR(tbal[[#This Row],[X]]=3,tbal[[#This Row],[X]]=5)),tbal[[#This Row],[DEUDOR]],0)</f>
        <v>0</v>
      </c>
      <c r="L1879" s="18">
        <f>IF((OR(tbal[[#This Row],[X]]=3,tbal[[#This Row],[X]]=4)),tbal[[#This Row],[ACREEDOR]],0)</f>
        <v>0</v>
      </c>
      <c r="M1879" s="16">
        <f>IF((OR(tbal[[#This Row],[X]]=0,tbal[[#This Row],[X]]=6)),tbal[[#This Row],[DEUDOR]],0)</f>
        <v>0</v>
      </c>
      <c r="N1879" s="18">
        <f>IF((OR(tbal[[#This Row],[X]]=0,tbal[[#This Row],[X]]=5)),tbal[[#This Row],[ACREEDOR]],0)</f>
        <v>0</v>
      </c>
    </row>
    <row r="1880" spans="1:14" hidden="1" x14ac:dyDescent="0.3">
      <c r="A1880" s="14">
        <f>+'PLAN DE CUENTAS'!A1880</f>
        <v>0</v>
      </c>
      <c r="B1880" s="13">
        <f>+'PLAN DE CUENTAS'!B1880</f>
        <v>0</v>
      </c>
      <c r="C1880" s="13">
        <f>+'PLAN DE CUENTAS'!C1880</f>
        <v>0</v>
      </c>
      <c r="D1880" t="str">
        <f>IF(tbal[[#This Row],[DEBE]]+tbal[[#This Row],[HABER]]=0,"","X")</f>
        <v/>
      </c>
      <c r="E1880" s="16">
        <f>SUMIF(tdiario[CUENTA],tbal[[#This Row],[CUENTA]],tdiario[DEBE])</f>
        <v>0</v>
      </c>
      <c r="F1880" s="17">
        <f>SUMIF(tdiario[CUENTA],tbal[[#This Row],[CUENTA]],tdiario[HABER])</f>
        <v>0</v>
      </c>
      <c r="G1880" s="16">
        <f>IF(tbal[[#This Row],[DEBE]]-tbal[[#This Row],[HABER]]&gt;0,tbal[[#This Row],[DEBE]]-tbal[[#This Row],[HABER]],0)</f>
        <v>0</v>
      </c>
      <c r="H1880" s="18">
        <f>IF(tbal[[#This Row],[HABER]]-tbal[[#This Row],[DEBE]]&gt;0,tbal[[#This Row],[HABER]]-tbal[[#This Row],[DEBE]],0)</f>
        <v>0</v>
      </c>
      <c r="I1880" s="16">
        <f>IF((OR(tbal[[#This Row],[X]]=1,tbal[[#This Row],[X]]=2)),tbal[[#This Row],[DEUDOR]],0)</f>
        <v>0</v>
      </c>
      <c r="J1880" s="18">
        <f>IF((OR(tbal[[#This Row],[X]]=2,tbal[[#This Row],[X]]=3)),tbal[[#This Row],[ACREEDOR]],0)</f>
        <v>0</v>
      </c>
      <c r="K1880" s="16">
        <f>IF((OR(tbal[[#This Row],[X]]=3,tbal[[#This Row],[X]]=5)),tbal[[#This Row],[DEUDOR]],0)</f>
        <v>0</v>
      </c>
      <c r="L1880" s="18">
        <f>IF((OR(tbal[[#This Row],[X]]=3,tbal[[#This Row],[X]]=4)),tbal[[#This Row],[ACREEDOR]],0)</f>
        <v>0</v>
      </c>
      <c r="M1880" s="16">
        <f>IF((OR(tbal[[#This Row],[X]]=0,tbal[[#This Row],[X]]=6)),tbal[[#This Row],[DEUDOR]],0)</f>
        <v>0</v>
      </c>
      <c r="N1880" s="18">
        <f>IF((OR(tbal[[#This Row],[X]]=0,tbal[[#This Row],[X]]=5)),tbal[[#This Row],[ACREEDOR]],0)</f>
        <v>0</v>
      </c>
    </row>
    <row r="1881" spans="1:14" hidden="1" x14ac:dyDescent="0.3">
      <c r="A1881" s="14">
        <f>+'PLAN DE CUENTAS'!A1881</f>
        <v>0</v>
      </c>
      <c r="B1881" s="13">
        <f>+'PLAN DE CUENTAS'!B1881</f>
        <v>0</v>
      </c>
      <c r="C1881" s="13">
        <f>+'PLAN DE CUENTAS'!C1881</f>
        <v>0</v>
      </c>
      <c r="D1881" t="str">
        <f>IF(tbal[[#This Row],[DEBE]]+tbal[[#This Row],[HABER]]=0,"","X")</f>
        <v/>
      </c>
      <c r="E1881" s="16">
        <f>SUMIF(tdiario[CUENTA],tbal[[#This Row],[CUENTA]],tdiario[DEBE])</f>
        <v>0</v>
      </c>
      <c r="F1881" s="17">
        <f>SUMIF(tdiario[CUENTA],tbal[[#This Row],[CUENTA]],tdiario[HABER])</f>
        <v>0</v>
      </c>
      <c r="G1881" s="16">
        <f>IF(tbal[[#This Row],[DEBE]]-tbal[[#This Row],[HABER]]&gt;0,tbal[[#This Row],[DEBE]]-tbal[[#This Row],[HABER]],0)</f>
        <v>0</v>
      </c>
      <c r="H1881" s="18">
        <f>IF(tbal[[#This Row],[HABER]]-tbal[[#This Row],[DEBE]]&gt;0,tbal[[#This Row],[HABER]]-tbal[[#This Row],[DEBE]],0)</f>
        <v>0</v>
      </c>
      <c r="I1881" s="16">
        <f>IF((OR(tbal[[#This Row],[X]]=1,tbal[[#This Row],[X]]=2)),tbal[[#This Row],[DEUDOR]],0)</f>
        <v>0</v>
      </c>
      <c r="J1881" s="18">
        <f>IF((OR(tbal[[#This Row],[X]]=2,tbal[[#This Row],[X]]=3)),tbal[[#This Row],[ACREEDOR]],0)</f>
        <v>0</v>
      </c>
      <c r="K1881" s="16">
        <f>IF((OR(tbal[[#This Row],[X]]=3,tbal[[#This Row],[X]]=5)),tbal[[#This Row],[DEUDOR]],0)</f>
        <v>0</v>
      </c>
      <c r="L1881" s="18">
        <f>IF((OR(tbal[[#This Row],[X]]=3,tbal[[#This Row],[X]]=4)),tbal[[#This Row],[ACREEDOR]],0)</f>
        <v>0</v>
      </c>
      <c r="M1881" s="16">
        <f>IF((OR(tbal[[#This Row],[X]]=0,tbal[[#This Row],[X]]=6)),tbal[[#This Row],[DEUDOR]],0)</f>
        <v>0</v>
      </c>
      <c r="N1881" s="18">
        <f>IF((OR(tbal[[#This Row],[X]]=0,tbal[[#This Row],[X]]=5)),tbal[[#This Row],[ACREEDOR]],0)</f>
        <v>0</v>
      </c>
    </row>
    <row r="1882" spans="1:14" hidden="1" x14ac:dyDescent="0.3">
      <c r="A1882" s="14">
        <f>+'PLAN DE CUENTAS'!A1882</f>
        <v>0</v>
      </c>
      <c r="B1882" s="13">
        <f>+'PLAN DE CUENTAS'!B1882</f>
        <v>0</v>
      </c>
      <c r="C1882" s="13">
        <f>+'PLAN DE CUENTAS'!C1882</f>
        <v>0</v>
      </c>
      <c r="D1882" t="str">
        <f>IF(tbal[[#This Row],[DEBE]]+tbal[[#This Row],[HABER]]=0,"","X")</f>
        <v/>
      </c>
      <c r="E1882" s="16">
        <f>SUMIF(tdiario[CUENTA],tbal[[#This Row],[CUENTA]],tdiario[DEBE])</f>
        <v>0</v>
      </c>
      <c r="F1882" s="17">
        <f>SUMIF(tdiario[CUENTA],tbal[[#This Row],[CUENTA]],tdiario[HABER])</f>
        <v>0</v>
      </c>
      <c r="G1882" s="16">
        <f>IF(tbal[[#This Row],[DEBE]]-tbal[[#This Row],[HABER]]&gt;0,tbal[[#This Row],[DEBE]]-tbal[[#This Row],[HABER]],0)</f>
        <v>0</v>
      </c>
      <c r="H1882" s="18">
        <f>IF(tbal[[#This Row],[HABER]]-tbal[[#This Row],[DEBE]]&gt;0,tbal[[#This Row],[HABER]]-tbal[[#This Row],[DEBE]],0)</f>
        <v>0</v>
      </c>
      <c r="I1882" s="16">
        <f>IF((OR(tbal[[#This Row],[X]]=1,tbal[[#This Row],[X]]=2)),tbal[[#This Row],[DEUDOR]],0)</f>
        <v>0</v>
      </c>
      <c r="J1882" s="18">
        <f>IF((OR(tbal[[#This Row],[X]]=2,tbal[[#This Row],[X]]=3)),tbal[[#This Row],[ACREEDOR]],0)</f>
        <v>0</v>
      </c>
      <c r="K1882" s="16">
        <f>IF((OR(tbal[[#This Row],[X]]=3,tbal[[#This Row],[X]]=5)),tbal[[#This Row],[DEUDOR]],0)</f>
        <v>0</v>
      </c>
      <c r="L1882" s="18">
        <f>IF((OR(tbal[[#This Row],[X]]=3,tbal[[#This Row],[X]]=4)),tbal[[#This Row],[ACREEDOR]],0)</f>
        <v>0</v>
      </c>
      <c r="M1882" s="16">
        <f>IF((OR(tbal[[#This Row],[X]]=0,tbal[[#This Row],[X]]=6)),tbal[[#This Row],[DEUDOR]],0)</f>
        <v>0</v>
      </c>
      <c r="N1882" s="18">
        <f>IF((OR(tbal[[#This Row],[X]]=0,tbal[[#This Row],[X]]=5)),tbal[[#This Row],[ACREEDOR]],0)</f>
        <v>0</v>
      </c>
    </row>
    <row r="1883" spans="1:14" hidden="1" x14ac:dyDescent="0.3">
      <c r="A1883" s="14">
        <f>+'PLAN DE CUENTAS'!A1883</f>
        <v>0</v>
      </c>
      <c r="B1883" s="13">
        <f>+'PLAN DE CUENTAS'!B1883</f>
        <v>0</v>
      </c>
      <c r="C1883" s="13">
        <f>+'PLAN DE CUENTAS'!C1883</f>
        <v>0</v>
      </c>
      <c r="D1883" t="str">
        <f>IF(tbal[[#This Row],[DEBE]]+tbal[[#This Row],[HABER]]=0,"","X")</f>
        <v/>
      </c>
      <c r="E1883" s="16">
        <f>SUMIF(tdiario[CUENTA],tbal[[#This Row],[CUENTA]],tdiario[DEBE])</f>
        <v>0</v>
      </c>
      <c r="F1883" s="17">
        <f>SUMIF(tdiario[CUENTA],tbal[[#This Row],[CUENTA]],tdiario[HABER])</f>
        <v>0</v>
      </c>
      <c r="G1883" s="16">
        <f>IF(tbal[[#This Row],[DEBE]]-tbal[[#This Row],[HABER]]&gt;0,tbal[[#This Row],[DEBE]]-tbal[[#This Row],[HABER]],0)</f>
        <v>0</v>
      </c>
      <c r="H1883" s="18">
        <f>IF(tbal[[#This Row],[HABER]]-tbal[[#This Row],[DEBE]]&gt;0,tbal[[#This Row],[HABER]]-tbal[[#This Row],[DEBE]],0)</f>
        <v>0</v>
      </c>
      <c r="I1883" s="16">
        <f>IF((OR(tbal[[#This Row],[X]]=1,tbal[[#This Row],[X]]=2)),tbal[[#This Row],[DEUDOR]],0)</f>
        <v>0</v>
      </c>
      <c r="J1883" s="18">
        <f>IF((OR(tbal[[#This Row],[X]]=2,tbal[[#This Row],[X]]=3)),tbal[[#This Row],[ACREEDOR]],0)</f>
        <v>0</v>
      </c>
      <c r="K1883" s="16">
        <f>IF((OR(tbal[[#This Row],[X]]=3,tbal[[#This Row],[X]]=5)),tbal[[#This Row],[DEUDOR]],0)</f>
        <v>0</v>
      </c>
      <c r="L1883" s="18">
        <f>IF((OR(tbal[[#This Row],[X]]=3,tbal[[#This Row],[X]]=4)),tbal[[#This Row],[ACREEDOR]],0)</f>
        <v>0</v>
      </c>
      <c r="M1883" s="16">
        <f>IF((OR(tbal[[#This Row],[X]]=0,tbal[[#This Row],[X]]=6)),tbal[[#This Row],[DEUDOR]],0)</f>
        <v>0</v>
      </c>
      <c r="N1883" s="18">
        <f>IF((OR(tbal[[#This Row],[X]]=0,tbal[[#This Row],[X]]=5)),tbal[[#This Row],[ACREEDOR]],0)</f>
        <v>0</v>
      </c>
    </row>
    <row r="1884" spans="1:14" hidden="1" x14ac:dyDescent="0.3">
      <c r="A1884" s="14">
        <f>+'PLAN DE CUENTAS'!A1884</f>
        <v>0</v>
      </c>
      <c r="B1884" s="13">
        <f>+'PLAN DE CUENTAS'!B1884</f>
        <v>0</v>
      </c>
      <c r="C1884" s="13">
        <f>+'PLAN DE CUENTAS'!C1884</f>
        <v>0</v>
      </c>
      <c r="D1884" t="str">
        <f>IF(tbal[[#This Row],[DEBE]]+tbal[[#This Row],[HABER]]=0,"","X")</f>
        <v/>
      </c>
      <c r="E1884" s="16">
        <f>SUMIF(tdiario[CUENTA],tbal[[#This Row],[CUENTA]],tdiario[DEBE])</f>
        <v>0</v>
      </c>
      <c r="F1884" s="17">
        <f>SUMIF(tdiario[CUENTA],tbal[[#This Row],[CUENTA]],tdiario[HABER])</f>
        <v>0</v>
      </c>
      <c r="G1884" s="16">
        <f>IF(tbal[[#This Row],[DEBE]]-tbal[[#This Row],[HABER]]&gt;0,tbal[[#This Row],[DEBE]]-tbal[[#This Row],[HABER]],0)</f>
        <v>0</v>
      </c>
      <c r="H1884" s="18">
        <f>IF(tbal[[#This Row],[HABER]]-tbal[[#This Row],[DEBE]]&gt;0,tbal[[#This Row],[HABER]]-tbal[[#This Row],[DEBE]],0)</f>
        <v>0</v>
      </c>
      <c r="I1884" s="16">
        <f>IF((OR(tbal[[#This Row],[X]]=1,tbal[[#This Row],[X]]=2)),tbal[[#This Row],[DEUDOR]],0)</f>
        <v>0</v>
      </c>
      <c r="J1884" s="18">
        <f>IF((OR(tbal[[#This Row],[X]]=2,tbal[[#This Row],[X]]=3)),tbal[[#This Row],[ACREEDOR]],0)</f>
        <v>0</v>
      </c>
      <c r="K1884" s="16">
        <f>IF((OR(tbal[[#This Row],[X]]=3,tbal[[#This Row],[X]]=5)),tbal[[#This Row],[DEUDOR]],0)</f>
        <v>0</v>
      </c>
      <c r="L1884" s="18">
        <f>IF((OR(tbal[[#This Row],[X]]=3,tbal[[#This Row],[X]]=4)),tbal[[#This Row],[ACREEDOR]],0)</f>
        <v>0</v>
      </c>
      <c r="M1884" s="16">
        <f>IF((OR(tbal[[#This Row],[X]]=0,tbal[[#This Row],[X]]=6)),tbal[[#This Row],[DEUDOR]],0)</f>
        <v>0</v>
      </c>
      <c r="N1884" s="18">
        <f>IF((OR(tbal[[#This Row],[X]]=0,tbal[[#This Row],[X]]=5)),tbal[[#This Row],[ACREEDOR]],0)</f>
        <v>0</v>
      </c>
    </row>
    <row r="1885" spans="1:14" hidden="1" x14ac:dyDescent="0.3">
      <c r="A1885" s="14">
        <f>+'PLAN DE CUENTAS'!A1885</f>
        <v>0</v>
      </c>
      <c r="B1885" s="13">
        <f>+'PLAN DE CUENTAS'!B1885</f>
        <v>0</v>
      </c>
      <c r="C1885" s="13">
        <f>+'PLAN DE CUENTAS'!C1885</f>
        <v>0</v>
      </c>
      <c r="D1885" t="str">
        <f>IF(tbal[[#This Row],[DEBE]]+tbal[[#This Row],[HABER]]=0,"","X")</f>
        <v/>
      </c>
      <c r="E1885" s="16">
        <f>SUMIF(tdiario[CUENTA],tbal[[#This Row],[CUENTA]],tdiario[DEBE])</f>
        <v>0</v>
      </c>
      <c r="F1885" s="17">
        <f>SUMIF(tdiario[CUENTA],tbal[[#This Row],[CUENTA]],tdiario[HABER])</f>
        <v>0</v>
      </c>
      <c r="G1885" s="16">
        <f>IF(tbal[[#This Row],[DEBE]]-tbal[[#This Row],[HABER]]&gt;0,tbal[[#This Row],[DEBE]]-tbal[[#This Row],[HABER]],0)</f>
        <v>0</v>
      </c>
      <c r="H1885" s="18">
        <f>IF(tbal[[#This Row],[HABER]]-tbal[[#This Row],[DEBE]]&gt;0,tbal[[#This Row],[HABER]]-tbal[[#This Row],[DEBE]],0)</f>
        <v>0</v>
      </c>
      <c r="I1885" s="16">
        <f>IF((OR(tbal[[#This Row],[X]]=1,tbal[[#This Row],[X]]=2)),tbal[[#This Row],[DEUDOR]],0)</f>
        <v>0</v>
      </c>
      <c r="J1885" s="18">
        <f>IF((OR(tbal[[#This Row],[X]]=2,tbal[[#This Row],[X]]=3)),tbal[[#This Row],[ACREEDOR]],0)</f>
        <v>0</v>
      </c>
      <c r="K1885" s="16">
        <f>IF((OR(tbal[[#This Row],[X]]=3,tbal[[#This Row],[X]]=5)),tbal[[#This Row],[DEUDOR]],0)</f>
        <v>0</v>
      </c>
      <c r="L1885" s="18">
        <f>IF((OR(tbal[[#This Row],[X]]=3,tbal[[#This Row],[X]]=4)),tbal[[#This Row],[ACREEDOR]],0)</f>
        <v>0</v>
      </c>
      <c r="M1885" s="16">
        <f>IF((OR(tbal[[#This Row],[X]]=0,tbal[[#This Row],[X]]=6)),tbal[[#This Row],[DEUDOR]],0)</f>
        <v>0</v>
      </c>
      <c r="N1885" s="18">
        <f>IF((OR(tbal[[#This Row],[X]]=0,tbal[[#This Row],[X]]=5)),tbal[[#This Row],[ACREEDOR]],0)</f>
        <v>0</v>
      </c>
    </row>
    <row r="1886" spans="1:14" hidden="1" x14ac:dyDescent="0.3">
      <c r="A1886" s="14">
        <f>+'PLAN DE CUENTAS'!A1886</f>
        <v>0</v>
      </c>
      <c r="B1886" s="13">
        <f>+'PLAN DE CUENTAS'!B1886</f>
        <v>0</v>
      </c>
      <c r="C1886" s="13">
        <f>+'PLAN DE CUENTAS'!C1886</f>
        <v>0</v>
      </c>
      <c r="D1886" t="str">
        <f>IF(tbal[[#This Row],[DEBE]]+tbal[[#This Row],[HABER]]=0,"","X")</f>
        <v/>
      </c>
      <c r="E1886" s="16">
        <f>SUMIF(tdiario[CUENTA],tbal[[#This Row],[CUENTA]],tdiario[DEBE])</f>
        <v>0</v>
      </c>
      <c r="F1886" s="17">
        <f>SUMIF(tdiario[CUENTA],tbal[[#This Row],[CUENTA]],tdiario[HABER])</f>
        <v>0</v>
      </c>
      <c r="G1886" s="16">
        <f>IF(tbal[[#This Row],[DEBE]]-tbal[[#This Row],[HABER]]&gt;0,tbal[[#This Row],[DEBE]]-tbal[[#This Row],[HABER]],0)</f>
        <v>0</v>
      </c>
      <c r="H1886" s="18">
        <f>IF(tbal[[#This Row],[HABER]]-tbal[[#This Row],[DEBE]]&gt;0,tbal[[#This Row],[HABER]]-tbal[[#This Row],[DEBE]],0)</f>
        <v>0</v>
      </c>
      <c r="I1886" s="16">
        <f>IF((OR(tbal[[#This Row],[X]]=1,tbal[[#This Row],[X]]=2)),tbal[[#This Row],[DEUDOR]],0)</f>
        <v>0</v>
      </c>
      <c r="J1886" s="18">
        <f>IF((OR(tbal[[#This Row],[X]]=2,tbal[[#This Row],[X]]=3)),tbal[[#This Row],[ACREEDOR]],0)</f>
        <v>0</v>
      </c>
      <c r="K1886" s="16">
        <f>IF((OR(tbal[[#This Row],[X]]=3,tbal[[#This Row],[X]]=5)),tbal[[#This Row],[DEUDOR]],0)</f>
        <v>0</v>
      </c>
      <c r="L1886" s="18">
        <f>IF((OR(tbal[[#This Row],[X]]=3,tbal[[#This Row],[X]]=4)),tbal[[#This Row],[ACREEDOR]],0)</f>
        <v>0</v>
      </c>
      <c r="M1886" s="16">
        <f>IF((OR(tbal[[#This Row],[X]]=0,tbal[[#This Row],[X]]=6)),tbal[[#This Row],[DEUDOR]],0)</f>
        <v>0</v>
      </c>
      <c r="N1886" s="18">
        <f>IF((OR(tbal[[#This Row],[X]]=0,tbal[[#This Row],[X]]=5)),tbal[[#This Row],[ACREEDOR]],0)</f>
        <v>0</v>
      </c>
    </row>
    <row r="1887" spans="1:14" hidden="1" x14ac:dyDescent="0.3">
      <c r="A1887" s="14">
        <f>+'PLAN DE CUENTAS'!A1887</f>
        <v>0</v>
      </c>
      <c r="B1887" s="13">
        <f>+'PLAN DE CUENTAS'!B1887</f>
        <v>0</v>
      </c>
      <c r="C1887" s="13">
        <f>+'PLAN DE CUENTAS'!C1887</f>
        <v>0</v>
      </c>
      <c r="D1887" t="str">
        <f>IF(tbal[[#This Row],[DEBE]]+tbal[[#This Row],[HABER]]=0,"","X")</f>
        <v/>
      </c>
      <c r="E1887" s="16">
        <f>SUMIF(tdiario[CUENTA],tbal[[#This Row],[CUENTA]],tdiario[DEBE])</f>
        <v>0</v>
      </c>
      <c r="F1887" s="17">
        <f>SUMIF(tdiario[CUENTA],tbal[[#This Row],[CUENTA]],tdiario[HABER])</f>
        <v>0</v>
      </c>
      <c r="G1887" s="16">
        <f>IF(tbal[[#This Row],[DEBE]]-tbal[[#This Row],[HABER]]&gt;0,tbal[[#This Row],[DEBE]]-tbal[[#This Row],[HABER]],0)</f>
        <v>0</v>
      </c>
      <c r="H1887" s="18">
        <f>IF(tbal[[#This Row],[HABER]]-tbal[[#This Row],[DEBE]]&gt;0,tbal[[#This Row],[HABER]]-tbal[[#This Row],[DEBE]],0)</f>
        <v>0</v>
      </c>
      <c r="I1887" s="16">
        <f>IF((OR(tbal[[#This Row],[X]]=1,tbal[[#This Row],[X]]=2)),tbal[[#This Row],[DEUDOR]],0)</f>
        <v>0</v>
      </c>
      <c r="J1887" s="18">
        <f>IF((OR(tbal[[#This Row],[X]]=2,tbal[[#This Row],[X]]=3)),tbal[[#This Row],[ACREEDOR]],0)</f>
        <v>0</v>
      </c>
      <c r="K1887" s="16">
        <f>IF((OR(tbal[[#This Row],[X]]=3,tbal[[#This Row],[X]]=5)),tbal[[#This Row],[DEUDOR]],0)</f>
        <v>0</v>
      </c>
      <c r="L1887" s="18">
        <f>IF((OR(tbal[[#This Row],[X]]=3,tbal[[#This Row],[X]]=4)),tbal[[#This Row],[ACREEDOR]],0)</f>
        <v>0</v>
      </c>
      <c r="M1887" s="16">
        <f>IF((OR(tbal[[#This Row],[X]]=0,tbal[[#This Row],[X]]=6)),tbal[[#This Row],[DEUDOR]],0)</f>
        <v>0</v>
      </c>
      <c r="N1887" s="18">
        <f>IF((OR(tbal[[#This Row],[X]]=0,tbal[[#This Row],[X]]=5)),tbal[[#This Row],[ACREEDOR]],0)</f>
        <v>0</v>
      </c>
    </row>
    <row r="1888" spans="1:14" hidden="1" x14ac:dyDescent="0.3">
      <c r="A1888" s="14">
        <f>+'PLAN DE CUENTAS'!A1888</f>
        <v>0</v>
      </c>
      <c r="B1888" s="13">
        <f>+'PLAN DE CUENTAS'!B1888</f>
        <v>0</v>
      </c>
      <c r="C1888" s="13">
        <f>+'PLAN DE CUENTAS'!C1888</f>
        <v>0</v>
      </c>
      <c r="D1888" t="str">
        <f>IF(tbal[[#This Row],[DEBE]]+tbal[[#This Row],[HABER]]=0,"","X")</f>
        <v/>
      </c>
      <c r="E1888" s="16">
        <f>SUMIF(tdiario[CUENTA],tbal[[#This Row],[CUENTA]],tdiario[DEBE])</f>
        <v>0</v>
      </c>
      <c r="F1888" s="17">
        <f>SUMIF(tdiario[CUENTA],tbal[[#This Row],[CUENTA]],tdiario[HABER])</f>
        <v>0</v>
      </c>
      <c r="G1888" s="16">
        <f>IF(tbal[[#This Row],[DEBE]]-tbal[[#This Row],[HABER]]&gt;0,tbal[[#This Row],[DEBE]]-tbal[[#This Row],[HABER]],0)</f>
        <v>0</v>
      </c>
      <c r="H1888" s="18">
        <f>IF(tbal[[#This Row],[HABER]]-tbal[[#This Row],[DEBE]]&gt;0,tbal[[#This Row],[HABER]]-tbal[[#This Row],[DEBE]],0)</f>
        <v>0</v>
      </c>
      <c r="I1888" s="16">
        <f>IF((OR(tbal[[#This Row],[X]]=1,tbal[[#This Row],[X]]=2)),tbal[[#This Row],[DEUDOR]],0)</f>
        <v>0</v>
      </c>
      <c r="J1888" s="18">
        <f>IF((OR(tbal[[#This Row],[X]]=2,tbal[[#This Row],[X]]=3)),tbal[[#This Row],[ACREEDOR]],0)</f>
        <v>0</v>
      </c>
      <c r="K1888" s="16">
        <f>IF((OR(tbal[[#This Row],[X]]=3,tbal[[#This Row],[X]]=5)),tbal[[#This Row],[DEUDOR]],0)</f>
        <v>0</v>
      </c>
      <c r="L1888" s="18">
        <f>IF((OR(tbal[[#This Row],[X]]=3,tbal[[#This Row],[X]]=4)),tbal[[#This Row],[ACREEDOR]],0)</f>
        <v>0</v>
      </c>
      <c r="M1888" s="16">
        <f>IF((OR(tbal[[#This Row],[X]]=0,tbal[[#This Row],[X]]=6)),tbal[[#This Row],[DEUDOR]],0)</f>
        <v>0</v>
      </c>
      <c r="N1888" s="18">
        <f>IF((OR(tbal[[#This Row],[X]]=0,tbal[[#This Row],[X]]=5)),tbal[[#This Row],[ACREEDOR]],0)</f>
        <v>0</v>
      </c>
    </row>
    <row r="1889" spans="1:14" hidden="1" x14ac:dyDescent="0.3">
      <c r="A1889" s="14">
        <f>+'PLAN DE CUENTAS'!A1889</f>
        <v>0</v>
      </c>
      <c r="B1889" s="13">
        <f>+'PLAN DE CUENTAS'!B1889</f>
        <v>0</v>
      </c>
      <c r="C1889" s="13">
        <f>+'PLAN DE CUENTAS'!C1889</f>
        <v>0</v>
      </c>
      <c r="D1889" t="str">
        <f>IF(tbal[[#This Row],[DEBE]]+tbal[[#This Row],[HABER]]=0,"","X")</f>
        <v/>
      </c>
      <c r="E1889" s="16">
        <f>SUMIF(tdiario[CUENTA],tbal[[#This Row],[CUENTA]],tdiario[DEBE])</f>
        <v>0</v>
      </c>
      <c r="F1889" s="17">
        <f>SUMIF(tdiario[CUENTA],tbal[[#This Row],[CUENTA]],tdiario[HABER])</f>
        <v>0</v>
      </c>
      <c r="G1889" s="16">
        <f>IF(tbal[[#This Row],[DEBE]]-tbal[[#This Row],[HABER]]&gt;0,tbal[[#This Row],[DEBE]]-tbal[[#This Row],[HABER]],0)</f>
        <v>0</v>
      </c>
      <c r="H1889" s="18">
        <f>IF(tbal[[#This Row],[HABER]]-tbal[[#This Row],[DEBE]]&gt;0,tbal[[#This Row],[HABER]]-tbal[[#This Row],[DEBE]],0)</f>
        <v>0</v>
      </c>
      <c r="I1889" s="16">
        <f>IF((OR(tbal[[#This Row],[X]]=1,tbal[[#This Row],[X]]=2)),tbal[[#This Row],[DEUDOR]],0)</f>
        <v>0</v>
      </c>
      <c r="J1889" s="18">
        <f>IF((OR(tbal[[#This Row],[X]]=2,tbal[[#This Row],[X]]=3)),tbal[[#This Row],[ACREEDOR]],0)</f>
        <v>0</v>
      </c>
      <c r="K1889" s="16">
        <f>IF((OR(tbal[[#This Row],[X]]=3,tbal[[#This Row],[X]]=5)),tbal[[#This Row],[DEUDOR]],0)</f>
        <v>0</v>
      </c>
      <c r="L1889" s="18">
        <f>IF((OR(tbal[[#This Row],[X]]=3,tbal[[#This Row],[X]]=4)),tbal[[#This Row],[ACREEDOR]],0)</f>
        <v>0</v>
      </c>
      <c r="M1889" s="16">
        <f>IF((OR(tbal[[#This Row],[X]]=0,tbal[[#This Row],[X]]=6)),tbal[[#This Row],[DEUDOR]],0)</f>
        <v>0</v>
      </c>
      <c r="N1889" s="18">
        <f>IF((OR(tbal[[#This Row],[X]]=0,tbal[[#This Row],[X]]=5)),tbal[[#This Row],[ACREEDOR]],0)</f>
        <v>0</v>
      </c>
    </row>
    <row r="1890" spans="1:14" hidden="1" x14ac:dyDescent="0.3">
      <c r="A1890" s="14">
        <f>+'PLAN DE CUENTAS'!A1890</f>
        <v>0</v>
      </c>
      <c r="B1890" s="13">
        <f>+'PLAN DE CUENTAS'!B1890</f>
        <v>0</v>
      </c>
      <c r="C1890" s="13">
        <f>+'PLAN DE CUENTAS'!C1890</f>
        <v>0</v>
      </c>
      <c r="D1890" t="str">
        <f>IF(tbal[[#This Row],[DEBE]]+tbal[[#This Row],[HABER]]=0,"","X")</f>
        <v/>
      </c>
      <c r="E1890" s="16">
        <f>SUMIF(tdiario[CUENTA],tbal[[#This Row],[CUENTA]],tdiario[DEBE])</f>
        <v>0</v>
      </c>
      <c r="F1890" s="17">
        <f>SUMIF(tdiario[CUENTA],tbal[[#This Row],[CUENTA]],tdiario[HABER])</f>
        <v>0</v>
      </c>
      <c r="G1890" s="16">
        <f>IF(tbal[[#This Row],[DEBE]]-tbal[[#This Row],[HABER]]&gt;0,tbal[[#This Row],[DEBE]]-tbal[[#This Row],[HABER]],0)</f>
        <v>0</v>
      </c>
      <c r="H1890" s="18">
        <f>IF(tbal[[#This Row],[HABER]]-tbal[[#This Row],[DEBE]]&gt;0,tbal[[#This Row],[HABER]]-tbal[[#This Row],[DEBE]],0)</f>
        <v>0</v>
      </c>
      <c r="I1890" s="16">
        <f>IF((OR(tbal[[#This Row],[X]]=1,tbal[[#This Row],[X]]=2)),tbal[[#This Row],[DEUDOR]],0)</f>
        <v>0</v>
      </c>
      <c r="J1890" s="18">
        <f>IF((OR(tbal[[#This Row],[X]]=2,tbal[[#This Row],[X]]=3)),tbal[[#This Row],[ACREEDOR]],0)</f>
        <v>0</v>
      </c>
      <c r="K1890" s="16">
        <f>IF((OR(tbal[[#This Row],[X]]=3,tbal[[#This Row],[X]]=5)),tbal[[#This Row],[DEUDOR]],0)</f>
        <v>0</v>
      </c>
      <c r="L1890" s="18">
        <f>IF((OR(tbal[[#This Row],[X]]=3,tbal[[#This Row],[X]]=4)),tbal[[#This Row],[ACREEDOR]],0)</f>
        <v>0</v>
      </c>
      <c r="M1890" s="16">
        <f>IF((OR(tbal[[#This Row],[X]]=0,tbal[[#This Row],[X]]=6)),tbal[[#This Row],[DEUDOR]],0)</f>
        <v>0</v>
      </c>
      <c r="N1890" s="18">
        <f>IF((OR(tbal[[#This Row],[X]]=0,tbal[[#This Row],[X]]=5)),tbal[[#This Row],[ACREEDOR]],0)</f>
        <v>0</v>
      </c>
    </row>
    <row r="1891" spans="1:14" hidden="1" x14ac:dyDescent="0.3">
      <c r="A1891" s="14">
        <f>+'PLAN DE CUENTAS'!A1891</f>
        <v>0</v>
      </c>
      <c r="B1891" s="13">
        <f>+'PLAN DE CUENTAS'!B1891</f>
        <v>0</v>
      </c>
      <c r="C1891" s="13">
        <f>+'PLAN DE CUENTAS'!C1891</f>
        <v>0</v>
      </c>
      <c r="D1891" t="str">
        <f>IF(tbal[[#This Row],[DEBE]]+tbal[[#This Row],[HABER]]=0,"","X")</f>
        <v/>
      </c>
      <c r="E1891" s="16">
        <f>SUMIF(tdiario[CUENTA],tbal[[#This Row],[CUENTA]],tdiario[DEBE])</f>
        <v>0</v>
      </c>
      <c r="F1891" s="17">
        <f>SUMIF(tdiario[CUENTA],tbal[[#This Row],[CUENTA]],tdiario[HABER])</f>
        <v>0</v>
      </c>
      <c r="G1891" s="16">
        <f>IF(tbal[[#This Row],[DEBE]]-tbal[[#This Row],[HABER]]&gt;0,tbal[[#This Row],[DEBE]]-tbal[[#This Row],[HABER]],0)</f>
        <v>0</v>
      </c>
      <c r="H1891" s="18">
        <f>IF(tbal[[#This Row],[HABER]]-tbal[[#This Row],[DEBE]]&gt;0,tbal[[#This Row],[HABER]]-tbal[[#This Row],[DEBE]],0)</f>
        <v>0</v>
      </c>
      <c r="I1891" s="16">
        <f>IF((OR(tbal[[#This Row],[X]]=1,tbal[[#This Row],[X]]=2)),tbal[[#This Row],[DEUDOR]],0)</f>
        <v>0</v>
      </c>
      <c r="J1891" s="18">
        <f>IF((OR(tbal[[#This Row],[X]]=2,tbal[[#This Row],[X]]=3)),tbal[[#This Row],[ACREEDOR]],0)</f>
        <v>0</v>
      </c>
      <c r="K1891" s="16">
        <f>IF((OR(tbal[[#This Row],[X]]=3,tbal[[#This Row],[X]]=5)),tbal[[#This Row],[DEUDOR]],0)</f>
        <v>0</v>
      </c>
      <c r="L1891" s="18">
        <f>IF((OR(tbal[[#This Row],[X]]=3,tbal[[#This Row],[X]]=4)),tbal[[#This Row],[ACREEDOR]],0)</f>
        <v>0</v>
      </c>
      <c r="M1891" s="16">
        <f>IF((OR(tbal[[#This Row],[X]]=0,tbal[[#This Row],[X]]=6)),tbal[[#This Row],[DEUDOR]],0)</f>
        <v>0</v>
      </c>
      <c r="N1891" s="18">
        <f>IF((OR(tbal[[#This Row],[X]]=0,tbal[[#This Row],[X]]=5)),tbal[[#This Row],[ACREEDOR]],0)</f>
        <v>0</v>
      </c>
    </row>
    <row r="1892" spans="1:14" hidden="1" x14ac:dyDescent="0.3">
      <c r="A1892" s="14">
        <f>+'PLAN DE CUENTAS'!A1892</f>
        <v>0</v>
      </c>
      <c r="B1892" s="13">
        <f>+'PLAN DE CUENTAS'!B1892</f>
        <v>0</v>
      </c>
      <c r="C1892" s="13">
        <f>+'PLAN DE CUENTAS'!C1892</f>
        <v>0</v>
      </c>
      <c r="D1892" t="str">
        <f>IF(tbal[[#This Row],[DEBE]]+tbal[[#This Row],[HABER]]=0,"","X")</f>
        <v/>
      </c>
      <c r="E1892" s="16">
        <f>SUMIF(tdiario[CUENTA],tbal[[#This Row],[CUENTA]],tdiario[DEBE])</f>
        <v>0</v>
      </c>
      <c r="F1892" s="17">
        <f>SUMIF(tdiario[CUENTA],tbal[[#This Row],[CUENTA]],tdiario[HABER])</f>
        <v>0</v>
      </c>
      <c r="G1892" s="16">
        <f>IF(tbal[[#This Row],[DEBE]]-tbal[[#This Row],[HABER]]&gt;0,tbal[[#This Row],[DEBE]]-tbal[[#This Row],[HABER]],0)</f>
        <v>0</v>
      </c>
      <c r="H1892" s="18">
        <f>IF(tbal[[#This Row],[HABER]]-tbal[[#This Row],[DEBE]]&gt;0,tbal[[#This Row],[HABER]]-tbal[[#This Row],[DEBE]],0)</f>
        <v>0</v>
      </c>
      <c r="I1892" s="16">
        <f>IF((OR(tbal[[#This Row],[X]]=1,tbal[[#This Row],[X]]=2)),tbal[[#This Row],[DEUDOR]],0)</f>
        <v>0</v>
      </c>
      <c r="J1892" s="18">
        <f>IF((OR(tbal[[#This Row],[X]]=2,tbal[[#This Row],[X]]=3)),tbal[[#This Row],[ACREEDOR]],0)</f>
        <v>0</v>
      </c>
      <c r="K1892" s="16">
        <f>IF((OR(tbal[[#This Row],[X]]=3,tbal[[#This Row],[X]]=5)),tbal[[#This Row],[DEUDOR]],0)</f>
        <v>0</v>
      </c>
      <c r="L1892" s="18">
        <f>IF((OR(tbal[[#This Row],[X]]=3,tbal[[#This Row],[X]]=4)),tbal[[#This Row],[ACREEDOR]],0)</f>
        <v>0</v>
      </c>
      <c r="M1892" s="16">
        <f>IF((OR(tbal[[#This Row],[X]]=0,tbal[[#This Row],[X]]=6)),tbal[[#This Row],[DEUDOR]],0)</f>
        <v>0</v>
      </c>
      <c r="N1892" s="18">
        <f>IF((OR(tbal[[#This Row],[X]]=0,tbal[[#This Row],[X]]=5)),tbal[[#This Row],[ACREEDOR]],0)</f>
        <v>0</v>
      </c>
    </row>
    <row r="1893" spans="1:14" hidden="1" x14ac:dyDescent="0.3">
      <c r="A1893" s="14">
        <f>+'PLAN DE CUENTAS'!A1893</f>
        <v>0</v>
      </c>
      <c r="B1893" s="13">
        <f>+'PLAN DE CUENTAS'!B1893</f>
        <v>0</v>
      </c>
      <c r="C1893" s="13">
        <f>+'PLAN DE CUENTAS'!C1893</f>
        <v>0</v>
      </c>
      <c r="D1893" t="str">
        <f>IF(tbal[[#This Row],[DEBE]]+tbal[[#This Row],[HABER]]=0,"","X")</f>
        <v/>
      </c>
      <c r="E1893" s="16">
        <f>SUMIF(tdiario[CUENTA],tbal[[#This Row],[CUENTA]],tdiario[DEBE])</f>
        <v>0</v>
      </c>
      <c r="F1893" s="17">
        <f>SUMIF(tdiario[CUENTA],tbal[[#This Row],[CUENTA]],tdiario[HABER])</f>
        <v>0</v>
      </c>
      <c r="G1893" s="16">
        <f>IF(tbal[[#This Row],[DEBE]]-tbal[[#This Row],[HABER]]&gt;0,tbal[[#This Row],[DEBE]]-tbal[[#This Row],[HABER]],0)</f>
        <v>0</v>
      </c>
      <c r="H1893" s="18">
        <f>IF(tbal[[#This Row],[HABER]]-tbal[[#This Row],[DEBE]]&gt;0,tbal[[#This Row],[HABER]]-tbal[[#This Row],[DEBE]],0)</f>
        <v>0</v>
      </c>
      <c r="I1893" s="16">
        <f>IF((OR(tbal[[#This Row],[X]]=1,tbal[[#This Row],[X]]=2)),tbal[[#This Row],[DEUDOR]],0)</f>
        <v>0</v>
      </c>
      <c r="J1893" s="18">
        <f>IF((OR(tbal[[#This Row],[X]]=2,tbal[[#This Row],[X]]=3)),tbal[[#This Row],[ACREEDOR]],0)</f>
        <v>0</v>
      </c>
      <c r="K1893" s="16">
        <f>IF((OR(tbal[[#This Row],[X]]=3,tbal[[#This Row],[X]]=5)),tbal[[#This Row],[DEUDOR]],0)</f>
        <v>0</v>
      </c>
      <c r="L1893" s="18">
        <f>IF((OR(tbal[[#This Row],[X]]=3,tbal[[#This Row],[X]]=4)),tbal[[#This Row],[ACREEDOR]],0)</f>
        <v>0</v>
      </c>
      <c r="M1893" s="16">
        <f>IF((OR(tbal[[#This Row],[X]]=0,tbal[[#This Row],[X]]=6)),tbal[[#This Row],[DEUDOR]],0)</f>
        <v>0</v>
      </c>
      <c r="N1893" s="18">
        <f>IF((OR(tbal[[#This Row],[X]]=0,tbal[[#This Row],[X]]=5)),tbal[[#This Row],[ACREEDOR]],0)</f>
        <v>0</v>
      </c>
    </row>
    <row r="1894" spans="1:14" hidden="1" x14ac:dyDescent="0.3">
      <c r="A1894" s="14">
        <f>+'PLAN DE CUENTAS'!A1894</f>
        <v>0</v>
      </c>
      <c r="B1894" s="13">
        <f>+'PLAN DE CUENTAS'!B1894</f>
        <v>0</v>
      </c>
      <c r="C1894" s="13">
        <f>+'PLAN DE CUENTAS'!C1894</f>
        <v>0</v>
      </c>
      <c r="D1894" t="str">
        <f>IF(tbal[[#This Row],[DEBE]]+tbal[[#This Row],[HABER]]=0,"","X")</f>
        <v/>
      </c>
      <c r="E1894" s="16">
        <f>SUMIF(tdiario[CUENTA],tbal[[#This Row],[CUENTA]],tdiario[DEBE])</f>
        <v>0</v>
      </c>
      <c r="F1894" s="17">
        <f>SUMIF(tdiario[CUENTA],tbal[[#This Row],[CUENTA]],tdiario[HABER])</f>
        <v>0</v>
      </c>
      <c r="G1894" s="16">
        <f>IF(tbal[[#This Row],[DEBE]]-tbal[[#This Row],[HABER]]&gt;0,tbal[[#This Row],[DEBE]]-tbal[[#This Row],[HABER]],0)</f>
        <v>0</v>
      </c>
      <c r="H1894" s="18">
        <f>IF(tbal[[#This Row],[HABER]]-tbal[[#This Row],[DEBE]]&gt;0,tbal[[#This Row],[HABER]]-tbal[[#This Row],[DEBE]],0)</f>
        <v>0</v>
      </c>
      <c r="I1894" s="16">
        <f>IF((OR(tbal[[#This Row],[X]]=1,tbal[[#This Row],[X]]=2)),tbal[[#This Row],[DEUDOR]],0)</f>
        <v>0</v>
      </c>
      <c r="J1894" s="18">
        <f>IF((OR(tbal[[#This Row],[X]]=2,tbal[[#This Row],[X]]=3)),tbal[[#This Row],[ACREEDOR]],0)</f>
        <v>0</v>
      </c>
      <c r="K1894" s="16">
        <f>IF((OR(tbal[[#This Row],[X]]=3,tbal[[#This Row],[X]]=5)),tbal[[#This Row],[DEUDOR]],0)</f>
        <v>0</v>
      </c>
      <c r="L1894" s="18">
        <f>IF((OR(tbal[[#This Row],[X]]=3,tbal[[#This Row],[X]]=4)),tbal[[#This Row],[ACREEDOR]],0)</f>
        <v>0</v>
      </c>
      <c r="M1894" s="16">
        <f>IF((OR(tbal[[#This Row],[X]]=0,tbal[[#This Row],[X]]=6)),tbal[[#This Row],[DEUDOR]],0)</f>
        <v>0</v>
      </c>
      <c r="N1894" s="18">
        <f>IF((OR(tbal[[#This Row],[X]]=0,tbal[[#This Row],[X]]=5)),tbal[[#This Row],[ACREEDOR]],0)</f>
        <v>0</v>
      </c>
    </row>
    <row r="1895" spans="1:14" hidden="1" x14ac:dyDescent="0.3">
      <c r="A1895" s="14">
        <f>+'PLAN DE CUENTAS'!A1895</f>
        <v>0</v>
      </c>
      <c r="B1895" s="13">
        <f>+'PLAN DE CUENTAS'!B1895</f>
        <v>0</v>
      </c>
      <c r="C1895" s="13">
        <f>+'PLAN DE CUENTAS'!C1895</f>
        <v>0</v>
      </c>
      <c r="D1895" t="str">
        <f>IF(tbal[[#This Row],[DEBE]]+tbal[[#This Row],[HABER]]=0,"","X")</f>
        <v/>
      </c>
      <c r="E1895" s="16">
        <f>SUMIF(tdiario[CUENTA],tbal[[#This Row],[CUENTA]],tdiario[DEBE])</f>
        <v>0</v>
      </c>
      <c r="F1895" s="17">
        <f>SUMIF(tdiario[CUENTA],tbal[[#This Row],[CUENTA]],tdiario[HABER])</f>
        <v>0</v>
      </c>
      <c r="G1895" s="16">
        <f>IF(tbal[[#This Row],[DEBE]]-tbal[[#This Row],[HABER]]&gt;0,tbal[[#This Row],[DEBE]]-tbal[[#This Row],[HABER]],0)</f>
        <v>0</v>
      </c>
      <c r="H1895" s="18">
        <f>IF(tbal[[#This Row],[HABER]]-tbal[[#This Row],[DEBE]]&gt;0,tbal[[#This Row],[HABER]]-tbal[[#This Row],[DEBE]],0)</f>
        <v>0</v>
      </c>
      <c r="I1895" s="16">
        <f>IF((OR(tbal[[#This Row],[X]]=1,tbal[[#This Row],[X]]=2)),tbal[[#This Row],[DEUDOR]],0)</f>
        <v>0</v>
      </c>
      <c r="J1895" s="18">
        <f>IF((OR(tbal[[#This Row],[X]]=2,tbal[[#This Row],[X]]=3)),tbal[[#This Row],[ACREEDOR]],0)</f>
        <v>0</v>
      </c>
      <c r="K1895" s="16">
        <f>IF((OR(tbal[[#This Row],[X]]=3,tbal[[#This Row],[X]]=5)),tbal[[#This Row],[DEUDOR]],0)</f>
        <v>0</v>
      </c>
      <c r="L1895" s="18">
        <f>IF((OR(tbal[[#This Row],[X]]=3,tbal[[#This Row],[X]]=4)),tbal[[#This Row],[ACREEDOR]],0)</f>
        <v>0</v>
      </c>
      <c r="M1895" s="16">
        <f>IF((OR(tbal[[#This Row],[X]]=0,tbal[[#This Row],[X]]=6)),tbal[[#This Row],[DEUDOR]],0)</f>
        <v>0</v>
      </c>
      <c r="N1895" s="18">
        <f>IF((OR(tbal[[#This Row],[X]]=0,tbal[[#This Row],[X]]=5)),tbal[[#This Row],[ACREEDOR]],0)</f>
        <v>0</v>
      </c>
    </row>
    <row r="1896" spans="1:14" hidden="1" x14ac:dyDescent="0.3">
      <c r="A1896" s="14">
        <f>+'PLAN DE CUENTAS'!A1896</f>
        <v>0</v>
      </c>
      <c r="B1896" s="13">
        <f>+'PLAN DE CUENTAS'!B1896</f>
        <v>0</v>
      </c>
      <c r="C1896" s="13">
        <f>+'PLAN DE CUENTAS'!C1896</f>
        <v>0</v>
      </c>
      <c r="D1896" t="str">
        <f>IF(tbal[[#This Row],[DEBE]]+tbal[[#This Row],[HABER]]=0,"","X")</f>
        <v/>
      </c>
      <c r="E1896" s="16">
        <f>SUMIF(tdiario[CUENTA],tbal[[#This Row],[CUENTA]],tdiario[DEBE])</f>
        <v>0</v>
      </c>
      <c r="F1896" s="17">
        <f>SUMIF(tdiario[CUENTA],tbal[[#This Row],[CUENTA]],tdiario[HABER])</f>
        <v>0</v>
      </c>
      <c r="G1896" s="16">
        <f>IF(tbal[[#This Row],[DEBE]]-tbal[[#This Row],[HABER]]&gt;0,tbal[[#This Row],[DEBE]]-tbal[[#This Row],[HABER]],0)</f>
        <v>0</v>
      </c>
      <c r="H1896" s="18">
        <f>IF(tbal[[#This Row],[HABER]]-tbal[[#This Row],[DEBE]]&gt;0,tbal[[#This Row],[HABER]]-tbal[[#This Row],[DEBE]],0)</f>
        <v>0</v>
      </c>
      <c r="I1896" s="16">
        <f>IF((OR(tbal[[#This Row],[X]]=1,tbal[[#This Row],[X]]=2)),tbal[[#This Row],[DEUDOR]],0)</f>
        <v>0</v>
      </c>
      <c r="J1896" s="18">
        <f>IF((OR(tbal[[#This Row],[X]]=2,tbal[[#This Row],[X]]=3)),tbal[[#This Row],[ACREEDOR]],0)</f>
        <v>0</v>
      </c>
      <c r="K1896" s="16">
        <f>IF((OR(tbal[[#This Row],[X]]=3,tbal[[#This Row],[X]]=5)),tbal[[#This Row],[DEUDOR]],0)</f>
        <v>0</v>
      </c>
      <c r="L1896" s="18">
        <f>IF((OR(tbal[[#This Row],[X]]=3,tbal[[#This Row],[X]]=4)),tbal[[#This Row],[ACREEDOR]],0)</f>
        <v>0</v>
      </c>
      <c r="M1896" s="16">
        <f>IF((OR(tbal[[#This Row],[X]]=0,tbal[[#This Row],[X]]=6)),tbal[[#This Row],[DEUDOR]],0)</f>
        <v>0</v>
      </c>
      <c r="N1896" s="18">
        <f>IF((OR(tbal[[#This Row],[X]]=0,tbal[[#This Row],[X]]=5)),tbal[[#This Row],[ACREEDOR]],0)</f>
        <v>0</v>
      </c>
    </row>
    <row r="1897" spans="1:14" hidden="1" x14ac:dyDescent="0.3">
      <c r="A1897" s="14">
        <f>+'PLAN DE CUENTAS'!A1897</f>
        <v>0</v>
      </c>
      <c r="B1897" s="13">
        <f>+'PLAN DE CUENTAS'!B1897</f>
        <v>0</v>
      </c>
      <c r="C1897" s="13">
        <f>+'PLAN DE CUENTAS'!C1897</f>
        <v>0</v>
      </c>
      <c r="D1897" t="str">
        <f>IF(tbal[[#This Row],[DEBE]]+tbal[[#This Row],[HABER]]=0,"","X")</f>
        <v/>
      </c>
      <c r="E1897" s="16">
        <f>SUMIF(tdiario[CUENTA],tbal[[#This Row],[CUENTA]],tdiario[DEBE])</f>
        <v>0</v>
      </c>
      <c r="F1897" s="17">
        <f>SUMIF(tdiario[CUENTA],tbal[[#This Row],[CUENTA]],tdiario[HABER])</f>
        <v>0</v>
      </c>
      <c r="G1897" s="16">
        <f>IF(tbal[[#This Row],[DEBE]]-tbal[[#This Row],[HABER]]&gt;0,tbal[[#This Row],[DEBE]]-tbal[[#This Row],[HABER]],0)</f>
        <v>0</v>
      </c>
      <c r="H1897" s="18">
        <f>IF(tbal[[#This Row],[HABER]]-tbal[[#This Row],[DEBE]]&gt;0,tbal[[#This Row],[HABER]]-tbal[[#This Row],[DEBE]],0)</f>
        <v>0</v>
      </c>
      <c r="I1897" s="16">
        <f>IF((OR(tbal[[#This Row],[X]]=1,tbal[[#This Row],[X]]=2)),tbal[[#This Row],[DEUDOR]],0)</f>
        <v>0</v>
      </c>
      <c r="J1897" s="18">
        <f>IF((OR(tbal[[#This Row],[X]]=2,tbal[[#This Row],[X]]=3)),tbal[[#This Row],[ACREEDOR]],0)</f>
        <v>0</v>
      </c>
      <c r="K1897" s="16">
        <f>IF((OR(tbal[[#This Row],[X]]=3,tbal[[#This Row],[X]]=5)),tbal[[#This Row],[DEUDOR]],0)</f>
        <v>0</v>
      </c>
      <c r="L1897" s="18">
        <f>IF((OR(tbal[[#This Row],[X]]=3,tbal[[#This Row],[X]]=4)),tbal[[#This Row],[ACREEDOR]],0)</f>
        <v>0</v>
      </c>
      <c r="M1897" s="16">
        <f>IF((OR(tbal[[#This Row],[X]]=0,tbal[[#This Row],[X]]=6)),tbal[[#This Row],[DEUDOR]],0)</f>
        <v>0</v>
      </c>
      <c r="N1897" s="18">
        <f>IF((OR(tbal[[#This Row],[X]]=0,tbal[[#This Row],[X]]=5)),tbal[[#This Row],[ACREEDOR]],0)</f>
        <v>0</v>
      </c>
    </row>
    <row r="1898" spans="1:14" hidden="1" x14ac:dyDescent="0.3">
      <c r="A1898" s="14">
        <f>+'PLAN DE CUENTAS'!A1898</f>
        <v>0</v>
      </c>
      <c r="B1898" s="13">
        <f>+'PLAN DE CUENTAS'!B1898</f>
        <v>0</v>
      </c>
      <c r="C1898" s="13">
        <f>+'PLAN DE CUENTAS'!C1898</f>
        <v>0</v>
      </c>
      <c r="D1898" t="str">
        <f>IF(tbal[[#This Row],[DEBE]]+tbal[[#This Row],[HABER]]=0,"","X")</f>
        <v/>
      </c>
      <c r="E1898" s="16">
        <f>SUMIF(tdiario[CUENTA],tbal[[#This Row],[CUENTA]],tdiario[DEBE])</f>
        <v>0</v>
      </c>
      <c r="F1898" s="17">
        <f>SUMIF(tdiario[CUENTA],tbal[[#This Row],[CUENTA]],tdiario[HABER])</f>
        <v>0</v>
      </c>
      <c r="G1898" s="16">
        <f>IF(tbal[[#This Row],[DEBE]]-tbal[[#This Row],[HABER]]&gt;0,tbal[[#This Row],[DEBE]]-tbal[[#This Row],[HABER]],0)</f>
        <v>0</v>
      </c>
      <c r="H1898" s="18">
        <f>IF(tbal[[#This Row],[HABER]]-tbal[[#This Row],[DEBE]]&gt;0,tbal[[#This Row],[HABER]]-tbal[[#This Row],[DEBE]],0)</f>
        <v>0</v>
      </c>
      <c r="I1898" s="16">
        <f>IF((OR(tbal[[#This Row],[X]]=1,tbal[[#This Row],[X]]=2)),tbal[[#This Row],[DEUDOR]],0)</f>
        <v>0</v>
      </c>
      <c r="J1898" s="18">
        <f>IF((OR(tbal[[#This Row],[X]]=2,tbal[[#This Row],[X]]=3)),tbal[[#This Row],[ACREEDOR]],0)</f>
        <v>0</v>
      </c>
      <c r="K1898" s="16">
        <f>IF((OR(tbal[[#This Row],[X]]=3,tbal[[#This Row],[X]]=5)),tbal[[#This Row],[DEUDOR]],0)</f>
        <v>0</v>
      </c>
      <c r="L1898" s="18">
        <f>IF((OR(tbal[[#This Row],[X]]=3,tbal[[#This Row],[X]]=4)),tbal[[#This Row],[ACREEDOR]],0)</f>
        <v>0</v>
      </c>
      <c r="M1898" s="16">
        <f>IF((OR(tbal[[#This Row],[X]]=0,tbal[[#This Row],[X]]=6)),tbal[[#This Row],[DEUDOR]],0)</f>
        <v>0</v>
      </c>
      <c r="N1898" s="18">
        <f>IF((OR(tbal[[#This Row],[X]]=0,tbal[[#This Row],[X]]=5)),tbal[[#This Row],[ACREEDOR]],0)</f>
        <v>0</v>
      </c>
    </row>
    <row r="1899" spans="1:14" hidden="1" x14ac:dyDescent="0.3">
      <c r="A1899" s="14">
        <f>+'PLAN DE CUENTAS'!A1899</f>
        <v>0</v>
      </c>
      <c r="B1899" s="13">
        <f>+'PLAN DE CUENTAS'!B1899</f>
        <v>0</v>
      </c>
      <c r="C1899" s="13">
        <f>+'PLAN DE CUENTAS'!C1899</f>
        <v>0</v>
      </c>
      <c r="D1899" t="str">
        <f>IF(tbal[[#This Row],[DEBE]]+tbal[[#This Row],[HABER]]=0,"","X")</f>
        <v/>
      </c>
      <c r="E1899" s="16">
        <f>SUMIF(tdiario[CUENTA],tbal[[#This Row],[CUENTA]],tdiario[DEBE])</f>
        <v>0</v>
      </c>
      <c r="F1899" s="17">
        <f>SUMIF(tdiario[CUENTA],tbal[[#This Row],[CUENTA]],tdiario[HABER])</f>
        <v>0</v>
      </c>
      <c r="G1899" s="16">
        <f>IF(tbal[[#This Row],[DEBE]]-tbal[[#This Row],[HABER]]&gt;0,tbal[[#This Row],[DEBE]]-tbal[[#This Row],[HABER]],0)</f>
        <v>0</v>
      </c>
      <c r="H1899" s="18">
        <f>IF(tbal[[#This Row],[HABER]]-tbal[[#This Row],[DEBE]]&gt;0,tbal[[#This Row],[HABER]]-tbal[[#This Row],[DEBE]],0)</f>
        <v>0</v>
      </c>
      <c r="I1899" s="16">
        <f>IF((OR(tbal[[#This Row],[X]]=1,tbal[[#This Row],[X]]=2)),tbal[[#This Row],[DEUDOR]],0)</f>
        <v>0</v>
      </c>
      <c r="J1899" s="18">
        <f>IF((OR(tbal[[#This Row],[X]]=2,tbal[[#This Row],[X]]=3)),tbal[[#This Row],[ACREEDOR]],0)</f>
        <v>0</v>
      </c>
      <c r="K1899" s="16">
        <f>IF((OR(tbal[[#This Row],[X]]=3,tbal[[#This Row],[X]]=5)),tbal[[#This Row],[DEUDOR]],0)</f>
        <v>0</v>
      </c>
      <c r="L1899" s="18">
        <f>IF((OR(tbal[[#This Row],[X]]=3,tbal[[#This Row],[X]]=4)),tbal[[#This Row],[ACREEDOR]],0)</f>
        <v>0</v>
      </c>
      <c r="M1899" s="16">
        <f>IF((OR(tbal[[#This Row],[X]]=0,tbal[[#This Row],[X]]=6)),tbal[[#This Row],[DEUDOR]],0)</f>
        <v>0</v>
      </c>
      <c r="N1899" s="18">
        <f>IF((OR(tbal[[#This Row],[X]]=0,tbal[[#This Row],[X]]=5)),tbal[[#This Row],[ACREEDOR]],0)</f>
        <v>0</v>
      </c>
    </row>
    <row r="1900" spans="1:14" hidden="1" x14ac:dyDescent="0.3">
      <c r="A1900" s="14">
        <f>+'PLAN DE CUENTAS'!A1900</f>
        <v>0</v>
      </c>
      <c r="B1900" s="13">
        <f>+'PLAN DE CUENTAS'!B1900</f>
        <v>0</v>
      </c>
      <c r="C1900" s="13">
        <f>+'PLAN DE CUENTAS'!C1900</f>
        <v>0</v>
      </c>
      <c r="D1900" t="str">
        <f>IF(tbal[[#This Row],[DEBE]]+tbal[[#This Row],[HABER]]=0,"","X")</f>
        <v/>
      </c>
      <c r="E1900" s="16">
        <f>SUMIF(tdiario[CUENTA],tbal[[#This Row],[CUENTA]],tdiario[DEBE])</f>
        <v>0</v>
      </c>
      <c r="F1900" s="17">
        <f>SUMIF(tdiario[CUENTA],tbal[[#This Row],[CUENTA]],tdiario[HABER])</f>
        <v>0</v>
      </c>
      <c r="G1900" s="16">
        <f>IF(tbal[[#This Row],[DEBE]]-tbal[[#This Row],[HABER]]&gt;0,tbal[[#This Row],[DEBE]]-tbal[[#This Row],[HABER]],0)</f>
        <v>0</v>
      </c>
      <c r="H1900" s="18">
        <f>IF(tbal[[#This Row],[HABER]]-tbal[[#This Row],[DEBE]]&gt;0,tbal[[#This Row],[HABER]]-tbal[[#This Row],[DEBE]],0)</f>
        <v>0</v>
      </c>
      <c r="I1900" s="16">
        <f>IF((OR(tbal[[#This Row],[X]]=1,tbal[[#This Row],[X]]=2)),tbal[[#This Row],[DEUDOR]],0)</f>
        <v>0</v>
      </c>
      <c r="J1900" s="18">
        <f>IF((OR(tbal[[#This Row],[X]]=2,tbal[[#This Row],[X]]=3)),tbal[[#This Row],[ACREEDOR]],0)</f>
        <v>0</v>
      </c>
      <c r="K1900" s="16">
        <f>IF((OR(tbal[[#This Row],[X]]=3,tbal[[#This Row],[X]]=5)),tbal[[#This Row],[DEUDOR]],0)</f>
        <v>0</v>
      </c>
      <c r="L1900" s="18">
        <f>IF((OR(tbal[[#This Row],[X]]=3,tbal[[#This Row],[X]]=4)),tbal[[#This Row],[ACREEDOR]],0)</f>
        <v>0</v>
      </c>
      <c r="M1900" s="16">
        <f>IF((OR(tbal[[#This Row],[X]]=0,tbal[[#This Row],[X]]=6)),tbal[[#This Row],[DEUDOR]],0)</f>
        <v>0</v>
      </c>
      <c r="N1900" s="18">
        <f>IF((OR(tbal[[#This Row],[X]]=0,tbal[[#This Row],[X]]=5)),tbal[[#This Row],[ACREEDOR]],0)</f>
        <v>0</v>
      </c>
    </row>
    <row r="1901" spans="1:14" hidden="1" x14ac:dyDescent="0.3">
      <c r="A1901" s="14">
        <f>+'PLAN DE CUENTAS'!A1901</f>
        <v>0</v>
      </c>
      <c r="B1901" s="13">
        <f>+'PLAN DE CUENTAS'!B1901</f>
        <v>0</v>
      </c>
      <c r="C1901" s="13">
        <f>+'PLAN DE CUENTAS'!C1901</f>
        <v>0</v>
      </c>
      <c r="D1901" t="str">
        <f>IF(tbal[[#This Row],[DEBE]]+tbal[[#This Row],[HABER]]=0,"","X")</f>
        <v/>
      </c>
      <c r="E1901" s="16">
        <f>SUMIF(tdiario[CUENTA],tbal[[#This Row],[CUENTA]],tdiario[DEBE])</f>
        <v>0</v>
      </c>
      <c r="F1901" s="17">
        <f>SUMIF(tdiario[CUENTA],tbal[[#This Row],[CUENTA]],tdiario[HABER])</f>
        <v>0</v>
      </c>
      <c r="G1901" s="16">
        <f>IF(tbal[[#This Row],[DEBE]]-tbal[[#This Row],[HABER]]&gt;0,tbal[[#This Row],[DEBE]]-tbal[[#This Row],[HABER]],0)</f>
        <v>0</v>
      </c>
      <c r="H1901" s="18">
        <f>IF(tbal[[#This Row],[HABER]]-tbal[[#This Row],[DEBE]]&gt;0,tbal[[#This Row],[HABER]]-tbal[[#This Row],[DEBE]],0)</f>
        <v>0</v>
      </c>
      <c r="I1901" s="16">
        <f>IF((OR(tbal[[#This Row],[X]]=1,tbal[[#This Row],[X]]=2)),tbal[[#This Row],[DEUDOR]],0)</f>
        <v>0</v>
      </c>
      <c r="J1901" s="18">
        <f>IF((OR(tbal[[#This Row],[X]]=2,tbal[[#This Row],[X]]=3)),tbal[[#This Row],[ACREEDOR]],0)</f>
        <v>0</v>
      </c>
      <c r="K1901" s="16">
        <f>IF((OR(tbal[[#This Row],[X]]=3,tbal[[#This Row],[X]]=5)),tbal[[#This Row],[DEUDOR]],0)</f>
        <v>0</v>
      </c>
      <c r="L1901" s="18">
        <f>IF((OR(tbal[[#This Row],[X]]=3,tbal[[#This Row],[X]]=4)),tbal[[#This Row],[ACREEDOR]],0)</f>
        <v>0</v>
      </c>
      <c r="M1901" s="16">
        <f>IF((OR(tbal[[#This Row],[X]]=0,tbal[[#This Row],[X]]=6)),tbal[[#This Row],[DEUDOR]],0)</f>
        <v>0</v>
      </c>
      <c r="N1901" s="18">
        <f>IF((OR(tbal[[#This Row],[X]]=0,tbal[[#This Row],[X]]=5)),tbal[[#This Row],[ACREEDOR]],0)</f>
        <v>0</v>
      </c>
    </row>
    <row r="1902" spans="1:14" hidden="1" x14ac:dyDescent="0.3">
      <c r="A1902" s="14">
        <f>+'PLAN DE CUENTAS'!A1902</f>
        <v>0</v>
      </c>
      <c r="B1902" s="13">
        <f>+'PLAN DE CUENTAS'!B1902</f>
        <v>0</v>
      </c>
      <c r="C1902" s="13">
        <f>+'PLAN DE CUENTAS'!C1902</f>
        <v>0</v>
      </c>
      <c r="D1902" t="str">
        <f>IF(tbal[[#This Row],[DEBE]]+tbal[[#This Row],[HABER]]=0,"","X")</f>
        <v/>
      </c>
      <c r="E1902" s="16">
        <f>SUMIF(tdiario[CUENTA],tbal[[#This Row],[CUENTA]],tdiario[DEBE])</f>
        <v>0</v>
      </c>
      <c r="F1902" s="17">
        <f>SUMIF(tdiario[CUENTA],tbal[[#This Row],[CUENTA]],tdiario[HABER])</f>
        <v>0</v>
      </c>
      <c r="G1902" s="16">
        <f>IF(tbal[[#This Row],[DEBE]]-tbal[[#This Row],[HABER]]&gt;0,tbal[[#This Row],[DEBE]]-tbal[[#This Row],[HABER]],0)</f>
        <v>0</v>
      </c>
      <c r="H1902" s="18">
        <f>IF(tbal[[#This Row],[HABER]]-tbal[[#This Row],[DEBE]]&gt;0,tbal[[#This Row],[HABER]]-tbal[[#This Row],[DEBE]],0)</f>
        <v>0</v>
      </c>
      <c r="I1902" s="16">
        <f>IF((OR(tbal[[#This Row],[X]]=1,tbal[[#This Row],[X]]=2)),tbal[[#This Row],[DEUDOR]],0)</f>
        <v>0</v>
      </c>
      <c r="J1902" s="18">
        <f>IF((OR(tbal[[#This Row],[X]]=2,tbal[[#This Row],[X]]=3)),tbal[[#This Row],[ACREEDOR]],0)</f>
        <v>0</v>
      </c>
      <c r="K1902" s="16">
        <f>IF((OR(tbal[[#This Row],[X]]=3,tbal[[#This Row],[X]]=5)),tbal[[#This Row],[DEUDOR]],0)</f>
        <v>0</v>
      </c>
      <c r="L1902" s="18">
        <f>IF((OR(tbal[[#This Row],[X]]=3,tbal[[#This Row],[X]]=4)),tbal[[#This Row],[ACREEDOR]],0)</f>
        <v>0</v>
      </c>
      <c r="M1902" s="16">
        <f>IF((OR(tbal[[#This Row],[X]]=0,tbal[[#This Row],[X]]=6)),tbal[[#This Row],[DEUDOR]],0)</f>
        <v>0</v>
      </c>
      <c r="N1902" s="18">
        <f>IF((OR(tbal[[#This Row],[X]]=0,tbal[[#This Row],[X]]=5)),tbal[[#This Row],[ACREEDOR]],0)</f>
        <v>0</v>
      </c>
    </row>
    <row r="1903" spans="1:14" hidden="1" x14ac:dyDescent="0.3">
      <c r="A1903" s="14">
        <f>+'PLAN DE CUENTAS'!A1903</f>
        <v>0</v>
      </c>
      <c r="B1903" s="13">
        <f>+'PLAN DE CUENTAS'!B1903</f>
        <v>0</v>
      </c>
      <c r="C1903" s="13">
        <f>+'PLAN DE CUENTAS'!C1903</f>
        <v>0</v>
      </c>
      <c r="D1903" t="str">
        <f>IF(tbal[[#This Row],[DEBE]]+tbal[[#This Row],[HABER]]=0,"","X")</f>
        <v/>
      </c>
      <c r="E1903" s="16">
        <f>SUMIF(tdiario[CUENTA],tbal[[#This Row],[CUENTA]],tdiario[DEBE])</f>
        <v>0</v>
      </c>
      <c r="F1903" s="17">
        <f>SUMIF(tdiario[CUENTA],tbal[[#This Row],[CUENTA]],tdiario[HABER])</f>
        <v>0</v>
      </c>
      <c r="G1903" s="16">
        <f>IF(tbal[[#This Row],[DEBE]]-tbal[[#This Row],[HABER]]&gt;0,tbal[[#This Row],[DEBE]]-tbal[[#This Row],[HABER]],0)</f>
        <v>0</v>
      </c>
      <c r="H1903" s="18">
        <f>IF(tbal[[#This Row],[HABER]]-tbal[[#This Row],[DEBE]]&gt;0,tbal[[#This Row],[HABER]]-tbal[[#This Row],[DEBE]],0)</f>
        <v>0</v>
      </c>
      <c r="I1903" s="16">
        <f>IF((OR(tbal[[#This Row],[X]]=1,tbal[[#This Row],[X]]=2)),tbal[[#This Row],[DEUDOR]],0)</f>
        <v>0</v>
      </c>
      <c r="J1903" s="18">
        <f>IF((OR(tbal[[#This Row],[X]]=2,tbal[[#This Row],[X]]=3)),tbal[[#This Row],[ACREEDOR]],0)</f>
        <v>0</v>
      </c>
      <c r="K1903" s="16">
        <f>IF((OR(tbal[[#This Row],[X]]=3,tbal[[#This Row],[X]]=5)),tbal[[#This Row],[DEUDOR]],0)</f>
        <v>0</v>
      </c>
      <c r="L1903" s="18">
        <f>IF((OR(tbal[[#This Row],[X]]=3,tbal[[#This Row],[X]]=4)),tbal[[#This Row],[ACREEDOR]],0)</f>
        <v>0</v>
      </c>
      <c r="M1903" s="16">
        <f>IF((OR(tbal[[#This Row],[X]]=0,tbal[[#This Row],[X]]=6)),tbal[[#This Row],[DEUDOR]],0)</f>
        <v>0</v>
      </c>
      <c r="N1903" s="18">
        <f>IF((OR(tbal[[#This Row],[X]]=0,tbal[[#This Row],[X]]=5)),tbal[[#This Row],[ACREEDOR]],0)</f>
        <v>0</v>
      </c>
    </row>
    <row r="1904" spans="1:14" hidden="1" x14ac:dyDescent="0.3">
      <c r="A1904" s="14">
        <f>+'PLAN DE CUENTAS'!A1904</f>
        <v>0</v>
      </c>
      <c r="B1904" s="13">
        <f>+'PLAN DE CUENTAS'!B1904</f>
        <v>0</v>
      </c>
      <c r="C1904" s="13">
        <f>+'PLAN DE CUENTAS'!C1904</f>
        <v>0</v>
      </c>
      <c r="D1904" t="str">
        <f>IF(tbal[[#This Row],[DEBE]]+tbal[[#This Row],[HABER]]=0,"","X")</f>
        <v/>
      </c>
      <c r="E1904" s="16">
        <f>SUMIF(tdiario[CUENTA],tbal[[#This Row],[CUENTA]],tdiario[DEBE])</f>
        <v>0</v>
      </c>
      <c r="F1904" s="17">
        <f>SUMIF(tdiario[CUENTA],tbal[[#This Row],[CUENTA]],tdiario[HABER])</f>
        <v>0</v>
      </c>
      <c r="G1904" s="16">
        <f>IF(tbal[[#This Row],[DEBE]]-tbal[[#This Row],[HABER]]&gt;0,tbal[[#This Row],[DEBE]]-tbal[[#This Row],[HABER]],0)</f>
        <v>0</v>
      </c>
      <c r="H1904" s="18">
        <f>IF(tbal[[#This Row],[HABER]]-tbal[[#This Row],[DEBE]]&gt;0,tbal[[#This Row],[HABER]]-tbal[[#This Row],[DEBE]],0)</f>
        <v>0</v>
      </c>
      <c r="I1904" s="16">
        <f>IF((OR(tbal[[#This Row],[X]]=1,tbal[[#This Row],[X]]=2)),tbal[[#This Row],[DEUDOR]],0)</f>
        <v>0</v>
      </c>
      <c r="J1904" s="18">
        <f>IF((OR(tbal[[#This Row],[X]]=2,tbal[[#This Row],[X]]=3)),tbal[[#This Row],[ACREEDOR]],0)</f>
        <v>0</v>
      </c>
      <c r="K1904" s="16">
        <f>IF((OR(tbal[[#This Row],[X]]=3,tbal[[#This Row],[X]]=5)),tbal[[#This Row],[DEUDOR]],0)</f>
        <v>0</v>
      </c>
      <c r="L1904" s="18">
        <f>IF((OR(tbal[[#This Row],[X]]=3,tbal[[#This Row],[X]]=4)),tbal[[#This Row],[ACREEDOR]],0)</f>
        <v>0</v>
      </c>
      <c r="M1904" s="16">
        <f>IF((OR(tbal[[#This Row],[X]]=0,tbal[[#This Row],[X]]=6)),tbal[[#This Row],[DEUDOR]],0)</f>
        <v>0</v>
      </c>
      <c r="N1904" s="18">
        <f>IF((OR(tbal[[#This Row],[X]]=0,tbal[[#This Row],[X]]=5)),tbal[[#This Row],[ACREEDOR]],0)</f>
        <v>0</v>
      </c>
    </row>
    <row r="1905" spans="1:14" hidden="1" x14ac:dyDescent="0.3">
      <c r="A1905" s="14">
        <f>+'PLAN DE CUENTAS'!A1905</f>
        <v>0</v>
      </c>
      <c r="B1905" s="13">
        <f>+'PLAN DE CUENTAS'!B1905</f>
        <v>0</v>
      </c>
      <c r="C1905" s="13">
        <f>+'PLAN DE CUENTAS'!C1905</f>
        <v>0</v>
      </c>
      <c r="D1905" t="str">
        <f>IF(tbal[[#This Row],[DEBE]]+tbal[[#This Row],[HABER]]=0,"","X")</f>
        <v/>
      </c>
      <c r="E1905" s="16">
        <f>SUMIF(tdiario[CUENTA],tbal[[#This Row],[CUENTA]],tdiario[DEBE])</f>
        <v>0</v>
      </c>
      <c r="F1905" s="17">
        <f>SUMIF(tdiario[CUENTA],tbal[[#This Row],[CUENTA]],tdiario[HABER])</f>
        <v>0</v>
      </c>
      <c r="G1905" s="16">
        <f>IF(tbal[[#This Row],[DEBE]]-tbal[[#This Row],[HABER]]&gt;0,tbal[[#This Row],[DEBE]]-tbal[[#This Row],[HABER]],0)</f>
        <v>0</v>
      </c>
      <c r="H1905" s="18">
        <f>IF(tbal[[#This Row],[HABER]]-tbal[[#This Row],[DEBE]]&gt;0,tbal[[#This Row],[HABER]]-tbal[[#This Row],[DEBE]],0)</f>
        <v>0</v>
      </c>
      <c r="I1905" s="16">
        <f>IF((OR(tbal[[#This Row],[X]]=1,tbal[[#This Row],[X]]=2)),tbal[[#This Row],[DEUDOR]],0)</f>
        <v>0</v>
      </c>
      <c r="J1905" s="18">
        <f>IF((OR(tbal[[#This Row],[X]]=2,tbal[[#This Row],[X]]=3)),tbal[[#This Row],[ACREEDOR]],0)</f>
        <v>0</v>
      </c>
      <c r="K1905" s="16">
        <f>IF((OR(tbal[[#This Row],[X]]=3,tbal[[#This Row],[X]]=5)),tbal[[#This Row],[DEUDOR]],0)</f>
        <v>0</v>
      </c>
      <c r="L1905" s="18">
        <f>IF((OR(tbal[[#This Row],[X]]=3,tbal[[#This Row],[X]]=4)),tbal[[#This Row],[ACREEDOR]],0)</f>
        <v>0</v>
      </c>
      <c r="M1905" s="16">
        <f>IF((OR(tbal[[#This Row],[X]]=0,tbal[[#This Row],[X]]=6)),tbal[[#This Row],[DEUDOR]],0)</f>
        <v>0</v>
      </c>
      <c r="N1905" s="18">
        <f>IF((OR(tbal[[#This Row],[X]]=0,tbal[[#This Row],[X]]=5)),tbal[[#This Row],[ACREEDOR]],0)</f>
        <v>0</v>
      </c>
    </row>
    <row r="1906" spans="1:14" hidden="1" x14ac:dyDescent="0.3">
      <c r="A1906" s="14">
        <f>+'PLAN DE CUENTAS'!A1906</f>
        <v>0</v>
      </c>
      <c r="B1906" s="13">
        <f>+'PLAN DE CUENTAS'!B1906</f>
        <v>0</v>
      </c>
      <c r="C1906" s="13">
        <f>+'PLAN DE CUENTAS'!C1906</f>
        <v>0</v>
      </c>
      <c r="D1906" t="str">
        <f>IF(tbal[[#This Row],[DEBE]]+tbal[[#This Row],[HABER]]=0,"","X")</f>
        <v/>
      </c>
      <c r="E1906" s="16">
        <f>SUMIF(tdiario[CUENTA],tbal[[#This Row],[CUENTA]],tdiario[DEBE])</f>
        <v>0</v>
      </c>
      <c r="F1906" s="17">
        <f>SUMIF(tdiario[CUENTA],tbal[[#This Row],[CUENTA]],tdiario[HABER])</f>
        <v>0</v>
      </c>
      <c r="G1906" s="16">
        <f>IF(tbal[[#This Row],[DEBE]]-tbal[[#This Row],[HABER]]&gt;0,tbal[[#This Row],[DEBE]]-tbal[[#This Row],[HABER]],0)</f>
        <v>0</v>
      </c>
      <c r="H1906" s="18">
        <f>IF(tbal[[#This Row],[HABER]]-tbal[[#This Row],[DEBE]]&gt;0,tbal[[#This Row],[HABER]]-tbal[[#This Row],[DEBE]],0)</f>
        <v>0</v>
      </c>
      <c r="I1906" s="16">
        <f>IF((OR(tbal[[#This Row],[X]]=1,tbal[[#This Row],[X]]=2)),tbal[[#This Row],[DEUDOR]],0)</f>
        <v>0</v>
      </c>
      <c r="J1906" s="18">
        <f>IF((OR(tbal[[#This Row],[X]]=2,tbal[[#This Row],[X]]=3)),tbal[[#This Row],[ACREEDOR]],0)</f>
        <v>0</v>
      </c>
      <c r="K1906" s="16">
        <f>IF((OR(tbal[[#This Row],[X]]=3,tbal[[#This Row],[X]]=5)),tbal[[#This Row],[DEUDOR]],0)</f>
        <v>0</v>
      </c>
      <c r="L1906" s="18">
        <f>IF((OR(tbal[[#This Row],[X]]=3,tbal[[#This Row],[X]]=4)),tbal[[#This Row],[ACREEDOR]],0)</f>
        <v>0</v>
      </c>
      <c r="M1906" s="16">
        <f>IF((OR(tbal[[#This Row],[X]]=0,tbal[[#This Row],[X]]=6)),tbal[[#This Row],[DEUDOR]],0)</f>
        <v>0</v>
      </c>
      <c r="N1906" s="18">
        <f>IF((OR(tbal[[#This Row],[X]]=0,tbal[[#This Row],[X]]=5)),tbal[[#This Row],[ACREEDOR]],0)</f>
        <v>0</v>
      </c>
    </row>
    <row r="1907" spans="1:14" hidden="1" x14ac:dyDescent="0.3">
      <c r="A1907" s="14">
        <f>+'PLAN DE CUENTAS'!A1907</f>
        <v>0</v>
      </c>
      <c r="B1907" s="13">
        <f>+'PLAN DE CUENTAS'!B1907</f>
        <v>0</v>
      </c>
      <c r="C1907" s="13">
        <f>+'PLAN DE CUENTAS'!C1907</f>
        <v>0</v>
      </c>
      <c r="D1907" t="str">
        <f>IF(tbal[[#This Row],[DEBE]]+tbal[[#This Row],[HABER]]=0,"","X")</f>
        <v/>
      </c>
      <c r="E1907" s="16">
        <f>SUMIF(tdiario[CUENTA],tbal[[#This Row],[CUENTA]],tdiario[DEBE])</f>
        <v>0</v>
      </c>
      <c r="F1907" s="17">
        <f>SUMIF(tdiario[CUENTA],tbal[[#This Row],[CUENTA]],tdiario[HABER])</f>
        <v>0</v>
      </c>
      <c r="G1907" s="16">
        <f>IF(tbal[[#This Row],[DEBE]]-tbal[[#This Row],[HABER]]&gt;0,tbal[[#This Row],[DEBE]]-tbal[[#This Row],[HABER]],0)</f>
        <v>0</v>
      </c>
      <c r="H1907" s="18">
        <f>IF(tbal[[#This Row],[HABER]]-tbal[[#This Row],[DEBE]]&gt;0,tbal[[#This Row],[HABER]]-tbal[[#This Row],[DEBE]],0)</f>
        <v>0</v>
      </c>
      <c r="I1907" s="16">
        <f>IF((OR(tbal[[#This Row],[X]]=1,tbal[[#This Row],[X]]=2)),tbal[[#This Row],[DEUDOR]],0)</f>
        <v>0</v>
      </c>
      <c r="J1907" s="18">
        <f>IF((OR(tbal[[#This Row],[X]]=2,tbal[[#This Row],[X]]=3)),tbal[[#This Row],[ACREEDOR]],0)</f>
        <v>0</v>
      </c>
      <c r="K1907" s="16">
        <f>IF((OR(tbal[[#This Row],[X]]=3,tbal[[#This Row],[X]]=5)),tbal[[#This Row],[DEUDOR]],0)</f>
        <v>0</v>
      </c>
      <c r="L1907" s="18">
        <f>IF((OR(tbal[[#This Row],[X]]=3,tbal[[#This Row],[X]]=4)),tbal[[#This Row],[ACREEDOR]],0)</f>
        <v>0</v>
      </c>
      <c r="M1907" s="16">
        <f>IF((OR(tbal[[#This Row],[X]]=0,tbal[[#This Row],[X]]=6)),tbal[[#This Row],[DEUDOR]],0)</f>
        <v>0</v>
      </c>
      <c r="N1907" s="18">
        <f>IF((OR(tbal[[#This Row],[X]]=0,tbal[[#This Row],[X]]=5)),tbal[[#This Row],[ACREEDOR]],0)</f>
        <v>0</v>
      </c>
    </row>
    <row r="1908" spans="1:14" hidden="1" x14ac:dyDescent="0.3">
      <c r="A1908" s="14">
        <f>+'PLAN DE CUENTAS'!A1908</f>
        <v>0</v>
      </c>
      <c r="B1908" s="13">
        <f>+'PLAN DE CUENTAS'!B1908</f>
        <v>0</v>
      </c>
      <c r="C1908" s="13">
        <f>+'PLAN DE CUENTAS'!C1908</f>
        <v>0</v>
      </c>
      <c r="D1908" t="str">
        <f>IF(tbal[[#This Row],[DEBE]]+tbal[[#This Row],[HABER]]=0,"","X")</f>
        <v/>
      </c>
      <c r="E1908" s="16">
        <f>SUMIF(tdiario[CUENTA],tbal[[#This Row],[CUENTA]],tdiario[DEBE])</f>
        <v>0</v>
      </c>
      <c r="F1908" s="17">
        <f>SUMIF(tdiario[CUENTA],tbal[[#This Row],[CUENTA]],tdiario[HABER])</f>
        <v>0</v>
      </c>
      <c r="G1908" s="16">
        <f>IF(tbal[[#This Row],[DEBE]]-tbal[[#This Row],[HABER]]&gt;0,tbal[[#This Row],[DEBE]]-tbal[[#This Row],[HABER]],0)</f>
        <v>0</v>
      </c>
      <c r="H1908" s="18">
        <f>IF(tbal[[#This Row],[HABER]]-tbal[[#This Row],[DEBE]]&gt;0,tbal[[#This Row],[HABER]]-tbal[[#This Row],[DEBE]],0)</f>
        <v>0</v>
      </c>
      <c r="I1908" s="16">
        <f>IF((OR(tbal[[#This Row],[X]]=1,tbal[[#This Row],[X]]=2)),tbal[[#This Row],[DEUDOR]],0)</f>
        <v>0</v>
      </c>
      <c r="J1908" s="18">
        <f>IF((OR(tbal[[#This Row],[X]]=2,tbal[[#This Row],[X]]=3)),tbal[[#This Row],[ACREEDOR]],0)</f>
        <v>0</v>
      </c>
      <c r="K1908" s="16">
        <f>IF((OR(tbal[[#This Row],[X]]=3,tbal[[#This Row],[X]]=5)),tbal[[#This Row],[DEUDOR]],0)</f>
        <v>0</v>
      </c>
      <c r="L1908" s="18">
        <f>IF((OR(tbal[[#This Row],[X]]=3,tbal[[#This Row],[X]]=4)),tbal[[#This Row],[ACREEDOR]],0)</f>
        <v>0</v>
      </c>
      <c r="M1908" s="16">
        <f>IF((OR(tbal[[#This Row],[X]]=0,tbal[[#This Row],[X]]=6)),tbal[[#This Row],[DEUDOR]],0)</f>
        <v>0</v>
      </c>
      <c r="N1908" s="18">
        <f>IF((OR(tbal[[#This Row],[X]]=0,tbal[[#This Row],[X]]=5)),tbal[[#This Row],[ACREEDOR]],0)</f>
        <v>0</v>
      </c>
    </row>
    <row r="1909" spans="1:14" hidden="1" x14ac:dyDescent="0.3">
      <c r="A1909" s="14">
        <f>+'PLAN DE CUENTAS'!A1909</f>
        <v>0</v>
      </c>
      <c r="B1909" s="13">
        <f>+'PLAN DE CUENTAS'!B1909</f>
        <v>0</v>
      </c>
      <c r="C1909" s="13">
        <f>+'PLAN DE CUENTAS'!C1909</f>
        <v>0</v>
      </c>
      <c r="D1909" t="str">
        <f>IF(tbal[[#This Row],[DEBE]]+tbal[[#This Row],[HABER]]=0,"","X")</f>
        <v/>
      </c>
      <c r="E1909" s="16">
        <f>SUMIF(tdiario[CUENTA],tbal[[#This Row],[CUENTA]],tdiario[DEBE])</f>
        <v>0</v>
      </c>
      <c r="F1909" s="17">
        <f>SUMIF(tdiario[CUENTA],tbal[[#This Row],[CUENTA]],tdiario[HABER])</f>
        <v>0</v>
      </c>
      <c r="G1909" s="16">
        <f>IF(tbal[[#This Row],[DEBE]]-tbal[[#This Row],[HABER]]&gt;0,tbal[[#This Row],[DEBE]]-tbal[[#This Row],[HABER]],0)</f>
        <v>0</v>
      </c>
      <c r="H1909" s="18">
        <f>IF(tbal[[#This Row],[HABER]]-tbal[[#This Row],[DEBE]]&gt;0,tbal[[#This Row],[HABER]]-tbal[[#This Row],[DEBE]],0)</f>
        <v>0</v>
      </c>
      <c r="I1909" s="16">
        <f>IF((OR(tbal[[#This Row],[X]]=1,tbal[[#This Row],[X]]=2)),tbal[[#This Row],[DEUDOR]],0)</f>
        <v>0</v>
      </c>
      <c r="J1909" s="18">
        <f>IF((OR(tbal[[#This Row],[X]]=2,tbal[[#This Row],[X]]=3)),tbal[[#This Row],[ACREEDOR]],0)</f>
        <v>0</v>
      </c>
      <c r="K1909" s="16">
        <f>IF((OR(tbal[[#This Row],[X]]=3,tbal[[#This Row],[X]]=5)),tbal[[#This Row],[DEUDOR]],0)</f>
        <v>0</v>
      </c>
      <c r="L1909" s="18">
        <f>IF((OR(tbal[[#This Row],[X]]=3,tbal[[#This Row],[X]]=4)),tbal[[#This Row],[ACREEDOR]],0)</f>
        <v>0</v>
      </c>
      <c r="M1909" s="16">
        <f>IF((OR(tbal[[#This Row],[X]]=0,tbal[[#This Row],[X]]=6)),tbal[[#This Row],[DEUDOR]],0)</f>
        <v>0</v>
      </c>
      <c r="N1909" s="18">
        <f>IF((OR(tbal[[#This Row],[X]]=0,tbal[[#This Row],[X]]=5)),tbal[[#This Row],[ACREEDOR]],0)</f>
        <v>0</v>
      </c>
    </row>
    <row r="1910" spans="1:14" hidden="1" x14ac:dyDescent="0.3">
      <c r="A1910" s="14">
        <f>+'PLAN DE CUENTAS'!A1910</f>
        <v>0</v>
      </c>
      <c r="B1910" s="13">
        <f>+'PLAN DE CUENTAS'!B1910</f>
        <v>0</v>
      </c>
      <c r="C1910" s="13">
        <f>+'PLAN DE CUENTAS'!C1910</f>
        <v>0</v>
      </c>
      <c r="D1910" t="str">
        <f>IF(tbal[[#This Row],[DEBE]]+tbal[[#This Row],[HABER]]=0,"","X")</f>
        <v/>
      </c>
      <c r="E1910" s="16">
        <f>SUMIF(tdiario[CUENTA],tbal[[#This Row],[CUENTA]],tdiario[DEBE])</f>
        <v>0</v>
      </c>
      <c r="F1910" s="17">
        <f>SUMIF(tdiario[CUENTA],tbal[[#This Row],[CUENTA]],tdiario[HABER])</f>
        <v>0</v>
      </c>
      <c r="G1910" s="16">
        <f>IF(tbal[[#This Row],[DEBE]]-tbal[[#This Row],[HABER]]&gt;0,tbal[[#This Row],[DEBE]]-tbal[[#This Row],[HABER]],0)</f>
        <v>0</v>
      </c>
      <c r="H1910" s="18">
        <f>IF(tbal[[#This Row],[HABER]]-tbal[[#This Row],[DEBE]]&gt;0,tbal[[#This Row],[HABER]]-tbal[[#This Row],[DEBE]],0)</f>
        <v>0</v>
      </c>
      <c r="I1910" s="16">
        <f>IF((OR(tbal[[#This Row],[X]]=1,tbal[[#This Row],[X]]=2)),tbal[[#This Row],[DEUDOR]],0)</f>
        <v>0</v>
      </c>
      <c r="J1910" s="18">
        <f>IF((OR(tbal[[#This Row],[X]]=2,tbal[[#This Row],[X]]=3)),tbal[[#This Row],[ACREEDOR]],0)</f>
        <v>0</v>
      </c>
      <c r="K1910" s="16">
        <f>IF((OR(tbal[[#This Row],[X]]=3,tbal[[#This Row],[X]]=5)),tbal[[#This Row],[DEUDOR]],0)</f>
        <v>0</v>
      </c>
      <c r="L1910" s="18">
        <f>IF((OR(tbal[[#This Row],[X]]=3,tbal[[#This Row],[X]]=4)),tbal[[#This Row],[ACREEDOR]],0)</f>
        <v>0</v>
      </c>
      <c r="M1910" s="16">
        <f>IF((OR(tbal[[#This Row],[X]]=0,tbal[[#This Row],[X]]=6)),tbal[[#This Row],[DEUDOR]],0)</f>
        <v>0</v>
      </c>
      <c r="N1910" s="18">
        <f>IF((OR(tbal[[#This Row],[X]]=0,tbal[[#This Row],[X]]=5)),tbal[[#This Row],[ACREEDOR]],0)</f>
        <v>0</v>
      </c>
    </row>
    <row r="1911" spans="1:14" hidden="1" x14ac:dyDescent="0.3">
      <c r="A1911" s="14">
        <f>+'PLAN DE CUENTAS'!A1911</f>
        <v>0</v>
      </c>
      <c r="B1911" s="13">
        <f>+'PLAN DE CUENTAS'!B1911</f>
        <v>0</v>
      </c>
      <c r="C1911" s="13">
        <f>+'PLAN DE CUENTAS'!C1911</f>
        <v>0</v>
      </c>
      <c r="D1911" t="str">
        <f>IF(tbal[[#This Row],[DEBE]]+tbal[[#This Row],[HABER]]=0,"","X")</f>
        <v/>
      </c>
      <c r="E1911" s="16">
        <f>SUMIF(tdiario[CUENTA],tbal[[#This Row],[CUENTA]],tdiario[DEBE])</f>
        <v>0</v>
      </c>
      <c r="F1911" s="17">
        <f>SUMIF(tdiario[CUENTA],tbal[[#This Row],[CUENTA]],tdiario[HABER])</f>
        <v>0</v>
      </c>
      <c r="G1911" s="16">
        <f>IF(tbal[[#This Row],[DEBE]]-tbal[[#This Row],[HABER]]&gt;0,tbal[[#This Row],[DEBE]]-tbal[[#This Row],[HABER]],0)</f>
        <v>0</v>
      </c>
      <c r="H1911" s="18">
        <f>IF(tbal[[#This Row],[HABER]]-tbal[[#This Row],[DEBE]]&gt;0,tbal[[#This Row],[HABER]]-tbal[[#This Row],[DEBE]],0)</f>
        <v>0</v>
      </c>
      <c r="I1911" s="16">
        <f>IF((OR(tbal[[#This Row],[X]]=1,tbal[[#This Row],[X]]=2)),tbal[[#This Row],[DEUDOR]],0)</f>
        <v>0</v>
      </c>
      <c r="J1911" s="18">
        <f>IF((OR(tbal[[#This Row],[X]]=2,tbal[[#This Row],[X]]=3)),tbal[[#This Row],[ACREEDOR]],0)</f>
        <v>0</v>
      </c>
      <c r="K1911" s="16">
        <f>IF((OR(tbal[[#This Row],[X]]=3,tbal[[#This Row],[X]]=5)),tbal[[#This Row],[DEUDOR]],0)</f>
        <v>0</v>
      </c>
      <c r="L1911" s="18">
        <f>IF((OR(tbal[[#This Row],[X]]=3,tbal[[#This Row],[X]]=4)),tbal[[#This Row],[ACREEDOR]],0)</f>
        <v>0</v>
      </c>
      <c r="M1911" s="16">
        <f>IF((OR(tbal[[#This Row],[X]]=0,tbal[[#This Row],[X]]=6)),tbal[[#This Row],[DEUDOR]],0)</f>
        <v>0</v>
      </c>
      <c r="N1911" s="18">
        <f>IF((OR(tbal[[#This Row],[X]]=0,tbal[[#This Row],[X]]=5)),tbal[[#This Row],[ACREEDOR]],0)</f>
        <v>0</v>
      </c>
    </row>
    <row r="1912" spans="1:14" hidden="1" x14ac:dyDescent="0.3">
      <c r="A1912" s="14">
        <f>+'PLAN DE CUENTAS'!A1912</f>
        <v>0</v>
      </c>
      <c r="B1912" s="13">
        <f>+'PLAN DE CUENTAS'!B1912</f>
        <v>0</v>
      </c>
      <c r="C1912" s="13">
        <f>+'PLAN DE CUENTAS'!C1912</f>
        <v>0</v>
      </c>
      <c r="D1912" t="str">
        <f>IF(tbal[[#This Row],[DEBE]]+tbal[[#This Row],[HABER]]=0,"","X")</f>
        <v/>
      </c>
      <c r="E1912" s="16">
        <f>SUMIF(tdiario[CUENTA],tbal[[#This Row],[CUENTA]],tdiario[DEBE])</f>
        <v>0</v>
      </c>
      <c r="F1912" s="17">
        <f>SUMIF(tdiario[CUENTA],tbal[[#This Row],[CUENTA]],tdiario[HABER])</f>
        <v>0</v>
      </c>
      <c r="G1912" s="16">
        <f>IF(tbal[[#This Row],[DEBE]]-tbal[[#This Row],[HABER]]&gt;0,tbal[[#This Row],[DEBE]]-tbal[[#This Row],[HABER]],0)</f>
        <v>0</v>
      </c>
      <c r="H1912" s="18">
        <f>IF(tbal[[#This Row],[HABER]]-tbal[[#This Row],[DEBE]]&gt;0,tbal[[#This Row],[HABER]]-tbal[[#This Row],[DEBE]],0)</f>
        <v>0</v>
      </c>
      <c r="I1912" s="16">
        <f>IF((OR(tbal[[#This Row],[X]]=1,tbal[[#This Row],[X]]=2)),tbal[[#This Row],[DEUDOR]],0)</f>
        <v>0</v>
      </c>
      <c r="J1912" s="18">
        <f>IF((OR(tbal[[#This Row],[X]]=2,tbal[[#This Row],[X]]=3)),tbal[[#This Row],[ACREEDOR]],0)</f>
        <v>0</v>
      </c>
      <c r="K1912" s="16">
        <f>IF((OR(tbal[[#This Row],[X]]=3,tbal[[#This Row],[X]]=5)),tbal[[#This Row],[DEUDOR]],0)</f>
        <v>0</v>
      </c>
      <c r="L1912" s="18">
        <f>IF((OR(tbal[[#This Row],[X]]=3,tbal[[#This Row],[X]]=4)),tbal[[#This Row],[ACREEDOR]],0)</f>
        <v>0</v>
      </c>
      <c r="M1912" s="16">
        <f>IF((OR(tbal[[#This Row],[X]]=0,tbal[[#This Row],[X]]=6)),tbal[[#This Row],[DEUDOR]],0)</f>
        <v>0</v>
      </c>
      <c r="N1912" s="18">
        <f>IF((OR(tbal[[#This Row],[X]]=0,tbal[[#This Row],[X]]=5)),tbal[[#This Row],[ACREEDOR]],0)</f>
        <v>0</v>
      </c>
    </row>
    <row r="1913" spans="1:14" hidden="1" x14ac:dyDescent="0.3">
      <c r="A1913" s="14">
        <f>+'PLAN DE CUENTAS'!A1913</f>
        <v>0</v>
      </c>
      <c r="B1913" s="13">
        <f>+'PLAN DE CUENTAS'!B1913</f>
        <v>0</v>
      </c>
      <c r="C1913" s="13">
        <f>+'PLAN DE CUENTAS'!C1913</f>
        <v>0</v>
      </c>
      <c r="D1913" t="str">
        <f>IF(tbal[[#This Row],[DEBE]]+tbal[[#This Row],[HABER]]=0,"","X")</f>
        <v/>
      </c>
      <c r="E1913" s="16">
        <f>SUMIF(tdiario[CUENTA],tbal[[#This Row],[CUENTA]],tdiario[DEBE])</f>
        <v>0</v>
      </c>
      <c r="F1913" s="17">
        <f>SUMIF(tdiario[CUENTA],tbal[[#This Row],[CUENTA]],tdiario[HABER])</f>
        <v>0</v>
      </c>
      <c r="G1913" s="16">
        <f>IF(tbal[[#This Row],[DEBE]]-tbal[[#This Row],[HABER]]&gt;0,tbal[[#This Row],[DEBE]]-tbal[[#This Row],[HABER]],0)</f>
        <v>0</v>
      </c>
      <c r="H1913" s="18">
        <f>IF(tbal[[#This Row],[HABER]]-tbal[[#This Row],[DEBE]]&gt;0,tbal[[#This Row],[HABER]]-tbal[[#This Row],[DEBE]],0)</f>
        <v>0</v>
      </c>
      <c r="I1913" s="16">
        <f>IF((OR(tbal[[#This Row],[X]]=1,tbal[[#This Row],[X]]=2)),tbal[[#This Row],[DEUDOR]],0)</f>
        <v>0</v>
      </c>
      <c r="J1913" s="18">
        <f>IF((OR(tbal[[#This Row],[X]]=2,tbal[[#This Row],[X]]=3)),tbal[[#This Row],[ACREEDOR]],0)</f>
        <v>0</v>
      </c>
      <c r="K1913" s="16">
        <f>IF((OR(tbal[[#This Row],[X]]=3,tbal[[#This Row],[X]]=5)),tbal[[#This Row],[DEUDOR]],0)</f>
        <v>0</v>
      </c>
      <c r="L1913" s="18">
        <f>IF((OR(tbal[[#This Row],[X]]=3,tbal[[#This Row],[X]]=4)),tbal[[#This Row],[ACREEDOR]],0)</f>
        <v>0</v>
      </c>
      <c r="M1913" s="16">
        <f>IF((OR(tbal[[#This Row],[X]]=0,tbal[[#This Row],[X]]=6)),tbal[[#This Row],[DEUDOR]],0)</f>
        <v>0</v>
      </c>
      <c r="N1913" s="18">
        <f>IF((OR(tbal[[#This Row],[X]]=0,tbal[[#This Row],[X]]=5)),tbal[[#This Row],[ACREEDOR]],0)</f>
        <v>0</v>
      </c>
    </row>
    <row r="1914" spans="1:14" hidden="1" x14ac:dyDescent="0.3">
      <c r="A1914" s="14">
        <f>+'PLAN DE CUENTAS'!A1914</f>
        <v>0</v>
      </c>
      <c r="B1914" s="13">
        <f>+'PLAN DE CUENTAS'!B1914</f>
        <v>0</v>
      </c>
      <c r="C1914" s="13">
        <f>+'PLAN DE CUENTAS'!C1914</f>
        <v>0</v>
      </c>
      <c r="D1914" t="str">
        <f>IF(tbal[[#This Row],[DEBE]]+tbal[[#This Row],[HABER]]=0,"","X")</f>
        <v/>
      </c>
      <c r="E1914" s="16">
        <f>SUMIF(tdiario[CUENTA],tbal[[#This Row],[CUENTA]],tdiario[DEBE])</f>
        <v>0</v>
      </c>
      <c r="F1914" s="17">
        <f>SUMIF(tdiario[CUENTA],tbal[[#This Row],[CUENTA]],tdiario[HABER])</f>
        <v>0</v>
      </c>
      <c r="G1914" s="16">
        <f>IF(tbal[[#This Row],[DEBE]]-tbal[[#This Row],[HABER]]&gt;0,tbal[[#This Row],[DEBE]]-tbal[[#This Row],[HABER]],0)</f>
        <v>0</v>
      </c>
      <c r="H1914" s="18">
        <f>IF(tbal[[#This Row],[HABER]]-tbal[[#This Row],[DEBE]]&gt;0,tbal[[#This Row],[HABER]]-tbal[[#This Row],[DEBE]],0)</f>
        <v>0</v>
      </c>
      <c r="I1914" s="16">
        <f>IF((OR(tbal[[#This Row],[X]]=1,tbal[[#This Row],[X]]=2)),tbal[[#This Row],[DEUDOR]],0)</f>
        <v>0</v>
      </c>
      <c r="J1914" s="18">
        <f>IF((OR(tbal[[#This Row],[X]]=2,tbal[[#This Row],[X]]=3)),tbal[[#This Row],[ACREEDOR]],0)</f>
        <v>0</v>
      </c>
      <c r="K1914" s="16">
        <f>IF((OR(tbal[[#This Row],[X]]=3,tbal[[#This Row],[X]]=5)),tbal[[#This Row],[DEUDOR]],0)</f>
        <v>0</v>
      </c>
      <c r="L1914" s="18">
        <f>IF((OR(tbal[[#This Row],[X]]=3,tbal[[#This Row],[X]]=4)),tbal[[#This Row],[ACREEDOR]],0)</f>
        <v>0</v>
      </c>
      <c r="M1914" s="16">
        <f>IF((OR(tbal[[#This Row],[X]]=0,tbal[[#This Row],[X]]=6)),tbal[[#This Row],[DEUDOR]],0)</f>
        <v>0</v>
      </c>
      <c r="N1914" s="18">
        <f>IF((OR(tbal[[#This Row],[X]]=0,tbal[[#This Row],[X]]=5)),tbal[[#This Row],[ACREEDOR]],0)</f>
        <v>0</v>
      </c>
    </row>
    <row r="1915" spans="1:14" hidden="1" x14ac:dyDescent="0.3">
      <c r="A1915" s="14">
        <f>+'PLAN DE CUENTAS'!A1915</f>
        <v>0</v>
      </c>
      <c r="B1915" s="13">
        <f>+'PLAN DE CUENTAS'!B1915</f>
        <v>0</v>
      </c>
      <c r="C1915" s="13">
        <f>+'PLAN DE CUENTAS'!C1915</f>
        <v>0</v>
      </c>
      <c r="D1915" t="str">
        <f>IF(tbal[[#This Row],[DEBE]]+tbal[[#This Row],[HABER]]=0,"","X")</f>
        <v/>
      </c>
      <c r="E1915" s="16">
        <f>SUMIF(tdiario[CUENTA],tbal[[#This Row],[CUENTA]],tdiario[DEBE])</f>
        <v>0</v>
      </c>
      <c r="F1915" s="17">
        <f>SUMIF(tdiario[CUENTA],tbal[[#This Row],[CUENTA]],tdiario[HABER])</f>
        <v>0</v>
      </c>
      <c r="G1915" s="16">
        <f>IF(tbal[[#This Row],[DEBE]]-tbal[[#This Row],[HABER]]&gt;0,tbal[[#This Row],[DEBE]]-tbal[[#This Row],[HABER]],0)</f>
        <v>0</v>
      </c>
      <c r="H1915" s="18">
        <f>IF(tbal[[#This Row],[HABER]]-tbal[[#This Row],[DEBE]]&gt;0,tbal[[#This Row],[HABER]]-tbal[[#This Row],[DEBE]],0)</f>
        <v>0</v>
      </c>
      <c r="I1915" s="16">
        <f>IF((OR(tbal[[#This Row],[X]]=1,tbal[[#This Row],[X]]=2)),tbal[[#This Row],[DEUDOR]],0)</f>
        <v>0</v>
      </c>
      <c r="J1915" s="18">
        <f>IF((OR(tbal[[#This Row],[X]]=2,tbal[[#This Row],[X]]=3)),tbal[[#This Row],[ACREEDOR]],0)</f>
        <v>0</v>
      </c>
      <c r="K1915" s="16">
        <f>IF((OR(tbal[[#This Row],[X]]=3,tbal[[#This Row],[X]]=5)),tbal[[#This Row],[DEUDOR]],0)</f>
        <v>0</v>
      </c>
      <c r="L1915" s="18">
        <f>IF((OR(tbal[[#This Row],[X]]=3,tbal[[#This Row],[X]]=4)),tbal[[#This Row],[ACREEDOR]],0)</f>
        <v>0</v>
      </c>
      <c r="M1915" s="16">
        <f>IF((OR(tbal[[#This Row],[X]]=0,tbal[[#This Row],[X]]=6)),tbal[[#This Row],[DEUDOR]],0)</f>
        <v>0</v>
      </c>
      <c r="N1915" s="18">
        <f>IF((OR(tbal[[#This Row],[X]]=0,tbal[[#This Row],[X]]=5)),tbal[[#This Row],[ACREEDOR]],0)</f>
        <v>0</v>
      </c>
    </row>
    <row r="1916" spans="1:14" hidden="1" x14ac:dyDescent="0.3">
      <c r="A1916" s="14">
        <f>+'PLAN DE CUENTAS'!A1916</f>
        <v>0</v>
      </c>
      <c r="B1916" s="13">
        <f>+'PLAN DE CUENTAS'!B1916</f>
        <v>0</v>
      </c>
      <c r="C1916" s="13">
        <f>+'PLAN DE CUENTAS'!C1916</f>
        <v>0</v>
      </c>
      <c r="D1916" t="str">
        <f>IF(tbal[[#This Row],[DEBE]]+tbal[[#This Row],[HABER]]=0,"","X")</f>
        <v/>
      </c>
      <c r="E1916" s="16">
        <f>SUMIF(tdiario[CUENTA],tbal[[#This Row],[CUENTA]],tdiario[DEBE])</f>
        <v>0</v>
      </c>
      <c r="F1916" s="17">
        <f>SUMIF(tdiario[CUENTA],tbal[[#This Row],[CUENTA]],tdiario[HABER])</f>
        <v>0</v>
      </c>
      <c r="G1916" s="16">
        <f>IF(tbal[[#This Row],[DEBE]]-tbal[[#This Row],[HABER]]&gt;0,tbal[[#This Row],[DEBE]]-tbal[[#This Row],[HABER]],0)</f>
        <v>0</v>
      </c>
      <c r="H1916" s="18">
        <f>IF(tbal[[#This Row],[HABER]]-tbal[[#This Row],[DEBE]]&gt;0,tbal[[#This Row],[HABER]]-tbal[[#This Row],[DEBE]],0)</f>
        <v>0</v>
      </c>
      <c r="I1916" s="16">
        <f>IF((OR(tbal[[#This Row],[X]]=1,tbal[[#This Row],[X]]=2)),tbal[[#This Row],[DEUDOR]],0)</f>
        <v>0</v>
      </c>
      <c r="J1916" s="18">
        <f>IF((OR(tbal[[#This Row],[X]]=2,tbal[[#This Row],[X]]=3)),tbal[[#This Row],[ACREEDOR]],0)</f>
        <v>0</v>
      </c>
      <c r="K1916" s="16">
        <f>IF((OR(tbal[[#This Row],[X]]=3,tbal[[#This Row],[X]]=5)),tbal[[#This Row],[DEUDOR]],0)</f>
        <v>0</v>
      </c>
      <c r="L1916" s="18">
        <f>IF((OR(tbal[[#This Row],[X]]=3,tbal[[#This Row],[X]]=4)),tbal[[#This Row],[ACREEDOR]],0)</f>
        <v>0</v>
      </c>
      <c r="M1916" s="16">
        <f>IF((OR(tbal[[#This Row],[X]]=0,tbal[[#This Row],[X]]=6)),tbal[[#This Row],[DEUDOR]],0)</f>
        <v>0</v>
      </c>
      <c r="N1916" s="18">
        <f>IF((OR(tbal[[#This Row],[X]]=0,tbal[[#This Row],[X]]=5)),tbal[[#This Row],[ACREEDOR]],0)</f>
        <v>0</v>
      </c>
    </row>
    <row r="1917" spans="1:14" hidden="1" x14ac:dyDescent="0.3">
      <c r="A1917" s="14">
        <f>+'PLAN DE CUENTAS'!A1917</f>
        <v>0</v>
      </c>
      <c r="B1917" s="13">
        <f>+'PLAN DE CUENTAS'!B1917</f>
        <v>0</v>
      </c>
      <c r="C1917" s="13">
        <f>+'PLAN DE CUENTAS'!C1917</f>
        <v>0</v>
      </c>
      <c r="D1917" t="str">
        <f>IF(tbal[[#This Row],[DEBE]]+tbal[[#This Row],[HABER]]=0,"","X")</f>
        <v/>
      </c>
      <c r="E1917" s="16">
        <f>SUMIF(tdiario[CUENTA],tbal[[#This Row],[CUENTA]],tdiario[DEBE])</f>
        <v>0</v>
      </c>
      <c r="F1917" s="17">
        <f>SUMIF(tdiario[CUENTA],tbal[[#This Row],[CUENTA]],tdiario[HABER])</f>
        <v>0</v>
      </c>
      <c r="G1917" s="16">
        <f>IF(tbal[[#This Row],[DEBE]]-tbal[[#This Row],[HABER]]&gt;0,tbal[[#This Row],[DEBE]]-tbal[[#This Row],[HABER]],0)</f>
        <v>0</v>
      </c>
      <c r="H1917" s="18">
        <f>IF(tbal[[#This Row],[HABER]]-tbal[[#This Row],[DEBE]]&gt;0,tbal[[#This Row],[HABER]]-tbal[[#This Row],[DEBE]],0)</f>
        <v>0</v>
      </c>
      <c r="I1917" s="16">
        <f>IF((OR(tbal[[#This Row],[X]]=1,tbal[[#This Row],[X]]=2)),tbal[[#This Row],[DEUDOR]],0)</f>
        <v>0</v>
      </c>
      <c r="J1917" s="18">
        <f>IF((OR(tbal[[#This Row],[X]]=2,tbal[[#This Row],[X]]=3)),tbal[[#This Row],[ACREEDOR]],0)</f>
        <v>0</v>
      </c>
      <c r="K1917" s="16">
        <f>IF((OR(tbal[[#This Row],[X]]=3,tbal[[#This Row],[X]]=5)),tbal[[#This Row],[DEUDOR]],0)</f>
        <v>0</v>
      </c>
      <c r="L1917" s="18">
        <f>IF((OR(tbal[[#This Row],[X]]=3,tbal[[#This Row],[X]]=4)),tbal[[#This Row],[ACREEDOR]],0)</f>
        <v>0</v>
      </c>
      <c r="M1917" s="16">
        <f>IF((OR(tbal[[#This Row],[X]]=0,tbal[[#This Row],[X]]=6)),tbal[[#This Row],[DEUDOR]],0)</f>
        <v>0</v>
      </c>
      <c r="N1917" s="18">
        <f>IF((OR(tbal[[#This Row],[X]]=0,tbal[[#This Row],[X]]=5)),tbal[[#This Row],[ACREEDOR]],0)</f>
        <v>0</v>
      </c>
    </row>
    <row r="1918" spans="1:14" hidden="1" x14ac:dyDescent="0.3">
      <c r="A1918" s="14">
        <f>+'PLAN DE CUENTAS'!A1918</f>
        <v>0</v>
      </c>
      <c r="B1918" s="13">
        <f>+'PLAN DE CUENTAS'!B1918</f>
        <v>0</v>
      </c>
      <c r="C1918" s="13">
        <f>+'PLAN DE CUENTAS'!C1918</f>
        <v>0</v>
      </c>
      <c r="D1918" t="str">
        <f>IF(tbal[[#This Row],[DEBE]]+tbal[[#This Row],[HABER]]=0,"","X")</f>
        <v/>
      </c>
      <c r="E1918" s="16">
        <f>SUMIF(tdiario[CUENTA],tbal[[#This Row],[CUENTA]],tdiario[DEBE])</f>
        <v>0</v>
      </c>
      <c r="F1918" s="17">
        <f>SUMIF(tdiario[CUENTA],tbal[[#This Row],[CUENTA]],tdiario[HABER])</f>
        <v>0</v>
      </c>
      <c r="G1918" s="16">
        <f>IF(tbal[[#This Row],[DEBE]]-tbal[[#This Row],[HABER]]&gt;0,tbal[[#This Row],[DEBE]]-tbal[[#This Row],[HABER]],0)</f>
        <v>0</v>
      </c>
      <c r="H1918" s="18">
        <f>IF(tbal[[#This Row],[HABER]]-tbal[[#This Row],[DEBE]]&gt;0,tbal[[#This Row],[HABER]]-tbal[[#This Row],[DEBE]],0)</f>
        <v>0</v>
      </c>
      <c r="I1918" s="16">
        <f>IF((OR(tbal[[#This Row],[X]]=1,tbal[[#This Row],[X]]=2)),tbal[[#This Row],[DEUDOR]],0)</f>
        <v>0</v>
      </c>
      <c r="J1918" s="18">
        <f>IF((OR(tbal[[#This Row],[X]]=2,tbal[[#This Row],[X]]=3)),tbal[[#This Row],[ACREEDOR]],0)</f>
        <v>0</v>
      </c>
      <c r="K1918" s="16">
        <f>IF((OR(tbal[[#This Row],[X]]=3,tbal[[#This Row],[X]]=5)),tbal[[#This Row],[DEUDOR]],0)</f>
        <v>0</v>
      </c>
      <c r="L1918" s="18">
        <f>IF((OR(tbal[[#This Row],[X]]=3,tbal[[#This Row],[X]]=4)),tbal[[#This Row],[ACREEDOR]],0)</f>
        <v>0</v>
      </c>
      <c r="M1918" s="16">
        <f>IF((OR(tbal[[#This Row],[X]]=0,tbal[[#This Row],[X]]=6)),tbal[[#This Row],[DEUDOR]],0)</f>
        <v>0</v>
      </c>
      <c r="N1918" s="18">
        <f>IF((OR(tbal[[#This Row],[X]]=0,tbal[[#This Row],[X]]=5)),tbal[[#This Row],[ACREEDOR]],0)</f>
        <v>0</v>
      </c>
    </row>
    <row r="1919" spans="1:14" hidden="1" x14ac:dyDescent="0.3">
      <c r="A1919" s="14">
        <f>+'PLAN DE CUENTAS'!A1919</f>
        <v>0</v>
      </c>
      <c r="B1919" s="13">
        <f>+'PLAN DE CUENTAS'!B1919</f>
        <v>0</v>
      </c>
      <c r="C1919" s="13">
        <f>+'PLAN DE CUENTAS'!C1919</f>
        <v>0</v>
      </c>
      <c r="D1919" t="str">
        <f>IF(tbal[[#This Row],[DEBE]]+tbal[[#This Row],[HABER]]=0,"","X")</f>
        <v/>
      </c>
      <c r="E1919" s="16">
        <f>SUMIF(tdiario[CUENTA],tbal[[#This Row],[CUENTA]],tdiario[DEBE])</f>
        <v>0</v>
      </c>
      <c r="F1919" s="17">
        <f>SUMIF(tdiario[CUENTA],tbal[[#This Row],[CUENTA]],tdiario[HABER])</f>
        <v>0</v>
      </c>
      <c r="G1919" s="16">
        <f>IF(tbal[[#This Row],[DEBE]]-tbal[[#This Row],[HABER]]&gt;0,tbal[[#This Row],[DEBE]]-tbal[[#This Row],[HABER]],0)</f>
        <v>0</v>
      </c>
      <c r="H1919" s="18">
        <f>IF(tbal[[#This Row],[HABER]]-tbal[[#This Row],[DEBE]]&gt;0,tbal[[#This Row],[HABER]]-tbal[[#This Row],[DEBE]],0)</f>
        <v>0</v>
      </c>
      <c r="I1919" s="16">
        <f>IF((OR(tbal[[#This Row],[X]]=1,tbal[[#This Row],[X]]=2)),tbal[[#This Row],[DEUDOR]],0)</f>
        <v>0</v>
      </c>
      <c r="J1919" s="18">
        <f>IF((OR(tbal[[#This Row],[X]]=2,tbal[[#This Row],[X]]=3)),tbal[[#This Row],[ACREEDOR]],0)</f>
        <v>0</v>
      </c>
      <c r="K1919" s="16">
        <f>IF((OR(tbal[[#This Row],[X]]=3,tbal[[#This Row],[X]]=5)),tbal[[#This Row],[DEUDOR]],0)</f>
        <v>0</v>
      </c>
      <c r="L1919" s="18">
        <f>IF((OR(tbal[[#This Row],[X]]=3,tbal[[#This Row],[X]]=4)),tbal[[#This Row],[ACREEDOR]],0)</f>
        <v>0</v>
      </c>
      <c r="M1919" s="16">
        <f>IF((OR(tbal[[#This Row],[X]]=0,tbal[[#This Row],[X]]=6)),tbal[[#This Row],[DEUDOR]],0)</f>
        <v>0</v>
      </c>
      <c r="N1919" s="18">
        <f>IF((OR(tbal[[#This Row],[X]]=0,tbal[[#This Row],[X]]=5)),tbal[[#This Row],[ACREEDOR]],0)</f>
        <v>0</v>
      </c>
    </row>
    <row r="1920" spans="1:14" hidden="1" x14ac:dyDescent="0.3">
      <c r="A1920" s="14">
        <f>+'PLAN DE CUENTAS'!A1920</f>
        <v>0</v>
      </c>
      <c r="B1920" s="13">
        <f>+'PLAN DE CUENTAS'!B1920</f>
        <v>0</v>
      </c>
      <c r="C1920" s="13">
        <f>+'PLAN DE CUENTAS'!C1920</f>
        <v>0</v>
      </c>
      <c r="D1920" t="str">
        <f>IF(tbal[[#This Row],[DEBE]]+tbal[[#This Row],[HABER]]=0,"","X")</f>
        <v/>
      </c>
      <c r="E1920" s="16">
        <f>SUMIF(tdiario[CUENTA],tbal[[#This Row],[CUENTA]],tdiario[DEBE])</f>
        <v>0</v>
      </c>
      <c r="F1920" s="17">
        <f>SUMIF(tdiario[CUENTA],tbal[[#This Row],[CUENTA]],tdiario[HABER])</f>
        <v>0</v>
      </c>
      <c r="G1920" s="16">
        <f>IF(tbal[[#This Row],[DEBE]]-tbal[[#This Row],[HABER]]&gt;0,tbal[[#This Row],[DEBE]]-tbal[[#This Row],[HABER]],0)</f>
        <v>0</v>
      </c>
      <c r="H1920" s="18">
        <f>IF(tbal[[#This Row],[HABER]]-tbal[[#This Row],[DEBE]]&gt;0,tbal[[#This Row],[HABER]]-tbal[[#This Row],[DEBE]],0)</f>
        <v>0</v>
      </c>
      <c r="I1920" s="16">
        <f>IF((OR(tbal[[#This Row],[X]]=1,tbal[[#This Row],[X]]=2)),tbal[[#This Row],[DEUDOR]],0)</f>
        <v>0</v>
      </c>
      <c r="J1920" s="18">
        <f>IF((OR(tbal[[#This Row],[X]]=2,tbal[[#This Row],[X]]=3)),tbal[[#This Row],[ACREEDOR]],0)</f>
        <v>0</v>
      </c>
      <c r="K1920" s="16">
        <f>IF((OR(tbal[[#This Row],[X]]=3,tbal[[#This Row],[X]]=5)),tbal[[#This Row],[DEUDOR]],0)</f>
        <v>0</v>
      </c>
      <c r="L1920" s="18">
        <f>IF((OR(tbal[[#This Row],[X]]=3,tbal[[#This Row],[X]]=4)),tbal[[#This Row],[ACREEDOR]],0)</f>
        <v>0</v>
      </c>
      <c r="M1920" s="16">
        <f>IF((OR(tbal[[#This Row],[X]]=0,tbal[[#This Row],[X]]=6)),tbal[[#This Row],[DEUDOR]],0)</f>
        <v>0</v>
      </c>
      <c r="N1920" s="18">
        <f>IF((OR(tbal[[#This Row],[X]]=0,tbal[[#This Row],[X]]=5)),tbal[[#This Row],[ACREEDOR]],0)</f>
        <v>0</v>
      </c>
    </row>
    <row r="1921" spans="1:14" hidden="1" x14ac:dyDescent="0.3">
      <c r="A1921" s="14">
        <f>+'PLAN DE CUENTAS'!A1921</f>
        <v>0</v>
      </c>
      <c r="B1921" s="13">
        <f>+'PLAN DE CUENTAS'!B1921</f>
        <v>0</v>
      </c>
      <c r="C1921" s="13">
        <f>+'PLAN DE CUENTAS'!C1921</f>
        <v>0</v>
      </c>
      <c r="D1921" t="str">
        <f>IF(tbal[[#This Row],[DEBE]]+tbal[[#This Row],[HABER]]=0,"","X")</f>
        <v/>
      </c>
      <c r="E1921" s="16">
        <f>SUMIF(tdiario[CUENTA],tbal[[#This Row],[CUENTA]],tdiario[DEBE])</f>
        <v>0</v>
      </c>
      <c r="F1921" s="17">
        <f>SUMIF(tdiario[CUENTA],tbal[[#This Row],[CUENTA]],tdiario[HABER])</f>
        <v>0</v>
      </c>
      <c r="G1921" s="16">
        <f>IF(tbal[[#This Row],[DEBE]]-tbal[[#This Row],[HABER]]&gt;0,tbal[[#This Row],[DEBE]]-tbal[[#This Row],[HABER]],0)</f>
        <v>0</v>
      </c>
      <c r="H1921" s="18">
        <f>IF(tbal[[#This Row],[HABER]]-tbal[[#This Row],[DEBE]]&gt;0,tbal[[#This Row],[HABER]]-tbal[[#This Row],[DEBE]],0)</f>
        <v>0</v>
      </c>
      <c r="I1921" s="16">
        <f>IF((OR(tbal[[#This Row],[X]]=1,tbal[[#This Row],[X]]=2)),tbal[[#This Row],[DEUDOR]],0)</f>
        <v>0</v>
      </c>
      <c r="J1921" s="18">
        <f>IF((OR(tbal[[#This Row],[X]]=2,tbal[[#This Row],[X]]=3)),tbal[[#This Row],[ACREEDOR]],0)</f>
        <v>0</v>
      </c>
      <c r="K1921" s="16">
        <f>IF((OR(tbal[[#This Row],[X]]=3,tbal[[#This Row],[X]]=5)),tbal[[#This Row],[DEUDOR]],0)</f>
        <v>0</v>
      </c>
      <c r="L1921" s="18">
        <f>IF((OR(tbal[[#This Row],[X]]=3,tbal[[#This Row],[X]]=4)),tbal[[#This Row],[ACREEDOR]],0)</f>
        <v>0</v>
      </c>
      <c r="M1921" s="16">
        <f>IF((OR(tbal[[#This Row],[X]]=0,tbal[[#This Row],[X]]=6)),tbal[[#This Row],[DEUDOR]],0)</f>
        <v>0</v>
      </c>
      <c r="N1921" s="18">
        <f>IF((OR(tbal[[#This Row],[X]]=0,tbal[[#This Row],[X]]=5)),tbal[[#This Row],[ACREEDOR]],0)</f>
        <v>0</v>
      </c>
    </row>
    <row r="1922" spans="1:14" hidden="1" x14ac:dyDescent="0.3">
      <c r="A1922" s="14">
        <f>+'PLAN DE CUENTAS'!A1922</f>
        <v>0</v>
      </c>
      <c r="B1922" s="13">
        <f>+'PLAN DE CUENTAS'!B1922</f>
        <v>0</v>
      </c>
      <c r="C1922" s="13">
        <f>+'PLAN DE CUENTAS'!C1922</f>
        <v>0</v>
      </c>
      <c r="D1922" t="str">
        <f>IF(tbal[[#This Row],[DEBE]]+tbal[[#This Row],[HABER]]=0,"","X")</f>
        <v/>
      </c>
      <c r="E1922" s="16">
        <f>SUMIF(tdiario[CUENTA],tbal[[#This Row],[CUENTA]],tdiario[DEBE])</f>
        <v>0</v>
      </c>
      <c r="F1922" s="17">
        <f>SUMIF(tdiario[CUENTA],tbal[[#This Row],[CUENTA]],tdiario[HABER])</f>
        <v>0</v>
      </c>
      <c r="G1922" s="16">
        <f>IF(tbal[[#This Row],[DEBE]]-tbal[[#This Row],[HABER]]&gt;0,tbal[[#This Row],[DEBE]]-tbal[[#This Row],[HABER]],0)</f>
        <v>0</v>
      </c>
      <c r="H1922" s="18">
        <f>IF(tbal[[#This Row],[HABER]]-tbal[[#This Row],[DEBE]]&gt;0,tbal[[#This Row],[HABER]]-tbal[[#This Row],[DEBE]],0)</f>
        <v>0</v>
      </c>
      <c r="I1922" s="16">
        <f>IF((OR(tbal[[#This Row],[X]]=1,tbal[[#This Row],[X]]=2)),tbal[[#This Row],[DEUDOR]],0)</f>
        <v>0</v>
      </c>
      <c r="J1922" s="18">
        <f>IF((OR(tbal[[#This Row],[X]]=2,tbal[[#This Row],[X]]=3)),tbal[[#This Row],[ACREEDOR]],0)</f>
        <v>0</v>
      </c>
      <c r="K1922" s="16">
        <f>IF((OR(tbal[[#This Row],[X]]=3,tbal[[#This Row],[X]]=5)),tbal[[#This Row],[DEUDOR]],0)</f>
        <v>0</v>
      </c>
      <c r="L1922" s="18">
        <f>IF((OR(tbal[[#This Row],[X]]=3,tbal[[#This Row],[X]]=4)),tbal[[#This Row],[ACREEDOR]],0)</f>
        <v>0</v>
      </c>
      <c r="M1922" s="16">
        <f>IF((OR(tbal[[#This Row],[X]]=0,tbal[[#This Row],[X]]=6)),tbal[[#This Row],[DEUDOR]],0)</f>
        <v>0</v>
      </c>
      <c r="N1922" s="18">
        <f>IF((OR(tbal[[#This Row],[X]]=0,tbal[[#This Row],[X]]=5)),tbal[[#This Row],[ACREEDOR]],0)</f>
        <v>0</v>
      </c>
    </row>
    <row r="1923" spans="1:14" hidden="1" x14ac:dyDescent="0.3">
      <c r="A1923" s="14">
        <f>+'PLAN DE CUENTAS'!A1923</f>
        <v>0</v>
      </c>
      <c r="B1923" s="13">
        <f>+'PLAN DE CUENTAS'!B1923</f>
        <v>0</v>
      </c>
      <c r="C1923" s="13">
        <f>+'PLAN DE CUENTAS'!C1923</f>
        <v>0</v>
      </c>
      <c r="D1923" t="str">
        <f>IF(tbal[[#This Row],[DEBE]]+tbal[[#This Row],[HABER]]=0,"","X")</f>
        <v/>
      </c>
      <c r="E1923" s="16">
        <f>SUMIF(tdiario[CUENTA],tbal[[#This Row],[CUENTA]],tdiario[DEBE])</f>
        <v>0</v>
      </c>
      <c r="F1923" s="17">
        <f>SUMIF(tdiario[CUENTA],tbal[[#This Row],[CUENTA]],tdiario[HABER])</f>
        <v>0</v>
      </c>
      <c r="G1923" s="16">
        <f>IF(tbal[[#This Row],[DEBE]]-tbal[[#This Row],[HABER]]&gt;0,tbal[[#This Row],[DEBE]]-tbal[[#This Row],[HABER]],0)</f>
        <v>0</v>
      </c>
      <c r="H1923" s="18">
        <f>IF(tbal[[#This Row],[HABER]]-tbal[[#This Row],[DEBE]]&gt;0,tbal[[#This Row],[HABER]]-tbal[[#This Row],[DEBE]],0)</f>
        <v>0</v>
      </c>
      <c r="I1923" s="16">
        <f>IF((OR(tbal[[#This Row],[X]]=1,tbal[[#This Row],[X]]=2)),tbal[[#This Row],[DEUDOR]],0)</f>
        <v>0</v>
      </c>
      <c r="J1923" s="18">
        <f>IF((OR(tbal[[#This Row],[X]]=2,tbal[[#This Row],[X]]=3)),tbal[[#This Row],[ACREEDOR]],0)</f>
        <v>0</v>
      </c>
      <c r="K1923" s="16">
        <f>IF((OR(tbal[[#This Row],[X]]=3,tbal[[#This Row],[X]]=5)),tbal[[#This Row],[DEUDOR]],0)</f>
        <v>0</v>
      </c>
      <c r="L1923" s="18">
        <f>IF((OR(tbal[[#This Row],[X]]=3,tbal[[#This Row],[X]]=4)),tbal[[#This Row],[ACREEDOR]],0)</f>
        <v>0</v>
      </c>
      <c r="M1923" s="16">
        <f>IF((OR(tbal[[#This Row],[X]]=0,tbal[[#This Row],[X]]=6)),tbal[[#This Row],[DEUDOR]],0)</f>
        <v>0</v>
      </c>
      <c r="N1923" s="18">
        <f>IF((OR(tbal[[#This Row],[X]]=0,tbal[[#This Row],[X]]=5)),tbal[[#This Row],[ACREEDOR]],0)</f>
        <v>0</v>
      </c>
    </row>
    <row r="1924" spans="1:14" hidden="1" x14ac:dyDescent="0.3">
      <c r="A1924" s="14">
        <f>+'PLAN DE CUENTAS'!A1924</f>
        <v>0</v>
      </c>
      <c r="B1924" s="13">
        <f>+'PLAN DE CUENTAS'!B1924</f>
        <v>0</v>
      </c>
      <c r="C1924" s="13">
        <f>+'PLAN DE CUENTAS'!C1924</f>
        <v>0</v>
      </c>
      <c r="D1924" t="str">
        <f>IF(tbal[[#This Row],[DEBE]]+tbal[[#This Row],[HABER]]=0,"","X")</f>
        <v/>
      </c>
      <c r="E1924" s="16">
        <f>SUMIF(tdiario[CUENTA],tbal[[#This Row],[CUENTA]],tdiario[DEBE])</f>
        <v>0</v>
      </c>
      <c r="F1924" s="17">
        <f>SUMIF(tdiario[CUENTA],tbal[[#This Row],[CUENTA]],tdiario[HABER])</f>
        <v>0</v>
      </c>
      <c r="G1924" s="16">
        <f>IF(tbal[[#This Row],[DEBE]]-tbal[[#This Row],[HABER]]&gt;0,tbal[[#This Row],[DEBE]]-tbal[[#This Row],[HABER]],0)</f>
        <v>0</v>
      </c>
      <c r="H1924" s="18">
        <f>IF(tbal[[#This Row],[HABER]]-tbal[[#This Row],[DEBE]]&gt;0,tbal[[#This Row],[HABER]]-tbal[[#This Row],[DEBE]],0)</f>
        <v>0</v>
      </c>
      <c r="I1924" s="16">
        <f>IF((OR(tbal[[#This Row],[X]]=1,tbal[[#This Row],[X]]=2)),tbal[[#This Row],[DEUDOR]],0)</f>
        <v>0</v>
      </c>
      <c r="J1924" s="18">
        <f>IF((OR(tbal[[#This Row],[X]]=2,tbal[[#This Row],[X]]=3)),tbal[[#This Row],[ACREEDOR]],0)</f>
        <v>0</v>
      </c>
      <c r="K1924" s="16">
        <f>IF((OR(tbal[[#This Row],[X]]=3,tbal[[#This Row],[X]]=5)),tbal[[#This Row],[DEUDOR]],0)</f>
        <v>0</v>
      </c>
      <c r="L1924" s="18">
        <f>IF((OR(tbal[[#This Row],[X]]=3,tbal[[#This Row],[X]]=4)),tbal[[#This Row],[ACREEDOR]],0)</f>
        <v>0</v>
      </c>
      <c r="M1924" s="16">
        <f>IF((OR(tbal[[#This Row],[X]]=0,tbal[[#This Row],[X]]=6)),tbal[[#This Row],[DEUDOR]],0)</f>
        <v>0</v>
      </c>
      <c r="N1924" s="18">
        <f>IF((OR(tbal[[#This Row],[X]]=0,tbal[[#This Row],[X]]=5)),tbal[[#This Row],[ACREEDOR]],0)</f>
        <v>0</v>
      </c>
    </row>
    <row r="1925" spans="1:14" hidden="1" x14ac:dyDescent="0.3">
      <c r="A1925" s="14">
        <f>+'PLAN DE CUENTAS'!A1925</f>
        <v>0</v>
      </c>
      <c r="B1925" s="13">
        <f>+'PLAN DE CUENTAS'!B1925</f>
        <v>0</v>
      </c>
      <c r="C1925" s="13">
        <f>+'PLAN DE CUENTAS'!C1925</f>
        <v>0</v>
      </c>
      <c r="D1925" t="str">
        <f>IF(tbal[[#This Row],[DEBE]]+tbal[[#This Row],[HABER]]=0,"","X")</f>
        <v/>
      </c>
      <c r="E1925" s="16">
        <f>SUMIF(tdiario[CUENTA],tbal[[#This Row],[CUENTA]],tdiario[DEBE])</f>
        <v>0</v>
      </c>
      <c r="F1925" s="17">
        <f>SUMIF(tdiario[CUENTA],tbal[[#This Row],[CUENTA]],tdiario[HABER])</f>
        <v>0</v>
      </c>
      <c r="G1925" s="16">
        <f>IF(tbal[[#This Row],[DEBE]]-tbal[[#This Row],[HABER]]&gt;0,tbal[[#This Row],[DEBE]]-tbal[[#This Row],[HABER]],0)</f>
        <v>0</v>
      </c>
      <c r="H1925" s="18">
        <f>IF(tbal[[#This Row],[HABER]]-tbal[[#This Row],[DEBE]]&gt;0,tbal[[#This Row],[HABER]]-tbal[[#This Row],[DEBE]],0)</f>
        <v>0</v>
      </c>
      <c r="I1925" s="16">
        <f>IF((OR(tbal[[#This Row],[X]]=1,tbal[[#This Row],[X]]=2)),tbal[[#This Row],[DEUDOR]],0)</f>
        <v>0</v>
      </c>
      <c r="J1925" s="18">
        <f>IF((OR(tbal[[#This Row],[X]]=2,tbal[[#This Row],[X]]=3)),tbal[[#This Row],[ACREEDOR]],0)</f>
        <v>0</v>
      </c>
      <c r="K1925" s="16">
        <f>IF((OR(tbal[[#This Row],[X]]=3,tbal[[#This Row],[X]]=5)),tbal[[#This Row],[DEUDOR]],0)</f>
        <v>0</v>
      </c>
      <c r="L1925" s="18">
        <f>IF((OR(tbal[[#This Row],[X]]=3,tbal[[#This Row],[X]]=4)),tbal[[#This Row],[ACREEDOR]],0)</f>
        <v>0</v>
      </c>
      <c r="M1925" s="16">
        <f>IF((OR(tbal[[#This Row],[X]]=0,tbal[[#This Row],[X]]=6)),tbal[[#This Row],[DEUDOR]],0)</f>
        <v>0</v>
      </c>
      <c r="N1925" s="18">
        <f>IF((OR(tbal[[#This Row],[X]]=0,tbal[[#This Row],[X]]=5)),tbal[[#This Row],[ACREEDOR]],0)</f>
        <v>0</v>
      </c>
    </row>
    <row r="1926" spans="1:14" hidden="1" x14ac:dyDescent="0.3">
      <c r="A1926" s="14">
        <f>+'PLAN DE CUENTAS'!A1926</f>
        <v>0</v>
      </c>
      <c r="B1926" s="13">
        <f>+'PLAN DE CUENTAS'!B1926</f>
        <v>0</v>
      </c>
      <c r="C1926" s="13">
        <f>+'PLAN DE CUENTAS'!C1926</f>
        <v>0</v>
      </c>
      <c r="D1926" t="str">
        <f>IF(tbal[[#This Row],[DEBE]]+tbal[[#This Row],[HABER]]=0,"","X")</f>
        <v/>
      </c>
      <c r="E1926" s="16">
        <f>SUMIF(tdiario[CUENTA],tbal[[#This Row],[CUENTA]],tdiario[DEBE])</f>
        <v>0</v>
      </c>
      <c r="F1926" s="17">
        <f>SUMIF(tdiario[CUENTA],tbal[[#This Row],[CUENTA]],tdiario[HABER])</f>
        <v>0</v>
      </c>
      <c r="G1926" s="16">
        <f>IF(tbal[[#This Row],[DEBE]]-tbal[[#This Row],[HABER]]&gt;0,tbal[[#This Row],[DEBE]]-tbal[[#This Row],[HABER]],0)</f>
        <v>0</v>
      </c>
      <c r="H1926" s="18">
        <f>IF(tbal[[#This Row],[HABER]]-tbal[[#This Row],[DEBE]]&gt;0,tbal[[#This Row],[HABER]]-tbal[[#This Row],[DEBE]],0)</f>
        <v>0</v>
      </c>
      <c r="I1926" s="16">
        <f>IF((OR(tbal[[#This Row],[X]]=1,tbal[[#This Row],[X]]=2)),tbal[[#This Row],[DEUDOR]],0)</f>
        <v>0</v>
      </c>
      <c r="J1926" s="18">
        <f>IF((OR(tbal[[#This Row],[X]]=2,tbal[[#This Row],[X]]=3)),tbal[[#This Row],[ACREEDOR]],0)</f>
        <v>0</v>
      </c>
      <c r="K1926" s="16">
        <f>IF((OR(tbal[[#This Row],[X]]=3,tbal[[#This Row],[X]]=5)),tbal[[#This Row],[DEUDOR]],0)</f>
        <v>0</v>
      </c>
      <c r="L1926" s="18">
        <f>IF((OR(tbal[[#This Row],[X]]=3,tbal[[#This Row],[X]]=4)),tbal[[#This Row],[ACREEDOR]],0)</f>
        <v>0</v>
      </c>
      <c r="M1926" s="16">
        <f>IF((OR(tbal[[#This Row],[X]]=0,tbal[[#This Row],[X]]=6)),tbal[[#This Row],[DEUDOR]],0)</f>
        <v>0</v>
      </c>
      <c r="N1926" s="18">
        <f>IF((OR(tbal[[#This Row],[X]]=0,tbal[[#This Row],[X]]=5)),tbal[[#This Row],[ACREEDOR]],0)</f>
        <v>0</v>
      </c>
    </row>
    <row r="1927" spans="1:14" hidden="1" x14ac:dyDescent="0.3">
      <c r="A1927" s="14">
        <f>+'PLAN DE CUENTAS'!A1927</f>
        <v>0</v>
      </c>
      <c r="B1927" s="13">
        <f>+'PLAN DE CUENTAS'!B1927</f>
        <v>0</v>
      </c>
      <c r="C1927" s="13">
        <f>+'PLAN DE CUENTAS'!C1927</f>
        <v>0</v>
      </c>
      <c r="D1927" t="str">
        <f>IF(tbal[[#This Row],[DEBE]]+tbal[[#This Row],[HABER]]=0,"","X")</f>
        <v/>
      </c>
      <c r="E1927" s="16">
        <f>SUMIF(tdiario[CUENTA],tbal[[#This Row],[CUENTA]],tdiario[DEBE])</f>
        <v>0</v>
      </c>
      <c r="F1927" s="17">
        <f>SUMIF(tdiario[CUENTA],tbal[[#This Row],[CUENTA]],tdiario[HABER])</f>
        <v>0</v>
      </c>
      <c r="G1927" s="16">
        <f>IF(tbal[[#This Row],[DEBE]]-tbal[[#This Row],[HABER]]&gt;0,tbal[[#This Row],[DEBE]]-tbal[[#This Row],[HABER]],0)</f>
        <v>0</v>
      </c>
      <c r="H1927" s="18">
        <f>IF(tbal[[#This Row],[HABER]]-tbal[[#This Row],[DEBE]]&gt;0,tbal[[#This Row],[HABER]]-tbal[[#This Row],[DEBE]],0)</f>
        <v>0</v>
      </c>
      <c r="I1927" s="16">
        <f>IF((OR(tbal[[#This Row],[X]]=1,tbal[[#This Row],[X]]=2)),tbal[[#This Row],[DEUDOR]],0)</f>
        <v>0</v>
      </c>
      <c r="J1927" s="18">
        <f>IF((OR(tbal[[#This Row],[X]]=2,tbal[[#This Row],[X]]=3)),tbal[[#This Row],[ACREEDOR]],0)</f>
        <v>0</v>
      </c>
      <c r="K1927" s="16">
        <f>IF((OR(tbal[[#This Row],[X]]=3,tbal[[#This Row],[X]]=5)),tbal[[#This Row],[DEUDOR]],0)</f>
        <v>0</v>
      </c>
      <c r="L1927" s="18">
        <f>IF((OR(tbal[[#This Row],[X]]=3,tbal[[#This Row],[X]]=4)),tbal[[#This Row],[ACREEDOR]],0)</f>
        <v>0</v>
      </c>
      <c r="M1927" s="16">
        <f>IF((OR(tbal[[#This Row],[X]]=0,tbal[[#This Row],[X]]=6)),tbal[[#This Row],[DEUDOR]],0)</f>
        <v>0</v>
      </c>
      <c r="N1927" s="18">
        <f>IF((OR(tbal[[#This Row],[X]]=0,tbal[[#This Row],[X]]=5)),tbal[[#This Row],[ACREEDOR]],0)</f>
        <v>0</v>
      </c>
    </row>
    <row r="1928" spans="1:14" hidden="1" x14ac:dyDescent="0.3">
      <c r="A1928" s="14">
        <f>+'PLAN DE CUENTAS'!A1928</f>
        <v>0</v>
      </c>
      <c r="B1928" s="13">
        <f>+'PLAN DE CUENTAS'!B1928</f>
        <v>0</v>
      </c>
      <c r="C1928" s="13">
        <f>+'PLAN DE CUENTAS'!C1928</f>
        <v>0</v>
      </c>
      <c r="D1928" t="str">
        <f>IF(tbal[[#This Row],[DEBE]]+tbal[[#This Row],[HABER]]=0,"","X")</f>
        <v/>
      </c>
      <c r="E1928" s="16">
        <f>SUMIF(tdiario[CUENTA],tbal[[#This Row],[CUENTA]],tdiario[DEBE])</f>
        <v>0</v>
      </c>
      <c r="F1928" s="17">
        <f>SUMIF(tdiario[CUENTA],tbal[[#This Row],[CUENTA]],tdiario[HABER])</f>
        <v>0</v>
      </c>
      <c r="G1928" s="16">
        <f>IF(tbal[[#This Row],[DEBE]]-tbal[[#This Row],[HABER]]&gt;0,tbal[[#This Row],[DEBE]]-tbal[[#This Row],[HABER]],0)</f>
        <v>0</v>
      </c>
      <c r="H1928" s="18">
        <f>IF(tbal[[#This Row],[HABER]]-tbal[[#This Row],[DEBE]]&gt;0,tbal[[#This Row],[HABER]]-tbal[[#This Row],[DEBE]],0)</f>
        <v>0</v>
      </c>
      <c r="I1928" s="16">
        <f>IF((OR(tbal[[#This Row],[X]]=1,tbal[[#This Row],[X]]=2)),tbal[[#This Row],[DEUDOR]],0)</f>
        <v>0</v>
      </c>
      <c r="J1928" s="18">
        <f>IF((OR(tbal[[#This Row],[X]]=2,tbal[[#This Row],[X]]=3)),tbal[[#This Row],[ACREEDOR]],0)</f>
        <v>0</v>
      </c>
      <c r="K1928" s="16">
        <f>IF((OR(tbal[[#This Row],[X]]=3,tbal[[#This Row],[X]]=5)),tbal[[#This Row],[DEUDOR]],0)</f>
        <v>0</v>
      </c>
      <c r="L1928" s="18">
        <f>IF((OR(tbal[[#This Row],[X]]=3,tbal[[#This Row],[X]]=4)),tbal[[#This Row],[ACREEDOR]],0)</f>
        <v>0</v>
      </c>
      <c r="M1928" s="16">
        <f>IF((OR(tbal[[#This Row],[X]]=0,tbal[[#This Row],[X]]=6)),tbal[[#This Row],[DEUDOR]],0)</f>
        <v>0</v>
      </c>
      <c r="N1928" s="18">
        <f>IF((OR(tbal[[#This Row],[X]]=0,tbal[[#This Row],[X]]=5)),tbal[[#This Row],[ACREEDOR]],0)</f>
        <v>0</v>
      </c>
    </row>
    <row r="1929" spans="1:14" hidden="1" x14ac:dyDescent="0.3">
      <c r="A1929" s="14">
        <f>+'PLAN DE CUENTAS'!A1929</f>
        <v>0</v>
      </c>
      <c r="B1929" s="13">
        <f>+'PLAN DE CUENTAS'!B1929</f>
        <v>0</v>
      </c>
      <c r="C1929" s="13">
        <f>+'PLAN DE CUENTAS'!C1929</f>
        <v>0</v>
      </c>
      <c r="D1929" t="str">
        <f>IF(tbal[[#This Row],[DEBE]]+tbal[[#This Row],[HABER]]=0,"","X")</f>
        <v/>
      </c>
      <c r="E1929" s="16">
        <f>SUMIF(tdiario[CUENTA],tbal[[#This Row],[CUENTA]],tdiario[DEBE])</f>
        <v>0</v>
      </c>
      <c r="F1929" s="17">
        <f>SUMIF(tdiario[CUENTA],tbal[[#This Row],[CUENTA]],tdiario[HABER])</f>
        <v>0</v>
      </c>
      <c r="G1929" s="16">
        <f>IF(tbal[[#This Row],[DEBE]]-tbal[[#This Row],[HABER]]&gt;0,tbal[[#This Row],[DEBE]]-tbal[[#This Row],[HABER]],0)</f>
        <v>0</v>
      </c>
      <c r="H1929" s="18">
        <f>IF(tbal[[#This Row],[HABER]]-tbal[[#This Row],[DEBE]]&gt;0,tbal[[#This Row],[HABER]]-tbal[[#This Row],[DEBE]],0)</f>
        <v>0</v>
      </c>
      <c r="I1929" s="16">
        <f>IF((OR(tbal[[#This Row],[X]]=1,tbal[[#This Row],[X]]=2)),tbal[[#This Row],[DEUDOR]],0)</f>
        <v>0</v>
      </c>
      <c r="J1929" s="18">
        <f>IF((OR(tbal[[#This Row],[X]]=2,tbal[[#This Row],[X]]=3)),tbal[[#This Row],[ACREEDOR]],0)</f>
        <v>0</v>
      </c>
      <c r="K1929" s="16">
        <f>IF((OR(tbal[[#This Row],[X]]=3,tbal[[#This Row],[X]]=5)),tbal[[#This Row],[DEUDOR]],0)</f>
        <v>0</v>
      </c>
      <c r="L1929" s="18">
        <f>IF((OR(tbal[[#This Row],[X]]=3,tbal[[#This Row],[X]]=4)),tbal[[#This Row],[ACREEDOR]],0)</f>
        <v>0</v>
      </c>
      <c r="M1929" s="16">
        <f>IF((OR(tbal[[#This Row],[X]]=0,tbal[[#This Row],[X]]=6)),tbal[[#This Row],[DEUDOR]],0)</f>
        <v>0</v>
      </c>
      <c r="N1929" s="18">
        <f>IF((OR(tbal[[#This Row],[X]]=0,tbal[[#This Row],[X]]=5)),tbal[[#This Row],[ACREEDOR]],0)</f>
        <v>0</v>
      </c>
    </row>
    <row r="1930" spans="1:14" hidden="1" x14ac:dyDescent="0.3">
      <c r="A1930" s="14">
        <f>+'PLAN DE CUENTAS'!A1930</f>
        <v>0</v>
      </c>
      <c r="B1930" s="13">
        <f>+'PLAN DE CUENTAS'!B1930</f>
        <v>0</v>
      </c>
      <c r="C1930" s="13">
        <f>+'PLAN DE CUENTAS'!C1930</f>
        <v>0</v>
      </c>
      <c r="D1930" t="str">
        <f>IF(tbal[[#This Row],[DEBE]]+tbal[[#This Row],[HABER]]=0,"","X")</f>
        <v/>
      </c>
      <c r="E1930" s="16">
        <f>SUMIF(tdiario[CUENTA],tbal[[#This Row],[CUENTA]],tdiario[DEBE])</f>
        <v>0</v>
      </c>
      <c r="F1930" s="17">
        <f>SUMIF(tdiario[CUENTA],tbal[[#This Row],[CUENTA]],tdiario[HABER])</f>
        <v>0</v>
      </c>
      <c r="G1930" s="16">
        <f>IF(tbal[[#This Row],[DEBE]]-tbal[[#This Row],[HABER]]&gt;0,tbal[[#This Row],[DEBE]]-tbal[[#This Row],[HABER]],0)</f>
        <v>0</v>
      </c>
      <c r="H1930" s="18">
        <f>IF(tbal[[#This Row],[HABER]]-tbal[[#This Row],[DEBE]]&gt;0,tbal[[#This Row],[HABER]]-tbal[[#This Row],[DEBE]],0)</f>
        <v>0</v>
      </c>
      <c r="I1930" s="16">
        <f>IF((OR(tbal[[#This Row],[X]]=1,tbal[[#This Row],[X]]=2)),tbal[[#This Row],[DEUDOR]],0)</f>
        <v>0</v>
      </c>
      <c r="J1930" s="18">
        <f>IF((OR(tbal[[#This Row],[X]]=2,tbal[[#This Row],[X]]=3)),tbal[[#This Row],[ACREEDOR]],0)</f>
        <v>0</v>
      </c>
      <c r="K1930" s="16">
        <f>IF((OR(tbal[[#This Row],[X]]=3,tbal[[#This Row],[X]]=5)),tbal[[#This Row],[DEUDOR]],0)</f>
        <v>0</v>
      </c>
      <c r="L1930" s="18">
        <f>IF((OR(tbal[[#This Row],[X]]=3,tbal[[#This Row],[X]]=4)),tbal[[#This Row],[ACREEDOR]],0)</f>
        <v>0</v>
      </c>
      <c r="M1930" s="16">
        <f>IF((OR(tbal[[#This Row],[X]]=0,tbal[[#This Row],[X]]=6)),tbal[[#This Row],[DEUDOR]],0)</f>
        <v>0</v>
      </c>
      <c r="N1930" s="18">
        <f>IF((OR(tbal[[#This Row],[X]]=0,tbal[[#This Row],[X]]=5)),tbal[[#This Row],[ACREEDOR]],0)</f>
        <v>0</v>
      </c>
    </row>
    <row r="1931" spans="1:14" hidden="1" x14ac:dyDescent="0.3">
      <c r="A1931" s="14">
        <f>+'PLAN DE CUENTAS'!A1931</f>
        <v>0</v>
      </c>
      <c r="B1931" s="13">
        <f>+'PLAN DE CUENTAS'!B1931</f>
        <v>0</v>
      </c>
      <c r="C1931" s="13">
        <f>+'PLAN DE CUENTAS'!C1931</f>
        <v>0</v>
      </c>
      <c r="D1931" t="str">
        <f>IF(tbal[[#This Row],[DEBE]]+tbal[[#This Row],[HABER]]=0,"","X")</f>
        <v/>
      </c>
      <c r="E1931" s="16">
        <f>SUMIF(tdiario[CUENTA],tbal[[#This Row],[CUENTA]],tdiario[DEBE])</f>
        <v>0</v>
      </c>
      <c r="F1931" s="17">
        <f>SUMIF(tdiario[CUENTA],tbal[[#This Row],[CUENTA]],tdiario[HABER])</f>
        <v>0</v>
      </c>
      <c r="G1931" s="16">
        <f>IF(tbal[[#This Row],[DEBE]]-tbal[[#This Row],[HABER]]&gt;0,tbal[[#This Row],[DEBE]]-tbal[[#This Row],[HABER]],0)</f>
        <v>0</v>
      </c>
      <c r="H1931" s="18">
        <f>IF(tbal[[#This Row],[HABER]]-tbal[[#This Row],[DEBE]]&gt;0,tbal[[#This Row],[HABER]]-tbal[[#This Row],[DEBE]],0)</f>
        <v>0</v>
      </c>
      <c r="I1931" s="16">
        <f>IF((OR(tbal[[#This Row],[X]]=1,tbal[[#This Row],[X]]=2)),tbal[[#This Row],[DEUDOR]],0)</f>
        <v>0</v>
      </c>
      <c r="J1931" s="18">
        <f>IF((OR(tbal[[#This Row],[X]]=2,tbal[[#This Row],[X]]=3)),tbal[[#This Row],[ACREEDOR]],0)</f>
        <v>0</v>
      </c>
      <c r="K1931" s="16">
        <f>IF((OR(tbal[[#This Row],[X]]=3,tbal[[#This Row],[X]]=5)),tbal[[#This Row],[DEUDOR]],0)</f>
        <v>0</v>
      </c>
      <c r="L1931" s="18">
        <f>IF((OR(tbal[[#This Row],[X]]=3,tbal[[#This Row],[X]]=4)),tbal[[#This Row],[ACREEDOR]],0)</f>
        <v>0</v>
      </c>
      <c r="M1931" s="16">
        <f>IF((OR(tbal[[#This Row],[X]]=0,tbal[[#This Row],[X]]=6)),tbal[[#This Row],[DEUDOR]],0)</f>
        <v>0</v>
      </c>
      <c r="N1931" s="18">
        <f>IF((OR(tbal[[#This Row],[X]]=0,tbal[[#This Row],[X]]=5)),tbal[[#This Row],[ACREEDOR]],0)</f>
        <v>0</v>
      </c>
    </row>
    <row r="1932" spans="1:14" hidden="1" x14ac:dyDescent="0.3">
      <c r="A1932" s="14">
        <f>+'PLAN DE CUENTAS'!A1932</f>
        <v>0</v>
      </c>
      <c r="B1932" s="13">
        <f>+'PLAN DE CUENTAS'!B1932</f>
        <v>0</v>
      </c>
      <c r="C1932" s="13">
        <f>+'PLAN DE CUENTAS'!C1932</f>
        <v>0</v>
      </c>
      <c r="D1932" t="str">
        <f>IF(tbal[[#This Row],[DEBE]]+tbal[[#This Row],[HABER]]=0,"","X")</f>
        <v/>
      </c>
      <c r="E1932" s="16">
        <f>SUMIF(tdiario[CUENTA],tbal[[#This Row],[CUENTA]],tdiario[DEBE])</f>
        <v>0</v>
      </c>
      <c r="F1932" s="17">
        <f>SUMIF(tdiario[CUENTA],tbal[[#This Row],[CUENTA]],tdiario[HABER])</f>
        <v>0</v>
      </c>
      <c r="G1932" s="16">
        <f>IF(tbal[[#This Row],[DEBE]]-tbal[[#This Row],[HABER]]&gt;0,tbal[[#This Row],[DEBE]]-tbal[[#This Row],[HABER]],0)</f>
        <v>0</v>
      </c>
      <c r="H1932" s="18">
        <f>IF(tbal[[#This Row],[HABER]]-tbal[[#This Row],[DEBE]]&gt;0,tbal[[#This Row],[HABER]]-tbal[[#This Row],[DEBE]],0)</f>
        <v>0</v>
      </c>
      <c r="I1932" s="16">
        <f>IF((OR(tbal[[#This Row],[X]]=1,tbal[[#This Row],[X]]=2)),tbal[[#This Row],[DEUDOR]],0)</f>
        <v>0</v>
      </c>
      <c r="J1932" s="18">
        <f>IF((OR(tbal[[#This Row],[X]]=2,tbal[[#This Row],[X]]=3)),tbal[[#This Row],[ACREEDOR]],0)</f>
        <v>0</v>
      </c>
      <c r="K1932" s="16">
        <f>IF((OR(tbal[[#This Row],[X]]=3,tbal[[#This Row],[X]]=5)),tbal[[#This Row],[DEUDOR]],0)</f>
        <v>0</v>
      </c>
      <c r="L1932" s="18">
        <f>IF((OR(tbal[[#This Row],[X]]=3,tbal[[#This Row],[X]]=4)),tbal[[#This Row],[ACREEDOR]],0)</f>
        <v>0</v>
      </c>
      <c r="M1932" s="16">
        <f>IF((OR(tbal[[#This Row],[X]]=0,tbal[[#This Row],[X]]=6)),tbal[[#This Row],[DEUDOR]],0)</f>
        <v>0</v>
      </c>
      <c r="N1932" s="18">
        <f>IF((OR(tbal[[#This Row],[X]]=0,tbal[[#This Row],[X]]=5)),tbal[[#This Row],[ACREEDOR]],0)</f>
        <v>0</v>
      </c>
    </row>
    <row r="1933" spans="1:14" hidden="1" x14ac:dyDescent="0.3">
      <c r="A1933" s="14">
        <f>+'PLAN DE CUENTAS'!A1933</f>
        <v>0</v>
      </c>
      <c r="B1933" s="13">
        <f>+'PLAN DE CUENTAS'!B1933</f>
        <v>0</v>
      </c>
      <c r="C1933" s="13">
        <f>+'PLAN DE CUENTAS'!C1933</f>
        <v>0</v>
      </c>
      <c r="D1933" t="str">
        <f>IF(tbal[[#This Row],[DEBE]]+tbal[[#This Row],[HABER]]=0,"","X")</f>
        <v/>
      </c>
      <c r="E1933" s="16">
        <f>SUMIF(tdiario[CUENTA],tbal[[#This Row],[CUENTA]],tdiario[DEBE])</f>
        <v>0</v>
      </c>
      <c r="F1933" s="17">
        <f>SUMIF(tdiario[CUENTA],tbal[[#This Row],[CUENTA]],tdiario[HABER])</f>
        <v>0</v>
      </c>
      <c r="G1933" s="16">
        <f>IF(tbal[[#This Row],[DEBE]]-tbal[[#This Row],[HABER]]&gt;0,tbal[[#This Row],[DEBE]]-tbal[[#This Row],[HABER]],0)</f>
        <v>0</v>
      </c>
      <c r="H1933" s="18">
        <f>IF(tbal[[#This Row],[HABER]]-tbal[[#This Row],[DEBE]]&gt;0,tbal[[#This Row],[HABER]]-tbal[[#This Row],[DEBE]],0)</f>
        <v>0</v>
      </c>
      <c r="I1933" s="16">
        <f>IF((OR(tbal[[#This Row],[X]]=1,tbal[[#This Row],[X]]=2)),tbal[[#This Row],[DEUDOR]],0)</f>
        <v>0</v>
      </c>
      <c r="J1933" s="18">
        <f>IF((OR(tbal[[#This Row],[X]]=2,tbal[[#This Row],[X]]=3)),tbal[[#This Row],[ACREEDOR]],0)</f>
        <v>0</v>
      </c>
      <c r="K1933" s="16">
        <f>IF((OR(tbal[[#This Row],[X]]=3,tbal[[#This Row],[X]]=5)),tbal[[#This Row],[DEUDOR]],0)</f>
        <v>0</v>
      </c>
      <c r="L1933" s="18">
        <f>IF((OR(tbal[[#This Row],[X]]=3,tbal[[#This Row],[X]]=4)),tbal[[#This Row],[ACREEDOR]],0)</f>
        <v>0</v>
      </c>
      <c r="M1933" s="16">
        <f>IF((OR(tbal[[#This Row],[X]]=0,tbal[[#This Row],[X]]=6)),tbal[[#This Row],[DEUDOR]],0)</f>
        <v>0</v>
      </c>
      <c r="N1933" s="18">
        <f>IF((OR(tbal[[#This Row],[X]]=0,tbal[[#This Row],[X]]=5)),tbal[[#This Row],[ACREEDOR]],0)</f>
        <v>0</v>
      </c>
    </row>
    <row r="1934" spans="1:14" hidden="1" x14ac:dyDescent="0.3">
      <c r="A1934" s="14">
        <f>+'PLAN DE CUENTAS'!A1934</f>
        <v>0</v>
      </c>
      <c r="B1934" s="13">
        <f>+'PLAN DE CUENTAS'!B1934</f>
        <v>0</v>
      </c>
      <c r="C1934" s="13">
        <f>+'PLAN DE CUENTAS'!C1934</f>
        <v>0</v>
      </c>
      <c r="D1934" t="str">
        <f>IF(tbal[[#This Row],[DEBE]]+tbal[[#This Row],[HABER]]=0,"","X")</f>
        <v/>
      </c>
      <c r="E1934" s="16">
        <f>SUMIF(tdiario[CUENTA],tbal[[#This Row],[CUENTA]],tdiario[DEBE])</f>
        <v>0</v>
      </c>
      <c r="F1934" s="17">
        <f>SUMIF(tdiario[CUENTA],tbal[[#This Row],[CUENTA]],tdiario[HABER])</f>
        <v>0</v>
      </c>
      <c r="G1934" s="16">
        <f>IF(tbal[[#This Row],[DEBE]]-tbal[[#This Row],[HABER]]&gt;0,tbal[[#This Row],[DEBE]]-tbal[[#This Row],[HABER]],0)</f>
        <v>0</v>
      </c>
      <c r="H1934" s="18">
        <f>IF(tbal[[#This Row],[HABER]]-tbal[[#This Row],[DEBE]]&gt;0,tbal[[#This Row],[HABER]]-tbal[[#This Row],[DEBE]],0)</f>
        <v>0</v>
      </c>
      <c r="I1934" s="16">
        <f>IF((OR(tbal[[#This Row],[X]]=1,tbal[[#This Row],[X]]=2)),tbal[[#This Row],[DEUDOR]],0)</f>
        <v>0</v>
      </c>
      <c r="J1934" s="18">
        <f>IF((OR(tbal[[#This Row],[X]]=2,tbal[[#This Row],[X]]=3)),tbal[[#This Row],[ACREEDOR]],0)</f>
        <v>0</v>
      </c>
      <c r="K1934" s="16">
        <f>IF((OR(tbal[[#This Row],[X]]=3,tbal[[#This Row],[X]]=5)),tbal[[#This Row],[DEUDOR]],0)</f>
        <v>0</v>
      </c>
      <c r="L1934" s="18">
        <f>IF((OR(tbal[[#This Row],[X]]=3,tbal[[#This Row],[X]]=4)),tbal[[#This Row],[ACREEDOR]],0)</f>
        <v>0</v>
      </c>
      <c r="M1934" s="16">
        <f>IF((OR(tbal[[#This Row],[X]]=0,tbal[[#This Row],[X]]=6)),tbal[[#This Row],[DEUDOR]],0)</f>
        <v>0</v>
      </c>
      <c r="N1934" s="18">
        <f>IF((OR(tbal[[#This Row],[X]]=0,tbal[[#This Row],[X]]=5)),tbal[[#This Row],[ACREEDOR]],0)</f>
        <v>0</v>
      </c>
    </row>
    <row r="1935" spans="1:14" hidden="1" x14ac:dyDescent="0.3">
      <c r="A1935" s="14">
        <f>+'PLAN DE CUENTAS'!A1935</f>
        <v>0</v>
      </c>
      <c r="B1935" s="13">
        <f>+'PLAN DE CUENTAS'!B1935</f>
        <v>0</v>
      </c>
      <c r="C1935" s="13">
        <f>+'PLAN DE CUENTAS'!C1935</f>
        <v>0</v>
      </c>
      <c r="D1935" t="str">
        <f>IF(tbal[[#This Row],[DEBE]]+tbal[[#This Row],[HABER]]=0,"","X")</f>
        <v/>
      </c>
      <c r="E1935" s="16">
        <f>SUMIF(tdiario[CUENTA],tbal[[#This Row],[CUENTA]],tdiario[DEBE])</f>
        <v>0</v>
      </c>
      <c r="F1935" s="17">
        <f>SUMIF(tdiario[CUENTA],tbal[[#This Row],[CUENTA]],tdiario[HABER])</f>
        <v>0</v>
      </c>
      <c r="G1935" s="16">
        <f>IF(tbal[[#This Row],[DEBE]]-tbal[[#This Row],[HABER]]&gt;0,tbal[[#This Row],[DEBE]]-tbal[[#This Row],[HABER]],0)</f>
        <v>0</v>
      </c>
      <c r="H1935" s="18">
        <f>IF(tbal[[#This Row],[HABER]]-tbal[[#This Row],[DEBE]]&gt;0,tbal[[#This Row],[HABER]]-tbal[[#This Row],[DEBE]],0)</f>
        <v>0</v>
      </c>
      <c r="I1935" s="16">
        <f>IF((OR(tbal[[#This Row],[X]]=1,tbal[[#This Row],[X]]=2)),tbal[[#This Row],[DEUDOR]],0)</f>
        <v>0</v>
      </c>
      <c r="J1935" s="18">
        <f>IF((OR(tbal[[#This Row],[X]]=2,tbal[[#This Row],[X]]=3)),tbal[[#This Row],[ACREEDOR]],0)</f>
        <v>0</v>
      </c>
      <c r="K1935" s="16">
        <f>IF((OR(tbal[[#This Row],[X]]=3,tbal[[#This Row],[X]]=5)),tbal[[#This Row],[DEUDOR]],0)</f>
        <v>0</v>
      </c>
      <c r="L1935" s="18">
        <f>IF((OR(tbal[[#This Row],[X]]=3,tbal[[#This Row],[X]]=4)),tbal[[#This Row],[ACREEDOR]],0)</f>
        <v>0</v>
      </c>
      <c r="M1935" s="16">
        <f>IF((OR(tbal[[#This Row],[X]]=0,tbal[[#This Row],[X]]=6)),tbal[[#This Row],[DEUDOR]],0)</f>
        <v>0</v>
      </c>
      <c r="N1935" s="18">
        <f>IF((OR(tbal[[#This Row],[X]]=0,tbal[[#This Row],[X]]=5)),tbal[[#This Row],[ACREEDOR]],0)</f>
        <v>0</v>
      </c>
    </row>
    <row r="1936" spans="1:14" hidden="1" x14ac:dyDescent="0.3">
      <c r="A1936" s="14">
        <f>+'PLAN DE CUENTAS'!A1936</f>
        <v>0</v>
      </c>
      <c r="B1936" s="13">
        <f>+'PLAN DE CUENTAS'!B1936</f>
        <v>0</v>
      </c>
      <c r="C1936" s="13">
        <f>+'PLAN DE CUENTAS'!C1936</f>
        <v>0</v>
      </c>
      <c r="D1936" t="str">
        <f>IF(tbal[[#This Row],[DEBE]]+tbal[[#This Row],[HABER]]=0,"","X")</f>
        <v/>
      </c>
      <c r="E1936" s="16">
        <f>SUMIF(tdiario[CUENTA],tbal[[#This Row],[CUENTA]],tdiario[DEBE])</f>
        <v>0</v>
      </c>
      <c r="F1936" s="17">
        <f>SUMIF(tdiario[CUENTA],tbal[[#This Row],[CUENTA]],tdiario[HABER])</f>
        <v>0</v>
      </c>
      <c r="G1936" s="16">
        <f>IF(tbal[[#This Row],[DEBE]]-tbal[[#This Row],[HABER]]&gt;0,tbal[[#This Row],[DEBE]]-tbal[[#This Row],[HABER]],0)</f>
        <v>0</v>
      </c>
      <c r="H1936" s="18">
        <f>IF(tbal[[#This Row],[HABER]]-tbal[[#This Row],[DEBE]]&gt;0,tbal[[#This Row],[HABER]]-tbal[[#This Row],[DEBE]],0)</f>
        <v>0</v>
      </c>
      <c r="I1936" s="16">
        <f>IF((OR(tbal[[#This Row],[X]]=1,tbal[[#This Row],[X]]=2)),tbal[[#This Row],[DEUDOR]],0)</f>
        <v>0</v>
      </c>
      <c r="J1936" s="18">
        <f>IF((OR(tbal[[#This Row],[X]]=2,tbal[[#This Row],[X]]=3)),tbal[[#This Row],[ACREEDOR]],0)</f>
        <v>0</v>
      </c>
      <c r="K1936" s="16">
        <f>IF((OR(tbal[[#This Row],[X]]=3,tbal[[#This Row],[X]]=5)),tbal[[#This Row],[DEUDOR]],0)</f>
        <v>0</v>
      </c>
      <c r="L1936" s="18">
        <f>IF((OR(tbal[[#This Row],[X]]=3,tbal[[#This Row],[X]]=4)),tbal[[#This Row],[ACREEDOR]],0)</f>
        <v>0</v>
      </c>
      <c r="M1936" s="16">
        <f>IF((OR(tbal[[#This Row],[X]]=0,tbal[[#This Row],[X]]=6)),tbal[[#This Row],[DEUDOR]],0)</f>
        <v>0</v>
      </c>
      <c r="N1936" s="18">
        <f>IF((OR(tbal[[#This Row],[X]]=0,tbal[[#This Row],[X]]=5)),tbal[[#This Row],[ACREEDOR]],0)</f>
        <v>0</v>
      </c>
    </row>
    <row r="1937" spans="1:14" hidden="1" x14ac:dyDescent="0.3">
      <c r="A1937" s="14">
        <f>+'PLAN DE CUENTAS'!A1937</f>
        <v>0</v>
      </c>
      <c r="B1937" s="13">
        <f>+'PLAN DE CUENTAS'!B1937</f>
        <v>0</v>
      </c>
      <c r="C1937" s="13">
        <f>+'PLAN DE CUENTAS'!C1937</f>
        <v>0</v>
      </c>
      <c r="D1937" t="str">
        <f>IF(tbal[[#This Row],[DEBE]]+tbal[[#This Row],[HABER]]=0,"","X")</f>
        <v/>
      </c>
      <c r="E1937" s="16">
        <f>SUMIF(tdiario[CUENTA],tbal[[#This Row],[CUENTA]],tdiario[DEBE])</f>
        <v>0</v>
      </c>
      <c r="F1937" s="17">
        <f>SUMIF(tdiario[CUENTA],tbal[[#This Row],[CUENTA]],tdiario[HABER])</f>
        <v>0</v>
      </c>
      <c r="G1937" s="16">
        <f>IF(tbal[[#This Row],[DEBE]]-tbal[[#This Row],[HABER]]&gt;0,tbal[[#This Row],[DEBE]]-tbal[[#This Row],[HABER]],0)</f>
        <v>0</v>
      </c>
      <c r="H1937" s="18">
        <f>IF(tbal[[#This Row],[HABER]]-tbal[[#This Row],[DEBE]]&gt;0,tbal[[#This Row],[HABER]]-tbal[[#This Row],[DEBE]],0)</f>
        <v>0</v>
      </c>
      <c r="I1937" s="16">
        <f>IF((OR(tbal[[#This Row],[X]]=1,tbal[[#This Row],[X]]=2)),tbal[[#This Row],[DEUDOR]],0)</f>
        <v>0</v>
      </c>
      <c r="J1937" s="18">
        <f>IF((OR(tbal[[#This Row],[X]]=2,tbal[[#This Row],[X]]=3)),tbal[[#This Row],[ACREEDOR]],0)</f>
        <v>0</v>
      </c>
      <c r="K1937" s="16">
        <f>IF((OR(tbal[[#This Row],[X]]=3,tbal[[#This Row],[X]]=5)),tbal[[#This Row],[DEUDOR]],0)</f>
        <v>0</v>
      </c>
      <c r="L1937" s="18">
        <f>IF((OR(tbal[[#This Row],[X]]=3,tbal[[#This Row],[X]]=4)),tbal[[#This Row],[ACREEDOR]],0)</f>
        <v>0</v>
      </c>
      <c r="M1937" s="16">
        <f>IF((OR(tbal[[#This Row],[X]]=0,tbal[[#This Row],[X]]=6)),tbal[[#This Row],[DEUDOR]],0)</f>
        <v>0</v>
      </c>
      <c r="N1937" s="18">
        <f>IF((OR(tbal[[#This Row],[X]]=0,tbal[[#This Row],[X]]=5)),tbal[[#This Row],[ACREEDOR]],0)</f>
        <v>0</v>
      </c>
    </row>
    <row r="1938" spans="1:14" hidden="1" x14ac:dyDescent="0.3">
      <c r="A1938" s="14">
        <f>+'PLAN DE CUENTAS'!A1938</f>
        <v>0</v>
      </c>
      <c r="B1938" s="13">
        <f>+'PLAN DE CUENTAS'!B1938</f>
        <v>0</v>
      </c>
      <c r="C1938" s="13">
        <f>+'PLAN DE CUENTAS'!C1938</f>
        <v>0</v>
      </c>
      <c r="D1938" t="str">
        <f>IF(tbal[[#This Row],[DEBE]]+tbal[[#This Row],[HABER]]=0,"","X")</f>
        <v/>
      </c>
      <c r="E1938" s="16">
        <f>SUMIF(tdiario[CUENTA],tbal[[#This Row],[CUENTA]],tdiario[DEBE])</f>
        <v>0</v>
      </c>
      <c r="F1938" s="17">
        <f>SUMIF(tdiario[CUENTA],tbal[[#This Row],[CUENTA]],tdiario[HABER])</f>
        <v>0</v>
      </c>
      <c r="G1938" s="16">
        <f>IF(tbal[[#This Row],[DEBE]]-tbal[[#This Row],[HABER]]&gt;0,tbal[[#This Row],[DEBE]]-tbal[[#This Row],[HABER]],0)</f>
        <v>0</v>
      </c>
      <c r="H1938" s="18">
        <f>IF(tbal[[#This Row],[HABER]]-tbal[[#This Row],[DEBE]]&gt;0,tbal[[#This Row],[HABER]]-tbal[[#This Row],[DEBE]],0)</f>
        <v>0</v>
      </c>
      <c r="I1938" s="16">
        <f>IF((OR(tbal[[#This Row],[X]]=1,tbal[[#This Row],[X]]=2)),tbal[[#This Row],[DEUDOR]],0)</f>
        <v>0</v>
      </c>
      <c r="J1938" s="18">
        <f>IF((OR(tbal[[#This Row],[X]]=2,tbal[[#This Row],[X]]=3)),tbal[[#This Row],[ACREEDOR]],0)</f>
        <v>0</v>
      </c>
      <c r="K1938" s="16">
        <f>IF((OR(tbal[[#This Row],[X]]=3,tbal[[#This Row],[X]]=5)),tbal[[#This Row],[DEUDOR]],0)</f>
        <v>0</v>
      </c>
      <c r="L1938" s="18">
        <f>IF((OR(tbal[[#This Row],[X]]=3,tbal[[#This Row],[X]]=4)),tbal[[#This Row],[ACREEDOR]],0)</f>
        <v>0</v>
      </c>
      <c r="M1938" s="16">
        <f>IF((OR(tbal[[#This Row],[X]]=0,tbal[[#This Row],[X]]=6)),tbal[[#This Row],[DEUDOR]],0)</f>
        <v>0</v>
      </c>
      <c r="N1938" s="18">
        <f>IF((OR(tbal[[#This Row],[X]]=0,tbal[[#This Row],[X]]=5)),tbal[[#This Row],[ACREEDOR]],0)</f>
        <v>0</v>
      </c>
    </row>
    <row r="1939" spans="1:14" hidden="1" x14ac:dyDescent="0.3">
      <c r="A1939" s="14">
        <f>+'PLAN DE CUENTAS'!A1939</f>
        <v>0</v>
      </c>
      <c r="B1939" s="13">
        <f>+'PLAN DE CUENTAS'!B1939</f>
        <v>0</v>
      </c>
      <c r="C1939" s="13">
        <f>+'PLAN DE CUENTAS'!C1939</f>
        <v>0</v>
      </c>
      <c r="D1939" t="str">
        <f>IF(tbal[[#This Row],[DEBE]]+tbal[[#This Row],[HABER]]=0,"","X")</f>
        <v/>
      </c>
      <c r="E1939" s="16">
        <f>SUMIF(tdiario[CUENTA],tbal[[#This Row],[CUENTA]],tdiario[DEBE])</f>
        <v>0</v>
      </c>
      <c r="F1939" s="17">
        <f>SUMIF(tdiario[CUENTA],tbal[[#This Row],[CUENTA]],tdiario[HABER])</f>
        <v>0</v>
      </c>
      <c r="G1939" s="16">
        <f>IF(tbal[[#This Row],[DEBE]]-tbal[[#This Row],[HABER]]&gt;0,tbal[[#This Row],[DEBE]]-tbal[[#This Row],[HABER]],0)</f>
        <v>0</v>
      </c>
      <c r="H1939" s="18">
        <f>IF(tbal[[#This Row],[HABER]]-tbal[[#This Row],[DEBE]]&gt;0,tbal[[#This Row],[HABER]]-tbal[[#This Row],[DEBE]],0)</f>
        <v>0</v>
      </c>
      <c r="I1939" s="16">
        <f>IF((OR(tbal[[#This Row],[X]]=1,tbal[[#This Row],[X]]=2)),tbal[[#This Row],[DEUDOR]],0)</f>
        <v>0</v>
      </c>
      <c r="J1939" s="18">
        <f>IF((OR(tbal[[#This Row],[X]]=2,tbal[[#This Row],[X]]=3)),tbal[[#This Row],[ACREEDOR]],0)</f>
        <v>0</v>
      </c>
      <c r="K1939" s="16">
        <f>IF((OR(tbal[[#This Row],[X]]=3,tbal[[#This Row],[X]]=5)),tbal[[#This Row],[DEUDOR]],0)</f>
        <v>0</v>
      </c>
      <c r="L1939" s="18">
        <f>IF((OR(tbal[[#This Row],[X]]=3,tbal[[#This Row],[X]]=4)),tbal[[#This Row],[ACREEDOR]],0)</f>
        <v>0</v>
      </c>
      <c r="M1939" s="16">
        <f>IF((OR(tbal[[#This Row],[X]]=0,tbal[[#This Row],[X]]=6)),tbal[[#This Row],[DEUDOR]],0)</f>
        <v>0</v>
      </c>
      <c r="N1939" s="18">
        <f>IF((OR(tbal[[#This Row],[X]]=0,tbal[[#This Row],[X]]=5)),tbal[[#This Row],[ACREEDOR]],0)</f>
        <v>0</v>
      </c>
    </row>
    <row r="1940" spans="1:14" hidden="1" x14ac:dyDescent="0.3">
      <c r="A1940" s="14">
        <f>+'PLAN DE CUENTAS'!A1940</f>
        <v>0</v>
      </c>
      <c r="B1940" s="13">
        <f>+'PLAN DE CUENTAS'!B1940</f>
        <v>0</v>
      </c>
      <c r="C1940" s="13">
        <f>+'PLAN DE CUENTAS'!C1940</f>
        <v>0</v>
      </c>
      <c r="D1940" t="str">
        <f>IF(tbal[[#This Row],[DEBE]]+tbal[[#This Row],[HABER]]=0,"","X")</f>
        <v/>
      </c>
      <c r="E1940" s="16">
        <f>SUMIF(tdiario[CUENTA],tbal[[#This Row],[CUENTA]],tdiario[DEBE])</f>
        <v>0</v>
      </c>
      <c r="F1940" s="17">
        <f>SUMIF(tdiario[CUENTA],tbal[[#This Row],[CUENTA]],tdiario[HABER])</f>
        <v>0</v>
      </c>
      <c r="G1940" s="16">
        <f>IF(tbal[[#This Row],[DEBE]]-tbal[[#This Row],[HABER]]&gt;0,tbal[[#This Row],[DEBE]]-tbal[[#This Row],[HABER]],0)</f>
        <v>0</v>
      </c>
      <c r="H1940" s="18">
        <f>IF(tbal[[#This Row],[HABER]]-tbal[[#This Row],[DEBE]]&gt;0,tbal[[#This Row],[HABER]]-tbal[[#This Row],[DEBE]],0)</f>
        <v>0</v>
      </c>
      <c r="I1940" s="16">
        <f>IF((OR(tbal[[#This Row],[X]]=1,tbal[[#This Row],[X]]=2)),tbal[[#This Row],[DEUDOR]],0)</f>
        <v>0</v>
      </c>
      <c r="J1940" s="18">
        <f>IF((OR(tbal[[#This Row],[X]]=2,tbal[[#This Row],[X]]=3)),tbal[[#This Row],[ACREEDOR]],0)</f>
        <v>0</v>
      </c>
      <c r="K1940" s="16">
        <f>IF((OR(tbal[[#This Row],[X]]=3,tbal[[#This Row],[X]]=5)),tbal[[#This Row],[DEUDOR]],0)</f>
        <v>0</v>
      </c>
      <c r="L1940" s="18">
        <f>IF((OR(tbal[[#This Row],[X]]=3,tbal[[#This Row],[X]]=4)),tbal[[#This Row],[ACREEDOR]],0)</f>
        <v>0</v>
      </c>
      <c r="M1940" s="16">
        <f>IF((OR(tbal[[#This Row],[X]]=0,tbal[[#This Row],[X]]=6)),tbal[[#This Row],[DEUDOR]],0)</f>
        <v>0</v>
      </c>
      <c r="N1940" s="18">
        <f>IF((OR(tbal[[#This Row],[X]]=0,tbal[[#This Row],[X]]=5)),tbal[[#This Row],[ACREEDOR]],0)</f>
        <v>0</v>
      </c>
    </row>
    <row r="1941" spans="1:14" hidden="1" x14ac:dyDescent="0.3">
      <c r="A1941" s="14">
        <f>+'PLAN DE CUENTAS'!A1941</f>
        <v>0</v>
      </c>
      <c r="B1941" s="13">
        <f>+'PLAN DE CUENTAS'!B1941</f>
        <v>0</v>
      </c>
      <c r="C1941" s="13">
        <f>+'PLAN DE CUENTAS'!C1941</f>
        <v>0</v>
      </c>
      <c r="D1941" t="str">
        <f>IF(tbal[[#This Row],[DEBE]]+tbal[[#This Row],[HABER]]=0,"","X")</f>
        <v/>
      </c>
      <c r="E1941" s="16">
        <f>SUMIF(tdiario[CUENTA],tbal[[#This Row],[CUENTA]],tdiario[DEBE])</f>
        <v>0</v>
      </c>
      <c r="F1941" s="17">
        <f>SUMIF(tdiario[CUENTA],tbal[[#This Row],[CUENTA]],tdiario[HABER])</f>
        <v>0</v>
      </c>
      <c r="G1941" s="16">
        <f>IF(tbal[[#This Row],[DEBE]]-tbal[[#This Row],[HABER]]&gt;0,tbal[[#This Row],[DEBE]]-tbal[[#This Row],[HABER]],0)</f>
        <v>0</v>
      </c>
      <c r="H1941" s="18">
        <f>IF(tbal[[#This Row],[HABER]]-tbal[[#This Row],[DEBE]]&gt;0,tbal[[#This Row],[HABER]]-tbal[[#This Row],[DEBE]],0)</f>
        <v>0</v>
      </c>
      <c r="I1941" s="16">
        <f>IF((OR(tbal[[#This Row],[X]]=1,tbal[[#This Row],[X]]=2)),tbal[[#This Row],[DEUDOR]],0)</f>
        <v>0</v>
      </c>
      <c r="J1941" s="18">
        <f>IF((OR(tbal[[#This Row],[X]]=2,tbal[[#This Row],[X]]=3)),tbal[[#This Row],[ACREEDOR]],0)</f>
        <v>0</v>
      </c>
      <c r="K1941" s="16">
        <f>IF((OR(tbal[[#This Row],[X]]=3,tbal[[#This Row],[X]]=5)),tbal[[#This Row],[DEUDOR]],0)</f>
        <v>0</v>
      </c>
      <c r="L1941" s="18">
        <f>IF((OR(tbal[[#This Row],[X]]=3,tbal[[#This Row],[X]]=4)),tbal[[#This Row],[ACREEDOR]],0)</f>
        <v>0</v>
      </c>
      <c r="M1941" s="16">
        <f>IF((OR(tbal[[#This Row],[X]]=0,tbal[[#This Row],[X]]=6)),tbal[[#This Row],[DEUDOR]],0)</f>
        <v>0</v>
      </c>
      <c r="N1941" s="18">
        <f>IF((OR(tbal[[#This Row],[X]]=0,tbal[[#This Row],[X]]=5)),tbal[[#This Row],[ACREEDOR]],0)</f>
        <v>0</v>
      </c>
    </row>
    <row r="1942" spans="1:14" hidden="1" x14ac:dyDescent="0.3">
      <c r="A1942" s="14">
        <f>+'PLAN DE CUENTAS'!A1942</f>
        <v>0</v>
      </c>
      <c r="B1942" s="13">
        <f>+'PLAN DE CUENTAS'!B1942</f>
        <v>0</v>
      </c>
      <c r="C1942" s="13">
        <f>+'PLAN DE CUENTAS'!C1942</f>
        <v>0</v>
      </c>
      <c r="D1942" t="str">
        <f>IF(tbal[[#This Row],[DEBE]]+tbal[[#This Row],[HABER]]=0,"","X")</f>
        <v/>
      </c>
      <c r="E1942" s="16">
        <f>SUMIF(tdiario[CUENTA],tbal[[#This Row],[CUENTA]],tdiario[DEBE])</f>
        <v>0</v>
      </c>
      <c r="F1942" s="17">
        <f>SUMIF(tdiario[CUENTA],tbal[[#This Row],[CUENTA]],tdiario[HABER])</f>
        <v>0</v>
      </c>
      <c r="G1942" s="16">
        <f>IF(tbal[[#This Row],[DEBE]]-tbal[[#This Row],[HABER]]&gt;0,tbal[[#This Row],[DEBE]]-tbal[[#This Row],[HABER]],0)</f>
        <v>0</v>
      </c>
      <c r="H1942" s="18">
        <f>IF(tbal[[#This Row],[HABER]]-tbal[[#This Row],[DEBE]]&gt;0,tbal[[#This Row],[HABER]]-tbal[[#This Row],[DEBE]],0)</f>
        <v>0</v>
      </c>
      <c r="I1942" s="16">
        <f>IF((OR(tbal[[#This Row],[X]]=1,tbal[[#This Row],[X]]=2)),tbal[[#This Row],[DEUDOR]],0)</f>
        <v>0</v>
      </c>
      <c r="J1942" s="18">
        <f>IF((OR(tbal[[#This Row],[X]]=2,tbal[[#This Row],[X]]=3)),tbal[[#This Row],[ACREEDOR]],0)</f>
        <v>0</v>
      </c>
      <c r="K1942" s="16">
        <f>IF((OR(tbal[[#This Row],[X]]=3,tbal[[#This Row],[X]]=5)),tbal[[#This Row],[DEUDOR]],0)</f>
        <v>0</v>
      </c>
      <c r="L1942" s="18">
        <f>IF((OR(tbal[[#This Row],[X]]=3,tbal[[#This Row],[X]]=4)),tbal[[#This Row],[ACREEDOR]],0)</f>
        <v>0</v>
      </c>
      <c r="M1942" s="16">
        <f>IF((OR(tbal[[#This Row],[X]]=0,tbal[[#This Row],[X]]=6)),tbal[[#This Row],[DEUDOR]],0)</f>
        <v>0</v>
      </c>
      <c r="N1942" s="18">
        <f>IF((OR(tbal[[#This Row],[X]]=0,tbal[[#This Row],[X]]=5)),tbal[[#This Row],[ACREEDOR]],0)</f>
        <v>0</v>
      </c>
    </row>
    <row r="1943" spans="1:14" hidden="1" x14ac:dyDescent="0.3">
      <c r="A1943" s="14">
        <f>+'PLAN DE CUENTAS'!A1943</f>
        <v>0</v>
      </c>
      <c r="B1943" s="13">
        <f>+'PLAN DE CUENTAS'!B1943</f>
        <v>0</v>
      </c>
      <c r="C1943" s="13">
        <f>+'PLAN DE CUENTAS'!C1943</f>
        <v>0</v>
      </c>
      <c r="D1943" t="str">
        <f>IF(tbal[[#This Row],[DEBE]]+tbal[[#This Row],[HABER]]=0,"","X")</f>
        <v/>
      </c>
      <c r="E1943" s="16">
        <f>SUMIF(tdiario[CUENTA],tbal[[#This Row],[CUENTA]],tdiario[DEBE])</f>
        <v>0</v>
      </c>
      <c r="F1943" s="17">
        <f>SUMIF(tdiario[CUENTA],tbal[[#This Row],[CUENTA]],tdiario[HABER])</f>
        <v>0</v>
      </c>
      <c r="G1943" s="16">
        <f>IF(tbal[[#This Row],[DEBE]]-tbal[[#This Row],[HABER]]&gt;0,tbal[[#This Row],[DEBE]]-tbal[[#This Row],[HABER]],0)</f>
        <v>0</v>
      </c>
      <c r="H1943" s="18">
        <f>IF(tbal[[#This Row],[HABER]]-tbal[[#This Row],[DEBE]]&gt;0,tbal[[#This Row],[HABER]]-tbal[[#This Row],[DEBE]],0)</f>
        <v>0</v>
      </c>
      <c r="I1943" s="16">
        <f>IF((OR(tbal[[#This Row],[X]]=1,tbal[[#This Row],[X]]=2)),tbal[[#This Row],[DEUDOR]],0)</f>
        <v>0</v>
      </c>
      <c r="J1943" s="18">
        <f>IF((OR(tbal[[#This Row],[X]]=2,tbal[[#This Row],[X]]=3)),tbal[[#This Row],[ACREEDOR]],0)</f>
        <v>0</v>
      </c>
      <c r="K1943" s="16">
        <f>IF((OR(tbal[[#This Row],[X]]=3,tbal[[#This Row],[X]]=5)),tbal[[#This Row],[DEUDOR]],0)</f>
        <v>0</v>
      </c>
      <c r="L1943" s="18">
        <f>IF((OR(tbal[[#This Row],[X]]=3,tbal[[#This Row],[X]]=4)),tbal[[#This Row],[ACREEDOR]],0)</f>
        <v>0</v>
      </c>
      <c r="M1943" s="16">
        <f>IF((OR(tbal[[#This Row],[X]]=0,tbal[[#This Row],[X]]=6)),tbal[[#This Row],[DEUDOR]],0)</f>
        <v>0</v>
      </c>
      <c r="N1943" s="18">
        <f>IF((OR(tbal[[#This Row],[X]]=0,tbal[[#This Row],[X]]=5)),tbal[[#This Row],[ACREEDOR]],0)</f>
        <v>0</v>
      </c>
    </row>
    <row r="1944" spans="1:14" hidden="1" x14ac:dyDescent="0.3">
      <c r="A1944" s="14">
        <f>+'PLAN DE CUENTAS'!A1944</f>
        <v>0</v>
      </c>
      <c r="B1944" s="13">
        <f>+'PLAN DE CUENTAS'!B1944</f>
        <v>0</v>
      </c>
      <c r="C1944" s="13">
        <f>+'PLAN DE CUENTAS'!C1944</f>
        <v>0</v>
      </c>
      <c r="D1944" t="str">
        <f>IF(tbal[[#This Row],[DEBE]]+tbal[[#This Row],[HABER]]=0,"","X")</f>
        <v/>
      </c>
      <c r="E1944" s="16">
        <f>SUMIF(tdiario[CUENTA],tbal[[#This Row],[CUENTA]],tdiario[DEBE])</f>
        <v>0</v>
      </c>
      <c r="F1944" s="17">
        <f>SUMIF(tdiario[CUENTA],tbal[[#This Row],[CUENTA]],tdiario[HABER])</f>
        <v>0</v>
      </c>
      <c r="G1944" s="16">
        <f>IF(tbal[[#This Row],[DEBE]]-tbal[[#This Row],[HABER]]&gt;0,tbal[[#This Row],[DEBE]]-tbal[[#This Row],[HABER]],0)</f>
        <v>0</v>
      </c>
      <c r="H1944" s="18">
        <f>IF(tbal[[#This Row],[HABER]]-tbal[[#This Row],[DEBE]]&gt;0,tbal[[#This Row],[HABER]]-tbal[[#This Row],[DEBE]],0)</f>
        <v>0</v>
      </c>
      <c r="I1944" s="16">
        <f>IF((OR(tbal[[#This Row],[X]]=1,tbal[[#This Row],[X]]=2)),tbal[[#This Row],[DEUDOR]],0)</f>
        <v>0</v>
      </c>
      <c r="J1944" s="18">
        <f>IF((OR(tbal[[#This Row],[X]]=2,tbal[[#This Row],[X]]=3)),tbal[[#This Row],[ACREEDOR]],0)</f>
        <v>0</v>
      </c>
      <c r="K1944" s="16">
        <f>IF((OR(tbal[[#This Row],[X]]=3,tbal[[#This Row],[X]]=5)),tbal[[#This Row],[DEUDOR]],0)</f>
        <v>0</v>
      </c>
      <c r="L1944" s="18">
        <f>IF((OR(tbal[[#This Row],[X]]=3,tbal[[#This Row],[X]]=4)),tbal[[#This Row],[ACREEDOR]],0)</f>
        <v>0</v>
      </c>
      <c r="M1944" s="16">
        <f>IF((OR(tbal[[#This Row],[X]]=0,tbal[[#This Row],[X]]=6)),tbal[[#This Row],[DEUDOR]],0)</f>
        <v>0</v>
      </c>
      <c r="N1944" s="18">
        <f>IF((OR(tbal[[#This Row],[X]]=0,tbal[[#This Row],[X]]=5)),tbal[[#This Row],[ACREEDOR]],0)</f>
        <v>0</v>
      </c>
    </row>
    <row r="1945" spans="1:14" hidden="1" x14ac:dyDescent="0.3">
      <c r="A1945" s="14">
        <f>+'PLAN DE CUENTAS'!A1945</f>
        <v>0</v>
      </c>
      <c r="B1945" s="13">
        <f>+'PLAN DE CUENTAS'!B1945</f>
        <v>0</v>
      </c>
      <c r="C1945" s="13">
        <f>+'PLAN DE CUENTAS'!C1945</f>
        <v>0</v>
      </c>
      <c r="D1945" t="str">
        <f>IF(tbal[[#This Row],[DEBE]]+tbal[[#This Row],[HABER]]=0,"","X")</f>
        <v/>
      </c>
      <c r="E1945" s="16">
        <f>SUMIF(tdiario[CUENTA],tbal[[#This Row],[CUENTA]],tdiario[DEBE])</f>
        <v>0</v>
      </c>
      <c r="F1945" s="17">
        <f>SUMIF(tdiario[CUENTA],tbal[[#This Row],[CUENTA]],tdiario[HABER])</f>
        <v>0</v>
      </c>
      <c r="G1945" s="16">
        <f>IF(tbal[[#This Row],[DEBE]]-tbal[[#This Row],[HABER]]&gt;0,tbal[[#This Row],[DEBE]]-tbal[[#This Row],[HABER]],0)</f>
        <v>0</v>
      </c>
      <c r="H1945" s="18">
        <f>IF(tbal[[#This Row],[HABER]]-tbal[[#This Row],[DEBE]]&gt;0,tbal[[#This Row],[HABER]]-tbal[[#This Row],[DEBE]],0)</f>
        <v>0</v>
      </c>
      <c r="I1945" s="16">
        <f>IF((OR(tbal[[#This Row],[X]]=1,tbal[[#This Row],[X]]=2)),tbal[[#This Row],[DEUDOR]],0)</f>
        <v>0</v>
      </c>
      <c r="J1945" s="18">
        <f>IF((OR(tbal[[#This Row],[X]]=2,tbal[[#This Row],[X]]=3)),tbal[[#This Row],[ACREEDOR]],0)</f>
        <v>0</v>
      </c>
      <c r="K1945" s="16">
        <f>IF((OR(tbal[[#This Row],[X]]=3,tbal[[#This Row],[X]]=5)),tbal[[#This Row],[DEUDOR]],0)</f>
        <v>0</v>
      </c>
      <c r="L1945" s="18">
        <f>IF((OR(tbal[[#This Row],[X]]=3,tbal[[#This Row],[X]]=4)),tbal[[#This Row],[ACREEDOR]],0)</f>
        <v>0</v>
      </c>
      <c r="M1945" s="16">
        <f>IF((OR(tbal[[#This Row],[X]]=0,tbal[[#This Row],[X]]=6)),tbal[[#This Row],[DEUDOR]],0)</f>
        <v>0</v>
      </c>
      <c r="N1945" s="18">
        <f>IF((OR(tbal[[#This Row],[X]]=0,tbal[[#This Row],[X]]=5)),tbal[[#This Row],[ACREEDOR]],0)</f>
        <v>0</v>
      </c>
    </row>
    <row r="1946" spans="1:14" hidden="1" x14ac:dyDescent="0.3">
      <c r="A1946" s="14">
        <f>+'PLAN DE CUENTAS'!A1946</f>
        <v>0</v>
      </c>
      <c r="B1946" s="13">
        <f>+'PLAN DE CUENTAS'!B1946</f>
        <v>0</v>
      </c>
      <c r="C1946" s="13">
        <f>+'PLAN DE CUENTAS'!C1946</f>
        <v>0</v>
      </c>
      <c r="D1946" t="str">
        <f>IF(tbal[[#This Row],[DEBE]]+tbal[[#This Row],[HABER]]=0,"","X")</f>
        <v/>
      </c>
      <c r="E1946" s="16">
        <f>SUMIF(tdiario[CUENTA],tbal[[#This Row],[CUENTA]],tdiario[DEBE])</f>
        <v>0</v>
      </c>
      <c r="F1946" s="17">
        <f>SUMIF(tdiario[CUENTA],tbal[[#This Row],[CUENTA]],tdiario[HABER])</f>
        <v>0</v>
      </c>
      <c r="G1946" s="16">
        <f>IF(tbal[[#This Row],[DEBE]]-tbal[[#This Row],[HABER]]&gt;0,tbal[[#This Row],[DEBE]]-tbal[[#This Row],[HABER]],0)</f>
        <v>0</v>
      </c>
      <c r="H1946" s="18">
        <f>IF(tbal[[#This Row],[HABER]]-tbal[[#This Row],[DEBE]]&gt;0,tbal[[#This Row],[HABER]]-tbal[[#This Row],[DEBE]],0)</f>
        <v>0</v>
      </c>
      <c r="I1946" s="16">
        <f>IF((OR(tbal[[#This Row],[X]]=1,tbal[[#This Row],[X]]=2)),tbal[[#This Row],[DEUDOR]],0)</f>
        <v>0</v>
      </c>
      <c r="J1946" s="18">
        <f>IF((OR(tbal[[#This Row],[X]]=2,tbal[[#This Row],[X]]=3)),tbal[[#This Row],[ACREEDOR]],0)</f>
        <v>0</v>
      </c>
      <c r="K1946" s="16">
        <f>IF((OR(tbal[[#This Row],[X]]=3,tbal[[#This Row],[X]]=5)),tbal[[#This Row],[DEUDOR]],0)</f>
        <v>0</v>
      </c>
      <c r="L1946" s="18">
        <f>IF((OR(tbal[[#This Row],[X]]=3,tbal[[#This Row],[X]]=4)),tbal[[#This Row],[ACREEDOR]],0)</f>
        <v>0</v>
      </c>
      <c r="M1946" s="16">
        <f>IF((OR(tbal[[#This Row],[X]]=0,tbal[[#This Row],[X]]=6)),tbal[[#This Row],[DEUDOR]],0)</f>
        <v>0</v>
      </c>
      <c r="N1946" s="18">
        <f>IF((OR(tbal[[#This Row],[X]]=0,tbal[[#This Row],[X]]=5)),tbal[[#This Row],[ACREEDOR]],0)</f>
        <v>0</v>
      </c>
    </row>
    <row r="1947" spans="1:14" hidden="1" x14ac:dyDescent="0.3">
      <c r="A1947" s="14">
        <f>+'PLAN DE CUENTAS'!A1947</f>
        <v>0</v>
      </c>
      <c r="B1947" s="13">
        <f>+'PLAN DE CUENTAS'!B1947</f>
        <v>0</v>
      </c>
      <c r="C1947" s="13">
        <f>+'PLAN DE CUENTAS'!C1947</f>
        <v>0</v>
      </c>
      <c r="D1947" t="str">
        <f>IF(tbal[[#This Row],[DEBE]]+tbal[[#This Row],[HABER]]=0,"","X")</f>
        <v/>
      </c>
      <c r="E1947" s="16">
        <f>SUMIF(tdiario[CUENTA],tbal[[#This Row],[CUENTA]],tdiario[DEBE])</f>
        <v>0</v>
      </c>
      <c r="F1947" s="17">
        <f>SUMIF(tdiario[CUENTA],tbal[[#This Row],[CUENTA]],tdiario[HABER])</f>
        <v>0</v>
      </c>
      <c r="G1947" s="16">
        <f>IF(tbal[[#This Row],[DEBE]]-tbal[[#This Row],[HABER]]&gt;0,tbal[[#This Row],[DEBE]]-tbal[[#This Row],[HABER]],0)</f>
        <v>0</v>
      </c>
      <c r="H1947" s="18">
        <f>IF(tbal[[#This Row],[HABER]]-tbal[[#This Row],[DEBE]]&gt;0,tbal[[#This Row],[HABER]]-tbal[[#This Row],[DEBE]],0)</f>
        <v>0</v>
      </c>
      <c r="I1947" s="16">
        <f>IF((OR(tbal[[#This Row],[X]]=1,tbal[[#This Row],[X]]=2)),tbal[[#This Row],[DEUDOR]],0)</f>
        <v>0</v>
      </c>
      <c r="J1947" s="18">
        <f>IF((OR(tbal[[#This Row],[X]]=2,tbal[[#This Row],[X]]=3)),tbal[[#This Row],[ACREEDOR]],0)</f>
        <v>0</v>
      </c>
      <c r="K1947" s="16">
        <f>IF((OR(tbal[[#This Row],[X]]=3,tbal[[#This Row],[X]]=5)),tbal[[#This Row],[DEUDOR]],0)</f>
        <v>0</v>
      </c>
      <c r="L1947" s="18">
        <f>IF((OR(tbal[[#This Row],[X]]=3,tbal[[#This Row],[X]]=4)),tbal[[#This Row],[ACREEDOR]],0)</f>
        <v>0</v>
      </c>
      <c r="M1947" s="16">
        <f>IF((OR(tbal[[#This Row],[X]]=0,tbal[[#This Row],[X]]=6)),tbal[[#This Row],[DEUDOR]],0)</f>
        <v>0</v>
      </c>
      <c r="N1947" s="18">
        <f>IF((OR(tbal[[#This Row],[X]]=0,tbal[[#This Row],[X]]=5)),tbal[[#This Row],[ACREEDOR]],0)</f>
        <v>0</v>
      </c>
    </row>
    <row r="1948" spans="1:14" hidden="1" x14ac:dyDescent="0.3">
      <c r="A1948" s="14">
        <f>+'PLAN DE CUENTAS'!A1948</f>
        <v>0</v>
      </c>
      <c r="B1948" s="13">
        <f>+'PLAN DE CUENTAS'!B1948</f>
        <v>0</v>
      </c>
      <c r="C1948" s="13">
        <f>+'PLAN DE CUENTAS'!C1948</f>
        <v>0</v>
      </c>
      <c r="D1948" t="str">
        <f>IF(tbal[[#This Row],[DEBE]]+tbal[[#This Row],[HABER]]=0,"","X")</f>
        <v/>
      </c>
      <c r="E1948" s="16">
        <f>SUMIF(tdiario[CUENTA],tbal[[#This Row],[CUENTA]],tdiario[DEBE])</f>
        <v>0</v>
      </c>
      <c r="F1948" s="17">
        <f>SUMIF(tdiario[CUENTA],tbal[[#This Row],[CUENTA]],tdiario[HABER])</f>
        <v>0</v>
      </c>
      <c r="G1948" s="16">
        <f>IF(tbal[[#This Row],[DEBE]]-tbal[[#This Row],[HABER]]&gt;0,tbal[[#This Row],[DEBE]]-tbal[[#This Row],[HABER]],0)</f>
        <v>0</v>
      </c>
      <c r="H1948" s="18">
        <f>IF(tbal[[#This Row],[HABER]]-tbal[[#This Row],[DEBE]]&gt;0,tbal[[#This Row],[HABER]]-tbal[[#This Row],[DEBE]],0)</f>
        <v>0</v>
      </c>
      <c r="I1948" s="16">
        <f>IF((OR(tbal[[#This Row],[X]]=1,tbal[[#This Row],[X]]=2)),tbal[[#This Row],[DEUDOR]],0)</f>
        <v>0</v>
      </c>
      <c r="J1948" s="18">
        <f>IF((OR(tbal[[#This Row],[X]]=2,tbal[[#This Row],[X]]=3)),tbal[[#This Row],[ACREEDOR]],0)</f>
        <v>0</v>
      </c>
      <c r="K1948" s="16">
        <f>IF((OR(tbal[[#This Row],[X]]=3,tbal[[#This Row],[X]]=5)),tbal[[#This Row],[DEUDOR]],0)</f>
        <v>0</v>
      </c>
      <c r="L1948" s="18">
        <f>IF((OR(tbal[[#This Row],[X]]=3,tbal[[#This Row],[X]]=4)),tbal[[#This Row],[ACREEDOR]],0)</f>
        <v>0</v>
      </c>
      <c r="M1948" s="16">
        <f>IF((OR(tbal[[#This Row],[X]]=0,tbal[[#This Row],[X]]=6)),tbal[[#This Row],[DEUDOR]],0)</f>
        <v>0</v>
      </c>
      <c r="N1948" s="18">
        <f>IF((OR(tbal[[#This Row],[X]]=0,tbal[[#This Row],[X]]=5)),tbal[[#This Row],[ACREEDOR]],0)</f>
        <v>0</v>
      </c>
    </row>
    <row r="1949" spans="1:14" hidden="1" x14ac:dyDescent="0.3">
      <c r="A1949" s="14">
        <f>+'PLAN DE CUENTAS'!A1949</f>
        <v>0</v>
      </c>
      <c r="B1949" s="13">
        <f>+'PLAN DE CUENTAS'!B1949</f>
        <v>0</v>
      </c>
      <c r="C1949" s="13">
        <f>+'PLAN DE CUENTAS'!C1949</f>
        <v>0</v>
      </c>
      <c r="D1949" t="str">
        <f>IF(tbal[[#This Row],[DEBE]]+tbal[[#This Row],[HABER]]=0,"","X")</f>
        <v/>
      </c>
      <c r="E1949" s="16">
        <f>SUMIF(tdiario[CUENTA],tbal[[#This Row],[CUENTA]],tdiario[DEBE])</f>
        <v>0</v>
      </c>
      <c r="F1949" s="17">
        <f>SUMIF(tdiario[CUENTA],tbal[[#This Row],[CUENTA]],tdiario[HABER])</f>
        <v>0</v>
      </c>
      <c r="G1949" s="16">
        <f>IF(tbal[[#This Row],[DEBE]]-tbal[[#This Row],[HABER]]&gt;0,tbal[[#This Row],[DEBE]]-tbal[[#This Row],[HABER]],0)</f>
        <v>0</v>
      </c>
      <c r="H1949" s="18">
        <f>IF(tbal[[#This Row],[HABER]]-tbal[[#This Row],[DEBE]]&gt;0,tbal[[#This Row],[HABER]]-tbal[[#This Row],[DEBE]],0)</f>
        <v>0</v>
      </c>
      <c r="I1949" s="16">
        <f>IF((OR(tbal[[#This Row],[X]]=1,tbal[[#This Row],[X]]=2)),tbal[[#This Row],[DEUDOR]],0)</f>
        <v>0</v>
      </c>
      <c r="J1949" s="18">
        <f>IF((OR(tbal[[#This Row],[X]]=2,tbal[[#This Row],[X]]=3)),tbal[[#This Row],[ACREEDOR]],0)</f>
        <v>0</v>
      </c>
      <c r="K1949" s="16">
        <f>IF((OR(tbal[[#This Row],[X]]=3,tbal[[#This Row],[X]]=5)),tbal[[#This Row],[DEUDOR]],0)</f>
        <v>0</v>
      </c>
      <c r="L1949" s="18">
        <f>IF((OR(tbal[[#This Row],[X]]=3,tbal[[#This Row],[X]]=4)),tbal[[#This Row],[ACREEDOR]],0)</f>
        <v>0</v>
      </c>
      <c r="M1949" s="16">
        <f>IF((OR(tbal[[#This Row],[X]]=0,tbal[[#This Row],[X]]=6)),tbal[[#This Row],[DEUDOR]],0)</f>
        <v>0</v>
      </c>
      <c r="N1949" s="18">
        <f>IF((OR(tbal[[#This Row],[X]]=0,tbal[[#This Row],[X]]=5)),tbal[[#This Row],[ACREEDOR]],0)</f>
        <v>0</v>
      </c>
    </row>
    <row r="1950" spans="1:14" hidden="1" x14ac:dyDescent="0.3">
      <c r="A1950" s="14">
        <f>+'PLAN DE CUENTAS'!A1950</f>
        <v>0</v>
      </c>
      <c r="B1950" s="13">
        <f>+'PLAN DE CUENTAS'!B1950</f>
        <v>0</v>
      </c>
      <c r="C1950" s="13">
        <f>+'PLAN DE CUENTAS'!C1950</f>
        <v>0</v>
      </c>
      <c r="D1950" t="str">
        <f>IF(tbal[[#This Row],[DEBE]]+tbal[[#This Row],[HABER]]=0,"","X")</f>
        <v/>
      </c>
      <c r="E1950" s="16">
        <f>SUMIF(tdiario[CUENTA],tbal[[#This Row],[CUENTA]],tdiario[DEBE])</f>
        <v>0</v>
      </c>
      <c r="F1950" s="17">
        <f>SUMIF(tdiario[CUENTA],tbal[[#This Row],[CUENTA]],tdiario[HABER])</f>
        <v>0</v>
      </c>
      <c r="G1950" s="16">
        <f>IF(tbal[[#This Row],[DEBE]]-tbal[[#This Row],[HABER]]&gt;0,tbal[[#This Row],[DEBE]]-tbal[[#This Row],[HABER]],0)</f>
        <v>0</v>
      </c>
      <c r="H1950" s="18">
        <f>IF(tbal[[#This Row],[HABER]]-tbal[[#This Row],[DEBE]]&gt;0,tbal[[#This Row],[HABER]]-tbal[[#This Row],[DEBE]],0)</f>
        <v>0</v>
      </c>
      <c r="I1950" s="16">
        <f>IF((OR(tbal[[#This Row],[X]]=1,tbal[[#This Row],[X]]=2)),tbal[[#This Row],[DEUDOR]],0)</f>
        <v>0</v>
      </c>
      <c r="J1950" s="18">
        <f>IF((OR(tbal[[#This Row],[X]]=2,tbal[[#This Row],[X]]=3)),tbal[[#This Row],[ACREEDOR]],0)</f>
        <v>0</v>
      </c>
      <c r="K1950" s="16">
        <f>IF((OR(tbal[[#This Row],[X]]=3,tbal[[#This Row],[X]]=5)),tbal[[#This Row],[DEUDOR]],0)</f>
        <v>0</v>
      </c>
      <c r="L1950" s="18">
        <f>IF((OR(tbal[[#This Row],[X]]=3,tbal[[#This Row],[X]]=4)),tbal[[#This Row],[ACREEDOR]],0)</f>
        <v>0</v>
      </c>
      <c r="M1950" s="16">
        <f>IF((OR(tbal[[#This Row],[X]]=0,tbal[[#This Row],[X]]=6)),tbal[[#This Row],[DEUDOR]],0)</f>
        <v>0</v>
      </c>
      <c r="N1950" s="18">
        <f>IF((OR(tbal[[#This Row],[X]]=0,tbal[[#This Row],[X]]=5)),tbal[[#This Row],[ACREEDOR]],0)</f>
        <v>0</v>
      </c>
    </row>
    <row r="1951" spans="1:14" hidden="1" x14ac:dyDescent="0.3">
      <c r="A1951" s="14">
        <f>+'PLAN DE CUENTAS'!A1951</f>
        <v>0</v>
      </c>
      <c r="B1951" s="13">
        <f>+'PLAN DE CUENTAS'!B1951</f>
        <v>0</v>
      </c>
      <c r="C1951" s="13">
        <f>+'PLAN DE CUENTAS'!C1951</f>
        <v>0</v>
      </c>
      <c r="D1951" t="str">
        <f>IF(tbal[[#This Row],[DEBE]]+tbal[[#This Row],[HABER]]=0,"","X")</f>
        <v/>
      </c>
      <c r="E1951" s="16">
        <f>SUMIF(tdiario[CUENTA],tbal[[#This Row],[CUENTA]],tdiario[DEBE])</f>
        <v>0</v>
      </c>
      <c r="F1951" s="17">
        <f>SUMIF(tdiario[CUENTA],tbal[[#This Row],[CUENTA]],tdiario[HABER])</f>
        <v>0</v>
      </c>
      <c r="G1951" s="16">
        <f>IF(tbal[[#This Row],[DEBE]]-tbal[[#This Row],[HABER]]&gt;0,tbal[[#This Row],[DEBE]]-tbal[[#This Row],[HABER]],0)</f>
        <v>0</v>
      </c>
      <c r="H1951" s="18">
        <f>IF(tbal[[#This Row],[HABER]]-tbal[[#This Row],[DEBE]]&gt;0,tbal[[#This Row],[HABER]]-tbal[[#This Row],[DEBE]],0)</f>
        <v>0</v>
      </c>
      <c r="I1951" s="16">
        <f>IF((OR(tbal[[#This Row],[X]]=1,tbal[[#This Row],[X]]=2)),tbal[[#This Row],[DEUDOR]],0)</f>
        <v>0</v>
      </c>
      <c r="J1951" s="18">
        <f>IF((OR(tbal[[#This Row],[X]]=2,tbal[[#This Row],[X]]=3)),tbal[[#This Row],[ACREEDOR]],0)</f>
        <v>0</v>
      </c>
      <c r="K1951" s="16">
        <f>IF((OR(tbal[[#This Row],[X]]=3,tbal[[#This Row],[X]]=5)),tbal[[#This Row],[DEUDOR]],0)</f>
        <v>0</v>
      </c>
      <c r="L1951" s="18">
        <f>IF((OR(tbal[[#This Row],[X]]=3,tbal[[#This Row],[X]]=4)),tbal[[#This Row],[ACREEDOR]],0)</f>
        <v>0</v>
      </c>
      <c r="M1951" s="16">
        <f>IF((OR(tbal[[#This Row],[X]]=0,tbal[[#This Row],[X]]=6)),tbal[[#This Row],[DEUDOR]],0)</f>
        <v>0</v>
      </c>
      <c r="N1951" s="18">
        <f>IF((OR(tbal[[#This Row],[X]]=0,tbal[[#This Row],[X]]=5)),tbal[[#This Row],[ACREEDOR]],0)</f>
        <v>0</v>
      </c>
    </row>
    <row r="1952" spans="1:14" hidden="1" x14ac:dyDescent="0.3">
      <c r="A1952" s="14">
        <f>+'PLAN DE CUENTAS'!A1952</f>
        <v>0</v>
      </c>
      <c r="B1952" s="13">
        <f>+'PLAN DE CUENTAS'!B1952</f>
        <v>0</v>
      </c>
      <c r="C1952" s="13">
        <f>+'PLAN DE CUENTAS'!C1952</f>
        <v>0</v>
      </c>
      <c r="D1952" t="str">
        <f>IF(tbal[[#This Row],[DEBE]]+tbal[[#This Row],[HABER]]=0,"","X")</f>
        <v/>
      </c>
      <c r="E1952" s="16">
        <f>SUMIF(tdiario[CUENTA],tbal[[#This Row],[CUENTA]],tdiario[DEBE])</f>
        <v>0</v>
      </c>
      <c r="F1952" s="17">
        <f>SUMIF(tdiario[CUENTA],tbal[[#This Row],[CUENTA]],tdiario[HABER])</f>
        <v>0</v>
      </c>
      <c r="G1952" s="16">
        <f>IF(tbal[[#This Row],[DEBE]]-tbal[[#This Row],[HABER]]&gt;0,tbal[[#This Row],[DEBE]]-tbal[[#This Row],[HABER]],0)</f>
        <v>0</v>
      </c>
      <c r="H1952" s="18">
        <f>IF(tbal[[#This Row],[HABER]]-tbal[[#This Row],[DEBE]]&gt;0,tbal[[#This Row],[HABER]]-tbal[[#This Row],[DEBE]],0)</f>
        <v>0</v>
      </c>
      <c r="I1952" s="16">
        <f>IF((OR(tbal[[#This Row],[X]]=1,tbal[[#This Row],[X]]=2)),tbal[[#This Row],[DEUDOR]],0)</f>
        <v>0</v>
      </c>
      <c r="J1952" s="18">
        <f>IF((OR(tbal[[#This Row],[X]]=2,tbal[[#This Row],[X]]=3)),tbal[[#This Row],[ACREEDOR]],0)</f>
        <v>0</v>
      </c>
      <c r="K1952" s="16">
        <f>IF((OR(tbal[[#This Row],[X]]=3,tbal[[#This Row],[X]]=5)),tbal[[#This Row],[DEUDOR]],0)</f>
        <v>0</v>
      </c>
      <c r="L1952" s="18">
        <f>IF((OR(tbal[[#This Row],[X]]=3,tbal[[#This Row],[X]]=4)),tbal[[#This Row],[ACREEDOR]],0)</f>
        <v>0</v>
      </c>
      <c r="M1952" s="16">
        <f>IF((OR(tbal[[#This Row],[X]]=0,tbal[[#This Row],[X]]=6)),tbal[[#This Row],[DEUDOR]],0)</f>
        <v>0</v>
      </c>
      <c r="N1952" s="18">
        <f>IF((OR(tbal[[#This Row],[X]]=0,tbal[[#This Row],[X]]=5)),tbal[[#This Row],[ACREEDOR]],0)</f>
        <v>0</v>
      </c>
    </row>
    <row r="1953" spans="1:14" hidden="1" x14ac:dyDescent="0.3">
      <c r="A1953" s="14">
        <f>+'PLAN DE CUENTAS'!A1953</f>
        <v>0</v>
      </c>
      <c r="B1953" s="13">
        <f>+'PLAN DE CUENTAS'!B1953</f>
        <v>0</v>
      </c>
      <c r="C1953" s="13">
        <f>+'PLAN DE CUENTAS'!C1953</f>
        <v>0</v>
      </c>
      <c r="D1953" t="str">
        <f>IF(tbal[[#This Row],[DEBE]]+tbal[[#This Row],[HABER]]=0,"","X")</f>
        <v/>
      </c>
      <c r="E1953" s="16">
        <f>SUMIF(tdiario[CUENTA],tbal[[#This Row],[CUENTA]],tdiario[DEBE])</f>
        <v>0</v>
      </c>
      <c r="F1953" s="17">
        <f>SUMIF(tdiario[CUENTA],tbal[[#This Row],[CUENTA]],tdiario[HABER])</f>
        <v>0</v>
      </c>
      <c r="G1953" s="16">
        <f>IF(tbal[[#This Row],[DEBE]]-tbal[[#This Row],[HABER]]&gt;0,tbal[[#This Row],[DEBE]]-tbal[[#This Row],[HABER]],0)</f>
        <v>0</v>
      </c>
      <c r="H1953" s="18">
        <f>IF(tbal[[#This Row],[HABER]]-tbal[[#This Row],[DEBE]]&gt;0,tbal[[#This Row],[HABER]]-tbal[[#This Row],[DEBE]],0)</f>
        <v>0</v>
      </c>
      <c r="I1953" s="16">
        <f>IF((OR(tbal[[#This Row],[X]]=1,tbal[[#This Row],[X]]=2)),tbal[[#This Row],[DEUDOR]],0)</f>
        <v>0</v>
      </c>
      <c r="J1953" s="18">
        <f>IF((OR(tbal[[#This Row],[X]]=2,tbal[[#This Row],[X]]=3)),tbal[[#This Row],[ACREEDOR]],0)</f>
        <v>0</v>
      </c>
      <c r="K1953" s="16">
        <f>IF((OR(tbal[[#This Row],[X]]=3,tbal[[#This Row],[X]]=5)),tbal[[#This Row],[DEUDOR]],0)</f>
        <v>0</v>
      </c>
      <c r="L1953" s="18">
        <f>IF((OR(tbal[[#This Row],[X]]=3,tbal[[#This Row],[X]]=4)),tbal[[#This Row],[ACREEDOR]],0)</f>
        <v>0</v>
      </c>
      <c r="M1953" s="16">
        <f>IF((OR(tbal[[#This Row],[X]]=0,tbal[[#This Row],[X]]=6)),tbal[[#This Row],[DEUDOR]],0)</f>
        <v>0</v>
      </c>
      <c r="N1953" s="18">
        <f>IF((OR(tbal[[#This Row],[X]]=0,tbal[[#This Row],[X]]=5)),tbal[[#This Row],[ACREEDOR]],0)</f>
        <v>0</v>
      </c>
    </row>
    <row r="1954" spans="1:14" hidden="1" x14ac:dyDescent="0.3">
      <c r="A1954" s="14">
        <f>+'PLAN DE CUENTAS'!A1954</f>
        <v>0</v>
      </c>
      <c r="B1954" s="13">
        <f>+'PLAN DE CUENTAS'!B1954</f>
        <v>0</v>
      </c>
      <c r="C1954" s="13">
        <f>+'PLAN DE CUENTAS'!C1954</f>
        <v>0</v>
      </c>
      <c r="D1954" t="str">
        <f>IF(tbal[[#This Row],[DEBE]]+tbal[[#This Row],[HABER]]=0,"","X")</f>
        <v/>
      </c>
      <c r="E1954" s="16">
        <f>SUMIF(tdiario[CUENTA],tbal[[#This Row],[CUENTA]],tdiario[DEBE])</f>
        <v>0</v>
      </c>
      <c r="F1954" s="17">
        <f>SUMIF(tdiario[CUENTA],tbal[[#This Row],[CUENTA]],tdiario[HABER])</f>
        <v>0</v>
      </c>
      <c r="G1954" s="16">
        <f>IF(tbal[[#This Row],[DEBE]]-tbal[[#This Row],[HABER]]&gt;0,tbal[[#This Row],[DEBE]]-tbal[[#This Row],[HABER]],0)</f>
        <v>0</v>
      </c>
      <c r="H1954" s="18">
        <f>IF(tbal[[#This Row],[HABER]]-tbal[[#This Row],[DEBE]]&gt;0,tbal[[#This Row],[HABER]]-tbal[[#This Row],[DEBE]],0)</f>
        <v>0</v>
      </c>
      <c r="I1954" s="16">
        <f>IF((OR(tbal[[#This Row],[X]]=1,tbal[[#This Row],[X]]=2)),tbal[[#This Row],[DEUDOR]],0)</f>
        <v>0</v>
      </c>
      <c r="J1954" s="18">
        <f>IF((OR(tbal[[#This Row],[X]]=2,tbal[[#This Row],[X]]=3)),tbal[[#This Row],[ACREEDOR]],0)</f>
        <v>0</v>
      </c>
      <c r="K1954" s="16">
        <f>IF((OR(tbal[[#This Row],[X]]=3,tbal[[#This Row],[X]]=5)),tbal[[#This Row],[DEUDOR]],0)</f>
        <v>0</v>
      </c>
      <c r="L1954" s="18">
        <f>IF((OR(tbal[[#This Row],[X]]=3,tbal[[#This Row],[X]]=4)),tbal[[#This Row],[ACREEDOR]],0)</f>
        <v>0</v>
      </c>
      <c r="M1954" s="16">
        <f>IF((OR(tbal[[#This Row],[X]]=0,tbal[[#This Row],[X]]=6)),tbal[[#This Row],[DEUDOR]],0)</f>
        <v>0</v>
      </c>
      <c r="N1954" s="18">
        <f>IF((OR(tbal[[#This Row],[X]]=0,tbal[[#This Row],[X]]=5)),tbal[[#This Row],[ACREEDOR]],0)</f>
        <v>0</v>
      </c>
    </row>
    <row r="1955" spans="1:14" hidden="1" x14ac:dyDescent="0.3">
      <c r="A1955" s="14">
        <f>+'PLAN DE CUENTAS'!A1955</f>
        <v>0</v>
      </c>
      <c r="B1955" s="13">
        <f>+'PLAN DE CUENTAS'!B1955</f>
        <v>0</v>
      </c>
      <c r="C1955" s="13">
        <f>+'PLAN DE CUENTAS'!C1955</f>
        <v>0</v>
      </c>
      <c r="D1955" t="str">
        <f>IF(tbal[[#This Row],[DEBE]]+tbal[[#This Row],[HABER]]=0,"","X")</f>
        <v/>
      </c>
      <c r="E1955" s="16">
        <f>SUMIF(tdiario[CUENTA],tbal[[#This Row],[CUENTA]],tdiario[DEBE])</f>
        <v>0</v>
      </c>
      <c r="F1955" s="17">
        <f>SUMIF(tdiario[CUENTA],tbal[[#This Row],[CUENTA]],tdiario[HABER])</f>
        <v>0</v>
      </c>
      <c r="G1955" s="16">
        <f>IF(tbal[[#This Row],[DEBE]]-tbal[[#This Row],[HABER]]&gt;0,tbal[[#This Row],[DEBE]]-tbal[[#This Row],[HABER]],0)</f>
        <v>0</v>
      </c>
      <c r="H1955" s="18">
        <f>IF(tbal[[#This Row],[HABER]]-tbal[[#This Row],[DEBE]]&gt;0,tbal[[#This Row],[HABER]]-tbal[[#This Row],[DEBE]],0)</f>
        <v>0</v>
      </c>
      <c r="I1955" s="16">
        <f>IF((OR(tbal[[#This Row],[X]]=1,tbal[[#This Row],[X]]=2)),tbal[[#This Row],[DEUDOR]],0)</f>
        <v>0</v>
      </c>
      <c r="J1955" s="18">
        <f>IF((OR(tbal[[#This Row],[X]]=2,tbal[[#This Row],[X]]=3)),tbal[[#This Row],[ACREEDOR]],0)</f>
        <v>0</v>
      </c>
      <c r="K1955" s="16">
        <f>IF((OR(tbal[[#This Row],[X]]=3,tbal[[#This Row],[X]]=5)),tbal[[#This Row],[DEUDOR]],0)</f>
        <v>0</v>
      </c>
      <c r="L1955" s="18">
        <f>IF((OR(tbal[[#This Row],[X]]=3,tbal[[#This Row],[X]]=4)),tbal[[#This Row],[ACREEDOR]],0)</f>
        <v>0</v>
      </c>
      <c r="M1955" s="16">
        <f>IF((OR(tbal[[#This Row],[X]]=0,tbal[[#This Row],[X]]=6)),tbal[[#This Row],[DEUDOR]],0)</f>
        <v>0</v>
      </c>
      <c r="N1955" s="18">
        <f>IF((OR(tbal[[#This Row],[X]]=0,tbal[[#This Row],[X]]=5)),tbal[[#This Row],[ACREEDOR]],0)</f>
        <v>0</v>
      </c>
    </row>
    <row r="1956" spans="1:14" hidden="1" x14ac:dyDescent="0.3">
      <c r="A1956" s="14">
        <f>+'PLAN DE CUENTAS'!A1956</f>
        <v>0</v>
      </c>
      <c r="B1956" s="13">
        <f>+'PLAN DE CUENTAS'!B1956</f>
        <v>0</v>
      </c>
      <c r="C1956" s="13">
        <f>+'PLAN DE CUENTAS'!C1956</f>
        <v>0</v>
      </c>
      <c r="D1956" t="str">
        <f>IF(tbal[[#This Row],[DEBE]]+tbal[[#This Row],[HABER]]=0,"","X")</f>
        <v/>
      </c>
      <c r="E1956" s="16">
        <f>SUMIF(tdiario[CUENTA],tbal[[#This Row],[CUENTA]],tdiario[DEBE])</f>
        <v>0</v>
      </c>
      <c r="F1956" s="17">
        <f>SUMIF(tdiario[CUENTA],tbal[[#This Row],[CUENTA]],tdiario[HABER])</f>
        <v>0</v>
      </c>
      <c r="G1956" s="16">
        <f>IF(tbal[[#This Row],[DEBE]]-tbal[[#This Row],[HABER]]&gt;0,tbal[[#This Row],[DEBE]]-tbal[[#This Row],[HABER]],0)</f>
        <v>0</v>
      </c>
      <c r="H1956" s="18">
        <f>IF(tbal[[#This Row],[HABER]]-tbal[[#This Row],[DEBE]]&gt;0,tbal[[#This Row],[HABER]]-tbal[[#This Row],[DEBE]],0)</f>
        <v>0</v>
      </c>
      <c r="I1956" s="16">
        <f>IF((OR(tbal[[#This Row],[X]]=1,tbal[[#This Row],[X]]=2)),tbal[[#This Row],[DEUDOR]],0)</f>
        <v>0</v>
      </c>
      <c r="J1956" s="18">
        <f>IF((OR(tbal[[#This Row],[X]]=2,tbal[[#This Row],[X]]=3)),tbal[[#This Row],[ACREEDOR]],0)</f>
        <v>0</v>
      </c>
      <c r="K1956" s="16">
        <f>IF((OR(tbal[[#This Row],[X]]=3,tbal[[#This Row],[X]]=5)),tbal[[#This Row],[DEUDOR]],0)</f>
        <v>0</v>
      </c>
      <c r="L1956" s="18">
        <f>IF((OR(tbal[[#This Row],[X]]=3,tbal[[#This Row],[X]]=4)),tbal[[#This Row],[ACREEDOR]],0)</f>
        <v>0</v>
      </c>
      <c r="M1956" s="16">
        <f>IF((OR(tbal[[#This Row],[X]]=0,tbal[[#This Row],[X]]=6)),tbal[[#This Row],[DEUDOR]],0)</f>
        <v>0</v>
      </c>
      <c r="N1956" s="18">
        <f>IF((OR(tbal[[#This Row],[X]]=0,tbal[[#This Row],[X]]=5)),tbal[[#This Row],[ACREEDOR]],0)</f>
        <v>0</v>
      </c>
    </row>
    <row r="1957" spans="1:14" hidden="1" x14ac:dyDescent="0.3">
      <c r="A1957" s="14">
        <f>+'PLAN DE CUENTAS'!A1957</f>
        <v>0</v>
      </c>
      <c r="B1957" s="13">
        <f>+'PLAN DE CUENTAS'!B1957</f>
        <v>0</v>
      </c>
      <c r="C1957" s="13">
        <f>+'PLAN DE CUENTAS'!C1957</f>
        <v>0</v>
      </c>
      <c r="D1957" t="str">
        <f>IF(tbal[[#This Row],[DEBE]]+tbal[[#This Row],[HABER]]=0,"","X")</f>
        <v/>
      </c>
      <c r="E1957" s="16">
        <f>SUMIF(tdiario[CUENTA],tbal[[#This Row],[CUENTA]],tdiario[DEBE])</f>
        <v>0</v>
      </c>
      <c r="F1957" s="17">
        <f>SUMIF(tdiario[CUENTA],tbal[[#This Row],[CUENTA]],tdiario[HABER])</f>
        <v>0</v>
      </c>
      <c r="G1957" s="16">
        <f>IF(tbal[[#This Row],[DEBE]]-tbal[[#This Row],[HABER]]&gt;0,tbal[[#This Row],[DEBE]]-tbal[[#This Row],[HABER]],0)</f>
        <v>0</v>
      </c>
      <c r="H1957" s="18">
        <f>IF(tbal[[#This Row],[HABER]]-tbal[[#This Row],[DEBE]]&gt;0,tbal[[#This Row],[HABER]]-tbal[[#This Row],[DEBE]],0)</f>
        <v>0</v>
      </c>
      <c r="I1957" s="16">
        <f>IF((OR(tbal[[#This Row],[X]]=1,tbal[[#This Row],[X]]=2)),tbal[[#This Row],[DEUDOR]],0)</f>
        <v>0</v>
      </c>
      <c r="J1957" s="18">
        <f>IF((OR(tbal[[#This Row],[X]]=2,tbal[[#This Row],[X]]=3)),tbal[[#This Row],[ACREEDOR]],0)</f>
        <v>0</v>
      </c>
      <c r="K1957" s="16">
        <f>IF((OR(tbal[[#This Row],[X]]=3,tbal[[#This Row],[X]]=5)),tbal[[#This Row],[DEUDOR]],0)</f>
        <v>0</v>
      </c>
      <c r="L1957" s="18">
        <f>IF((OR(tbal[[#This Row],[X]]=3,tbal[[#This Row],[X]]=4)),tbal[[#This Row],[ACREEDOR]],0)</f>
        <v>0</v>
      </c>
      <c r="M1957" s="16">
        <f>IF((OR(tbal[[#This Row],[X]]=0,tbal[[#This Row],[X]]=6)),tbal[[#This Row],[DEUDOR]],0)</f>
        <v>0</v>
      </c>
      <c r="N1957" s="18">
        <f>IF((OR(tbal[[#This Row],[X]]=0,tbal[[#This Row],[X]]=5)),tbal[[#This Row],[ACREEDOR]],0)</f>
        <v>0</v>
      </c>
    </row>
    <row r="1958" spans="1:14" hidden="1" x14ac:dyDescent="0.3">
      <c r="A1958" s="14">
        <f>+'PLAN DE CUENTAS'!A1958</f>
        <v>0</v>
      </c>
      <c r="B1958" s="13">
        <f>+'PLAN DE CUENTAS'!B1958</f>
        <v>0</v>
      </c>
      <c r="C1958" s="13">
        <f>+'PLAN DE CUENTAS'!C1958</f>
        <v>0</v>
      </c>
      <c r="D1958" t="str">
        <f>IF(tbal[[#This Row],[DEBE]]+tbal[[#This Row],[HABER]]=0,"","X")</f>
        <v/>
      </c>
      <c r="E1958" s="16">
        <f>SUMIF(tdiario[CUENTA],tbal[[#This Row],[CUENTA]],tdiario[DEBE])</f>
        <v>0</v>
      </c>
      <c r="F1958" s="17">
        <f>SUMIF(tdiario[CUENTA],tbal[[#This Row],[CUENTA]],tdiario[HABER])</f>
        <v>0</v>
      </c>
      <c r="G1958" s="16">
        <f>IF(tbal[[#This Row],[DEBE]]-tbal[[#This Row],[HABER]]&gt;0,tbal[[#This Row],[DEBE]]-tbal[[#This Row],[HABER]],0)</f>
        <v>0</v>
      </c>
      <c r="H1958" s="18">
        <f>IF(tbal[[#This Row],[HABER]]-tbal[[#This Row],[DEBE]]&gt;0,tbal[[#This Row],[HABER]]-tbal[[#This Row],[DEBE]],0)</f>
        <v>0</v>
      </c>
      <c r="I1958" s="16">
        <f>IF((OR(tbal[[#This Row],[X]]=1,tbal[[#This Row],[X]]=2)),tbal[[#This Row],[DEUDOR]],0)</f>
        <v>0</v>
      </c>
      <c r="J1958" s="18">
        <f>IF((OR(tbal[[#This Row],[X]]=2,tbal[[#This Row],[X]]=3)),tbal[[#This Row],[ACREEDOR]],0)</f>
        <v>0</v>
      </c>
      <c r="K1958" s="16">
        <f>IF((OR(tbal[[#This Row],[X]]=3,tbal[[#This Row],[X]]=5)),tbal[[#This Row],[DEUDOR]],0)</f>
        <v>0</v>
      </c>
      <c r="L1958" s="18">
        <f>IF((OR(tbal[[#This Row],[X]]=3,tbal[[#This Row],[X]]=4)),tbal[[#This Row],[ACREEDOR]],0)</f>
        <v>0</v>
      </c>
      <c r="M1958" s="16">
        <f>IF((OR(tbal[[#This Row],[X]]=0,tbal[[#This Row],[X]]=6)),tbal[[#This Row],[DEUDOR]],0)</f>
        <v>0</v>
      </c>
      <c r="N1958" s="18">
        <f>IF((OR(tbal[[#This Row],[X]]=0,tbal[[#This Row],[X]]=5)),tbal[[#This Row],[ACREEDOR]],0)</f>
        <v>0</v>
      </c>
    </row>
    <row r="1959" spans="1:14" hidden="1" x14ac:dyDescent="0.3">
      <c r="A1959" s="14">
        <f>+'PLAN DE CUENTAS'!A1959</f>
        <v>0</v>
      </c>
      <c r="B1959" s="13">
        <f>+'PLAN DE CUENTAS'!B1959</f>
        <v>0</v>
      </c>
      <c r="C1959" s="13">
        <f>+'PLAN DE CUENTAS'!C1959</f>
        <v>0</v>
      </c>
      <c r="D1959" t="str">
        <f>IF(tbal[[#This Row],[DEBE]]+tbal[[#This Row],[HABER]]=0,"","X")</f>
        <v/>
      </c>
      <c r="E1959" s="16">
        <f>SUMIF(tdiario[CUENTA],tbal[[#This Row],[CUENTA]],tdiario[DEBE])</f>
        <v>0</v>
      </c>
      <c r="F1959" s="17">
        <f>SUMIF(tdiario[CUENTA],tbal[[#This Row],[CUENTA]],tdiario[HABER])</f>
        <v>0</v>
      </c>
      <c r="G1959" s="16">
        <f>IF(tbal[[#This Row],[DEBE]]-tbal[[#This Row],[HABER]]&gt;0,tbal[[#This Row],[DEBE]]-tbal[[#This Row],[HABER]],0)</f>
        <v>0</v>
      </c>
      <c r="H1959" s="18">
        <f>IF(tbal[[#This Row],[HABER]]-tbal[[#This Row],[DEBE]]&gt;0,tbal[[#This Row],[HABER]]-tbal[[#This Row],[DEBE]],0)</f>
        <v>0</v>
      </c>
      <c r="I1959" s="16">
        <f>IF((OR(tbal[[#This Row],[X]]=1,tbal[[#This Row],[X]]=2)),tbal[[#This Row],[DEUDOR]],0)</f>
        <v>0</v>
      </c>
      <c r="J1959" s="18">
        <f>IF((OR(tbal[[#This Row],[X]]=2,tbal[[#This Row],[X]]=3)),tbal[[#This Row],[ACREEDOR]],0)</f>
        <v>0</v>
      </c>
      <c r="K1959" s="16">
        <f>IF((OR(tbal[[#This Row],[X]]=3,tbal[[#This Row],[X]]=5)),tbal[[#This Row],[DEUDOR]],0)</f>
        <v>0</v>
      </c>
      <c r="L1959" s="18">
        <f>IF((OR(tbal[[#This Row],[X]]=3,tbal[[#This Row],[X]]=4)),tbal[[#This Row],[ACREEDOR]],0)</f>
        <v>0</v>
      </c>
      <c r="M1959" s="16">
        <f>IF((OR(tbal[[#This Row],[X]]=0,tbal[[#This Row],[X]]=6)),tbal[[#This Row],[DEUDOR]],0)</f>
        <v>0</v>
      </c>
      <c r="N1959" s="18">
        <f>IF((OR(tbal[[#This Row],[X]]=0,tbal[[#This Row],[X]]=5)),tbal[[#This Row],[ACREEDOR]],0)</f>
        <v>0</v>
      </c>
    </row>
    <row r="1960" spans="1:14" hidden="1" x14ac:dyDescent="0.3">
      <c r="A1960" s="14">
        <f>+'PLAN DE CUENTAS'!A1960</f>
        <v>0</v>
      </c>
      <c r="B1960" s="13">
        <f>+'PLAN DE CUENTAS'!B1960</f>
        <v>0</v>
      </c>
      <c r="C1960" s="13">
        <f>+'PLAN DE CUENTAS'!C1960</f>
        <v>0</v>
      </c>
      <c r="D1960" t="str">
        <f>IF(tbal[[#This Row],[DEBE]]+tbal[[#This Row],[HABER]]=0,"","X")</f>
        <v/>
      </c>
      <c r="E1960" s="16">
        <f>SUMIF(tdiario[CUENTA],tbal[[#This Row],[CUENTA]],tdiario[DEBE])</f>
        <v>0</v>
      </c>
      <c r="F1960" s="17">
        <f>SUMIF(tdiario[CUENTA],tbal[[#This Row],[CUENTA]],tdiario[HABER])</f>
        <v>0</v>
      </c>
      <c r="G1960" s="16">
        <f>IF(tbal[[#This Row],[DEBE]]-tbal[[#This Row],[HABER]]&gt;0,tbal[[#This Row],[DEBE]]-tbal[[#This Row],[HABER]],0)</f>
        <v>0</v>
      </c>
      <c r="H1960" s="18">
        <f>IF(tbal[[#This Row],[HABER]]-tbal[[#This Row],[DEBE]]&gt;0,tbal[[#This Row],[HABER]]-tbal[[#This Row],[DEBE]],0)</f>
        <v>0</v>
      </c>
      <c r="I1960" s="16">
        <f>IF((OR(tbal[[#This Row],[X]]=1,tbal[[#This Row],[X]]=2)),tbal[[#This Row],[DEUDOR]],0)</f>
        <v>0</v>
      </c>
      <c r="J1960" s="18">
        <f>IF((OR(tbal[[#This Row],[X]]=2,tbal[[#This Row],[X]]=3)),tbal[[#This Row],[ACREEDOR]],0)</f>
        <v>0</v>
      </c>
      <c r="K1960" s="16">
        <f>IF((OR(tbal[[#This Row],[X]]=3,tbal[[#This Row],[X]]=5)),tbal[[#This Row],[DEUDOR]],0)</f>
        <v>0</v>
      </c>
      <c r="L1960" s="18">
        <f>IF((OR(tbal[[#This Row],[X]]=3,tbal[[#This Row],[X]]=4)),tbal[[#This Row],[ACREEDOR]],0)</f>
        <v>0</v>
      </c>
      <c r="M1960" s="16">
        <f>IF((OR(tbal[[#This Row],[X]]=0,tbal[[#This Row],[X]]=6)),tbal[[#This Row],[DEUDOR]],0)</f>
        <v>0</v>
      </c>
      <c r="N1960" s="18">
        <f>IF((OR(tbal[[#This Row],[X]]=0,tbal[[#This Row],[X]]=5)),tbal[[#This Row],[ACREEDOR]],0)</f>
        <v>0</v>
      </c>
    </row>
    <row r="1961" spans="1:14" hidden="1" x14ac:dyDescent="0.3">
      <c r="A1961" s="14">
        <f>+'PLAN DE CUENTAS'!A1961</f>
        <v>0</v>
      </c>
      <c r="B1961" s="13">
        <f>+'PLAN DE CUENTAS'!B1961</f>
        <v>0</v>
      </c>
      <c r="C1961" s="13">
        <f>+'PLAN DE CUENTAS'!C1961</f>
        <v>0</v>
      </c>
      <c r="D1961" t="str">
        <f>IF(tbal[[#This Row],[DEBE]]+tbal[[#This Row],[HABER]]=0,"","X")</f>
        <v/>
      </c>
      <c r="E1961" s="16">
        <f>SUMIF(tdiario[CUENTA],tbal[[#This Row],[CUENTA]],tdiario[DEBE])</f>
        <v>0</v>
      </c>
      <c r="F1961" s="17">
        <f>SUMIF(tdiario[CUENTA],tbal[[#This Row],[CUENTA]],tdiario[HABER])</f>
        <v>0</v>
      </c>
      <c r="G1961" s="16">
        <f>IF(tbal[[#This Row],[DEBE]]-tbal[[#This Row],[HABER]]&gt;0,tbal[[#This Row],[DEBE]]-tbal[[#This Row],[HABER]],0)</f>
        <v>0</v>
      </c>
      <c r="H1961" s="18">
        <f>IF(tbal[[#This Row],[HABER]]-tbal[[#This Row],[DEBE]]&gt;0,tbal[[#This Row],[HABER]]-tbal[[#This Row],[DEBE]],0)</f>
        <v>0</v>
      </c>
      <c r="I1961" s="16">
        <f>IF((OR(tbal[[#This Row],[X]]=1,tbal[[#This Row],[X]]=2)),tbal[[#This Row],[DEUDOR]],0)</f>
        <v>0</v>
      </c>
      <c r="J1961" s="18">
        <f>IF((OR(tbal[[#This Row],[X]]=2,tbal[[#This Row],[X]]=3)),tbal[[#This Row],[ACREEDOR]],0)</f>
        <v>0</v>
      </c>
      <c r="K1961" s="16">
        <f>IF((OR(tbal[[#This Row],[X]]=3,tbal[[#This Row],[X]]=5)),tbal[[#This Row],[DEUDOR]],0)</f>
        <v>0</v>
      </c>
      <c r="L1961" s="18">
        <f>IF((OR(tbal[[#This Row],[X]]=3,tbal[[#This Row],[X]]=4)),tbal[[#This Row],[ACREEDOR]],0)</f>
        <v>0</v>
      </c>
      <c r="M1961" s="16">
        <f>IF((OR(tbal[[#This Row],[X]]=0,tbal[[#This Row],[X]]=6)),tbal[[#This Row],[DEUDOR]],0)</f>
        <v>0</v>
      </c>
      <c r="N1961" s="18">
        <f>IF((OR(tbal[[#This Row],[X]]=0,tbal[[#This Row],[X]]=5)),tbal[[#This Row],[ACREEDOR]],0)</f>
        <v>0</v>
      </c>
    </row>
    <row r="1962" spans="1:14" hidden="1" x14ac:dyDescent="0.3">
      <c r="A1962" s="14">
        <f>+'PLAN DE CUENTAS'!A1962</f>
        <v>0</v>
      </c>
      <c r="B1962" s="13">
        <f>+'PLAN DE CUENTAS'!B1962</f>
        <v>0</v>
      </c>
      <c r="C1962" s="13">
        <f>+'PLAN DE CUENTAS'!C1962</f>
        <v>0</v>
      </c>
      <c r="D1962" t="str">
        <f>IF(tbal[[#This Row],[DEBE]]+tbal[[#This Row],[HABER]]=0,"","X")</f>
        <v/>
      </c>
      <c r="E1962" s="16">
        <f>SUMIF(tdiario[CUENTA],tbal[[#This Row],[CUENTA]],tdiario[DEBE])</f>
        <v>0</v>
      </c>
      <c r="F1962" s="17">
        <f>SUMIF(tdiario[CUENTA],tbal[[#This Row],[CUENTA]],tdiario[HABER])</f>
        <v>0</v>
      </c>
      <c r="G1962" s="16">
        <f>IF(tbal[[#This Row],[DEBE]]-tbal[[#This Row],[HABER]]&gt;0,tbal[[#This Row],[DEBE]]-tbal[[#This Row],[HABER]],0)</f>
        <v>0</v>
      </c>
      <c r="H1962" s="18">
        <f>IF(tbal[[#This Row],[HABER]]-tbal[[#This Row],[DEBE]]&gt;0,tbal[[#This Row],[HABER]]-tbal[[#This Row],[DEBE]],0)</f>
        <v>0</v>
      </c>
      <c r="I1962" s="16">
        <f>IF((OR(tbal[[#This Row],[X]]=1,tbal[[#This Row],[X]]=2)),tbal[[#This Row],[DEUDOR]],0)</f>
        <v>0</v>
      </c>
      <c r="J1962" s="18">
        <f>IF((OR(tbal[[#This Row],[X]]=2,tbal[[#This Row],[X]]=3)),tbal[[#This Row],[ACREEDOR]],0)</f>
        <v>0</v>
      </c>
      <c r="K1962" s="16">
        <f>IF((OR(tbal[[#This Row],[X]]=3,tbal[[#This Row],[X]]=5)),tbal[[#This Row],[DEUDOR]],0)</f>
        <v>0</v>
      </c>
      <c r="L1962" s="18">
        <f>IF((OR(tbal[[#This Row],[X]]=3,tbal[[#This Row],[X]]=4)),tbal[[#This Row],[ACREEDOR]],0)</f>
        <v>0</v>
      </c>
      <c r="M1962" s="16">
        <f>IF((OR(tbal[[#This Row],[X]]=0,tbal[[#This Row],[X]]=6)),tbal[[#This Row],[DEUDOR]],0)</f>
        <v>0</v>
      </c>
      <c r="N1962" s="18">
        <f>IF((OR(tbal[[#This Row],[X]]=0,tbal[[#This Row],[X]]=5)),tbal[[#This Row],[ACREEDOR]],0)</f>
        <v>0</v>
      </c>
    </row>
    <row r="1963" spans="1:14" hidden="1" x14ac:dyDescent="0.3">
      <c r="A1963" s="14">
        <f>+'PLAN DE CUENTAS'!A1963</f>
        <v>0</v>
      </c>
      <c r="B1963" s="13">
        <f>+'PLAN DE CUENTAS'!B1963</f>
        <v>0</v>
      </c>
      <c r="C1963" s="13">
        <f>+'PLAN DE CUENTAS'!C1963</f>
        <v>0</v>
      </c>
      <c r="D1963" t="str">
        <f>IF(tbal[[#This Row],[DEBE]]+tbal[[#This Row],[HABER]]=0,"","X")</f>
        <v/>
      </c>
      <c r="E1963" s="16">
        <f>SUMIF(tdiario[CUENTA],tbal[[#This Row],[CUENTA]],tdiario[DEBE])</f>
        <v>0</v>
      </c>
      <c r="F1963" s="17">
        <f>SUMIF(tdiario[CUENTA],tbal[[#This Row],[CUENTA]],tdiario[HABER])</f>
        <v>0</v>
      </c>
      <c r="G1963" s="16">
        <f>IF(tbal[[#This Row],[DEBE]]-tbal[[#This Row],[HABER]]&gt;0,tbal[[#This Row],[DEBE]]-tbal[[#This Row],[HABER]],0)</f>
        <v>0</v>
      </c>
      <c r="H1963" s="18">
        <f>IF(tbal[[#This Row],[HABER]]-tbal[[#This Row],[DEBE]]&gt;0,tbal[[#This Row],[HABER]]-tbal[[#This Row],[DEBE]],0)</f>
        <v>0</v>
      </c>
      <c r="I1963" s="16">
        <f>IF((OR(tbal[[#This Row],[X]]=1,tbal[[#This Row],[X]]=2)),tbal[[#This Row],[DEUDOR]],0)</f>
        <v>0</v>
      </c>
      <c r="J1963" s="18">
        <f>IF((OR(tbal[[#This Row],[X]]=2,tbal[[#This Row],[X]]=3)),tbal[[#This Row],[ACREEDOR]],0)</f>
        <v>0</v>
      </c>
      <c r="K1963" s="16">
        <f>IF((OR(tbal[[#This Row],[X]]=3,tbal[[#This Row],[X]]=5)),tbal[[#This Row],[DEUDOR]],0)</f>
        <v>0</v>
      </c>
      <c r="L1963" s="18">
        <f>IF((OR(tbal[[#This Row],[X]]=3,tbal[[#This Row],[X]]=4)),tbal[[#This Row],[ACREEDOR]],0)</f>
        <v>0</v>
      </c>
      <c r="M1963" s="16">
        <f>IF((OR(tbal[[#This Row],[X]]=0,tbal[[#This Row],[X]]=6)),tbal[[#This Row],[DEUDOR]],0)</f>
        <v>0</v>
      </c>
      <c r="N1963" s="18">
        <f>IF((OR(tbal[[#This Row],[X]]=0,tbal[[#This Row],[X]]=5)),tbal[[#This Row],[ACREEDOR]],0)</f>
        <v>0</v>
      </c>
    </row>
    <row r="1964" spans="1:14" hidden="1" x14ac:dyDescent="0.3">
      <c r="A1964" s="14">
        <f>+'PLAN DE CUENTAS'!A1964</f>
        <v>0</v>
      </c>
      <c r="B1964" s="13">
        <f>+'PLAN DE CUENTAS'!B1964</f>
        <v>0</v>
      </c>
      <c r="C1964" s="13">
        <f>+'PLAN DE CUENTAS'!C1964</f>
        <v>0</v>
      </c>
      <c r="D1964" t="str">
        <f>IF(tbal[[#This Row],[DEBE]]+tbal[[#This Row],[HABER]]=0,"","X")</f>
        <v/>
      </c>
      <c r="E1964" s="16">
        <f>SUMIF(tdiario[CUENTA],tbal[[#This Row],[CUENTA]],tdiario[DEBE])</f>
        <v>0</v>
      </c>
      <c r="F1964" s="17">
        <f>SUMIF(tdiario[CUENTA],tbal[[#This Row],[CUENTA]],tdiario[HABER])</f>
        <v>0</v>
      </c>
      <c r="G1964" s="16">
        <f>IF(tbal[[#This Row],[DEBE]]-tbal[[#This Row],[HABER]]&gt;0,tbal[[#This Row],[DEBE]]-tbal[[#This Row],[HABER]],0)</f>
        <v>0</v>
      </c>
      <c r="H1964" s="18">
        <f>IF(tbal[[#This Row],[HABER]]-tbal[[#This Row],[DEBE]]&gt;0,tbal[[#This Row],[HABER]]-tbal[[#This Row],[DEBE]],0)</f>
        <v>0</v>
      </c>
      <c r="I1964" s="16">
        <f>IF((OR(tbal[[#This Row],[X]]=1,tbal[[#This Row],[X]]=2)),tbal[[#This Row],[DEUDOR]],0)</f>
        <v>0</v>
      </c>
      <c r="J1964" s="18">
        <f>IF((OR(tbal[[#This Row],[X]]=2,tbal[[#This Row],[X]]=3)),tbal[[#This Row],[ACREEDOR]],0)</f>
        <v>0</v>
      </c>
      <c r="K1964" s="16">
        <f>IF((OR(tbal[[#This Row],[X]]=3,tbal[[#This Row],[X]]=5)),tbal[[#This Row],[DEUDOR]],0)</f>
        <v>0</v>
      </c>
      <c r="L1964" s="18">
        <f>IF((OR(tbal[[#This Row],[X]]=3,tbal[[#This Row],[X]]=4)),tbal[[#This Row],[ACREEDOR]],0)</f>
        <v>0</v>
      </c>
      <c r="M1964" s="16">
        <f>IF((OR(tbal[[#This Row],[X]]=0,tbal[[#This Row],[X]]=6)),tbal[[#This Row],[DEUDOR]],0)</f>
        <v>0</v>
      </c>
      <c r="N1964" s="18">
        <f>IF((OR(tbal[[#This Row],[X]]=0,tbal[[#This Row],[X]]=5)),tbal[[#This Row],[ACREEDOR]],0)</f>
        <v>0</v>
      </c>
    </row>
    <row r="1965" spans="1:14" hidden="1" x14ac:dyDescent="0.3">
      <c r="A1965" s="14">
        <f>+'PLAN DE CUENTAS'!A1965</f>
        <v>0</v>
      </c>
      <c r="B1965" s="13">
        <f>+'PLAN DE CUENTAS'!B1965</f>
        <v>0</v>
      </c>
      <c r="C1965" s="13">
        <f>+'PLAN DE CUENTAS'!C1965</f>
        <v>0</v>
      </c>
      <c r="D1965" t="str">
        <f>IF(tbal[[#This Row],[DEBE]]+tbal[[#This Row],[HABER]]=0,"","X")</f>
        <v/>
      </c>
      <c r="E1965" s="16">
        <f>SUMIF(tdiario[CUENTA],tbal[[#This Row],[CUENTA]],tdiario[DEBE])</f>
        <v>0</v>
      </c>
      <c r="F1965" s="17">
        <f>SUMIF(tdiario[CUENTA],tbal[[#This Row],[CUENTA]],tdiario[HABER])</f>
        <v>0</v>
      </c>
      <c r="G1965" s="16">
        <f>IF(tbal[[#This Row],[DEBE]]-tbal[[#This Row],[HABER]]&gt;0,tbal[[#This Row],[DEBE]]-tbal[[#This Row],[HABER]],0)</f>
        <v>0</v>
      </c>
      <c r="H1965" s="18">
        <f>IF(tbal[[#This Row],[HABER]]-tbal[[#This Row],[DEBE]]&gt;0,tbal[[#This Row],[HABER]]-tbal[[#This Row],[DEBE]],0)</f>
        <v>0</v>
      </c>
      <c r="I1965" s="16">
        <f>IF((OR(tbal[[#This Row],[X]]=1,tbal[[#This Row],[X]]=2)),tbal[[#This Row],[DEUDOR]],0)</f>
        <v>0</v>
      </c>
      <c r="J1965" s="18">
        <f>IF((OR(tbal[[#This Row],[X]]=2,tbal[[#This Row],[X]]=3)),tbal[[#This Row],[ACREEDOR]],0)</f>
        <v>0</v>
      </c>
      <c r="K1965" s="16">
        <f>IF((OR(tbal[[#This Row],[X]]=3,tbal[[#This Row],[X]]=5)),tbal[[#This Row],[DEUDOR]],0)</f>
        <v>0</v>
      </c>
      <c r="L1965" s="18">
        <f>IF((OR(tbal[[#This Row],[X]]=3,tbal[[#This Row],[X]]=4)),tbal[[#This Row],[ACREEDOR]],0)</f>
        <v>0</v>
      </c>
      <c r="M1965" s="16">
        <f>IF((OR(tbal[[#This Row],[X]]=0,tbal[[#This Row],[X]]=6)),tbal[[#This Row],[DEUDOR]],0)</f>
        <v>0</v>
      </c>
      <c r="N1965" s="18">
        <f>IF((OR(tbal[[#This Row],[X]]=0,tbal[[#This Row],[X]]=5)),tbal[[#This Row],[ACREEDOR]],0)</f>
        <v>0</v>
      </c>
    </row>
    <row r="1966" spans="1:14" hidden="1" x14ac:dyDescent="0.3">
      <c r="A1966" s="14">
        <f>+'PLAN DE CUENTAS'!A1966</f>
        <v>0</v>
      </c>
      <c r="B1966" s="13">
        <f>+'PLAN DE CUENTAS'!B1966</f>
        <v>0</v>
      </c>
      <c r="C1966" s="13">
        <f>+'PLAN DE CUENTAS'!C1966</f>
        <v>0</v>
      </c>
      <c r="D1966" t="str">
        <f>IF(tbal[[#This Row],[DEBE]]+tbal[[#This Row],[HABER]]=0,"","X")</f>
        <v/>
      </c>
      <c r="E1966" s="16">
        <f>SUMIF(tdiario[CUENTA],tbal[[#This Row],[CUENTA]],tdiario[DEBE])</f>
        <v>0</v>
      </c>
      <c r="F1966" s="17">
        <f>SUMIF(tdiario[CUENTA],tbal[[#This Row],[CUENTA]],tdiario[HABER])</f>
        <v>0</v>
      </c>
      <c r="G1966" s="16">
        <f>IF(tbal[[#This Row],[DEBE]]-tbal[[#This Row],[HABER]]&gt;0,tbal[[#This Row],[DEBE]]-tbal[[#This Row],[HABER]],0)</f>
        <v>0</v>
      </c>
      <c r="H1966" s="18">
        <f>IF(tbal[[#This Row],[HABER]]-tbal[[#This Row],[DEBE]]&gt;0,tbal[[#This Row],[HABER]]-tbal[[#This Row],[DEBE]],0)</f>
        <v>0</v>
      </c>
      <c r="I1966" s="16">
        <f>IF((OR(tbal[[#This Row],[X]]=1,tbal[[#This Row],[X]]=2)),tbal[[#This Row],[DEUDOR]],0)</f>
        <v>0</v>
      </c>
      <c r="J1966" s="18">
        <f>IF((OR(tbal[[#This Row],[X]]=2,tbal[[#This Row],[X]]=3)),tbal[[#This Row],[ACREEDOR]],0)</f>
        <v>0</v>
      </c>
      <c r="K1966" s="16">
        <f>IF((OR(tbal[[#This Row],[X]]=3,tbal[[#This Row],[X]]=5)),tbal[[#This Row],[DEUDOR]],0)</f>
        <v>0</v>
      </c>
      <c r="L1966" s="18">
        <f>IF((OR(tbal[[#This Row],[X]]=3,tbal[[#This Row],[X]]=4)),tbal[[#This Row],[ACREEDOR]],0)</f>
        <v>0</v>
      </c>
      <c r="M1966" s="16">
        <f>IF((OR(tbal[[#This Row],[X]]=0,tbal[[#This Row],[X]]=6)),tbal[[#This Row],[DEUDOR]],0)</f>
        <v>0</v>
      </c>
      <c r="N1966" s="18">
        <f>IF((OR(tbal[[#This Row],[X]]=0,tbal[[#This Row],[X]]=5)),tbal[[#This Row],[ACREEDOR]],0)</f>
        <v>0</v>
      </c>
    </row>
    <row r="1967" spans="1:14" hidden="1" x14ac:dyDescent="0.3">
      <c r="A1967" s="14">
        <f>+'PLAN DE CUENTAS'!A1967</f>
        <v>0</v>
      </c>
      <c r="B1967" s="13">
        <f>+'PLAN DE CUENTAS'!B1967</f>
        <v>0</v>
      </c>
      <c r="C1967" s="13">
        <f>+'PLAN DE CUENTAS'!C1967</f>
        <v>0</v>
      </c>
      <c r="D1967" t="str">
        <f>IF(tbal[[#This Row],[DEBE]]+tbal[[#This Row],[HABER]]=0,"","X")</f>
        <v/>
      </c>
      <c r="E1967" s="16">
        <f>SUMIF(tdiario[CUENTA],tbal[[#This Row],[CUENTA]],tdiario[DEBE])</f>
        <v>0</v>
      </c>
      <c r="F1967" s="17">
        <f>SUMIF(tdiario[CUENTA],tbal[[#This Row],[CUENTA]],tdiario[HABER])</f>
        <v>0</v>
      </c>
      <c r="G1967" s="16">
        <f>IF(tbal[[#This Row],[DEBE]]-tbal[[#This Row],[HABER]]&gt;0,tbal[[#This Row],[DEBE]]-tbal[[#This Row],[HABER]],0)</f>
        <v>0</v>
      </c>
      <c r="H1967" s="18">
        <f>IF(tbal[[#This Row],[HABER]]-tbal[[#This Row],[DEBE]]&gt;0,tbal[[#This Row],[HABER]]-tbal[[#This Row],[DEBE]],0)</f>
        <v>0</v>
      </c>
      <c r="I1967" s="16">
        <f>IF((OR(tbal[[#This Row],[X]]=1,tbal[[#This Row],[X]]=2)),tbal[[#This Row],[DEUDOR]],0)</f>
        <v>0</v>
      </c>
      <c r="J1967" s="18">
        <f>IF((OR(tbal[[#This Row],[X]]=2,tbal[[#This Row],[X]]=3)),tbal[[#This Row],[ACREEDOR]],0)</f>
        <v>0</v>
      </c>
      <c r="K1967" s="16">
        <f>IF((OR(tbal[[#This Row],[X]]=3,tbal[[#This Row],[X]]=5)),tbal[[#This Row],[DEUDOR]],0)</f>
        <v>0</v>
      </c>
      <c r="L1967" s="18">
        <f>IF((OR(tbal[[#This Row],[X]]=3,tbal[[#This Row],[X]]=4)),tbal[[#This Row],[ACREEDOR]],0)</f>
        <v>0</v>
      </c>
      <c r="M1967" s="16">
        <f>IF((OR(tbal[[#This Row],[X]]=0,tbal[[#This Row],[X]]=6)),tbal[[#This Row],[DEUDOR]],0)</f>
        <v>0</v>
      </c>
      <c r="N1967" s="18">
        <f>IF((OR(tbal[[#This Row],[X]]=0,tbal[[#This Row],[X]]=5)),tbal[[#This Row],[ACREEDOR]],0)</f>
        <v>0</v>
      </c>
    </row>
    <row r="1968" spans="1:14" hidden="1" x14ac:dyDescent="0.3">
      <c r="A1968" s="14">
        <f>+'PLAN DE CUENTAS'!A1968</f>
        <v>0</v>
      </c>
      <c r="B1968" s="13">
        <f>+'PLAN DE CUENTAS'!B1968</f>
        <v>0</v>
      </c>
      <c r="C1968" s="13">
        <f>+'PLAN DE CUENTAS'!C1968</f>
        <v>0</v>
      </c>
      <c r="D1968" t="str">
        <f>IF(tbal[[#This Row],[DEBE]]+tbal[[#This Row],[HABER]]=0,"","X")</f>
        <v/>
      </c>
      <c r="E1968" s="16">
        <f>SUMIF(tdiario[CUENTA],tbal[[#This Row],[CUENTA]],tdiario[DEBE])</f>
        <v>0</v>
      </c>
      <c r="F1968" s="17">
        <f>SUMIF(tdiario[CUENTA],tbal[[#This Row],[CUENTA]],tdiario[HABER])</f>
        <v>0</v>
      </c>
      <c r="G1968" s="16">
        <f>IF(tbal[[#This Row],[DEBE]]-tbal[[#This Row],[HABER]]&gt;0,tbal[[#This Row],[DEBE]]-tbal[[#This Row],[HABER]],0)</f>
        <v>0</v>
      </c>
      <c r="H1968" s="18">
        <f>IF(tbal[[#This Row],[HABER]]-tbal[[#This Row],[DEBE]]&gt;0,tbal[[#This Row],[HABER]]-tbal[[#This Row],[DEBE]],0)</f>
        <v>0</v>
      </c>
      <c r="I1968" s="16">
        <f>IF((OR(tbal[[#This Row],[X]]=1,tbal[[#This Row],[X]]=2)),tbal[[#This Row],[DEUDOR]],0)</f>
        <v>0</v>
      </c>
      <c r="J1968" s="18">
        <f>IF((OR(tbal[[#This Row],[X]]=2,tbal[[#This Row],[X]]=3)),tbal[[#This Row],[ACREEDOR]],0)</f>
        <v>0</v>
      </c>
      <c r="K1968" s="16">
        <f>IF((OR(tbal[[#This Row],[X]]=3,tbal[[#This Row],[X]]=5)),tbal[[#This Row],[DEUDOR]],0)</f>
        <v>0</v>
      </c>
      <c r="L1968" s="18">
        <f>IF((OR(tbal[[#This Row],[X]]=3,tbal[[#This Row],[X]]=4)),tbal[[#This Row],[ACREEDOR]],0)</f>
        <v>0</v>
      </c>
      <c r="M1968" s="16">
        <f>IF((OR(tbal[[#This Row],[X]]=0,tbal[[#This Row],[X]]=6)),tbal[[#This Row],[DEUDOR]],0)</f>
        <v>0</v>
      </c>
      <c r="N1968" s="18">
        <f>IF((OR(tbal[[#This Row],[X]]=0,tbal[[#This Row],[X]]=5)),tbal[[#This Row],[ACREEDOR]],0)</f>
        <v>0</v>
      </c>
    </row>
    <row r="1969" spans="1:14" hidden="1" x14ac:dyDescent="0.3">
      <c r="A1969" s="14">
        <f>+'PLAN DE CUENTAS'!A1969</f>
        <v>0</v>
      </c>
      <c r="B1969" s="13">
        <f>+'PLAN DE CUENTAS'!B1969</f>
        <v>0</v>
      </c>
      <c r="C1969" s="13">
        <f>+'PLAN DE CUENTAS'!C1969</f>
        <v>0</v>
      </c>
      <c r="D1969" t="str">
        <f>IF(tbal[[#This Row],[DEBE]]+tbal[[#This Row],[HABER]]=0,"","X")</f>
        <v/>
      </c>
      <c r="E1969" s="16">
        <f>SUMIF(tdiario[CUENTA],tbal[[#This Row],[CUENTA]],tdiario[DEBE])</f>
        <v>0</v>
      </c>
      <c r="F1969" s="17">
        <f>SUMIF(tdiario[CUENTA],tbal[[#This Row],[CUENTA]],tdiario[HABER])</f>
        <v>0</v>
      </c>
      <c r="G1969" s="16">
        <f>IF(tbal[[#This Row],[DEBE]]-tbal[[#This Row],[HABER]]&gt;0,tbal[[#This Row],[DEBE]]-tbal[[#This Row],[HABER]],0)</f>
        <v>0</v>
      </c>
      <c r="H1969" s="18">
        <f>IF(tbal[[#This Row],[HABER]]-tbal[[#This Row],[DEBE]]&gt;0,tbal[[#This Row],[HABER]]-tbal[[#This Row],[DEBE]],0)</f>
        <v>0</v>
      </c>
      <c r="I1969" s="16">
        <f>IF((OR(tbal[[#This Row],[X]]=1,tbal[[#This Row],[X]]=2)),tbal[[#This Row],[DEUDOR]],0)</f>
        <v>0</v>
      </c>
      <c r="J1969" s="18">
        <f>IF((OR(tbal[[#This Row],[X]]=2,tbal[[#This Row],[X]]=3)),tbal[[#This Row],[ACREEDOR]],0)</f>
        <v>0</v>
      </c>
      <c r="K1969" s="16">
        <f>IF((OR(tbal[[#This Row],[X]]=3,tbal[[#This Row],[X]]=5)),tbal[[#This Row],[DEUDOR]],0)</f>
        <v>0</v>
      </c>
      <c r="L1969" s="18">
        <f>IF((OR(tbal[[#This Row],[X]]=3,tbal[[#This Row],[X]]=4)),tbal[[#This Row],[ACREEDOR]],0)</f>
        <v>0</v>
      </c>
      <c r="M1969" s="16">
        <f>IF((OR(tbal[[#This Row],[X]]=0,tbal[[#This Row],[X]]=6)),tbal[[#This Row],[DEUDOR]],0)</f>
        <v>0</v>
      </c>
      <c r="N1969" s="18">
        <f>IF((OR(tbal[[#This Row],[X]]=0,tbal[[#This Row],[X]]=5)),tbal[[#This Row],[ACREEDOR]],0)</f>
        <v>0</v>
      </c>
    </row>
    <row r="1970" spans="1:14" hidden="1" x14ac:dyDescent="0.3">
      <c r="A1970" s="14">
        <f>+'PLAN DE CUENTAS'!A1970</f>
        <v>0</v>
      </c>
      <c r="B1970" s="13">
        <f>+'PLAN DE CUENTAS'!B1970</f>
        <v>0</v>
      </c>
      <c r="C1970" s="13">
        <f>+'PLAN DE CUENTAS'!C1970</f>
        <v>0</v>
      </c>
      <c r="D1970" t="str">
        <f>IF(tbal[[#This Row],[DEBE]]+tbal[[#This Row],[HABER]]=0,"","X")</f>
        <v/>
      </c>
      <c r="E1970" s="16">
        <f>SUMIF(tdiario[CUENTA],tbal[[#This Row],[CUENTA]],tdiario[DEBE])</f>
        <v>0</v>
      </c>
      <c r="F1970" s="17">
        <f>SUMIF(tdiario[CUENTA],tbal[[#This Row],[CUENTA]],tdiario[HABER])</f>
        <v>0</v>
      </c>
      <c r="G1970" s="16">
        <f>IF(tbal[[#This Row],[DEBE]]-tbal[[#This Row],[HABER]]&gt;0,tbal[[#This Row],[DEBE]]-tbal[[#This Row],[HABER]],0)</f>
        <v>0</v>
      </c>
      <c r="H1970" s="18">
        <f>IF(tbal[[#This Row],[HABER]]-tbal[[#This Row],[DEBE]]&gt;0,tbal[[#This Row],[HABER]]-tbal[[#This Row],[DEBE]],0)</f>
        <v>0</v>
      </c>
      <c r="I1970" s="16">
        <f>IF((OR(tbal[[#This Row],[X]]=1,tbal[[#This Row],[X]]=2)),tbal[[#This Row],[DEUDOR]],0)</f>
        <v>0</v>
      </c>
      <c r="J1970" s="18">
        <f>IF((OR(tbal[[#This Row],[X]]=2,tbal[[#This Row],[X]]=3)),tbal[[#This Row],[ACREEDOR]],0)</f>
        <v>0</v>
      </c>
      <c r="K1970" s="16">
        <f>IF((OR(tbal[[#This Row],[X]]=3,tbal[[#This Row],[X]]=5)),tbal[[#This Row],[DEUDOR]],0)</f>
        <v>0</v>
      </c>
      <c r="L1970" s="18">
        <f>IF((OR(tbal[[#This Row],[X]]=3,tbal[[#This Row],[X]]=4)),tbal[[#This Row],[ACREEDOR]],0)</f>
        <v>0</v>
      </c>
      <c r="M1970" s="16">
        <f>IF((OR(tbal[[#This Row],[X]]=0,tbal[[#This Row],[X]]=6)),tbal[[#This Row],[DEUDOR]],0)</f>
        <v>0</v>
      </c>
      <c r="N1970" s="18">
        <f>IF((OR(tbal[[#This Row],[X]]=0,tbal[[#This Row],[X]]=5)),tbal[[#This Row],[ACREEDOR]],0)</f>
        <v>0</v>
      </c>
    </row>
    <row r="1971" spans="1:14" hidden="1" x14ac:dyDescent="0.3">
      <c r="A1971" s="14">
        <f>+'PLAN DE CUENTAS'!A1971</f>
        <v>0</v>
      </c>
      <c r="B1971" s="13">
        <f>+'PLAN DE CUENTAS'!B1971</f>
        <v>0</v>
      </c>
      <c r="C1971" s="13">
        <f>+'PLAN DE CUENTAS'!C1971</f>
        <v>0</v>
      </c>
      <c r="D1971" t="str">
        <f>IF(tbal[[#This Row],[DEBE]]+tbal[[#This Row],[HABER]]=0,"","X")</f>
        <v/>
      </c>
      <c r="E1971" s="16">
        <f>SUMIF(tdiario[CUENTA],tbal[[#This Row],[CUENTA]],tdiario[DEBE])</f>
        <v>0</v>
      </c>
      <c r="F1971" s="17">
        <f>SUMIF(tdiario[CUENTA],tbal[[#This Row],[CUENTA]],tdiario[HABER])</f>
        <v>0</v>
      </c>
      <c r="G1971" s="16">
        <f>IF(tbal[[#This Row],[DEBE]]-tbal[[#This Row],[HABER]]&gt;0,tbal[[#This Row],[DEBE]]-tbal[[#This Row],[HABER]],0)</f>
        <v>0</v>
      </c>
      <c r="H1971" s="18">
        <f>IF(tbal[[#This Row],[HABER]]-tbal[[#This Row],[DEBE]]&gt;0,tbal[[#This Row],[HABER]]-tbal[[#This Row],[DEBE]],0)</f>
        <v>0</v>
      </c>
      <c r="I1971" s="16">
        <f>IF((OR(tbal[[#This Row],[X]]=1,tbal[[#This Row],[X]]=2)),tbal[[#This Row],[DEUDOR]],0)</f>
        <v>0</v>
      </c>
      <c r="J1971" s="18">
        <f>IF((OR(tbal[[#This Row],[X]]=2,tbal[[#This Row],[X]]=3)),tbal[[#This Row],[ACREEDOR]],0)</f>
        <v>0</v>
      </c>
      <c r="K1971" s="16">
        <f>IF((OR(tbal[[#This Row],[X]]=3,tbal[[#This Row],[X]]=5)),tbal[[#This Row],[DEUDOR]],0)</f>
        <v>0</v>
      </c>
      <c r="L1971" s="18">
        <f>IF((OR(tbal[[#This Row],[X]]=3,tbal[[#This Row],[X]]=4)),tbal[[#This Row],[ACREEDOR]],0)</f>
        <v>0</v>
      </c>
      <c r="M1971" s="16">
        <f>IF((OR(tbal[[#This Row],[X]]=0,tbal[[#This Row],[X]]=6)),tbal[[#This Row],[DEUDOR]],0)</f>
        <v>0</v>
      </c>
      <c r="N1971" s="18">
        <f>IF((OR(tbal[[#This Row],[X]]=0,tbal[[#This Row],[X]]=5)),tbal[[#This Row],[ACREEDOR]],0)</f>
        <v>0</v>
      </c>
    </row>
    <row r="1972" spans="1:14" hidden="1" x14ac:dyDescent="0.3">
      <c r="A1972" s="14">
        <f>+'PLAN DE CUENTAS'!A1972</f>
        <v>0</v>
      </c>
      <c r="B1972" s="13">
        <f>+'PLAN DE CUENTAS'!B1972</f>
        <v>0</v>
      </c>
      <c r="C1972" s="13">
        <f>+'PLAN DE CUENTAS'!C1972</f>
        <v>0</v>
      </c>
      <c r="D1972" t="str">
        <f>IF(tbal[[#This Row],[DEBE]]+tbal[[#This Row],[HABER]]=0,"","X")</f>
        <v/>
      </c>
      <c r="E1972" s="16">
        <f>SUMIF(tdiario[CUENTA],tbal[[#This Row],[CUENTA]],tdiario[DEBE])</f>
        <v>0</v>
      </c>
      <c r="F1972" s="17">
        <f>SUMIF(tdiario[CUENTA],tbal[[#This Row],[CUENTA]],tdiario[HABER])</f>
        <v>0</v>
      </c>
      <c r="G1972" s="16">
        <f>IF(tbal[[#This Row],[DEBE]]-tbal[[#This Row],[HABER]]&gt;0,tbal[[#This Row],[DEBE]]-tbal[[#This Row],[HABER]],0)</f>
        <v>0</v>
      </c>
      <c r="H1972" s="18">
        <f>IF(tbal[[#This Row],[HABER]]-tbal[[#This Row],[DEBE]]&gt;0,tbal[[#This Row],[HABER]]-tbal[[#This Row],[DEBE]],0)</f>
        <v>0</v>
      </c>
      <c r="I1972" s="16">
        <f>IF((OR(tbal[[#This Row],[X]]=1,tbal[[#This Row],[X]]=2)),tbal[[#This Row],[DEUDOR]],0)</f>
        <v>0</v>
      </c>
      <c r="J1972" s="18">
        <f>IF((OR(tbal[[#This Row],[X]]=2,tbal[[#This Row],[X]]=3)),tbal[[#This Row],[ACREEDOR]],0)</f>
        <v>0</v>
      </c>
      <c r="K1972" s="16">
        <f>IF((OR(tbal[[#This Row],[X]]=3,tbal[[#This Row],[X]]=5)),tbal[[#This Row],[DEUDOR]],0)</f>
        <v>0</v>
      </c>
      <c r="L1972" s="18">
        <f>IF((OR(tbal[[#This Row],[X]]=3,tbal[[#This Row],[X]]=4)),tbal[[#This Row],[ACREEDOR]],0)</f>
        <v>0</v>
      </c>
      <c r="M1972" s="16">
        <f>IF((OR(tbal[[#This Row],[X]]=0,tbal[[#This Row],[X]]=6)),tbal[[#This Row],[DEUDOR]],0)</f>
        <v>0</v>
      </c>
      <c r="N1972" s="18">
        <f>IF((OR(tbal[[#This Row],[X]]=0,tbal[[#This Row],[X]]=5)),tbal[[#This Row],[ACREEDOR]],0)</f>
        <v>0</v>
      </c>
    </row>
    <row r="1973" spans="1:14" hidden="1" x14ac:dyDescent="0.3">
      <c r="A1973" s="14">
        <f>+'PLAN DE CUENTAS'!A1973</f>
        <v>0</v>
      </c>
      <c r="B1973" s="13">
        <f>+'PLAN DE CUENTAS'!B1973</f>
        <v>0</v>
      </c>
      <c r="C1973" s="13">
        <f>+'PLAN DE CUENTAS'!C1973</f>
        <v>0</v>
      </c>
      <c r="D1973" t="str">
        <f>IF(tbal[[#This Row],[DEBE]]+tbal[[#This Row],[HABER]]=0,"","X")</f>
        <v/>
      </c>
      <c r="E1973" s="16">
        <f>SUMIF(tdiario[CUENTA],tbal[[#This Row],[CUENTA]],tdiario[DEBE])</f>
        <v>0</v>
      </c>
      <c r="F1973" s="17">
        <f>SUMIF(tdiario[CUENTA],tbal[[#This Row],[CUENTA]],tdiario[HABER])</f>
        <v>0</v>
      </c>
      <c r="G1973" s="16">
        <f>IF(tbal[[#This Row],[DEBE]]-tbal[[#This Row],[HABER]]&gt;0,tbal[[#This Row],[DEBE]]-tbal[[#This Row],[HABER]],0)</f>
        <v>0</v>
      </c>
      <c r="H1973" s="18">
        <f>IF(tbal[[#This Row],[HABER]]-tbal[[#This Row],[DEBE]]&gt;0,tbal[[#This Row],[HABER]]-tbal[[#This Row],[DEBE]],0)</f>
        <v>0</v>
      </c>
      <c r="I1973" s="16">
        <f>IF((OR(tbal[[#This Row],[X]]=1,tbal[[#This Row],[X]]=2)),tbal[[#This Row],[DEUDOR]],0)</f>
        <v>0</v>
      </c>
      <c r="J1973" s="18">
        <f>IF((OR(tbal[[#This Row],[X]]=2,tbal[[#This Row],[X]]=3)),tbal[[#This Row],[ACREEDOR]],0)</f>
        <v>0</v>
      </c>
      <c r="K1973" s="16">
        <f>IF((OR(tbal[[#This Row],[X]]=3,tbal[[#This Row],[X]]=5)),tbal[[#This Row],[DEUDOR]],0)</f>
        <v>0</v>
      </c>
      <c r="L1973" s="18">
        <f>IF((OR(tbal[[#This Row],[X]]=3,tbal[[#This Row],[X]]=4)),tbal[[#This Row],[ACREEDOR]],0)</f>
        <v>0</v>
      </c>
      <c r="M1973" s="16">
        <f>IF((OR(tbal[[#This Row],[X]]=0,tbal[[#This Row],[X]]=6)),tbal[[#This Row],[DEUDOR]],0)</f>
        <v>0</v>
      </c>
      <c r="N1973" s="18">
        <f>IF((OR(tbal[[#This Row],[X]]=0,tbal[[#This Row],[X]]=5)),tbal[[#This Row],[ACREEDOR]],0)</f>
        <v>0</v>
      </c>
    </row>
    <row r="1974" spans="1:14" hidden="1" x14ac:dyDescent="0.3">
      <c r="A1974" s="14">
        <f>+'PLAN DE CUENTAS'!A1974</f>
        <v>0</v>
      </c>
      <c r="B1974" s="13">
        <f>+'PLAN DE CUENTAS'!B1974</f>
        <v>0</v>
      </c>
      <c r="C1974" s="13">
        <f>+'PLAN DE CUENTAS'!C1974</f>
        <v>0</v>
      </c>
      <c r="D1974" t="str">
        <f>IF(tbal[[#This Row],[DEBE]]+tbal[[#This Row],[HABER]]=0,"","X")</f>
        <v/>
      </c>
      <c r="E1974" s="16">
        <f>SUMIF(tdiario[CUENTA],tbal[[#This Row],[CUENTA]],tdiario[DEBE])</f>
        <v>0</v>
      </c>
      <c r="F1974" s="17">
        <f>SUMIF(tdiario[CUENTA],tbal[[#This Row],[CUENTA]],tdiario[HABER])</f>
        <v>0</v>
      </c>
      <c r="G1974" s="16">
        <f>IF(tbal[[#This Row],[DEBE]]-tbal[[#This Row],[HABER]]&gt;0,tbal[[#This Row],[DEBE]]-tbal[[#This Row],[HABER]],0)</f>
        <v>0</v>
      </c>
      <c r="H1974" s="18">
        <f>IF(tbal[[#This Row],[HABER]]-tbal[[#This Row],[DEBE]]&gt;0,tbal[[#This Row],[HABER]]-tbal[[#This Row],[DEBE]],0)</f>
        <v>0</v>
      </c>
      <c r="I1974" s="16">
        <f>IF((OR(tbal[[#This Row],[X]]=1,tbal[[#This Row],[X]]=2)),tbal[[#This Row],[DEUDOR]],0)</f>
        <v>0</v>
      </c>
      <c r="J1974" s="18">
        <f>IF((OR(tbal[[#This Row],[X]]=2,tbal[[#This Row],[X]]=3)),tbal[[#This Row],[ACREEDOR]],0)</f>
        <v>0</v>
      </c>
      <c r="K1974" s="16">
        <f>IF((OR(tbal[[#This Row],[X]]=3,tbal[[#This Row],[X]]=5)),tbal[[#This Row],[DEUDOR]],0)</f>
        <v>0</v>
      </c>
      <c r="L1974" s="18">
        <f>IF((OR(tbal[[#This Row],[X]]=3,tbal[[#This Row],[X]]=4)),tbal[[#This Row],[ACREEDOR]],0)</f>
        <v>0</v>
      </c>
      <c r="M1974" s="16">
        <f>IF((OR(tbal[[#This Row],[X]]=0,tbal[[#This Row],[X]]=6)),tbal[[#This Row],[DEUDOR]],0)</f>
        <v>0</v>
      </c>
      <c r="N1974" s="18">
        <f>IF((OR(tbal[[#This Row],[X]]=0,tbal[[#This Row],[X]]=5)),tbal[[#This Row],[ACREEDOR]],0)</f>
        <v>0</v>
      </c>
    </row>
    <row r="1975" spans="1:14" hidden="1" x14ac:dyDescent="0.3">
      <c r="A1975" s="14">
        <f>+'PLAN DE CUENTAS'!A1975</f>
        <v>0</v>
      </c>
      <c r="B1975" s="13">
        <f>+'PLAN DE CUENTAS'!B1975</f>
        <v>0</v>
      </c>
      <c r="C1975" s="13">
        <f>+'PLAN DE CUENTAS'!C1975</f>
        <v>0</v>
      </c>
      <c r="D1975" t="str">
        <f>IF(tbal[[#This Row],[DEBE]]+tbal[[#This Row],[HABER]]=0,"","X")</f>
        <v/>
      </c>
      <c r="E1975" s="16">
        <f>SUMIF(tdiario[CUENTA],tbal[[#This Row],[CUENTA]],tdiario[DEBE])</f>
        <v>0</v>
      </c>
      <c r="F1975" s="17">
        <f>SUMIF(tdiario[CUENTA],tbal[[#This Row],[CUENTA]],tdiario[HABER])</f>
        <v>0</v>
      </c>
      <c r="G1975" s="16">
        <f>IF(tbal[[#This Row],[DEBE]]-tbal[[#This Row],[HABER]]&gt;0,tbal[[#This Row],[DEBE]]-tbal[[#This Row],[HABER]],0)</f>
        <v>0</v>
      </c>
      <c r="H1975" s="18">
        <f>IF(tbal[[#This Row],[HABER]]-tbal[[#This Row],[DEBE]]&gt;0,tbal[[#This Row],[HABER]]-tbal[[#This Row],[DEBE]],0)</f>
        <v>0</v>
      </c>
      <c r="I1975" s="16">
        <f>IF((OR(tbal[[#This Row],[X]]=1,tbal[[#This Row],[X]]=2)),tbal[[#This Row],[DEUDOR]],0)</f>
        <v>0</v>
      </c>
      <c r="J1975" s="18">
        <f>IF((OR(tbal[[#This Row],[X]]=2,tbal[[#This Row],[X]]=3)),tbal[[#This Row],[ACREEDOR]],0)</f>
        <v>0</v>
      </c>
      <c r="K1975" s="16">
        <f>IF((OR(tbal[[#This Row],[X]]=3,tbal[[#This Row],[X]]=5)),tbal[[#This Row],[DEUDOR]],0)</f>
        <v>0</v>
      </c>
      <c r="L1975" s="18">
        <f>IF((OR(tbal[[#This Row],[X]]=3,tbal[[#This Row],[X]]=4)),tbal[[#This Row],[ACREEDOR]],0)</f>
        <v>0</v>
      </c>
      <c r="M1975" s="16">
        <f>IF((OR(tbal[[#This Row],[X]]=0,tbal[[#This Row],[X]]=6)),tbal[[#This Row],[DEUDOR]],0)</f>
        <v>0</v>
      </c>
      <c r="N1975" s="18">
        <f>IF((OR(tbal[[#This Row],[X]]=0,tbal[[#This Row],[X]]=5)),tbal[[#This Row],[ACREEDOR]],0)</f>
        <v>0</v>
      </c>
    </row>
    <row r="1976" spans="1:14" hidden="1" x14ac:dyDescent="0.3">
      <c r="A1976" s="14">
        <f>+'PLAN DE CUENTAS'!A1976</f>
        <v>0</v>
      </c>
      <c r="B1976" s="13">
        <f>+'PLAN DE CUENTAS'!B1976</f>
        <v>0</v>
      </c>
      <c r="C1976" s="13">
        <f>+'PLAN DE CUENTAS'!C1976</f>
        <v>0</v>
      </c>
      <c r="D1976" t="str">
        <f>IF(tbal[[#This Row],[DEBE]]+tbal[[#This Row],[HABER]]=0,"","X")</f>
        <v/>
      </c>
      <c r="E1976" s="16">
        <f>SUMIF(tdiario[CUENTA],tbal[[#This Row],[CUENTA]],tdiario[DEBE])</f>
        <v>0</v>
      </c>
      <c r="F1976" s="17">
        <f>SUMIF(tdiario[CUENTA],tbal[[#This Row],[CUENTA]],tdiario[HABER])</f>
        <v>0</v>
      </c>
      <c r="G1976" s="16">
        <f>IF(tbal[[#This Row],[DEBE]]-tbal[[#This Row],[HABER]]&gt;0,tbal[[#This Row],[DEBE]]-tbal[[#This Row],[HABER]],0)</f>
        <v>0</v>
      </c>
      <c r="H1976" s="18">
        <f>IF(tbal[[#This Row],[HABER]]-tbal[[#This Row],[DEBE]]&gt;0,tbal[[#This Row],[HABER]]-tbal[[#This Row],[DEBE]],0)</f>
        <v>0</v>
      </c>
      <c r="I1976" s="16">
        <f>IF((OR(tbal[[#This Row],[X]]=1,tbal[[#This Row],[X]]=2)),tbal[[#This Row],[DEUDOR]],0)</f>
        <v>0</v>
      </c>
      <c r="J1976" s="18">
        <f>IF((OR(tbal[[#This Row],[X]]=2,tbal[[#This Row],[X]]=3)),tbal[[#This Row],[ACREEDOR]],0)</f>
        <v>0</v>
      </c>
      <c r="K1976" s="16">
        <f>IF((OR(tbal[[#This Row],[X]]=3,tbal[[#This Row],[X]]=5)),tbal[[#This Row],[DEUDOR]],0)</f>
        <v>0</v>
      </c>
      <c r="L1976" s="18">
        <f>IF((OR(tbal[[#This Row],[X]]=3,tbal[[#This Row],[X]]=4)),tbal[[#This Row],[ACREEDOR]],0)</f>
        <v>0</v>
      </c>
      <c r="M1976" s="16">
        <f>IF((OR(tbal[[#This Row],[X]]=0,tbal[[#This Row],[X]]=6)),tbal[[#This Row],[DEUDOR]],0)</f>
        <v>0</v>
      </c>
      <c r="N1976" s="18">
        <f>IF((OR(tbal[[#This Row],[X]]=0,tbal[[#This Row],[X]]=5)),tbal[[#This Row],[ACREEDOR]],0)</f>
        <v>0</v>
      </c>
    </row>
    <row r="1977" spans="1:14" hidden="1" x14ac:dyDescent="0.3">
      <c r="A1977" s="14">
        <f>+'PLAN DE CUENTAS'!A1977</f>
        <v>0</v>
      </c>
      <c r="B1977" s="13">
        <f>+'PLAN DE CUENTAS'!B1977</f>
        <v>0</v>
      </c>
      <c r="C1977" s="13">
        <f>+'PLAN DE CUENTAS'!C1977</f>
        <v>0</v>
      </c>
      <c r="D1977" t="str">
        <f>IF(tbal[[#This Row],[DEBE]]+tbal[[#This Row],[HABER]]=0,"","X")</f>
        <v/>
      </c>
      <c r="E1977" s="16">
        <f>SUMIF(tdiario[CUENTA],tbal[[#This Row],[CUENTA]],tdiario[DEBE])</f>
        <v>0</v>
      </c>
      <c r="F1977" s="17">
        <f>SUMIF(tdiario[CUENTA],tbal[[#This Row],[CUENTA]],tdiario[HABER])</f>
        <v>0</v>
      </c>
      <c r="G1977" s="16">
        <f>IF(tbal[[#This Row],[DEBE]]-tbal[[#This Row],[HABER]]&gt;0,tbal[[#This Row],[DEBE]]-tbal[[#This Row],[HABER]],0)</f>
        <v>0</v>
      </c>
      <c r="H1977" s="18">
        <f>IF(tbal[[#This Row],[HABER]]-tbal[[#This Row],[DEBE]]&gt;0,tbal[[#This Row],[HABER]]-tbal[[#This Row],[DEBE]],0)</f>
        <v>0</v>
      </c>
      <c r="I1977" s="16">
        <f>IF((OR(tbal[[#This Row],[X]]=1,tbal[[#This Row],[X]]=2)),tbal[[#This Row],[DEUDOR]],0)</f>
        <v>0</v>
      </c>
      <c r="J1977" s="18">
        <f>IF((OR(tbal[[#This Row],[X]]=2,tbal[[#This Row],[X]]=3)),tbal[[#This Row],[ACREEDOR]],0)</f>
        <v>0</v>
      </c>
      <c r="K1977" s="16">
        <f>IF((OR(tbal[[#This Row],[X]]=3,tbal[[#This Row],[X]]=5)),tbal[[#This Row],[DEUDOR]],0)</f>
        <v>0</v>
      </c>
      <c r="L1977" s="18">
        <f>IF((OR(tbal[[#This Row],[X]]=3,tbal[[#This Row],[X]]=4)),tbal[[#This Row],[ACREEDOR]],0)</f>
        <v>0</v>
      </c>
      <c r="M1977" s="16">
        <f>IF((OR(tbal[[#This Row],[X]]=0,tbal[[#This Row],[X]]=6)),tbal[[#This Row],[DEUDOR]],0)</f>
        <v>0</v>
      </c>
      <c r="N1977" s="18">
        <f>IF((OR(tbal[[#This Row],[X]]=0,tbal[[#This Row],[X]]=5)),tbal[[#This Row],[ACREEDOR]],0)</f>
        <v>0</v>
      </c>
    </row>
    <row r="1978" spans="1:14" hidden="1" x14ac:dyDescent="0.3">
      <c r="A1978" s="14">
        <f>+'PLAN DE CUENTAS'!A1978</f>
        <v>0</v>
      </c>
      <c r="B1978" s="13">
        <f>+'PLAN DE CUENTAS'!B1978</f>
        <v>0</v>
      </c>
      <c r="C1978" s="13">
        <f>+'PLAN DE CUENTAS'!C1978</f>
        <v>0</v>
      </c>
      <c r="D1978" t="str">
        <f>IF(tbal[[#This Row],[DEBE]]+tbal[[#This Row],[HABER]]=0,"","X")</f>
        <v/>
      </c>
      <c r="E1978" s="16">
        <f>SUMIF(tdiario[CUENTA],tbal[[#This Row],[CUENTA]],tdiario[DEBE])</f>
        <v>0</v>
      </c>
      <c r="F1978" s="17">
        <f>SUMIF(tdiario[CUENTA],tbal[[#This Row],[CUENTA]],tdiario[HABER])</f>
        <v>0</v>
      </c>
      <c r="G1978" s="16">
        <f>IF(tbal[[#This Row],[DEBE]]-tbal[[#This Row],[HABER]]&gt;0,tbal[[#This Row],[DEBE]]-tbal[[#This Row],[HABER]],0)</f>
        <v>0</v>
      </c>
      <c r="H1978" s="18">
        <f>IF(tbal[[#This Row],[HABER]]-tbal[[#This Row],[DEBE]]&gt;0,tbal[[#This Row],[HABER]]-tbal[[#This Row],[DEBE]],0)</f>
        <v>0</v>
      </c>
      <c r="I1978" s="16">
        <f>IF((OR(tbal[[#This Row],[X]]=1,tbal[[#This Row],[X]]=2)),tbal[[#This Row],[DEUDOR]],0)</f>
        <v>0</v>
      </c>
      <c r="J1978" s="18">
        <f>IF((OR(tbal[[#This Row],[X]]=2,tbal[[#This Row],[X]]=3)),tbal[[#This Row],[ACREEDOR]],0)</f>
        <v>0</v>
      </c>
      <c r="K1978" s="16">
        <f>IF((OR(tbal[[#This Row],[X]]=3,tbal[[#This Row],[X]]=5)),tbal[[#This Row],[DEUDOR]],0)</f>
        <v>0</v>
      </c>
      <c r="L1978" s="18">
        <f>IF((OR(tbal[[#This Row],[X]]=3,tbal[[#This Row],[X]]=4)),tbal[[#This Row],[ACREEDOR]],0)</f>
        <v>0</v>
      </c>
      <c r="M1978" s="16">
        <f>IF((OR(tbal[[#This Row],[X]]=0,tbal[[#This Row],[X]]=6)),tbal[[#This Row],[DEUDOR]],0)</f>
        <v>0</v>
      </c>
      <c r="N1978" s="18">
        <f>IF((OR(tbal[[#This Row],[X]]=0,tbal[[#This Row],[X]]=5)),tbal[[#This Row],[ACREEDOR]],0)</f>
        <v>0</v>
      </c>
    </row>
    <row r="1979" spans="1:14" hidden="1" x14ac:dyDescent="0.3">
      <c r="A1979" s="14">
        <f>+'PLAN DE CUENTAS'!A1979</f>
        <v>0</v>
      </c>
      <c r="B1979" s="13">
        <f>+'PLAN DE CUENTAS'!B1979</f>
        <v>0</v>
      </c>
      <c r="C1979" s="13">
        <f>+'PLAN DE CUENTAS'!C1979</f>
        <v>0</v>
      </c>
      <c r="D1979" t="str">
        <f>IF(tbal[[#This Row],[DEBE]]+tbal[[#This Row],[HABER]]=0,"","X")</f>
        <v/>
      </c>
      <c r="E1979" s="16">
        <f>SUMIF(tdiario[CUENTA],tbal[[#This Row],[CUENTA]],tdiario[DEBE])</f>
        <v>0</v>
      </c>
      <c r="F1979" s="17">
        <f>SUMIF(tdiario[CUENTA],tbal[[#This Row],[CUENTA]],tdiario[HABER])</f>
        <v>0</v>
      </c>
      <c r="G1979" s="16">
        <f>IF(tbal[[#This Row],[DEBE]]-tbal[[#This Row],[HABER]]&gt;0,tbal[[#This Row],[DEBE]]-tbal[[#This Row],[HABER]],0)</f>
        <v>0</v>
      </c>
      <c r="H1979" s="18">
        <f>IF(tbal[[#This Row],[HABER]]-tbal[[#This Row],[DEBE]]&gt;0,tbal[[#This Row],[HABER]]-tbal[[#This Row],[DEBE]],0)</f>
        <v>0</v>
      </c>
      <c r="I1979" s="16">
        <f>IF((OR(tbal[[#This Row],[X]]=1,tbal[[#This Row],[X]]=2)),tbal[[#This Row],[DEUDOR]],0)</f>
        <v>0</v>
      </c>
      <c r="J1979" s="18">
        <f>IF((OR(tbal[[#This Row],[X]]=2,tbal[[#This Row],[X]]=3)),tbal[[#This Row],[ACREEDOR]],0)</f>
        <v>0</v>
      </c>
      <c r="K1979" s="16">
        <f>IF((OR(tbal[[#This Row],[X]]=3,tbal[[#This Row],[X]]=5)),tbal[[#This Row],[DEUDOR]],0)</f>
        <v>0</v>
      </c>
      <c r="L1979" s="18">
        <f>IF((OR(tbal[[#This Row],[X]]=3,tbal[[#This Row],[X]]=4)),tbal[[#This Row],[ACREEDOR]],0)</f>
        <v>0</v>
      </c>
      <c r="M1979" s="16">
        <f>IF((OR(tbal[[#This Row],[X]]=0,tbal[[#This Row],[X]]=6)),tbal[[#This Row],[DEUDOR]],0)</f>
        <v>0</v>
      </c>
      <c r="N1979" s="18">
        <f>IF((OR(tbal[[#This Row],[X]]=0,tbal[[#This Row],[X]]=5)),tbal[[#This Row],[ACREEDOR]],0)</f>
        <v>0</v>
      </c>
    </row>
    <row r="1980" spans="1:14" hidden="1" x14ac:dyDescent="0.3">
      <c r="A1980" s="14">
        <f>+'PLAN DE CUENTAS'!A1980</f>
        <v>0</v>
      </c>
      <c r="B1980" s="13">
        <f>+'PLAN DE CUENTAS'!B1980</f>
        <v>0</v>
      </c>
      <c r="C1980" s="13">
        <f>+'PLAN DE CUENTAS'!C1980</f>
        <v>0</v>
      </c>
      <c r="D1980" t="str">
        <f>IF(tbal[[#This Row],[DEBE]]+tbal[[#This Row],[HABER]]=0,"","X")</f>
        <v/>
      </c>
      <c r="E1980" s="16">
        <f>SUMIF(tdiario[CUENTA],tbal[[#This Row],[CUENTA]],tdiario[DEBE])</f>
        <v>0</v>
      </c>
      <c r="F1980" s="17">
        <f>SUMIF(tdiario[CUENTA],tbal[[#This Row],[CUENTA]],tdiario[HABER])</f>
        <v>0</v>
      </c>
      <c r="G1980" s="16">
        <f>IF(tbal[[#This Row],[DEBE]]-tbal[[#This Row],[HABER]]&gt;0,tbal[[#This Row],[DEBE]]-tbal[[#This Row],[HABER]],0)</f>
        <v>0</v>
      </c>
      <c r="H1980" s="18">
        <f>IF(tbal[[#This Row],[HABER]]-tbal[[#This Row],[DEBE]]&gt;0,tbal[[#This Row],[HABER]]-tbal[[#This Row],[DEBE]],0)</f>
        <v>0</v>
      </c>
      <c r="I1980" s="16">
        <f>IF((OR(tbal[[#This Row],[X]]=1,tbal[[#This Row],[X]]=2)),tbal[[#This Row],[DEUDOR]],0)</f>
        <v>0</v>
      </c>
      <c r="J1980" s="18">
        <f>IF((OR(tbal[[#This Row],[X]]=2,tbal[[#This Row],[X]]=3)),tbal[[#This Row],[ACREEDOR]],0)</f>
        <v>0</v>
      </c>
      <c r="K1980" s="16">
        <f>IF((OR(tbal[[#This Row],[X]]=3,tbal[[#This Row],[X]]=5)),tbal[[#This Row],[DEUDOR]],0)</f>
        <v>0</v>
      </c>
      <c r="L1980" s="18">
        <f>IF((OR(tbal[[#This Row],[X]]=3,tbal[[#This Row],[X]]=4)),tbal[[#This Row],[ACREEDOR]],0)</f>
        <v>0</v>
      </c>
      <c r="M1980" s="16">
        <f>IF((OR(tbal[[#This Row],[X]]=0,tbal[[#This Row],[X]]=6)),tbal[[#This Row],[DEUDOR]],0)</f>
        <v>0</v>
      </c>
      <c r="N1980" s="18">
        <f>IF((OR(tbal[[#This Row],[X]]=0,tbal[[#This Row],[X]]=5)),tbal[[#This Row],[ACREEDOR]],0)</f>
        <v>0</v>
      </c>
    </row>
    <row r="1981" spans="1:14" hidden="1" x14ac:dyDescent="0.3">
      <c r="A1981" s="14">
        <f>+'PLAN DE CUENTAS'!A1981</f>
        <v>0</v>
      </c>
      <c r="B1981" s="13">
        <f>+'PLAN DE CUENTAS'!B1981</f>
        <v>0</v>
      </c>
      <c r="C1981" s="13">
        <f>+'PLAN DE CUENTAS'!C1981</f>
        <v>0</v>
      </c>
      <c r="D1981" t="str">
        <f>IF(tbal[[#This Row],[DEBE]]+tbal[[#This Row],[HABER]]=0,"","X")</f>
        <v/>
      </c>
      <c r="E1981" s="16">
        <f>SUMIF(tdiario[CUENTA],tbal[[#This Row],[CUENTA]],tdiario[DEBE])</f>
        <v>0</v>
      </c>
      <c r="F1981" s="17">
        <f>SUMIF(tdiario[CUENTA],tbal[[#This Row],[CUENTA]],tdiario[HABER])</f>
        <v>0</v>
      </c>
      <c r="G1981" s="16">
        <f>IF(tbal[[#This Row],[DEBE]]-tbal[[#This Row],[HABER]]&gt;0,tbal[[#This Row],[DEBE]]-tbal[[#This Row],[HABER]],0)</f>
        <v>0</v>
      </c>
      <c r="H1981" s="18">
        <f>IF(tbal[[#This Row],[HABER]]-tbal[[#This Row],[DEBE]]&gt;0,tbal[[#This Row],[HABER]]-tbal[[#This Row],[DEBE]],0)</f>
        <v>0</v>
      </c>
      <c r="I1981" s="16">
        <f>IF((OR(tbal[[#This Row],[X]]=1,tbal[[#This Row],[X]]=2)),tbal[[#This Row],[DEUDOR]],0)</f>
        <v>0</v>
      </c>
      <c r="J1981" s="18">
        <f>IF((OR(tbal[[#This Row],[X]]=2,tbal[[#This Row],[X]]=3)),tbal[[#This Row],[ACREEDOR]],0)</f>
        <v>0</v>
      </c>
      <c r="K1981" s="16">
        <f>IF((OR(tbal[[#This Row],[X]]=3,tbal[[#This Row],[X]]=5)),tbal[[#This Row],[DEUDOR]],0)</f>
        <v>0</v>
      </c>
      <c r="L1981" s="18">
        <f>IF((OR(tbal[[#This Row],[X]]=3,tbal[[#This Row],[X]]=4)),tbal[[#This Row],[ACREEDOR]],0)</f>
        <v>0</v>
      </c>
      <c r="M1981" s="16">
        <f>IF((OR(tbal[[#This Row],[X]]=0,tbal[[#This Row],[X]]=6)),tbal[[#This Row],[DEUDOR]],0)</f>
        <v>0</v>
      </c>
      <c r="N1981" s="18">
        <f>IF((OR(tbal[[#This Row],[X]]=0,tbal[[#This Row],[X]]=5)),tbal[[#This Row],[ACREEDOR]],0)</f>
        <v>0</v>
      </c>
    </row>
    <row r="1982" spans="1:14" hidden="1" x14ac:dyDescent="0.3">
      <c r="A1982" s="14">
        <f>+'PLAN DE CUENTAS'!A1982</f>
        <v>0</v>
      </c>
      <c r="B1982" s="13">
        <f>+'PLAN DE CUENTAS'!B1982</f>
        <v>0</v>
      </c>
      <c r="C1982" s="13">
        <f>+'PLAN DE CUENTAS'!C1982</f>
        <v>0</v>
      </c>
      <c r="D1982" t="str">
        <f>IF(tbal[[#This Row],[DEBE]]+tbal[[#This Row],[HABER]]=0,"","X")</f>
        <v/>
      </c>
      <c r="E1982" s="16">
        <f>SUMIF(tdiario[CUENTA],tbal[[#This Row],[CUENTA]],tdiario[DEBE])</f>
        <v>0</v>
      </c>
      <c r="F1982" s="17">
        <f>SUMIF(tdiario[CUENTA],tbal[[#This Row],[CUENTA]],tdiario[HABER])</f>
        <v>0</v>
      </c>
      <c r="G1982" s="16">
        <f>IF(tbal[[#This Row],[DEBE]]-tbal[[#This Row],[HABER]]&gt;0,tbal[[#This Row],[DEBE]]-tbal[[#This Row],[HABER]],0)</f>
        <v>0</v>
      </c>
      <c r="H1982" s="18">
        <f>IF(tbal[[#This Row],[HABER]]-tbal[[#This Row],[DEBE]]&gt;0,tbal[[#This Row],[HABER]]-tbal[[#This Row],[DEBE]],0)</f>
        <v>0</v>
      </c>
      <c r="I1982" s="16">
        <f>IF((OR(tbal[[#This Row],[X]]=1,tbal[[#This Row],[X]]=2)),tbal[[#This Row],[DEUDOR]],0)</f>
        <v>0</v>
      </c>
      <c r="J1982" s="18">
        <f>IF((OR(tbal[[#This Row],[X]]=2,tbal[[#This Row],[X]]=3)),tbal[[#This Row],[ACREEDOR]],0)</f>
        <v>0</v>
      </c>
      <c r="K1982" s="16">
        <f>IF((OR(tbal[[#This Row],[X]]=3,tbal[[#This Row],[X]]=5)),tbal[[#This Row],[DEUDOR]],0)</f>
        <v>0</v>
      </c>
      <c r="L1982" s="18">
        <f>IF((OR(tbal[[#This Row],[X]]=3,tbal[[#This Row],[X]]=4)),tbal[[#This Row],[ACREEDOR]],0)</f>
        <v>0</v>
      </c>
      <c r="M1982" s="16">
        <f>IF((OR(tbal[[#This Row],[X]]=0,tbal[[#This Row],[X]]=6)),tbal[[#This Row],[DEUDOR]],0)</f>
        <v>0</v>
      </c>
      <c r="N1982" s="18">
        <f>IF((OR(tbal[[#This Row],[X]]=0,tbal[[#This Row],[X]]=5)),tbal[[#This Row],[ACREEDOR]],0)</f>
        <v>0</v>
      </c>
    </row>
    <row r="1983" spans="1:14" hidden="1" x14ac:dyDescent="0.3">
      <c r="A1983" s="14">
        <f>+'PLAN DE CUENTAS'!A1983</f>
        <v>0</v>
      </c>
      <c r="B1983" s="13">
        <f>+'PLAN DE CUENTAS'!B1983</f>
        <v>0</v>
      </c>
      <c r="C1983" s="13">
        <f>+'PLAN DE CUENTAS'!C1983</f>
        <v>0</v>
      </c>
      <c r="D1983" t="str">
        <f>IF(tbal[[#This Row],[DEBE]]+tbal[[#This Row],[HABER]]=0,"","X")</f>
        <v/>
      </c>
      <c r="E1983" s="16">
        <f>SUMIF(tdiario[CUENTA],tbal[[#This Row],[CUENTA]],tdiario[DEBE])</f>
        <v>0</v>
      </c>
      <c r="F1983" s="17">
        <f>SUMIF(tdiario[CUENTA],tbal[[#This Row],[CUENTA]],tdiario[HABER])</f>
        <v>0</v>
      </c>
      <c r="G1983" s="16">
        <f>IF(tbal[[#This Row],[DEBE]]-tbal[[#This Row],[HABER]]&gt;0,tbal[[#This Row],[DEBE]]-tbal[[#This Row],[HABER]],0)</f>
        <v>0</v>
      </c>
      <c r="H1983" s="18">
        <f>IF(tbal[[#This Row],[HABER]]-tbal[[#This Row],[DEBE]]&gt;0,tbal[[#This Row],[HABER]]-tbal[[#This Row],[DEBE]],0)</f>
        <v>0</v>
      </c>
      <c r="I1983" s="16">
        <f>IF((OR(tbal[[#This Row],[X]]=1,tbal[[#This Row],[X]]=2)),tbal[[#This Row],[DEUDOR]],0)</f>
        <v>0</v>
      </c>
      <c r="J1983" s="18">
        <f>IF((OR(tbal[[#This Row],[X]]=2,tbal[[#This Row],[X]]=3)),tbal[[#This Row],[ACREEDOR]],0)</f>
        <v>0</v>
      </c>
      <c r="K1983" s="16">
        <f>IF((OR(tbal[[#This Row],[X]]=3,tbal[[#This Row],[X]]=5)),tbal[[#This Row],[DEUDOR]],0)</f>
        <v>0</v>
      </c>
      <c r="L1983" s="18">
        <f>IF((OR(tbal[[#This Row],[X]]=3,tbal[[#This Row],[X]]=4)),tbal[[#This Row],[ACREEDOR]],0)</f>
        <v>0</v>
      </c>
      <c r="M1983" s="16">
        <f>IF((OR(tbal[[#This Row],[X]]=0,tbal[[#This Row],[X]]=6)),tbal[[#This Row],[DEUDOR]],0)</f>
        <v>0</v>
      </c>
      <c r="N1983" s="18">
        <f>IF((OR(tbal[[#This Row],[X]]=0,tbal[[#This Row],[X]]=5)),tbal[[#This Row],[ACREEDOR]],0)</f>
        <v>0</v>
      </c>
    </row>
    <row r="1984" spans="1:14" hidden="1" x14ac:dyDescent="0.3">
      <c r="A1984" s="14">
        <f>+'PLAN DE CUENTAS'!A1984</f>
        <v>0</v>
      </c>
      <c r="B1984" s="13">
        <f>+'PLAN DE CUENTAS'!B1984</f>
        <v>0</v>
      </c>
      <c r="C1984" s="13">
        <f>+'PLAN DE CUENTAS'!C1984</f>
        <v>0</v>
      </c>
      <c r="D1984" t="str">
        <f>IF(tbal[[#This Row],[DEBE]]+tbal[[#This Row],[HABER]]=0,"","X")</f>
        <v/>
      </c>
      <c r="E1984" s="16">
        <f>SUMIF(tdiario[CUENTA],tbal[[#This Row],[CUENTA]],tdiario[DEBE])</f>
        <v>0</v>
      </c>
      <c r="F1984" s="17">
        <f>SUMIF(tdiario[CUENTA],tbal[[#This Row],[CUENTA]],tdiario[HABER])</f>
        <v>0</v>
      </c>
      <c r="G1984" s="16">
        <f>IF(tbal[[#This Row],[DEBE]]-tbal[[#This Row],[HABER]]&gt;0,tbal[[#This Row],[DEBE]]-tbal[[#This Row],[HABER]],0)</f>
        <v>0</v>
      </c>
      <c r="H1984" s="18">
        <f>IF(tbal[[#This Row],[HABER]]-tbal[[#This Row],[DEBE]]&gt;0,tbal[[#This Row],[HABER]]-tbal[[#This Row],[DEBE]],0)</f>
        <v>0</v>
      </c>
      <c r="I1984" s="16">
        <f>IF((OR(tbal[[#This Row],[X]]=1,tbal[[#This Row],[X]]=2)),tbal[[#This Row],[DEUDOR]],0)</f>
        <v>0</v>
      </c>
      <c r="J1984" s="18">
        <f>IF((OR(tbal[[#This Row],[X]]=2,tbal[[#This Row],[X]]=3)),tbal[[#This Row],[ACREEDOR]],0)</f>
        <v>0</v>
      </c>
      <c r="K1984" s="16">
        <f>IF((OR(tbal[[#This Row],[X]]=3,tbal[[#This Row],[X]]=5)),tbal[[#This Row],[DEUDOR]],0)</f>
        <v>0</v>
      </c>
      <c r="L1984" s="18">
        <f>IF((OR(tbal[[#This Row],[X]]=3,tbal[[#This Row],[X]]=4)),tbal[[#This Row],[ACREEDOR]],0)</f>
        <v>0</v>
      </c>
      <c r="M1984" s="16">
        <f>IF((OR(tbal[[#This Row],[X]]=0,tbal[[#This Row],[X]]=6)),tbal[[#This Row],[DEUDOR]],0)</f>
        <v>0</v>
      </c>
      <c r="N1984" s="18">
        <f>IF((OR(tbal[[#This Row],[X]]=0,tbal[[#This Row],[X]]=5)),tbal[[#This Row],[ACREEDOR]],0)</f>
        <v>0</v>
      </c>
    </row>
    <row r="1985" spans="1:14" hidden="1" x14ac:dyDescent="0.3">
      <c r="A1985" s="14">
        <f>+'PLAN DE CUENTAS'!A1985</f>
        <v>0</v>
      </c>
      <c r="B1985" s="13">
        <f>+'PLAN DE CUENTAS'!B1985</f>
        <v>0</v>
      </c>
      <c r="C1985" s="13">
        <f>+'PLAN DE CUENTAS'!C1985</f>
        <v>0</v>
      </c>
      <c r="D1985" t="str">
        <f>IF(tbal[[#This Row],[DEBE]]+tbal[[#This Row],[HABER]]=0,"","X")</f>
        <v/>
      </c>
      <c r="E1985" s="16">
        <f>SUMIF(tdiario[CUENTA],tbal[[#This Row],[CUENTA]],tdiario[DEBE])</f>
        <v>0</v>
      </c>
      <c r="F1985" s="17">
        <f>SUMIF(tdiario[CUENTA],tbal[[#This Row],[CUENTA]],tdiario[HABER])</f>
        <v>0</v>
      </c>
      <c r="G1985" s="16">
        <f>IF(tbal[[#This Row],[DEBE]]-tbal[[#This Row],[HABER]]&gt;0,tbal[[#This Row],[DEBE]]-tbal[[#This Row],[HABER]],0)</f>
        <v>0</v>
      </c>
      <c r="H1985" s="18">
        <f>IF(tbal[[#This Row],[HABER]]-tbal[[#This Row],[DEBE]]&gt;0,tbal[[#This Row],[HABER]]-tbal[[#This Row],[DEBE]],0)</f>
        <v>0</v>
      </c>
      <c r="I1985" s="16">
        <f>IF((OR(tbal[[#This Row],[X]]=1,tbal[[#This Row],[X]]=2)),tbal[[#This Row],[DEUDOR]],0)</f>
        <v>0</v>
      </c>
      <c r="J1985" s="18">
        <f>IF((OR(tbal[[#This Row],[X]]=2,tbal[[#This Row],[X]]=3)),tbal[[#This Row],[ACREEDOR]],0)</f>
        <v>0</v>
      </c>
      <c r="K1985" s="16">
        <f>IF((OR(tbal[[#This Row],[X]]=3,tbal[[#This Row],[X]]=5)),tbal[[#This Row],[DEUDOR]],0)</f>
        <v>0</v>
      </c>
      <c r="L1985" s="18">
        <f>IF((OR(tbal[[#This Row],[X]]=3,tbal[[#This Row],[X]]=4)),tbal[[#This Row],[ACREEDOR]],0)</f>
        <v>0</v>
      </c>
      <c r="M1985" s="16">
        <f>IF((OR(tbal[[#This Row],[X]]=0,tbal[[#This Row],[X]]=6)),tbal[[#This Row],[DEUDOR]],0)</f>
        <v>0</v>
      </c>
      <c r="N1985" s="18">
        <f>IF((OR(tbal[[#This Row],[X]]=0,tbal[[#This Row],[X]]=5)),tbal[[#This Row],[ACREEDOR]],0)</f>
        <v>0</v>
      </c>
    </row>
    <row r="1986" spans="1:14" hidden="1" x14ac:dyDescent="0.3">
      <c r="A1986" s="14">
        <f>+'PLAN DE CUENTAS'!A1986</f>
        <v>0</v>
      </c>
      <c r="B1986" s="13">
        <f>+'PLAN DE CUENTAS'!B1986</f>
        <v>0</v>
      </c>
      <c r="C1986" s="13">
        <f>+'PLAN DE CUENTAS'!C1986</f>
        <v>0</v>
      </c>
      <c r="D1986" t="str">
        <f>IF(tbal[[#This Row],[DEBE]]+tbal[[#This Row],[HABER]]=0,"","X")</f>
        <v/>
      </c>
      <c r="E1986" s="16">
        <f>SUMIF(tdiario[CUENTA],tbal[[#This Row],[CUENTA]],tdiario[DEBE])</f>
        <v>0</v>
      </c>
      <c r="F1986" s="17">
        <f>SUMIF(tdiario[CUENTA],tbal[[#This Row],[CUENTA]],tdiario[HABER])</f>
        <v>0</v>
      </c>
      <c r="G1986" s="16">
        <f>IF(tbal[[#This Row],[DEBE]]-tbal[[#This Row],[HABER]]&gt;0,tbal[[#This Row],[DEBE]]-tbal[[#This Row],[HABER]],0)</f>
        <v>0</v>
      </c>
      <c r="H1986" s="18">
        <f>IF(tbal[[#This Row],[HABER]]-tbal[[#This Row],[DEBE]]&gt;0,tbal[[#This Row],[HABER]]-tbal[[#This Row],[DEBE]],0)</f>
        <v>0</v>
      </c>
      <c r="I1986" s="16">
        <f>IF((OR(tbal[[#This Row],[X]]=1,tbal[[#This Row],[X]]=2)),tbal[[#This Row],[DEUDOR]],0)</f>
        <v>0</v>
      </c>
      <c r="J1986" s="18">
        <f>IF((OR(tbal[[#This Row],[X]]=2,tbal[[#This Row],[X]]=3)),tbal[[#This Row],[ACREEDOR]],0)</f>
        <v>0</v>
      </c>
      <c r="K1986" s="16">
        <f>IF((OR(tbal[[#This Row],[X]]=3,tbal[[#This Row],[X]]=5)),tbal[[#This Row],[DEUDOR]],0)</f>
        <v>0</v>
      </c>
      <c r="L1986" s="18">
        <f>IF((OR(tbal[[#This Row],[X]]=3,tbal[[#This Row],[X]]=4)),tbal[[#This Row],[ACREEDOR]],0)</f>
        <v>0</v>
      </c>
      <c r="M1986" s="16">
        <f>IF((OR(tbal[[#This Row],[X]]=0,tbal[[#This Row],[X]]=6)),tbal[[#This Row],[DEUDOR]],0)</f>
        <v>0</v>
      </c>
      <c r="N1986" s="18">
        <f>IF((OR(tbal[[#This Row],[X]]=0,tbal[[#This Row],[X]]=5)),tbal[[#This Row],[ACREEDOR]],0)</f>
        <v>0</v>
      </c>
    </row>
    <row r="1987" spans="1:14" hidden="1" x14ac:dyDescent="0.3">
      <c r="A1987" s="14">
        <f>+'PLAN DE CUENTAS'!A1987</f>
        <v>0</v>
      </c>
      <c r="B1987" s="13">
        <f>+'PLAN DE CUENTAS'!B1987</f>
        <v>0</v>
      </c>
      <c r="C1987" s="13">
        <f>+'PLAN DE CUENTAS'!C1987</f>
        <v>0</v>
      </c>
      <c r="D1987" t="str">
        <f>IF(tbal[[#This Row],[DEBE]]+tbal[[#This Row],[HABER]]=0,"","X")</f>
        <v/>
      </c>
      <c r="E1987" s="16">
        <f>SUMIF(tdiario[CUENTA],tbal[[#This Row],[CUENTA]],tdiario[DEBE])</f>
        <v>0</v>
      </c>
      <c r="F1987" s="17">
        <f>SUMIF(tdiario[CUENTA],tbal[[#This Row],[CUENTA]],tdiario[HABER])</f>
        <v>0</v>
      </c>
      <c r="G1987" s="16">
        <f>IF(tbal[[#This Row],[DEBE]]-tbal[[#This Row],[HABER]]&gt;0,tbal[[#This Row],[DEBE]]-tbal[[#This Row],[HABER]],0)</f>
        <v>0</v>
      </c>
      <c r="H1987" s="18">
        <f>IF(tbal[[#This Row],[HABER]]-tbal[[#This Row],[DEBE]]&gt;0,tbal[[#This Row],[HABER]]-tbal[[#This Row],[DEBE]],0)</f>
        <v>0</v>
      </c>
      <c r="I1987" s="16">
        <f>IF((OR(tbal[[#This Row],[X]]=1,tbal[[#This Row],[X]]=2)),tbal[[#This Row],[DEUDOR]],0)</f>
        <v>0</v>
      </c>
      <c r="J1987" s="18">
        <f>IF((OR(tbal[[#This Row],[X]]=2,tbal[[#This Row],[X]]=3)),tbal[[#This Row],[ACREEDOR]],0)</f>
        <v>0</v>
      </c>
      <c r="K1987" s="16">
        <f>IF((OR(tbal[[#This Row],[X]]=3,tbal[[#This Row],[X]]=5)),tbal[[#This Row],[DEUDOR]],0)</f>
        <v>0</v>
      </c>
      <c r="L1987" s="18">
        <f>IF((OR(tbal[[#This Row],[X]]=3,tbal[[#This Row],[X]]=4)),tbal[[#This Row],[ACREEDOR]],0)</f>
        <v>0</v>
      </c>
      <c r="M1987" s="16">
        <f>IF((OR(tbal[[#This Row],[X]]=0,tbal[[#This Row],[X]]=6)),tbal[[#This Row],[DEUDOR]],0)</f>
        <v>0</v>
      </c>
      <c r="N1987" s="18">
        <f>IF((OR(tbal[[#This Row],[X]]=0,tbal[[#This Row],[X]]=5)),tbal[[#This Row],[ACREEDOR]],0)</f>
        <v>0</v>
      </c>
    </row>
    <row r="1988" spans="1:14" hidden="1" x14ac:dyDescent="0.3">
      <c r="A1988" s="14">
        <f>+'PLAN DE CUENTAS'!A1988</f>
        <v>0</v>
      </c>
      <c r="B1988" s="13">
        <f>+'PLAN DE CUENTAS'!B1988</f>
        <v>0</v>
      </c>
      <c r="C1988" s="13">
        <f>+'PLAN DE CUENTAS'!C1988</f>
        <v>0</v>
      </c>
      <c r="D1988" t="str">
        <f>IF(tbal[[#This Row],[DEBE]]+tbal[[#This Row],[HABER]]=0,"","X")</f>
        <v/>
      </c>
      <c r="E1988" s="16">
        <f>SUMIF(tdiario[CUENTA],tbal[[#This Row],[CUENTA]],tdiario[DEBE])</f>
        <v>0</v>
      </c>
      <c r="F1988" s="17">
        <f>SUMIF(tdiario[CUENTA],tbal[[#This Row],[CUENTA]],tdiario[HABER])</f>
        <v>0</v>
      </c>
      <c r="G1988" s="16">
        <f>IF(tbal[[#This Row],[DEBE]]-tbal[[#This Row],[HABER]]&gt;0,tbal[[#This Row],[DEBE]]-tbal[[#This Row],[HABER]],0)</f>
        <v>0</v>
      </c>
      <c r="H1988" s="18">
        <f>IF(tbal[[#This Row],[HABER]]-tbal[[#This Row],[DEBE]]&gt;0,tbal[[#This Row],[HABER]]-tbal[[#This Row],[DEBE]],0)</f>
        <v>0</v>
      </c>
      <c r="I1988" s="16">
        <f>IF((OR(tbal[[#This Row],[X]]=1,tbal[[#This Row],[X]]=2)),tbal[[#This Row],[DEUDOR]],0)</f>
        <v>0</v>
      </c>
      <c r="J1988" s="18">
        <f>IF((OR(tbal[[#This Row],[X]]=2,tbal[[#This Row],[X]]=3)),tbal[[#This Row],[ACREEDOR]],0)</f>
        <v>0</v>
      </c>
      <c r="K1988" s="16">
        <f>IF((OR(tbal[[#This Row],[X]]=3,tbal[[#This Row],[X]]=5)),tbal[[#This Row],[DEUDOR]],0)</f>
        <v>0</v>
      </c>
      <c r="L1988" s="18">
        <f>IF((OR(tbal[[#This Row],[X]]=3,tbal[[#This Row],[X]]=4)),tbal[[#This Row],[ACREEDOR]],0)</f>
        <v>0</v>
      </c>
      <c r="M1988" s="16">
        <f>IF((OR(tbal[[#This Row],[X]]=0,tbal[[#This Row],[X]]=6)),tbal[[#This Row],[DEUDOR]],0)</f>
        <v>0</v>
      </c>
      <c r="N1988" s="18">
        <f>IF((OR(tbal[[#This Row],[X]]=0,tbal[[#This Row],[X]]=5)),tbal[[#This Row],[ACREEDOR]],0)</f>
        <v>0</v>
      </c>
    </row>
    <row r="1989" spans="1:14" hidden="1" x14ac:dyDescent="0.3">
      <c r="A1989" s="14">
        <f>+'PLAN DE CUENTAS'!A1989</f>
        <v>0</v>
      </c>
      <c r="B1989" s="13">
        <f>+'PLAN DE CUENTAS'!B1989</f>
        <v>0</v>
      </c>
      <c r="C1989" s="13">
        <f>+'PLAN DE CUENTAS'!C1989</f>
        <v>0</v>
      </c>
      <c r="D1989" t="str">
        <f>IF(tbal[[#This Row],[DEBE]]+tbal[[#This Row],[HABER]]=0,"","X")</f>
        <v/>
      </c>
      <c r="E1989" s="16">
        <f>SUMIF(tdiario[CUENTA],tbal[[#This Row],[CUENTA]],tdiario[DEBE])</f>
        <v>0</v>
      </c>
      <c r="F1989" s="17">
        <f>SUMIF(tdiario[CUENTA],tbal[[#This Row],[CUENTA]],tdiario[HABER])</f>
        <v>0</v>
      </c>
      <c r="G1989" s="16">
        <f>IF(tbal[[#This Row],[DEBE]]-tbal[[#This Row],[HABER]]&gt;0,tbal[[#This Row],[DEBE]]-tbal[[#This Row],[HABER]],0)</f>
        <v>0</v>
      </c>
      <c r="H1989" s="18">
        <f>IF(tbal[[#This Row],[HABER]]-tbal[[#This Row],[DEBE]]&gt;0,tbal[[#This Row],[HABER]]-tbal[[#This Row],[DEBE]],0)</f>
        <v>0</v>
      </c>
      <c r="I1989" s="16">
        <f>IF((OR(tbal[[#This Row],[X]]=1,tbal[[#This Row],[X]]=2)),tbal[[#This Row],[DEUDOR]],0)</f>
        <v>0</v>
      </c>
      <c r="J1989" s="18">
        <f>IF((OR(tbal[[#This Row],[X]]=2,tbal[[#This Row],[X]]=3)),tbal[[#This Row],[ACREEDOR]],0)</f>
        <v>0</v>
      </c>
      <c r="K1989" s="16">
        <f>IF((OR(tbal[[#This Row],[X]]=3,tbal[[#This Row],[X]]=5)),tbal[[#This Row],[DEUDOR]],0)</f>
        <v>0</v>
      </c>
      <c r="L1989" s="18">
        <f>IF((OR(tbal[[#This Row],[X]]=3,tbal[[#This Row],[X]]=4)),tbal[[#This Row],[ACREEDOR]],0)</f>
        <v>0</v>
      </c>
      <c r="M1989" s="16">
        <f>IF((OR(tbal[[#This Row],[X]]=0,tbal[[#This Row],[X]]=6)),tbal[[#This Row],[DEUDOR]],0)</f>
        <v>0</v>
      </c>
      <c r="N1989" s="18">
        <f>IF((OR(tbal[[#This Row],[X]]=0,tbal[[#This Row],[X]]=5)),tbal[[#This Row],[ACREEDOR]],0)</f>
        <v>0</v>
      </c>
    </row>
    <row r="1990" spans="1:14" hidden="1" x14ac:dyDescent="0.3">
      <c r="A1990" s="14">
        <f>+'PLAN DE CUENTAS'!A1990</f>
        <v>0</v>
      </c>
      <c r="B1990" s="13">
        <f>+'PLAN DE CUENTAS'!B1990</f>
        <v>0</v>
      </c>
      <c r="C1990" s="13">
        <f>+'PLAN DE CUENTAS'!C1990</f>
        <v>0</v>
      </c>
      <c r="D1990" t="str">
        <f>IF(tbal[[#This Row],[DEBE]]+tbal[[#This Row],[HABER]]=0,"","X")</f>
        <v/>
      </c>
      <c r="E1990" s="16">
        <f>SUMIF(tdiario[CUENTA],tbal[[#This Row],[CUENTA]],tdiario[DEBE])</f>
        <v>0</v>
      </c>
      <c r="F1990" s="17">
        <f>SUMIF(tdiario[CUENTA],tbal[[#This Row],[CUENTA]],tdiario[HABER])</f>
        <v>0</v>
      </c>
      <c r="G1990" s="16">
        <f>IF(tbal[[#This Row],[DEBE]]-tbal[[#This Row],[HABER]]&gt;0,tbal[[#This Row],[DEBE]]-tbal[[#This Row],[HABER]],0)</f>
        <v>0</v>
      </c>
      <c r="H1990" s="18">
        <f>IF(tbal[[#This Row],[HABER]]-tbal[[#This Row],[DEBE]]&gt;0,tbal[[#This Row],[HABER]]-tbal[[#This Row],[DEBE]],0)</f>
        <v>0</v>
      </c>
      <c r="I1990" s="16">
        <f>IF((OR(tbal[[#This Row],[X]]=1,tbal[[#This Row],[X]]=2)),tbal[[#This Row],[DEUDOR]],0)</f>
        <v>0</v>
      </c>
      <c r="J1990" s="18">
        <f>IF((OR(tbal[[#This Row],[X]]=2,tbal[[#This Row],[X]]=3)),tbal[[#This Row],[ACREEDOR]],0)</f>
        <v>0</v>
      </c>
      <c r="K1990" s="16">
        <f>IF((OR(tbal[[#This Row],[X]]=3,tbal[[#This Row],[X]]=5)),tbal[[#This Row],[DEUDOR]],0)</f>
        <v>0</v>
      </c>
      <c r="L1990" s="18">
        <f>IF((OR(tbal[[#This Row],[X]]=3,tbal[[#This Row],[X]]=4)),tbal[[#This Row],[ACREEDOR]],0)</f>
        <v>0</v>
      </c>
      <c r="M1990" s="16">
        <f>IF((OR(tbal[[#This Row],[X]]=0,tbal[[#This Row],[X]]=6)),tbal[[#This Row],[DEUDOR]],0)</f>
        <v>0</v>
      </c>
      <c r="N1990" s="18">
        <f>IF((OR(tbal[[#This Row],[X]]=0,tbal[[#This Row],[X]]=5)),tbal[[#This Row],[ACREEDOR]],0)</f>
        <v>0</v>
      </c>
    </row>
    <row r="1991" spans="1:14" hidden="1" x14ac:dyDescent="0.3">
      <c r="A1991" s="14">
        <f>+'PLAN DE CUENTAS'!A1991</f>
        <v>0</v>
      </c>
      <c r="B1991" s="13">
        <f>+'PLAN DE CUENTAS'!B1991</f>
        <v>0</v>
      </c>
      <c r="C1991" s="13">
        <f>+'PLAN DE CUENTAS'!C1991</f>
        <v>0</v>
      </c>
      <c r="D1991" t="str">
        <f>IF(tbal[[#This Row],[DEBE]]+tbal[[#This Row],[HABER]]=0,"","X")</f>
        <v/>
      </c>
      <c r="E1991" s="16">
        <f>SUMIF(tdiario[CUENTA],tbal[[#This Row],[CUENTA]],tdiario[DEBE])</f>
        <v>0</v>
      </c>
      <c r="F1991" s="17">
        <f>SUMIF(tdiario[CUENTA],tbal[[#This Row],[CUENTA]],tdiario[HABER])</f>
        <v>0</v>
      </c>
      <c r="G1991" s="16">
        <f>IF(tbal[[#This Row],[DEBE]]-tbal[[#This Row],[HABER]]&gt;0,tbal[[#This Row],[DEBE]]-tbal[[#This Row],[HABER]],0)</f>
        <v>0</v>
      </c>
      <c r="H1991" s="18">
        <f>IF(tbal[[#This Row],[HABER]]-tbal[[#This Row],[DEBE]]&gt;0,tbal[[#This Row],[HABER]]-tbal[[#This Row],[DEBE]],0)</f>
        <v>0</v>
      </c>
      <c r="I1991" s="16">
        <f>IF((OR(tbal[[#This Row],[X]]=1,tbal[[#This Row],[X]]=2)),tbal[[#This Row],[DEUDOR]],0)</f>
        <v>0</v>
      </c>
      <c r="J1991" s="18">
        <f>IF((OR(tbal[[#This Row],[X]]=2,tbal[[#This Row],[X]]=3)),tbal[[#This Row],[ACREEDOR]],0)</f>
        <v>0</v>
      </c>
      <c r="K1991" s="16">
        <f>IF((OR(tbal[[#This Row],[X]]=3,tbal[[#This Row],[X]]=5)),tbal[[#This Row],[DEUDOR]],0)</f>
        <v>0</v>
      </c>
      <c r="L1991" s="18">
        <f>IF((OR(tbal[[#This Row],[X]]=3,tbal[[#This Row],[X]]=4)),tbal[[#This Row],[ACREEDOR]],0)</f>
        <v>0</v>
      </c>
      <c r="M1991" s="16">
        <f>IF((OR(tbal[[#This Row],[X]]=0,tbal[[#This Row],[X]]=6)),tbal[[#This Row],[DEUDOR]],0)</f>
        <v>0</v>
      </c>
      <c r="N1991" s="18">
        <f>IF((OR(tbal[[#This Row],[X]]=0,tbal[[#This Row],[X]]=5)),tbal[[#This Row],[ACREEDOR]],0)</f>
        <v>0</v>
      </c>
    </row>
    <row r="1992" spans="1:14" hidden="1" x14ac:dyDescent="0.3">
      <c r="A1992" s="14">
        <f>+'PLAN DE CUENTAS'!A1992</f>
        <v>0</v>
      </c>
      <c r="B1992" s="13">
        <f>+'PLAN DE CUENTAS'!B1992</f>
        <v>0</v>
      </c>
      <c r="C1992" s="13">
        <f>+'PLAN DE CUENTAS'!C1992</f>
        <v>0</v>
      </c>
      <c r="D1992" t="str">
        <f>IF(tbal[[#This Row],[DEBE]]+tbal[[#This Row],[HABER]]=0,"","X")</f>
        <v/>
      </c>
      <c r="E1992" s="16">
        <f>SUMIF(tdiario[CUENTA],tbal[[#This Row],[CUENTA]],tdiario[DEBE])</f>
        <v>0</v>
      </c>
      <c r="F1992" s="17">
        <f>SUMIF(tdiario[CUENTA],tbal[[#This Row],[CUENTA]],tdiario[HABER])</f>
        <v>0</v>
      </c>
      <c r="G1992" s="16">
        <f>IF(tbal[[#This Row],[DEBE]]-tbal[[#This Row],[HABER]]&gt;0,tbal[[#This Row],[DEBE]]-tbal[[#This Row],[HABER]],0)</f>
        <v>0</v>
      </c>
      <c r="H1992" s="18">
        <f>IF(tbal[[#This Row],[HABER]]-tbal[[#This Row],[DEBE]]&gt;0,tbal[[#This Row],[HABER]]-tbal[[#This Row],[DEBE]],0)</f>
        <v>0</v>
      </c>
      <c r="I1992" s="16">
        <f>IF((OR(tbal[[#This Row],[X]]=1,tbal[[#This Row],[X]]=2)),tbal[[#This Row],[DEUDOR]],0)</f>
        <v>0</v>
      </c>
      <c r="J1992" s="18">
        <f>IF((OR(tbal[[#This Row],[X]]=2,tbal[[#This Row],[X]]=3)),tbal[[#This Row],[ACREEDOR]],0)</f>
        <v>0</v>
      </c>
      <c r="K1992" s="16">
        <f>IF((OR(tbal[[#This Row],[X]]=3,tbal[[#This Row],[X]]=5)),tbal[[#This Row],[DEUDOR]],0)</f>
        <v>0</v>
      </c>
      <c r="L1992" s="18">
        <f>IF((OR(tbal[[#This Row],[X]]=3,tbal[[#This Row],[X]]=4)),tbal[[#This Row],[ACREEDOR]],0)</f>
        <v>0</v>
      </c>
      <c r="M1992" s="16">
        <f>IF((OR(tbal[[#This Row],[X]]=0,tbal[[#This Row],[X]]=6)),tbal[[#This Row],[DEUDOR]],0)</f>
        <v>0</v>
      </c>
      <c r="N1992" s="18">
        <f>IF((OR(tbal[[#This Row],[X]]=0,tbal[[#This Row],[X]]=5)),tbal[[#This Row],[ACREEDOR]],0)</f>
        <v>0</v>
      </c>
    </row>
    <row r="1993" spans="1:14" hidden="1" x14ac:dyDescent="0.3">
      <c r="A1993" s="14">
        <f>+'PLAN DE CUENTAS'!A1993</f>
        <v>0</v>
      </c>
      <c r="B1993" s="13">
        <f>+'PLAN DE CUENTAS'!B1993</f>
        <v>0</v>
      </c>
      <c r="C1993" s="13">
        <f>+'PLAN DE CUENTAS'!C1993</f>
        <v>0</v>
      </c>
      <c r="D1993" t="str">
        <f>IF(tbal[[#This Row],[DEBE]]+tbal[[#This Row],[HABER]]=0,"","X")</f>
        <v/>
      </c>
      <c r="E1993" s="16">
        <f>SUMIF(tdiario[CUENTA],tbal[[#This Row],[CUENTA]],tdiario[DEBE])</f>
        <v>0</v>
      </c>
      <c r="F1993" s="17">
        <f>SUMIF(tdiario[CUENTA],tbal[[#This Row],[CUENTA]],tdiario[HABER])</f>
        <v>0</v>
      </c>
      <c r="G1993" s="16">
        <f>IF(tbal[[#This Row],[DEBE]]-tbal[[#This Row],[HABER]]&gt;0,tbal[[#This Row],[DEBE]]-tbal[[#This Row],[HABER]],0)</f>
        <v>0</v>
      </c>
      <c r="H1993" s="18">
        <f>IF(tbal[[#This Row],[HABER]]-tbal[[#This Row],[DEBE]]&gt;0,tbal[[#This Row],[HABER]]-tbal[[#This Row],[DEBE]],0)</f>
        <v>0</v>
      </c>
      <c r="I1993" s="16">
        <f>IF((OR(tbal[[#This Row],[X]]=1,tbal[[#This Row],[X]]=2)),tbal[[#This Row],[DEUDOR]],0)</f>
        <v>0</v>
      </c>
      <c r="J1993" s="18">
        <f>IF((OR(tbal[[#This Row],[X]]=2,tbal[[#This Row],[X]]=3)),tbal[[#This Row],[ACREEDOR]],0)</f>
        <v>0</v>
      </c>
      <c r="K1993" s="16">
        <f>IF((OR(tbal[[#This Row],[X]]=3,tbal[[#This Row],[X]]=5)),tbal[[#This Row],[DEUDOR]],0)</f>
        <v>0</v>
      </c>
      <c r="L1993" s="18">
        <f>IF((OR(tbal[[#This Row],[X]]=3,tbal[[#This Row],[X]]=4)),tbal[[#This Row],[ACREEDOR]],0)</f>
        <v>0</v>
      </c>
      <c r="M1993" s="16">
        <f>IF((OR(tbal[[#This Row],[X]]=0,tbal[[#This Row],[X]]=6)),tbal[[#This Row],[DEUDOR]],0)</f>
        <v>0</v>
      </c>
      <c r="N1993" s="18">
        <f>IF((OR(tbal[[#This Row],[X]]=0,tbal[[#This Row],[X]]=5)),tbal[[#This Row],[ACREEDOR]],0)</f>
        <v>0</v>
      </c>
    </row>
    <row r="1994" spans="1:14" hidden="1" x14ac:dyDescent="0.3">
      <c r="A1994" s="14">
        <f>+'PLAN DE CUENTAS'!A1994</f>
        <v>0</v>
      </c>
      <c r="B1994" s="13">
        <f>+'PLAN DE CUENTAS'!B1994</f>
        <v>0</v>
      </c>
      <c r="C1994" s="13">
        <f>+'PLAN DE CUENTAS'!C1994</f>
        <v>0</v>
      </c>
      <c r="D1994" t="str">
        <f>IF(tbal[[#This Row],[DEBE]]+tbal[[#This Row],[HABER]]=0,"","X")</f>
        <v/>
      </c>
      <c r="E1994" s="16">
        <f>SUMIF(tdiario[CUENTA],tbal[[#This Row],[CUENTA]],tdiario[DEBE])</f>
        <v>0</v>
      </c>
      <c r="F1994" s="17">
        <f>SUMIF(tdiario[CUENTA],tbal[[#This Row],[CUENTA]],tdiario[HABER])</f>
        <v>0</v>
      </c>
      <c r="G1994" s="16">
        <f>IF(tbal[[#This Row],[DEBE]]-tbal[[#This Row],[HABER]]&gt;0,tbal[[#This Row],[DEBE]]-tbal[[#This Row],[HABER]],0)</f>
        <v>0</v>
      </c>
      <c r="H1994" s="18">
        <f>IF(tbal[[#This Row],[HABER]]-tbal[[#This Row],[DEBE]]&gt;0,tbal[[#This Row],[HABER]]-tbal[[#This Row],[DEBE]],0)</f>
        <v>0</v>
      </c>
      <c r="I1994" s="16">
        <f>IF((OR(tbal[[#This Row],[X]]=1,tbal[[#This Row],[X]]=2)),tbal[[#This Row],[DEUDOR]],0)</f>
        <v>0</v>
      </c>
      <c r="J1994" s="18">
        <f>IF((OR(tbal[[#This Row],[X]]=2,tbal[[#This Row],[X]]=3)),tbal[[#This Row],[ACREEDOR]],0)</f>
        <v>0</v>
      </c>
      <c r="K1994" s="16">
        <f>IF((OR(tbal[[#This Row],[X]]=3,tbal[[#This Row],[X]]=5)),tbal[[#This Row],[DEUDOR]],0)</f>
        <v>0</v>
      </c>
      <c r="L1994" s="18">
        <f>IF((OR(tbal[[#This Row],[X]]=3,tbal[[#This Row],[X]]=4)),tbal[[#This Row],[ACREEDOR]],0)</f>
        <v>0</v>
      </c>
      <c r="M1994" s="16">
        <f>IF((OR(tbal[[#This Row],[X]]=0,tbal[[#This Row],[X]]=6)),tbal[[#This Row],[DEUDOR]],0)</f>
        <v>0</v>
      </c>
      <c r="N1994" s="18">
        <f>IF((OR(tbal[[#This Row],[X]]=0,tbal[[#This Row],[X]]=5)),tbal[[#This Row],[ACREEDOR]],0)</f>
        <v>0</v>
      </c>
    </row>
    <row r="1995" spans="1:14" hidden="1" x14ac:dyDescent="0.3">
      <c r="A1995" s="14">
        <f>+'PLAN DE CUENTAS'!A1995</f>
        <v>0</v>
      </c>
      <c r="B1995" s="13">
        <f>+'PLAN DE CUENTAS'!B1995</f>
        <v>0</v>
      </c>
      <c r="C1995" s="13">
        <f>+'PLAN DE CUENTAS'!C1995</f>
        <v>0</v>
      </c>
      <c r="D1995" t="str">
        <f>IF(tbal[[#This Row],[DEBE]]+tbal[[#This Row],[HABER]]=0,"","X")</f>
        <v/>
      </c>
      <c r="E1995" s="16">
        <f>SUMIF(tdiario[CUENTA],tbal[[#This Row],[CUENTA]],tdiario[DEBE])</f>
        <v>0</v>
      </c>
      <c r="F1995" s="17">
        <f>SUMIF(tdiario[CUENTA],tbal[[#This Row],[CUENTA]],tdiario[HABER])</f>
        <v>0</v>
      </c>
      <c r="G1995" s="16">
        <f>IF(tbal[[#This Row],[DEBE]]-tbal[[#This Row],[HABER]]&gt;0,tbal[[#This Row],[DEBE]]-tbal[[#This Row],[HABER]],0)</f>
        <v>0</v>
      </c>
      <c r="H1995" s="18">
        <f>IF(tbal[[#This Row],[HABER]]-tbal[[#This Row],[DEBE]]&gt;0,tbal[[#This Row],[HABER]]-tbal[[#This Row],[DEBE]],0)</f>
        <v>0</v>
      </c>
      <c r="I1995" s="16">
        <f>IF((OR(tbal[[#This Row],[X]]=1,tbal[[#This Row],[X]]=2)),tbal[[#This Row],[DEUDOR]],0)</f>
        <v>0</v>
      </c>
      <c r="J1995" s="18">
        <f>IF((OR(tbal[[#This Row],[X]]=2,tbal[[#This Row],[X]]=3)),tbal[[#This Row],[ACREEDOR]],0)</f>
        <v>0</v>
      </c>
      <c r="K1995" s="16">
        <f>IF((OR(tbal[[#This Row],[X]]=3,tbal[[#This Row],[X]]=5)),tbal[[#This Row],[DEUDOR]],0)</f>
        <v>0</v>
      </c>
      <c r="L1995" s="18">
        <f>IF((OR(tbal[[#This Row],[X]]=3,tbal[[#This Row],[X]]=4)),tbal[[#This Row],[ACREEDOR]],0)</f>
        <v>0</v>
      </c>
      <c r="M1995" s="16">
        <f>IF((OR(tbal[[#This Row],[X]]=0,tbal[[#This Row],[X]]=6)),tbal[[#This Row],[DEUDOR]],0)</f>
        <v>0</v>
      </c>
      <c r="N1995" s="18">
        <f>IF((OR(tbal[[#This Row],[X]]=0,tbal[[#This Row],[X]]=5)),tbal[[#This Row],[ACREEDOR]],0)</f>
        <v>0</v>
      </c>
    </row>
    <row r="1996" spans="1:14" hidden="1" x14ac:dyDescent="0.3">
      <c r="A1996" s="14">
        <f>+'PLAN DE CUENTAS'!A1996</f>
        <v>0</v>
      </c>
      <c r="B1996" s="13">
        <f>+'PLAN DE CUENTAS'!B1996</f>
        <v>0</v>
      </c>
      <c r="C1996" s="13">
        <f>+'PLAN DE CUENTAS'!C1996</f>
        <v>0</v>
      </c>
      <c r="D1996" t="str">
        <f>IF(tbal[[#This Row],[DEBE]]+tbal[[#This Row],[HABER]]=0,"","X")</f>
        <v/>
      </c>
      <c r="E1996" s="16">
        <f>SUMIF(tdiario[CUENTA],tbal[[#This Row],[CUENTA]],tdiario[DEBE])</f>
        <v>0</v>
      </c>
      <c r="F1996" s="17">
        <f>SUMIF(tdiario[CUENTA],tbal[[#This Row],[CUENTA]],tdiario[HABER])</f>
        <v>0</v>
      </c>
      <c r="G1996" s="16">
        <f>IF(tbal[[#This Row],[DEBE]]-tbal[[#This Row],[HABER]]&gt;0,tbal[[#This Row],[DEBE]]-tbal[[#This Row],[HABER]],0)</f>
        <v>0</v>
      </c>
      <c r="H1996" s="18">
        <f>IF(tbal[[#This Row],[HABER]]-tbal[[#This Row],[DEBE]]&gt;0,tbal[[#This Row],[HABER]]-tbal[[#This Row],[DEBE]],0)</f>
        <v>0</v>
      </c>
      <c r="I1996" s="16">
        <f>IF((OR(tbal[[#This Row],[X]]=1,tbal[[#This Row],[X]]=2)),tbal[[#This Row],[DEUDOR]],0)</f>
        <v>0</v>
      </c>
      <c r="J1996" s="18">
        <f>IF((OR(tbal[[#This Row],[X]]=2,tbal[[#This Row],[X]]=3)),tbal[[#This Row],[ACREEDOR]],0)</f>
        <v>0</v>
      </c>
      <c r="K1996" s="16">
        <f>IF((OR(tbal[[#This Row],[X]]=3,tbal[[#This Row],[X]]=5)),tbal[[#This Row],[DEUDOR]],0)</f>
        <v>0</v>
      </c>
      <c r="L1996" s="18">
        <f>IF((OR(tbal[[#This Row],[X]]=3,tbal[[#This Row],[X]]=4)),tbal[[#This Row],[ACREEDOR]],0)</f>
        <v>0</v>
      </c>
      <c r="M1996" s="16">
        <f>IF((OR(tbal[[#This Row],[X]]=0,tbal[[#This Row],[X]]=6)),tbal[[#This Row],[DEUDOR]],0)</f>
        <v>0</v>
      </c>
      <c r="N1996" s="18">
        <f>IF((OR(tbal[[#This Row],[X]]=0,tbal[[#This Row],[X]]=5)),tbal[[#This Row],[ACREEDOR]],0)</f>
        <v>0</v>
      </c>
    </row>
    <row r="1997" spans="1:14" hidden="1" x14ac:dyDescent="0.3">
      <c r="A1997" s="14">
        <f>+'PLAN DE CUENTAS'!A1997</f>
        <v>0</v>
      </c>
      <c r="B1997" s="13">
        <f>+'PLAN DE CUENTAS'!B1997</f>
        <v>0</v>
      </c>
      <c r="C1997" s="13">
        <f>+'PLAN DE CUENTAS'!C1997</f>
        <v>0</v>
      </c>
      <c r="D1997" t="str">
        <f>IF(tbal[[#This Row],[DEBE]]+tbal[[#This Row],[HABER]]=0,"","X")</f>
        <v/>
      </c>
      <c r="E1997" s="16">
        <f>SUMIF(tdiario[CUENTA],tbal[[#This Row],[CUENTA]],tdiario[DEBE])</f>
        <v>0</v>
      </c>
      <c r="F1997" s="17">
        <f>SUMIF(tdiario[CUENTA],tbal[[#This Row],[CUENTA]],tdiario[HABER])</f>
        <v>0</v>
      </c>
      <c r="G1997" s="16">
        <f>IF(tbal[[#This Row],[DEBE]]-tbal[[#This Row],[HABER]]&gt;0,tbal[[#This Row],[DEBE]]-tbal[[#This Row],[HABER]],0)</f>
        <v>0</v>
      </c>
      <c r="H1997" s="18">
        <f>IF(tbal[[#This Row],[HABER]]-tbal[[#This Row],[DEBE]]&gt;0,tbal[[#This Row],[HABER]]-tbal[[#This Row],[DEBE]],0)</f>
        <v>0</v>
      </c>
      <c r="I1997" s="16">
        <f>IF((OR(tbal[[#This Row],[X]]=1,tbal[[#This Row],[X]]=2)),tbal[[#This Row],[DEUDOR]],0)</f>
        <v>0</v>
      </c>
      <c r="J1997" s="18">
        <f>IF((OR(tbal[[#This Row],[X]]=2,tbal[[#This Row],[X]]=3)),tbal[[#This Row],[ACREEDOR]],0)</f>
        <v>0</v>
      </c>
      <c r="K1997" s="16">
        <f>IF((OR(tbal[[#This Row],[X]]=3,tbal[[#This Row],[X]]=5)),tbal[[#This Row],[DEUDOR]],0)</f>
        <v>0</v>
      </c>
      <c r="L1997" s="18">
        <f>IF((OR(tbal[[#This Row],[X]]=3,tbal[[#This Row],[X]]=4)),tbal[[#This Row],[ACREEDOR]],0)</f>
        <v>0</v>
      </c>
      <c r="M1997" s="16">
        <f>IF((OR(tbal[[#This Row],[X]]=0,tbal[[#This Row],[X]]=6)),tbal[[#This Row],[DEUDOR]],0)</f>
        <v>0</v>
      </c>
      <c r="N1997" s="18">
        <f>IF((OR(tbal[[#This Row],[X]]=0,tbal[[#This Row],[X]]=5)),tbal[[#This Row],[ACREEDOR]],0)</f>
        <v>0</v>
      </c>
    </row>
    <row r="1998" spans="1:14" hidden="1" x14ac:dyDescent="0.3">
      <c r="A1998" s="14">
        <f>+'PLAN DE CUENTAS'!A1998</f>
        <v>0</v>
      </c>
      <c r="B1998" s="13">
        <f>+'PLAN DE CUENTAS'!B1998</f>
        <v>0</v>
      </c>
      <c r="C1998" s="13">
        <f>+'PLAN DE CUENTAS'!C1998</f>
        <v>0</v>
      </c>
      <c r="D1998" t="str">
        <f>IF(tbal[[#This Row],[DEBE]]+tbal[[#This Row],[HABER]]=0,"","X")</f>
        <v/>
      </c>
      <c r="E1998" s="16">
        <f>SUMIF(tdiario[CUENTA],tbal[[#This Row],[CUENTA]],tdiario[DEBE])</f>
        <v>0</v>
      </c>
      <c r="F1998" s="17">
        <f>SUMIF(tdiario[CUENTA],tbal[[#This Row],[CUENTA]],tdiario[HABER])</f>
        <v>0</v>
      </c>
      <c r="G1998" s="16">
        <f>IF(tbal[[#This Row],[DEBE]]-tbal[[#This Row],[HABER]]&gt;0,tbal[[#This Row],[DEBE]]-tbal[[#This Row],[HABER]],0)</f>
        <v>0</v>
      </c>
      <c r="H1998" s="18">
        <f>IF(tbal[[#This Row],[HABER]]-tbal[[#This Row],[DEBE]]&gt;0,tbal[[#This Row],[HABER]]-tbal[[#This Row],[DEBE]],0)</f>
        <v>0</v>
      </c>
      <c r="I1998" s="16">
        <f>IF((OR(tbal[[#This Row],[X]]=1,tbal[[#This Row],[X]]=2)),tbal[[#This Row],[DEUDOR]],0)</f>
        <v>0</v>
      </c>
      <c r="J1998" s="18">
        <f>IF((OR(tbal[[#This Row],[X]]=2,tbal[[#This Row],[X]]=3)),tbal[[#This Row],[ACREEDOR]],0)</f>
        <v>0</v>
      </c>
      <c r="K1998" s="16">
        <f>IF((OR(tbal[[#This Row],[X]]=3,tbal[[#This Row],[X]]=5)),tbal[[#This Row],[DEUDOR]],0)</f>
        <v>0</v>
      </c>
      <c r="L1998" s="18">
        <f>IF((OR(tbal[[#This Row],[X]]=3,tbal[[#This Row],[X]]=4)),tbal[[#This Row],[ACREEDOR]],0)</f>
        <v>0</v>
      </c>
      <c r="M1998" s="16">
        <f>IF((OR(tbal[[#This Row],[X]]=0,tbal[[#This Row],[X]]=6)),tbal[[#This Row],[DEUDOR]],0)</f>
        <v>0</v>
      </c>
      <c r="N1998" s="18">
        <f>IF((OR(tbal[[#This Row],[X]]=0,tbal[[#This Row],[X]]=5)),tbal[[#This Row],[ACREEDOR]],0)</f>
        <v>0</v>
      </c>
    </row>
    <row r="1999" spans="1:14" hidden="1" x14ac:dyDescent="0.3">
      <c r="A1999" s="14">
        <f>+'PLAN DE CUENTAS'!A1999</f>
        <v>0</v>
      </c>
      <c r="B1999" s="13">
        <f>+'PLAN DE CUENTAS'!B1999</f>
        <v>0</v>
      </c>
      <c r="C1999" s="13">
        <f>+'PLAN DE CUENTAS'!C1999</f>
        <v>0</v>
      </c>
      <c r="D1999" t="str">
        <f>IF(tbal[[#This Row],[DEBE]]+tbal[[#This Row],[HABER]]=0,"","X")</f>
        <v/>
      </c>
      <c r="E1999" s="16">
        <f>SUMIF(tdiario[CUENTA],tbal[[#This Row],[CUENTA]],tdiario[DEBE])</f>
        <v>0</v>
      </c>
      <c r="F1999" s="17">
        <f>SUMIF(tdiario[CUENTA],tbal[[#This Row],[CUENTA]],tdiario[HABER])</f>
        <v>0</v>
      </c>
      <c r="G1999" s="16">
        <f>IF(tbal[[#This Row],[DEBE]]-tbal[[#This Row],[HABER]]&gt;0,tbal[[#This Row],[DEBE]]-tbal[[#This Row],[HABER]],0)</f>
        <v>0</v>
      </c>
      <c r="H1999" s="18">
        <f>IF(tbal[[#This Row],[HABER]]-tbal[[#This Row],[DEBE]]&gt;0,tbal[[#This Row],[HABER]]-tbal[[#This Row],[DEBE]],0)</f>
        <v>0</v>
      </c>
      <c r="I1999" s="16">
        <f>IF((OR(tbal[[#This Row],[X]]=1,tbal[[#This Row],[X]]=2)),tbal[[#This Row],[DEUDOR]],0)</f>
        <v>0</v>
      </c>
      <c r="J1999" s="18">
        <f>IF((OR(tbal[[#This Row],[X]]=2,tbal[[#This Row],[X]]=3)),tbal[[#This Row],[ACREEDOR]],0)</f>
        <v>0</v>
      </c>
      <c r="K1999" s="16">
        <f>IF((OR(tbal[[#This Row],[X]]=3,tbal[[#This Row],[X]]=5)),tbal[[#This Row],[DEUDOR]],0)</f>
        <v>0</v>
      </c>
      <c r="L1999" s="18">
        <f>IF((OR(tbal[[#This Row],[X]]=3,tbal[[#This Row],[X]]=4)),tbal[[#This Row],[ACREEDOR]],0)</f>
        <v>0</v>
      </c>
      <c r="M1999" s="16">
        <f>IF((OR(tbal[[#This Row],[X]]=0,tbal[[#This Row],[X]]=6)),tbal[[#This Row],[DEUDOR]],0)</f>
        <v>0</v>
      </c>
      <c r="N1999" s="18">
        <f>IF((OR(tbal[[#This Row],[X]]=0,tbal[[#This Row],[X]]=5)),tbal[[#This Row],[ACREEDOR]],0)</f>
        <v>0</v>
      </c>
    </row>
    <row r="2000" spans="1:14" hidden="1" x14ac:dyDescent="0.3">
      <c r="A2000" s="14">
        <f>+'PLAN DE CUENTAS'!A2000</f>
        <v>0</v>
      </c>
      <c r="B2000" s="13">
        <f>+'PLAN DE CUENTAS'!B2000</f>
        <v>0</v>
      </c>
      <c r="C2000" s="13">
        <f>+'PLAN DE CUENTAS'!C2000</f>
        <v>0</v>
      </c>
      <c r="D2000" t="str">
        <f>IF(tbal[[#This Row],[DEBE]]+tbal[[#This Row],[HABER]]=0,"","X")</f>
        <v/>
      </c>
      <c r="E2000" s="16">
        <f>SUMIF(tdiario[CUENTA],tbal[[#This Row],[CUENTA]],tdiario[DEBE])</f>
        <v>0</v>
      </c>
      <c r="F2000" s="17">
        <f>SUMIF(tdiario[CUENTA],tbal[[#This Row],[CUENTA]],tdiario[HABER])</f>
        <v>0</v>
      </c>
      <c r="G2000" s="16">
        <f>IF(tbal[[#This Row],[DEBE]]-tbal[[#This Row],[HABER]]&gt;0,tbal[[#This Row],[DEBE]]-tbal[[#This Row],[HABER]],0)</f>
        <v>0</v>
      </c>
      <c r="H2000" s="18">
        <f>IF(tbal[[#This Row],[HABER]]-tbal[[#This Row],[DEBE]]&gt;0,tbal[[#This Row],[HABER]]-tbal[[#This Row],[DEBE]],0)</f>
        <v>0</v>
      </c>
      <c r="I2000" s="16">
        <f>IF((OR(tbal[[#This Row],[X]]=1,tbal[[#This Row],[X]]=2)),tbal[[#This Row],[DEUDOR]],0)</f>
        <v>0</v>
      </c>
      <c r="J2000" s="18">
        <f>IF((OR(tbal[[#This Row],[X]]=2,tbal[[#This Row],[X]]=3)),tbal[[#This Row],[ACREEDOR]],0)</f>
        <v>0</v>
      </c>
      <c r="K2000" s="16">
        <f>IF((OR(tbal[[#This Row],[X]]=3,tbal[[#This Row],[X]]=5)),tbal[[#This Row],[DEUDOR]],0)</f>
        <v>0</v>
      </c>
      <c r="L2000" s="18">
        <f>IF((OR(tbal[[#This Row],[X]]=3,tbal[[#This Row],[X]]=4)),tbal[[#This Row],[ACREEDOR]],0)</f>
        <v>0</v>
      </c>
      <c r="M2000" s="16">
        <f>IF((OR(tbal[[#This Row],[X]]=0,tbal[[#This Row],[X]]=6)),tbal[[#This Row],[DEUDOR]],0)</f>
        <v>0</v>
      </c>
      <c r="N2000" s="18">
        <f>IF((OR(tbal[[#This Row],[X]]=0,tbal[[#This Row],[X]]=5)),tbal[[#This Row],[ACREEDOR]],0)</f>
        <v>0</v>
      </c>
    </row>
    <row r="2001" spans="1:14" hidden="1" x14ac:dyDescent="0.3">
      <c r="A2001" s="14">
        <f>+'PLAN DE CUENTAS'!A2001</f>
        <v>0</v>
      </c>
      <c r="B2001" s="13">
        <f>+'PLAN DE CUENTAS'!B2001</f>
        <v>0</v>
      </c>
      <c r="C2001" s="13">
        <f>+'PLAN DE CUENTAS'!C2001</f>
        <v>0</v>
      </c>
      <c r="D2001" t="str">
        <f>IF(tbal[[#This Row],[DEBE]]+tbal[[#This Row],[HABER]]=0,"","X")</f>
        <v/>
      </c>
      <c r="E2001" s="16">
        <f>SUMIF(tdiario[CUENTA],tbal[[#This Row],[CUENTA]],tdiario[DEBE])</f>
        <v>0</v>
      </c>
      <c r="F2001" s="17">
        <f>SUMIF(tdiario[CUENTA],tbal[[#This Row],[CUENTA]],tdiario[HABER])</f>
        <v>0</v>
      </c>
      <c r="G2001" s="16">
        <f>IF(tbal[[#This Row],[DEBE]]-tbal[[#This Row],[HABER]]&gt;0,tbal[[#This Row],[DEBE]]-tbal[[#This Row],[HABER]],0)</f>
        <v>0</v>
      </c>
      <c r="H2001" s="18">
        <f>IF(tbal[[#This Row],[HABER]]-tbal[[#This Row],[DEBE]]&gt;0,tbal[[#This Row],[HABER]]-tbal[[#This Row],[DEBE]],0)</f>
        <v>0</v>
      </c>
      <c r="I2001" s="16">
        <f>IF((OR(tbal[[#This Row],[X]]=1,tbal[[#This Row],[X]]=2)),tbal[[#This Row],[DEUDOR]],0)</f>
        <v>0</v>
      </c>
      <c r="J2001" s="18">
        <f>IF((OR(tbal[[#This Row],[X]]=2,tbal[[#This Row],[X]]=3)),tbal[[#This Row],[ACREEDOR]],0)</f>
        <v>0</v>
      </c>
      <c r="K2001" s="16">
        <f>IF((OR(tbal[[#This Row],[X]]=3,tbal[[#This Row],[X]]=5)),tbal[[#This Row],[DEUDOR]],0)</f>
        <v>0</v>
      </c>
      <c r="L2001" s="18">
        <f>IF((OR(tbal[[#This Row],[X]]=3,tbal[[#This Row],[X]]=4)),tbal[[#This Row],[ACREEDOR]],0)</f>
        <v>0</v>
      </c>
      <c r="M2001" s="16">
        <f>IF((OR(tbal[[#This Row],[X]]=0,tbal[[#This Row],[X]]=6)),tbal[[#This Row],[DEUDOR]],0)</f>
        <v>0</v>
      </c>
      <c r="N2001" s="18">
        <f>IF((OR(tbal[[#This Row],[X]]=0,tbal[[#This Row],[X]]=5)),tbal[[#This Row],[ACREEDOR]],0)</f>
        <v>0</v>
      </c>
    </row>
    <row r="2002" spans="1:14" hidden="1" x14ac:dyDescent="0.3">
      <c r="A2002" s="14">
        <f>+'PLAN DE CUENTAS'!A2002</f>
        <v>0</v>
      </c>
      <c r="B2002" s="13">
        <f>+'PLAN DE CUENTAS'!B2002</f>
        <v>0</v>
      </c>
      <c r="C2002" s="13">
        <f>+'PLAN DE CUENTAS'!C2002</f>
        <v>0</v>
      </c>
      <c r="D2002" t="str">
        <f>IF(tbal[[#This Row],[DEBE]]+tbal[[#This Row],[HABER]]=0,"","X")</f>
        <v/>
      </c>
      <c r="E2002" s="16">
        <f>SUMIF(tdiario[CUENTA],tbal[[#This Row],[CUENTA]],tdiario[DEBE])</f>
        <v>0</v>
      </c>
      <c r="F2002" s="17">
        <f>SUMIF(tdiario[CUENTA],tbal[[#This Row],[CUENTA]],tdiario[HABER])</f>
        <v>0</v>
      </c>
      <c r="G2002" s="16">
        <f>IF(tbal[[#This Row],[DEBE]]-tbal[[#This Row],[HABER]]&gt;0,tbal[[#This Row],[DEBE]]-tbal[[#This Row],[HABER]],0)</f>
        <v>0</v>
      </c>
      <c r="H2002" s="18">
        <f>IF(tbal[[#This Row],[HABER]]-tbal[[#This Row],[DEBE]]&gt;0,tbal[[#This Row],[HABER]]-tbal[[#This Row],[DEBE]],0)</f>
        <v>0</v>
      </c>
      <c r="I2002" s="16">
        <f>IF((OR(tbal[[#This Row],[X]]=1,tbal[[#This Row],[X]]=2)),tbal[[#This Row],[DEUDOR]],0)</f>
        <v>0</v>
      </c>
      <c r="J2002" s="18">
        <f>IF((OR(tbal[[#This Row],[X]]=2,tbal[[#This Row],[X]]=3)),tbal[[#This Row],[ACREEDOR]],0)</f>
        <v>0</v>
      </c>
      <c r="K2002" s="16">
        <f>IF((OR(tbal[[#This Row],[X]]=3,tbal[[#This Row],[X]]=5)),tbal[[#This Row],[DEUDOR]],0)</f>
        <v>0</v>
      </c>
      <c r="L2002" s="18">
        <f>IF((OR(tbal[[#This Row],[X]]=3,tbal[[#This Row],[X]]=4)),tbal[[#This Row],[ACREEDOR]],0)</f>
        <v>0</v>
      </c>
      <c r="M2002" s="16">
        <f>IF((OR(tbal[[#This Row],[X]]=0,tbal[[#This Row],[X]]=6)),tbal[[#This Row],[DEUDOR]],0)</f>
        <v>0</v>
      </c>
      <c r="N2002" s="18">
        <f>IF((OR(tbal[[#This Row],[X]]=0,tbal[[#This Row],[X]]=5)),tbal[[#This Row],[ACREEDOR]],0)</f>
        <v>0</v>
      </c>
    </row>
    <row r="2003" spans="1:14" hidden="1" x14ac:dyDescent="0.3">
      <c r="A2003" s="14">
        <f>+'PLAN DE CUENTAS'!A2003</f>
        <v>0</v>
      </c>
      <c r="B2003" s="13">
        <f>+'PLAN DE CUENTAS'!B2003</f>
        <v>0</v>
      </c>
      <c r="C2003" s="13">
        <f>+'PLAN DE CUENTAS'!C2003</f>
        <v>0</v>
      </c>
      <c r="D2003" t="str">
        <f>IF(tbal[[#This Row],[DEBE]]+tbal[[#This Row],[HABER]]=0,"","X")</f>
        <v/>
      </c>
      <c r="E2003" s="16">
        <f>SUMIF(tdiario[CUENTA],tbal[[#This Row],[CUENTA]],tdiario[DEBE])</f>
        <v>0</v>
      </c>
      <c r="F2003" s="17">
        <f>SUMIF(tdiario[CUENTA],tbal[[#This Row],[CUENTA]],tdiario[HABER])</f>
        <v>0</v>
      </c>
      <c r="G2003" s="16">
        <f>IF(tbal[[#This Row],[DEBE]]-tbal[[#This Row],[HABER]]&gt;0,tbal[[#This Row],[DEBE]]-tbal[[#This Row],[HABER]],0)</f>
        <v>0</v>
      </c>
      <c r="H2003" s="18">
        <f>IF(tbal[[#This Row],[HABER]]-tbal[[#This Row],[DEBE]]&gt;0,tbal[[#This Row],[HABER]]-tbal[[#This Row],[DEBE]],0)</f>
        <v>0</v>
      </c>
      <c r="I2003" s="16">
        <f>IF((OR(tbal[[#This Row],[X]]=1,tbal[[#This Row],[X]]=2)),tbal[[#This Row],[DEUDOR]],0)</f>
        <v>0</v>
      </c>
      <c r="J2003" s="18">
        <f>IF((OR(tbal[[#This Row],[X]]=2,tbal[[#This Row],[X]]=3)),tbal[[#This Row],[ACREEDOR]],0)</f>
        <v>0</v>
      </c>
      <c r="K2003" s="16">
        <f>IF((OR(tbal[[#This Row],[X]]=3,tbal[[#This Row],[X]]=5)),tbal[[#This Row],[DEUDOR]],0)</f>
        <v>0</v>
      </c>
      <c r="L2003" s="18">
        <f>IF((OR(tbal[[#This Row],[X]]=3,tbal[[#This Row],[X]]=4)),tbal[[#This Row],[ACREEDOR]],0)</f>
        <v>0</v>
      </c>
      <c r="M2003" s="16">
        <f>IF((OR(tbal[[#This Row],[X]]=0,tbal[[#This Row],[X]]=6)),tbal[[#This Row],[DEUDOR]],0)</f>
        <v>0</v>
      </c>
      <c r="N2003" s="18">
        <f>IF((OR(tbal[[#This Row],[X]]=0,tbal[[#This Row],[X]]=5)),tbal[[#This Row],[ACREEDOR]],0)</f>
        <v>0</v>
      </c>
    </row>
    <row r="2004" spans="1:14" hidden="1" x14ac:dyDescent="0.3">
      <c r="A2004" s="14">
        <f>+'PLAN DE CUENTAS'!A2004</f>
        <v>0</v>
      </c>
      <c r="B2004" s="13">
        <f>+'PLAN DE CUENTAS'!B2004</f>
        <v>0</v>
      </c>
      <c r="C2004" s="13">
        <f>+'PLAN DE CUENTAS'!C2004</f>
        <v>0</v>
      </c>
      <c r="D2004" t="str">
        <f>IF(tbal[[#This Row],[DEBE]]+tbal[[#This Row],[HABER]]=0,"","X")</f>
        <v/>
      </c>
      <c r="E2004" s="16">
        <f>SUMIF(tdiario[CUENTA],tbal[[#This Row],[CUENTA]],tdiario[DEBE])</f>
        <v>0</v>
      </c>
      <c r="F2004" s="17">
        <f>SUMIF(tdiario[CUENTA],tbal[[#This Row],[CUENTA]],tdiario[HABER])</f>
        <v>0</v>
      </c>
      <c r="G2004" s="16">
        <f>IF(tbal[[#This Row],[DEBE]]-tbal[[#This Row],[HABER]]&gt;0,tbal[[#This Row],[DEBE]]-tbal[[#This Row],[HABER]],0)</f>
        <v>0</v>
      </c>
      <c r="H2004" s="18">
        <f>IF(tbal[[#This Row],[HABER]]-tbal[[#This Row],[DEBE]]&gt;0,tbal[[#This Row],[HABER]]-tbal[[#This Row],[DEBE]],0)</f>
        <v>0</v>
      </c>
      <c r="I2004" s="16">
        <f>IF((OR(tbal[[#This Row],[X]]=1,tbal[[#This Row],[X]]=2)),tbal[[#This Row],[DEUDOR]],0)</f>
        <v>0</v>
      </c>
      <c r="J2004" s="18">
        <f>IF((OR(tbal[[#This Row],[X]]=2,tbal[[#This Row],[X]]=3)),tbal[[#This Row],[ACREEDOR]],0)</f>
        <v>0</v>
      </c>
      <c r="K2004" s="16">
        <f>IF((OR(tbal[[#This Row],[X]]=3,tbal[[#This Row],[X]]=5)),tbal[[#This Row],[DEUDOR]],0)</f>
        <v>0</v>
      </c>
      <c r="L2004" s="18">
        <f>IF((OR(tbal[[#This Row],[X]]=3,tbal[[#This Row],[X]]=4)),tbal[[#This Row],[ACREEDOR]],0)</f>
        <v>0</v>
      </c>
      <c r="M2004" s="16">
        <f>IF((OR(tbal[[#This Row],[X]]=0,tbal[[#This Row],[X]]=6)),tbal[[#This Row],[DEUDOR]],0)</f>
        <v>0</v>
      </c>
      <c r="N2004" s="18">
        <f>IF((OR(tbal[[#This Row],[X]]=0,tbal[[#This Row],[X]]=5)),tbal[[#This Row],[ACREEDOR]],0)</f>
        <v>0</v>
      </c>
    </row>
    <row r="2005" spans="1:14" hidden="1" x14ac:dyDescent="0.3">
      <c r="A2005" s="14">
        <f>+'PLAN DE CUENTAS'!A2005</f>
        <v>0</v>
      </c>
      <c r="B2005" s="13">
        <f>+'PLAN DE CUENTAS'!B2005</f>
        <v>0</v>
      </c>
      <c r="C2005" s="13">
        <f>+'PLAN DE CUENTAS'!C2005</f>
        <v>0</v>
      </c>
      <c r="D2005" t="str">
        <f>IF(tbal[[#This Row],[DEBE]]+tbal[[#This Row],[HABER]]=0,"","X")</f>
        <v/>
      </c>
      <c r="E2005" s="16">
        <f>SUMIF(tdiario[CUENTA],tbal[[#This Row],[CUENTA]],tdiario[DEBE])</f>
        <v>0</v>
      </c>
      <c r="F2005" s="17">
        <f>SUMIF(tdiario[CUENTA],tbal[[#This Row],[CUENTA]],tdiario[HABER])</f>
        <v>0</v>
      </c>
      <c r="G2005" s="16">
        <f>IF(tbal[[#This Row],[DEBE]]-tbal[[#This Row],[HABER]]&gt;0,tbal[[#This Row],[DEBE]]-tbal[[#This Row],[HABER]],0)</f>
        <v>0</v>
      </c>
      <c r="H2005" s="18">
        <f>IF(tbal[[#This Row],[HABER]]-tbal[[#This Row],[DEBE]]&gt;0,tbal[[#This Row],[HABER]]-tbal[[#This Row],[DEBE]],0)</f>
        <v>0</v>
      </c>
      <c r="I2005" s="16">
        <f>IF((OR(tbal[[#This Row],[X]]=1,tbal[[#This Row],[X]]=2)),tbal[[#This Row],[DEUDOR]],0)</f>
        <v>0</v>
      </c>
      <c r="J2005" s="18">
        <f>IF((OR(tbal[[#This Row],[X]]=2,tbal[[#This Row],[X]]=3)),tbal[[#This Row],[ACREEDOR]],0)</f>
        <v>0</v>
      </c>
      <c r="K2005" s="16">
        <f>IF((OR(tbal[[#This Row],[X]]=3,tbal[[#This Row],[X]]=5)),tbal[[#This Row],[DEUDOR]],0)</f>
        <v>0</v>
      </c>
      <c r="L2005" s="18">
        <f>IF((OR(tbal[[#This Row],[X]]=3,tbal[[#This Row],[X]]=4)),tbal[[#This Row],[ACREEDOR]],0)</f>
        <v>0</v>
      </c>
      <c r="M2005" s="16">
        <f>IF((OR(tbal[[#This Row],[X]]=0,tbal[[#This Row],[X]]=6)),tbal[[#This Row],[DEUDOR]],0)</f>
        <v>0</v>
      </c>
      <c r="N2005" s="18">
        <f>IF((OR(tbal[[#This Row],[X]]=0,tbal[[#This Row],[X]]=5)),tbal[[#This Row],[ACREEDOR]],0)</f>
        <v>0</v>
      </c>
    </row>
    <row r="2006" spans="1:14" hidden="1" x14ac:dyDescent="0.3">
      <c r="A2006" s="14">
        <f>+'PLAN DE CUENTAS'!A2006</f>
        <v>0</v>
      </c>
      <c r="B2006" s="13">
        <f>+'PLAN DE CUENTAS'!B2006</f>
        <v>0</v>
      </c>
      <c r="C2006" s="13">
        <f>+'PLAN DE CUENTAS'!C2006</f>
        <v>0</v>
      </c>
      <c r="D2006" t="str">
        <f>IF(tbal[[#This Row],[DEBE]]+tbal[[#This Row],[HABER]]=0,"","X")</f>
        <v/>
      </c>
      <c r="E2006" s="16">
        <f>SUMIF(tdiario[CUENTA],tbal[[#This Row],[CUENTA]],tdiario[DEBE])</f>
        <v>0</v>
      </c>
      <c r="F2006" s="17">
        <f>SUMIF(tdiario[CUENTA],tbal[[#This Row],[CUENTA]],tdiario[HABER])</f>
        <v>0</v>
      </c>
      <c r="G2006" s="16">
        <f>IF(tbal[[#This Row],[DEBE]]-tbal[[#This Row],[HABER]]&gt;0,tbal[[#This Row],[DEBE]]-tbal[[#This Row],[HABER]],0)</f>
        <v>0</v>
      </c>
      <c r="H2006" s="18">
        <f>IF(tbal[[#This Row],[HABER]]-tbal[[#This Row],[DEBE]]&gt;0,tbal[[#This Row],[HABER]]-tbal[[#This Row],[DEBE]],0)</f>
        <v>0</v>
      </c>
      <c r="I2006" s="16">
        <f>IF((OR(tbal[[#This Row],[X]]=1,tbal[[#This Row],[X]]=2)),tbal[[#This Row],[DEUDOR]],0)</f>
        <v>0</v>
      </c>
      <c r="J2006" s="18">
        <f>IF((OR(tbal[[#This Row],[X]]=2,tbal[[#This Row],[X]]=3)),tbal[[#This Row],[ACREEDOR]],0)</f>
        <v>0</v>
      </c>
      <c r="K2006" s="16">
        <f>IF((OR(tbal[[#This Row],[X]]=3,tbal[[#This Row],[X]]=5)),tbal[[#This Row],[DEUDOR]],0)</f>
        <v>0</v>
      </c>
      <c r="L2006" s="18">
        <f>IF((OR(tbal[[#This Row],[X]]=3,tbal[[#This Row],[X]]=4)),tbal[[#This Row],[ACREEDOR]],0)</f>
        <v>0</v>
      </c>
      <c r="M2006" s="16">
        <f>IF((OR(tbal[[#This Row],[X]]=0,tbal[[#This Row],[X]]=6)),tbal[[#This Row],[DEUDOR]],0)</f>
        <v>0</v>
      </c>
      <c r="N2006" s="18">
        <f>IF((OR(tbal[[#This Row],[X]]=0,tbal[[#This Row],[X]]=5)),tbal[[#This Row],[ACREEDOR]],0)</f>
        <v>0</v>
      </c>
    </row>
    <row r="2007" spans="1:14" hidden="1" x14ac:dyDescent="0.3">
      <c r="A2007" s="14">
        <f>+'PLAN DE CUENTAS'!A2007</f>
        <v>0</v>
      </c>
      <c r="B2007" s="13">
        <f>+'PLAN DE CUENTAS'!B2007</f>
        <v>0</v>
      </c>
      <c r="C2007" s="13">
        <f>+'PLAN DE CUENTAS'!C2007</f>
        <v>0</v>
      </c>
      <c r="D2007" t="str">
        <f>IF(tbal[[#This Row],[DEBE]]+tbal[[#This Row],[HABER]]=0,"","X")</f>
        <v/>
      </c>
      <c r="E2007" s="16">
        <f>SUMIF(tdiario[CUENTA],tbal[[#This Row],[CUENTA]],tdiario[DEBE])</f>
        <v>0</v>
      </c>
      <c r="F2007" s="17">
        <f>SUMIF(tdiario[CUENTA],tbal[[#This Row],[CUENTA]],tdiario[HABER])</f>
        <v>0</v>
      </c>
      <c r="G2007" s="16">
        <f>IF(tbal[[#This Row],[DEBE]]-tbal[[#This Row],[HABER]]&gt;0,tbal[[#This Row],[DEBE]]-tbal[[#This Row],[HABER]],0)</f>
        <v>0</v>
      </c>
      <c r="H2007" s="18">
        <f>IF(tbal[[#This Row],[HABER]]-tbal[[#This Row],[DEBE]]&gt;0,tbal[[#This Row],[HABER]]-tbal[[#This Row],[DEBE]],0)</f>
        <v>0</v>
      </c>
      <c r="I2007" s="16">
        <f>IF((OR(tbal[[#This Row],[X]]=1,tbal[[#This Row],[X]]=2)),tbal[[#This Row],[DEUDOR]],0)</f>
        <v>0</v>
      </c>
      <c r="J2007" s="18">
        <f>IF((OR(tbal[[#This Row],[X]]=2,tbal[[#This Row],[X]]=3)),tbal[[#This Row],[ACREEDOR]],0)</f>
        <v>0</v>
      </c>
      <c r="K2007" s="16">
        <f>IF((OR(tbal[[#This Row],[X]]=3,tbal[[#This Row],[X]]=5)),tbal[[#This Row],[DEUDOR]],0)</f>
        <v>0</v>
      </c>
      <c r="L2007" s="18">
        <f>IF((OR(tbal[[#This Row],[X]]=3,tbal[[#This Row],[X]]=4)),tbal[[#This Row],[ACREEDOR]],0)</f>
        <v>0</v>
      </c>
      <c r="M2007" s="16">
        <f>IF((OR(tbal[[#This Row],[X]]=0,tbal[[#This Row],[X]]=6)),tbal[[#This Row],[DEUDOR]],0)</f>
        <v>0</v>
      </c>
      <c r="N2007" s="18">
        <f>IF((OR(tbal[[#This Row],[X]]=0,tbal[[#This Row],[X]]=5)),tbal[[#This Row],[ACREEDOR]],0)</f>
        <v>0</v>
      </c>
    </row>
    <row r="2008" spans="1:14" hidden="1" x14ac:dyDescent="0.3">
      <c r="A2008" s="14">
        <f>+'PLAN DE CUENTAS'!A2008</f>
        <v>0</v>
      </c>
      <c r="B2008" s="13">
        <f>+'PLAN DE CUENTAS'!B2008</f>
        <v>0</v>
      </c>
      <c r="C2008" s="13">
        <f>+'PLAN DE CUENTAS'!C2008</f>
        <v>0</v>
      </c>
      <c r="D2008" t="str">
        <f>IF(tbal[[#This Row],[DEBE]]+tbal[[#This Row],[HABER]]=0,"","X")</f>
        <v/>
      </c>
      <c r="E2008" s="16">
        <f>SUMIF(tdiario[CUENTA],tbal[[#This Row],[CUENTA]],tdiario[DEBE])</f>
        <v>0</v>
      </c>
      <c r="F2008" s="17">
        <f>SUMIF(tdiario[CUENTA],tbal[[#This Row],[CUENTA]],tdiario[HABER])</f>
        <v>0</v>
      </c>
      <c r="G2008" s="16">
        <f>IF(tbal[[#This Row],[DEBE]]-tbal[[#This Row],[HABER]]&gt;0,tbal[[#This Row],[DEBE]]-tbal[[#This Row],[HABER]],0)</f>
        <v>0</v>
      </c>
      <c r="H2008" s="18">
        <f>IF(tbal[[#This Row],[HABER]]-tbal[[#This Row],[DEBE]]&gt;0,tbal[[#This Row],[HABER]]-tbal[[#This Row],[DEBE]],0)</f>
        <v>0</v>
      </c>
      <c r="I2008" s="16">
        <f>IF((OR(tbal[[#This Row],[X]]=1,tbal[[#This Row],[X]]=2)),tbal[[#This Row],[DEUDOR]],0)</f>
        <v>0</v>
      </c>
      <c r="J2008" s="18">
        <f>IF((OR(tbal[[#This Row],[X]]=2,tbal[[#This Row],[X]]=3)),tbal[[#This Row],[ACREEDOR]],0)</f>
        <v>0</v>
      </c>
      <c r="K2008" s="16">
        <f>IF((OR(tbal[[#This Row],[X]]=3,tbal[[#This Row],[X]]=5)),tbal[[#This Row],[DEUDOR]],0)</f>
        <v>0</v>
      </c>
      <c r="L2008" s="18">
        <f>IF((OR(tbal[[#This Row],[X]]=3,tbal[[#This Row],[X]]=4)),tbal[[#This Row],[ACREEDOR]],0)</f>
        <v>0</v>
      </c>
      <c r="M2008" s="16">
        <f>IF((OR(tbal[[#This Row],[X]]=0,tbal[[#This Row],[X]]=6)),tbal[[#This Row],[DEUDOR]],0)</f>
        <v>0</v>
      </c>
      <c r="N2008" s="18">
        <f>IF((OR(tbal[[#This Row],[X]]=0,tbal[[#This Row],[X]]=5)),tbal[[#This Row],[ACREEDOR]],0)</f>
        <v>0</v>
      </c>
    </row>
    <row r="2009" spans="1:14" hidden="1" x14ac:dyDescent="0.3">
      <c r="A2009" s="14">
        <f>+'PLAN DE CUENTAS'!A2009</f>
        <v>0</v>
      </c>
      <c r="B2009" s="13">
        <f>+'PLAN DE CUENTAS'!B2009</f>
        <v>0</v>
      </c>
      <c r="C2009" s="13">
        <f>+'PLAN DE CUENTAS'!C2009</f>
        <v>0</v>
      </c>
      <c r="D2009" t="str">
        <f>IF(tbal[[#This Row],[DEBE]]+tbal[[#This Row],[HABER]]=0,"","X")</f>
        <v/>
      </c>
      <c r="E2009" s="16">
        <f>SUMIF(tdiario[CUENTA],tbal[[#This Row],[CUENTA]],tdiario[DEBE])</f>
        <v>0</v>
      </c>
      <c r="F2009" s="17">
        <f>SUMIF(tdiario[CUENTA],tbal[[#This Row],[CUENTA]],tdiario[HABER])</f>
        <v>0</v>
      </c>
      <c r="G2009" s="16">
        <f>IF(tbal[[#This Row],[DEBE]]-tbal[[#This Row],[HABER]]&gt;0,tbal[[#This Row],[DEBE]]-tbal[[#This Row],[HABER]],0)</f>
        <v>0</v>
      </c>
      <c r="H2009" s="18">
        <f>IF(tbal[[#This Row],[HABER]]-tbal[[#This Row],[DEBE]]&gt;0,tbal[[#This Row],[HABER]]-tbal[[#This Row],[DEBE]],0)</f>
        <v>0</v>
      </c>
      <c r="I2009" s="16">
        <f>IF((OR(tbal[[#This Row],[X]]=1,tbal[[#This Row],[X]]=2)),tbal[[#This Row],[DEUDOR]],0)</f>
        <v>0</v>
      </c>
      <c r="J2009" s="18">
        <f>IF((OR(tbal[[#This Row],[X]]=2,tbal[[#This Row],[X]]=3)),tbal[[#This Row],[ACREEDOR]],0)</f>
        <v>0</v>
      </c>
      <c r="K2009" s="16">
        <f>IF((OR(tbal[[#This Row],[X]]=3,tbal[[#This Row],[X]]=5)),tbal[[#This Row],[DEUDOR]],0)</f>
        <v>0</v>
      </c>
      <c r="L2009" s="18">
        <f>IF((OR(tbal[[#This Row],[X]]=3,tbal[[#This Row],[X]]=4)),tbal[[#This Row],[ACREEDOR]],0)</f>
        <v>0</v>
      </c>
      <c r="M2009" s="16">
        <f>IF((OR(tbal[[#This Row],[X]]=0,tbal[[#This Row],[X]]=6)),tbal[[#This Row],[DEUDOR]],0)</f>
        <v>0</v>
      </c>
      <c r="N2009" s="18">
        <f>IF((OR(tbal[[#This Row],[X]]=0,tbal[[#This Row],[X]]=5)),tbal[[#This Row],[ACREEDOR]],0)</f>
        <v>0</v>
      </c>
    </row>
    <row r="2010" spans="1:14" hidden="1" x14ac:dyDescent="0.3">
      <c r="A2010" s="14">
        <f>+'PLAN DE CUENTAS'!A2010</f>
        <v>0</v>
      </c>
      <c r="B2010" s="13">
        <f>+'PLAN DE CUENTAS'!B2010</f>
        <v>0</v>
      </c>
      <c r="C2010" s="13">
        <f>+'PLAN DE CUENTAS'!C2010</f>
        <v>0</v>
      </c>
      <c r="D2010" t="str">
        <f>IF(tbal[[#This Row],[DEBE]]+tbal[[#This Row],[HABER]]=0,"","X")</f>
        <v/>
      </c>
      <c r="E2010" s="16">
        <f>SUMIF(tdiario[CUENTA],tbal[[#This Row],[CUENTA]],tdiario[DEBE])</f>
        <v>0</v>
      </c>
      <c r="F2010" s="17">
        <f>SUMIF(tdiario[CUENTA],tbal[[#This Row],[CUENTA]],tdiario[HABER])</f>
        <v>0</v>
      </c>
      <c r="G2010" s="16">
        <f>IF(tbal[[#This Row],[DEBE]]-tbal[[#This Row],[HABER]]&gt;0,tbal[[#This Row],[DEBE]]-tbal[[#This Row],[HABER]],0)</f>
        <v>0</v>
      </c>
      <c r="H2010" s="18">
        <f>IF(tbal[[#This Row],[HABER]]-tbal[[#This Row],[DEBE]]&gt;0,tbal[[#This Row],[HABER]]-tbal[[#This Row],[DEBE]],0)</f>
        <v>0</v>
      </c>
      <c r="I2010" s="16">
        <f>IF((OR(tbal[[#This Row],[X]]=1,tbal[[#This Row],[X]]=2)),tbal[[#This Row],[DEUDOR]],0)</f>
        <v>0</v>
      </c>
      <c r="J2010" s="18">
        <f>IF((OR(tbal[[#This Row],[X]]=2,tbal[[#This Row],[X]]=3)),tbal[[#This Row],[ACREEDOR]],0)</f>
        <v>0</v>
      </c>
      <c r="K2010" s="16">
        <f>IF((OR(tbal[[#This Row],[X]]=3,tbal[[#This Row],[X]]=5)),tbal[[#This Row],[DEUDOR]],0)</f>
        <v>0</v>
      </c>
      <c r="L2010" s="18">
        <f>IF((OR(tbal[[#This Row],[X]]=3,tbal[[#This Row],[X]]=4)),tbal[[#This Row],[ACREEDOR]],0)</f>
        <v>0</v>
      </c>
      <c r="M2010" s="16">
        <f>IF((OR(tbal[[#This Row],[X]]=0,tbal[[#This Row],[X]]=6)),tbal[[#This Row],[DEUDOR]],0)</f>
        <v>0</v>
      </c>
      <c r="N2010" s="18">
        <f>IF((OR(tbal[[#This Row],[X]]=0,tbal[[#This Row],[X]]=5)),tbal[[#This Row],[ACREEDOR]],0)</f>
        <v>0</v>
      </c>
    </row>
    <row r="2011" spans="1:14" hidden="1" x14ac:dyDescent="0.3">
      <c r="A2011" s="14">
        <f>+'PLAN DE CUENTAS'!A2011</f>
        <v>0</v>
      </c>
      <c r="B2011" s="13">
        <f>+'PLAN DE CUENTAS'!B2011</f>
        <v>0</v>
      </c>
      <c r="C2011" s="13">
        <f>+'PLAN DE CUENTAS'!C2011</f>
        <v>0</v>
      </c>
      <c r="D2011" t="str">
        <f>IF(tbal[[#This Row],[DEBE]]+tbal[[#This Row],[HABER]]=0,"","X")</f>
        <v/>
      </c>
      <c r="E2011" s="16">
        <f>SUMIF(tdiario[CUENTA],tbal[[#This Row],[CUENTA]],tdiario[DEBE])</f>
        <v>0</v>
      </c>
      <c r="F2011" s="17">
        <f>SUMIF(tdiario[CUENTA],tbal[[#This Row],[CUENTA]],tdiario[HABER])</f>
        <v>0</v>
      </c>
      <c r="G2011" s="16">
        <f>IF(tbal[[#This Row],[DEBE]]-tbal[[#This Row],[HABER]]&gt;0,tbal[[#This Row],[DEBE]]-tbal[[#This Row],[HABER]],0)</f>
        <v>0</v>
      </c>
      <c r="H2011" s="18">
        <f>IF(tbal[[#This Row],[HABER]]-tbal[[#This Row],[DEBE]]&gt;0,tbal[[#This Row],[HABER]]-tbal[[#This Row],[DEBE]],0)</f>
        <v>0</v>
      </c>
      <c r="I2011" s="16">
        <f>IF((OR(tbal[[#This Row],[X]]=1,tbal[[#This Row],[X]]=2)),tbal[[#This Row],[DEUDOR]],0)</f>
        <v>0</v>
      </c>
      <c r="J2011" s="18">
        <f>IF((OR(tbal[[#This Row],[X]]=2,tbal[[#This Row],[X]]=3)),tbal[[#This Row],[ACREEDOR]],0)</f>
        <v>0</v>
      </c>
      <c r="K2011" s="16">
        <f>IF((OR(tbal[[#This Row],[X]]=3,tbal[[#This Row],[X]]=5)),tbal[[#This Row],[DEUDOR]],0)</f>
        <v>0</v>
      </c>
      <c r="L2011" s="18">
        <f>IF((OR(tbal[[#This Row],[X]]=3,tbal[[#This Row],[X]]=4)),tbal[[#This Row],[ACREEDOR]],0)</f>
        <v>0</v>
      </c>
      <c r="M2011" s="16">
        <f>IF((OR(tbal[[#This Row],[X]]=0,tbal[[#This Row],[X]]=6)),tbal[[#This Row],[DEUDOR]],0)</f>
        <v>0</v>
      </c>
      <c r="N2011" s="18">
        <f>IF((OR(tbal[[#This Row],[X]]=0,tbal[[#This Row],[X]]=5)),tbal[[#This Row],[ACREEDOR]],0)</f>
        <v>0</v>
      </c>
    </row>
    <row r="2012" spans="1:14" hidden="1" x14ac:dyDescent="0.3">
      <c r="A2012" s="14">
        <f>+'PLAN DE CUENTAS'!A2012</f>
        <v>0</v>
      </c>
      <c r="B2012" s="13">
        <f>+'PLAN DE CUENTAS'!B2012</f>
        <v>0</v>
      </c>
      <c r="C2012" s="13">
        <f>+'PLAN DE CUENTAS'!C2012</f>
        <v>0</v>
      </c>
      <c r="D2012" t="str">
        <f>IF(tbal[[#This Row],[DEBE]]+tbal[[#This Row],[HABER]]=0,"","X")</f>
        <v/>
      </c>
      <c r="E2012" s="16">
        <f>SUMIF(tdiario[CUENTA],tbal[[#This Row],[CUENTA]],tdiario[DEBE])</f>
        <v>0</v>
      </c>
      <c r="F2012" s="17">
        <f>SUMIF(tdiario[CUENTA],tbal[[#This Row],[CUENTA]],tdiario[HABER])</f>
        <v>0</v>
      </c>
      <c r="G2012" s="16">
        <f>IF(tbal[[#This Row],[DEBE]]-tbal[[#This Row],[HABER]]&gt;0,tbal[[#This Row],[DEBE]]-tbal[[#This Row],[HABER]],0)</f>
        <v>0</v>
      </c>
      <c r="H2012" s="18">
        <f>IF(tbal[[#This Row],[HABER]]-tbal[[#This Row],[DEBE]]&gt;0,tbal[[#This Row],[HABER]]-tbal[[#This Row],[DEBE]],0)</f>
        <v>0</v>
      </c>
      <c r="I2012" s="16">
        <f>IF((OR(tbal[[#This Row],[X]]=1,tbal[[#This Row],[X]]=2)),tbal[[#This Row],[DEUDOR]],0)</f>
        <v>0</v>
      </c>
      <c r="J2012" s="18">
        <f>IF((OR(tbal[[#This Row],[X]]=2,tbal[[#This Row],[X]]=3)),tbal[[#This Row],[ACREEDOR]],0)</f>
        <v>0</v>
      </c>
      <c r="K2012" s="16">
        <f>IF((OR(tbal[[#This Row],[X]]=3,tbal[[#This Row],[X]]=5)),tbal[[#This Row],[DEUDOR]],0)</f>
        <v>0</v>
      </c>
      <c r="L2012" s="18">
        <f>IF((OR(tbal[[#This Row],[X]]=3,tbal[[#This Row],[X]]=4)),tbal[[#This Row],[ACREEDOR]],0)</f>
        <v>0</v>
      </c>
      <c r="M2012" s="16">
        <f>IF((OR(tbal[[#This Row],[X]]=0,tbal[[#This Row],[X]]=6)),tbal[[#This Row],[DEUDOR]],0)</f>
        <v>0</v>
      </c>
      <c r="N2012" s="18">
        <f>IF((OR(tbal[[#This Row],[X]]=0,tbal[[#This Row],[X]]=5)),tbal[[#This Row],[ACREEDOR]],0)</f>
        <v>0</v>
      </c>
    </row>
    <row r="2013" spans="1:14" hidden="1" x14ac:dyDescent="0.3">
      <c r="A2013" s="14">
        <f>+'PLAN DE CUENTAS'!A2013</f>
        <v>0</v>
      </c>
      <c r="B2013" s="13">
        <f>+'PLAN DE CUENTAS'!B2013</f>
        <v>0</v>
      </c>
      <c r="C2013" s="13">
        <f>+'PLAN DE CUENTAS'!C2013</f>
        <v>0</v>
      </c>
      <c r="D2013" t="str">
        <f>IF(tbal[[#This Row],[DEBE]]+tbal[[#This Row],[HABER]]=0,"","X")</f>
        <v/>
      </c>
      <c r="E2013" s="16">
        <f>SUMIF(tdiario[CUENTA],tbal[[#This Row],[CUENTA]],tdiario[DEBE])</f>
        <v>0</v>
      </c>
      <c r="F2013" s="17">
        <f>SUMIF(tdiario[CUENTA],tbal[[#This Row],[CUENTA]],tdiario[HABER])</f>
        <v>0</v>
      </c>
      <c r="G2013" s="16">
        <f>IF(tbal[[#This Row],[DEBE]]-tbal[[#This Row],[HABER]]&gt;0,tbal[[#This Row],[DEBE]]-tbal[[#This Row],[HABER]],0)</f>
        <v>0</v>
      </c>
      <c r="H2013" s="18">
        <f>IF(tbal[[#This Row],[HABER]]-tbal[[#This Row],[DEBE]]&gt;0,tbal[[#This Row],[HABER]]-tbal[[#This Row],[DEBE]],0)</f>
        <v>0</v>
      </c>
      <c r="I2013" s="16">
        <f>IF((OR(tbal[[#This Row],[X]]=1,tbal[[#This Row],[X]]=2)),tbal[[#This Row],[DEUDOR]],0)</f>
        <v>0</v>
      </c>
      <c r="J2013" s="18">
        <f>IF((OR(tbal[[#This Row],[X]]=2,tbal[[#This Row],[X]]=3)),tbal[[#This Row],[ACREEDOR]],0)</f>
        <v>0</v>
      </c>
      <c r="K2013" s="16">
        <f>IF((OR(tbal[[#This Row],[X]]=3,tbal[[#This Row],[X]]=5)),tbal[[#This Row],[DEUDOR]],0)</f>
        <v>0</v>
      </c>
      <c r="L2013" s="18">
        <f>IF((OR(tbal[[#This Row],[X]]=3,tbal[[#This Row],[X]]=4)),tbal[[#This Row],[ACREEDOR]],0)</f>
        <v>0</v>
      </c>
      <c r="M2013" s="16">
        <f>IF((OR(tbal[[#This Row],[X]]=0,tbal[[#This Row],[X]]=6)),tbal[[#This Row],[DEUDOR]],0)</f>
        <v>0</v>
      </c>
      <c r="N2013" s="18">
        <f>IF((OR(tbal[[#This Row],[X]]=0,tbal[[#This Row],[X]]=5)),tbal[[#This Row],[ACREEDOR]],0)</f>
        <v>0</v>
      </c>
    </row>
    <row r="2014" spans="1:14" hidden="1" x14ac:dyDescent="0.3">
      <c r="A2014" s="14">
        <f>+'PLAN DE CUENTAS'!A2014</f>
        <v>0</v>
      </c>
      <c r="B2014" s="13">
        <f>+'PLAN DE CUENTAS'!B2014</f>
        <v>0</v>
      </c>
      <c r="C2014" s="13">
        <f>+'PLAN DE CUENTAS'!C2014</f>
        <v>0</v>
      </c>
      <c r="D2014" t="str">
        <f>IF(tbal[[#This Row],[DEBE]]+tbal[[#This Row],[HABER]]=0,"","X")</f>
        <v/>
      </c>
      <c r="E2014" s="16">
        <f>SUMIF(tdiario[CUENTA],tbal[[#This Row],[CUENTA]],tdiario[DEBE])</f>
        <v>0</v>
      </c>
      <c r="F2014" s="17">
        <f>SUMIF(tdiario[CUENTA],tbal[[#This Row],[CUENTA]],tdiario[HABER])</f>
        <v>0</v>
      </c>
      <c r="G2014" s="16">
        <f>IF(tbal[[#This Row],[DEBE]]-tbal[[#This Row],[HABER]]&gt;0,tbal[[#This Row],[DEBE]]-tbal[[#This Row],[HABER]],0)</f>
        <v>0</v>
      </c>
      <c r="H2014" s="18">
        <f>IF(tbal[[#This Row],[HABER]]-tbal[[#This Row],[DEBE]]&gt;0,tbal[[#This Row],[HABER]]-tbal[[#This Row],[DEBE]],0)</f>
        <v>0</v>
      </c>
      <c r="I2014" s="16">
        <f>IF((OR(tbal[[#This Row],[X]]=1,tbal[[#This Row],[X]]=2)),tbal[[#This Row],[DEUDOR]],0)</f>
        <v>0</v>
      </c>
      <c r="J2014" s="18">
        <f>IF((OR(tbal[[#This Row],[X]]=2,tbal[[#This Row],[X]]=3)),tbal[[#This Row],[ACREEDOR]],0)</f>
        <v>0</v>
      </c>
      <c r="K2014" s="16">
        <f>IF((OR(tbal[[#This Row],[X]]=3,tbal[[#This Row],[X]]=5)),tbal[[#This Row],[DEUDOR]],0)</f>
        <v>0</v>
      </c>
      <c r="L2014" s="18">
        <f>IF((OR(tbal[[#This Row],[X]]=3,tbal[[#This Row],[X]]=4)),tbal[[#This Row],[ACREEDOR]],0)</f>
        <v>0</v>
      </c>
      <c r="M2014" s="16">
        <f>IF((OR(tbal[[#This Row],[X]]=0,tbal[[#This Row],[X]]=6)),tbal[[#This Row],[DEUDOR]],0)</f>
        <v>0</v>
      </c>
      <c r="N2014" s="18">
        <f>IF((OR(tbal[[#This Row],[X]]=0,tbal[[#This Row],[X]]=5)),tbal[[#This Row],[ACREEDOR]],0)</f>
        <v>0</v>
      </c>
    </row>
    <row r="2015" spans="1:14" hidden="1" x14ac:dyDescent="0.3">
      <c r="A2015" s="14">
        <f>+'PLAN DE CUENTAS'!A2015</f>
        <v>0</v>
      </c>
      <c r="B2015" s="13">
        <f>+'PLAN DE CUENTAS'!B2015</f>
        <v>0</v>
      </c>
      <c r="C2015" s="13">
        <f>+'PLAN DE CUENTAS'!C2015</f>
        <v>0</v>
      </c>
      <c r="D2015" t="str">
        <f>IF(tbal[[#This Row],[DEBE]]+tbal[[#This Row],[HABER]]=0,"","X")</f>
        <v/>
      </c>
      <c r="E2015" s="16">
        <f>SUMIF(tdiario[CUENTA],tbal[[#This Row],[CUENTA]],tdiario[DEBE])</f>
        <v>0</v>
      </c>
      <c r="F2015" s="17">
        <f>SUMIF(tdiario[CUENTA],tbal[[#This Row],[CUENTA]],tdiario[HABER])</f>
        <v>0</v>
      </c>
      <c r="G2015" s="16">
        <f>IF(tbal[[#This Row],[DEBE]]-tbal[[#This Row],[HABER]]&gt;0,tbal[[#This Row],[DEBE]]-tbal[[#This Row],[HABER]],0)</f>
        <v>0</v>
      </c>
      <c r="H2015" s="18">
        <f>IF(tbal[[#This Row],[HABER]]-tbal[[#This Row],[DEBE]]&gt;0,tbal[[#This Row],[HABER]]-tbal[[#This Row],[DEBE]],0)</f>
        <v>0</v>
      </c>
      <c r="I2015" s="16">
        <f>IF((OR(tbal[[#This Row],[X]]=1,tbal[[#This Row],[X]]=2)),tbal[[#This Row],[DEUDOR]],0)</f>
        <v>0</v>
      </c>
      <c r="J2015" s="18">
        <f>IF((OR(tbal[[#This Row],[X]]=2,tbal[[#This Row],[X]]=3)),tbal[[#This Row],[ACREEDOR]],0)</f>
        <v>0</v>
      </c>
      <c r="K2015" s="16">
        <f>IF((OR(tbal[[#This Row],[X]]=3,tbal[[#This Row],[X]]=5)),tbal[[#This Row],[DEUDOR]],0)</f>
        <v>0</v>
      </c>
      <c r="L2015" s="18">
        <f>IF((OR(tbal[[#This Row],[X]]=3,tbal[[#This Row],[X]]=4)),tbal[[#This Row],[ACREEDOR]],0)</f>
        <v>0</v>
      </c>
      <c r="M2015" s="16">
        <f>IF((OR(tbal[[#This Row],[X]]=0,tbal[[#This Row],[X]]=6)),tbal[[#This Row],[DEUDOR]],0)</f>
        <v>0</v>
      </c>
      <c r="N2015" s="18">
        <f>IF((OR(tbal[[#This Row],[X]]=0,tbal[[#This Row],[X]]=5)),tbal[[#This Row],[ACREEDOR]],0)</f>
        <v>0</v>
      </c>
    </row>
    <row r="2016" spans="1:14" hidden="1" x14ac:dyDescent="0.3">
      <c r="A2016" s="14">
        <f>+'PLAN DE CUENTAS'!A2016</f>
        <v>0</v>
      </c>
      <c r="B2016" s="13">
        <f>+'PLAN DE CUENTAS'!B2016</f>
        <v>0</v>
      </c>
      <c r="C2016" s="13">
        <f>+'PLAN DE CUENTAS'!C2016</f>
        <v>0</v>
      </c>
      <c r="D2016" t="str">
        <f>IF(tbal[[#This Row],[DEBE]]+tbal[[#This Row],[HABER]]=0,"","X")</f>
        <v/>
      </c>
      <c r="E2016" s="16">
        <f>SUMIF(tdiario[CUENTA],tbal[[#This Row],[CUENTA]],tdiario[DEBE])</f>
        <v>0</v>
      </c>
      <c r="F2016" s="17">
        <f>SUMIF(tdiario[CUENTA],tbal[[#This Row],[CUENTA]],tdiario[HABER])</f>
        <v>0</v>
      </c>
      <c r="G2016" s="16">
        <f>IF(tbal[[#This Row],[DEBE]]-tbal[[#This Row],[HABER]]&gt;0,tbal[[#This Row],[DEBE]]-tbal[[#This Row],[HABER]],0)</f>
        <v>0</v>
      </c>
      <c r="H2016" s="18">
        <f>IF(tbal[[#This Row],[HABER]]-tbal[[#This Row],[DEBE]]&gt;0,tbal[[#This Row],[HABER]]-tbal[[#This Row],[DEBE]],0)</f>
        <v>0</v>
      </c>
      <c r="I2016" s="16">
        <f>IF((OR(tbal[[#This Row],[X]]=1,tbal[[#This Row],[X]]=2)),tbal[[#This Row],[DEUDOR]],0)</f>
        <v>0</v>
      </c>
      <c r="J2016" s="18">
        <f>IF((OR(tbal[[#This Row],[X]]=2,tbal[[#This Row],[X]]=3)),tbal[[#This Row],[ACREEDOR]],0)</f>
        <v>0</v>
      </c>
      <c r="K2016" s="16">
        <f>IF((OR(tbal[[#This Row],[X]]=3,tbal[[#This Row],[X]]=5)),tbal[[#This Row],[DEUDOR]],0)</f>
        <v>0</v>
      </c>
      <c r="L2016" s="18">
        <f>IF((OR(tbal[[#This Row],[X]]=3,tbal[[#This Row],[X]]=4)),tbal[[#This Row],[ACREEDOR]],0)</f>
        <v>0</v>
      </c>
      <c r="M2016" s="16">
        <f>IF((OR(tbal[[#This Row],[X]]=0,tbal[[#This Row],[X]]=6)),tbal[[#This Row],[DEUDOR]],0)</f>
        <v>0</v>
      </c>
      <c r="N2016" s="18">
        <f>IF((OR(tbal[[#This Row],[X]]=0,tbal[[#This Row],[X]]=5)),tbal[[#This Row],[ACREEDOR]],0)</f>
        <v>0</v>
      </c>
    </row>
    <row r="2017" spans="1:14" hidden="1" x14ac:dyDescent="0.3">
      <c r="A2017" s="14">
        <f>+'PLAN DE CUENTAS'!A2017</f>
        <v>0</v>
      </c>
      <c r="B2017" s="13">
        <f>+'PLAN DE CUENTAS'!B2017</f>
        <v>0</v>
      </c>
      <c r="C2017" s="13">
        <f>+'PLAN DE CUENTAS'!C2017</f>
        <v>0</v>
      </c>
      <c r="D2017" t="str">
        <f>IF(tbal[[#This Row],[DEBE]]+tbal[[#This Row],[HABER]]=0,"","X")</f>
        <v/>
      </c>
      <c r="E2017" s="16">
        <f>SUMIF(tdiario[CUENTA],tbal[[#This Row],[CUENTA]],tdiario[DEBE])</f>
        <v>0</v>
      </c>
      <c r="F2017" s="17">
        <f>SUMIF(tdiario[CUENTA],tbal[[#This Row],[CUENTA]],tdiario[HABER])</f>
        <v>0</v>
      </c>
      <c r="G2017" s="16">
        <f>IF(tbal[[#This Row],[DEBE]]-tbal[[#This Row],[HABER]]&gt;0,tbal[[#This Row],[DEBE]]-tbal[[#This Row],[HABER]],0)</f>
        <v>0</v>
      </c>
      <c r="H2017" s="18">
        <f>IF(tbal[[#This Row],[HABER]]-tbal[[#This Row],[DEBE]]&gt;0,tbal[[#This Row],[HABER]]-tbal[[#This Row],[DEBE]],0)</f>
        <v>0</v>
      </c>
      <c r="I2017" s="16">
        <f>IF((OR(tbal[[#This Row],[X]]=1,tbal[[#This Row],[X]]=2)),tbal[[#This Row],[DEUDOR]],0)</f>
        <v>0</v>
      </c>
      <c r="J2017" s="18">
        <f>IF((OR(tbal[[#This Row],[X]]=2,tbal[[#This Row],[X]]=3)),tbal[[#This Row],[ACREEDOR]],0)</f>
        <v>0</v>
      </c>
      <c r="K2017" s="16">
        <f>IF((OR(tbal[[#This Row],[X]]=3,tbal[[#This Row],[X]]=5)),tbal[[#This Row],[DEUDOR]],0)</f>
        <v>0</v>
      </c>
      <c r="L2017" s="18">
        <f>IF((OR(tbal[[#This Row],[X]]=3,tbal[[#This Row],[X]]=4)),tbal[[#This Row],[ACREEDOR]],0)</f>
        <v>0</v>
      </c>
      <c r="M2017" s="16">
        <f>IF((OR(tbal[[#This Row],[X]]=0,tbal[[#This Row],[X]]=6)),tbal[[#This Row],[DEUDOR]],0)</f>
        <v>0</v>
      </c>
      <c r="N2017" s="18">
        <f>IF((OR(tbal[[#This Row],[X]]=0,tbal[[#This Row],[X]]=5)),tbal[[#This Row],[ACREEDOR]],0)</f>
        <v>0</v>
      </c>
    </row>
    <row r="2018" spans="1:14" hidden="1" x14ac:dyDescent="0.3">
      <c r="A2018" s="14">
        <f>+'PLAN DE CUENTAS'!A2018</f>
        <v>0</v>
      </c>
      <c r="B2018" s="13">
        <f>+'PLAN DE CUENTAS'!B2018</f>
        <v>0</v>
      </c>
      <c r="C2018" s="13">
        <f>+'PLAN DE CUENTAS'!C2018</f>
        <v>0</v>
      </c>
      <c r="D2018" t="str">
        <f>IF(tbal[[#This Row],[DEBE]]+tbal[[#This Row],[HABER]]=0,"","X")</f>
        <v/>
      </c>
      <c r="E2018" s="16">
        <f>SUMIF(tdiario[CUENTA],tbal[[#This Row],[CUENTA]],tdiario[DEBE])</f>
        <v>0</v>
      </c>
      <c r="F2018" s="17">
        <f>SUMIF(tdiario[CUENTA],tbal[[#This Row],[CUENTA]],tdiario[HABER])</f>
        <v>0</v>
      </c>
      <c r="G2018" s="16">
        <f>IF(tbal[[#This Row],[DEBE]]-tbal[[#This Row],[HABER]]&gt;0,tbal[[#This Row],[DEBE]]-tbal[[#This Row],[HABER]],0)</f>
        <v>0</v>
      </c>
      <c r="H2018" s="18">
        <f>IF(tbal[[#This Row],[HABER]]-tbal[[#This Row],[DEBE]]&gt;0,tbal[[#This Row],[HABER]]-tbal[[#This Row],[DEBE]],0)</f>
        <v>0</v>
      </c>
      <c r="I2018" s="16">
        <f>IF((OR(tbal[[#This Row],[X]]=1,tbal[[#This Row],[X]]=2)),tbal[[#This Row],[DEUDOR]],0)</f>
        <v>0</v>
      </c>
      <c r="J2018" s="18">
        <f>IF((OR(tbal[[#This Row],[X]]=2,tbal[[#This Row],[X]]=3)),tbal[[#This Row],[ACREEDOR]],0)</f>
        <v>0</v>
      </c>
      <c r="K2018" s="16">
        <f>IF((OR(tbal[[#This Row],[X]]=3,tbal[[#This Row],[X]]=5)),tbal[[#This Row],[DEUDOR]],0)</f>
        <v>0</v>
      </c>
      <c r="L2018" s="18">
        <f>IF((OR(tbal[[#This Row],[X]]=3,tbal[[#This Row],[X]]=4)),tbal[[#This Row],[ACREEDOR]],0)</f>
        <v>0</v>
      </c>
      <c r="M2018" s="16">
        <f>IF((OR(tbal[[#This Row],[X]]=0,tbal[[#This Row],[X]]=6)),tbal[[#This Row],[DEUDOR]],0)</f>
        <v>0</v>
      </c>
      <c r="N2018" s="18">
        <f>IF((OR(tbal[[#This Row],[X]]=0,tbal[[#This Row],[X]]=5)),tbal[[#This Row],[ACREEDOR]],0)</f>
        <v>0</v>
      </c>
    </row>
    <row r="2019" spans="1:14" hidden="1" x14ac:dyDescent="0.3">
      <c r="A2019" s="14">
        <f>+'PLAN DE CUENTAS'!A2019</f>
        <v>0</v>
      </c>
      <c r="B2019" s="13">
        <f>+'PLAN DE CUENTAS'!B2019</f>
        <v>0</v>
      </c>
      <c r="C2019" s="13">
        <f>+'PLAN DE CUENTAS'!C2019</f>
        <v>0</v>
      </c>
      <c r="D2019" t="str">
        <f>IF(tbal[[#This Row],[DEBE]]+tbal[[#This Row],[HABER]]=0,"","X")</f>
        <v/>
      </c>
      <c r="E2019" s="16">
        <f>SUMIF(tdiario[CUENTA],tbal[[#This Row],[CUENTA]],tdiario[DEBE])</f>
        <v>0</v>
      </c>
      <c r="F2019" s="17">
        <f>SUMIF(tdiario[CUENTA],tbal[[#This Row],[CUENTA]],tdiario[HABER])</f>
        <v>0</v>
      </c>
      <c r="G2019" s="16">
        <f>IF(tbal[[#This Row],[DEBE]]-tbal[[#This Row],[HABER]]&gt;0,tbal[[#This Row],[DEBE]]-tbal[[#This Row],[HABER]],0)</f>
        <v>0</v>
      </c>
      <c r="H2019" s="18">
        <f>IF(tbal[[#This Row],[HABER]]-tbal[[#This Row],[DEBE]]&gt;0,tbal[[#This Row],[HABER]]-tbal[[#This Row],[DEBE]],0)</f>
        <v>0</v>
      </c>
      <c r="I2019" s="16">
        <f>IF((OR(tbal[[#This Row],[X]]=1,tbal[[#This Row],[X]]=2)),tbal[[#This Row],[DEUDOR]],0)</f>
        <v>0</v>
      </c>
      <c r="J2019" s="18">
        <f>IF((OR(tbal[[#This Row],[X]]=2,tbal[[#This Row],[X]]=3)),tbal[[#This Row],[ACREEDOR]],0)</f>
        <v>0</v>
      </c>
      <c r="K2019" s="16">
        <f>IF((OR(tbal[[#This Row],[X]]=3,tbal[[#This Row],[X]]=5)),tbal[[#This Row],[DEUDOR]],0)</f>
        <v>0</v>
      </c>
      <c r="L2019" s="18">
        <f>IF((OR(tbal[[#This Row],[X]]=3,tbal[[#This Row],[X]]=4)),tbal[[#This Row],[ACREEDOR]],0)</f>
        <v>0</v>
      </c>
      <c r="M2019" s="16">
        <f>IF((OR(tbal[[#This Row],[X]]=0,tbal[[#This Row],[X]]=6)),tbal[[#This Row],[DEUDOR]],0)</f>
        <v>0</v>
      </c>
      <c r="N2019" s="18">
        <f>IF((OR(tbal[[#This Row],[X]]=0,tbal[[#This Row],[X]]=5)),tbal[[#This Row],[ACREEDOR]],0)</f>
        <v>0</v>
      </c>
    </row>
    <row r="2020" spans="1:14" hidden="1" x14ac:dyDescent="0.3">
      <c r="A2020" s="14">
        <f>+'PLAN DE CUENTAS'!A2020</f>
        <v>0</v>
      </c>
      <c r="B2020" s="13">
        <f>+'PLAN DE CUENTAS'!B2020</f>
        <v>0</v>
      </c>
      <c r="C2020" s="13">
        <f>+'PLAN DE CUENTAS'!C2020</f>
        <v>0</v>
      </c>
      <c r="D2020" t="str">
        <f>IF(tbal[[#This Row],[DEBE]]+tbal[[#This Row],[HABER]]=0,"","X")</f>
        <v/>
      </c>
      <c r="E2020" s="16">
        <f>SUMIF(tdiario[CUENTA],tbal[[#This Row],[CUENTA]],tdiario[DEBE])</f>
        <v>0</v>
      </c>
      <c r="F2020" s="17">
        <f>SUMIF(tdiario[CUENTA],tbal[[#This Row],[CUENTA]],tdiario[HABER])</f>
        <v>0</v>
      </c>
      <c r="G2020" s="16">
        <f>IF(tbal[[#This Row],[DEBE]]-tbal[[#This Row],[HABER]]&gt;0,tbal[[#This Row],[DEBE]]-tbal[[#This Row],[HABER]],0)</f>
        <v>0</v>
      </c>
      <c r="H2020" s="18">
        <f>IF(tbal[[#This Row],[HABER]]-tbal[[#This Row],[DEBE]]&gt;0,tbal[[#This Row],[HABER]]-tbal[[#This Row],[DEBE]],0)</f>
        <v>0</v>
      </c>
      <c r="I2020" s="16">
        <f>IF((OR(tbal[[#This Row],[X]]=1,tbal[[#This Row],[X]]=2)),tbal[[#This Row],[DEUDOR]],0)</f>
        <v>0</v>
      </c>
      <c r="J2020" s="18">
        <f>IF((OR(tbal[[#This Row],[X]]=2,tbal[[#This Row],[X]]=3)),tbal[[#This Row],[ACREEDOR]],0)</f>
        <v>0</v>
      </c>
      <c r="K2020" s="16">
        <f>IF((OR(tbal[[#This Row],[X]]=3,tbal[[#This Row],[X]]=5)),tbal[[#This Row],[DEUDOR]],0)</f>
        <v>0</v>
      </c>
      <c r="L2020" s="18">
        <f>IF((OR(tbal[[#This Row],[X]]=3,tbal[[#This Row],[X]]=4)),tbal[[#This Row],[ACREEDOR]],0)</f>
        <v>0</v>
      </c>
      <c r="M2020" s="16">
        <f>IF((OR(tbal[[#This Row],[X]]=0,tbal[[#This Row],[X]]=6)),tbal[[#This Row],[DEUDOR]],0)</f>
        <v>0</v>
      </c>
      <c r="N2020" s="18">
        <f>IF((OR(tbal[[#This Row],[X]]=0,tbal[[#This Row],[X]]=5)),tbal[[#This Row],[ACREEDOR]],0)</f>
        <v>0</v>
      </c>
    </row>
    <row r="2021" spans="1:14" hidden="1" x14ac:dyDescent="0.3">
      <c r="A2021" s="14">
        <f>+'PLAN DE CUENTAS'!A2021</f>
        <v>0</v>
      </c>
      <c r="B2021" s="13">
        <f>+'PLAN DE CUENTAS'!B2021</f>
        <v>0</v>
      </c>
      <c r="C2021" s="13">
        <f>+'PLAN DE CUENTAS'!C2021</f>
        <v>0</v>
      </c>
      <c r="D2021" t="str">
        <f>IF(tbal[[#This Row],[DEBE]]+tbal[[#This Row],[HABER]]=0,"","X")</f>
        <v/>
      </c>
      <c r="E2021" s="16">
        <f>SUMIF(tdiario[CUENTA],tbal[[#This Row],[CUENTA]],tdiario[DEBE])</f>
        <v>0</v>
      </c>
      <c r="F2021" s="17">
        <f>SUMIF(tdiario[CUENTA],tbal[[#This Row],[CUENTA]],tdiario[HABER])</f>
        <v>0</v>
      </c>
      <c r="G2021" s="16">
        <f>IF(tbal[[#This Row],[DEBE]]-tbal[[#This Row],[HABER]]&gt;0,tbal[[#This Row],[DEBE]]-tbal[[#This Row],[HABER]],0)</f>
        <v>0</v>
      </c>
      <c r="H2021" s="18">
        <f>IF(tbal[[#This Row],[HABER]]-tbal[[#This Row],[DEBE]]&gt;0,tbal[[#This Row],[HABER]]-tbal[[#This Row],[DEBE]],0)</f>
        <v>0</v>
      </c>
      <c r="I2021" s="16">
        <f>IF((OR(tbal[[#This Row],[X]]=1,tbal[[#This Row],[X]]=2)),tbal[[#This Row],[DEUDOR]],0)</f>
        <v>0</v>
      </c>
      <c r="J2021" s="18">
        <f>IF((OR(tbal[[#This Row],[X]]=2,tbal[[#This Row],[X]]=3)),tbal[[#This Row],[ACREEDOR]],0)</f>
        <v>0</v>
      </c>
      <c r="K2021" s="16">
        <f>IF((OR(tbal[[#This Row],[X]]=3,tbal[[#This Row],[X]]=5)),tbal[[#This Row],[DEUDOR]],0)</f>
        <v>0</v>
      </c>
      <c r="L2021" s="18">
        <f>IF((OR(tbal[[#This Row],[X]]=3,tbal[[#This Row],[X]]=4)),tbal[[#This Row],[ACREEDOR]],0)</f>
        <v>0</v>
      </c>
      <c r="M2021" s="16">
        <f>IF((OR(tbal[[#This Row],[X]]=0,tbal[[#This Row],[X]]=6)),tbal[[#This Row],[DEUDOR]],0)</f>
        <v>0</v>
      </c>
      <c r="N2021" s="18">
        <f>IF((OR(tbal[[#This Row],[X]]=0,tbal[[#This Row],[X]]=5)),tbal[[#This Row],[ACREEDOR]],0)</f>
        <v>0</v>
      </c>
    </row>
    <row r="2022" spans="1:14" hidden="1" x14ac:dyDescent="0.3">
      <c r="A2022" s="14">
        <f>+'PLAN DE CUENTAS'!A2022</f>
        <v>0</v>
      </c>
      <c r="B2022" s="13">
        <f>+'PLAN DE CUENTAS'!B2022</f>
        <v>0</v>
      </c>
      <c r="C2022" s="13">
        <f>+'PLAN DE CUENTAS'!C2022</f>
        <v>0</v>
      </c>
      <c r="D2022" t="str">
        <f>IF(tbal[[#This Row],[DEBE]]+tbal[[#This Row],[HABER]]=0,"","X")</f>
        <v/>
      </c>
      <c r="E2022" s="16">
        <f>SUMIF(tdiario[CUENTA],tbal[[#This Row],[CUENTA]],tdiario[DEBE])</f>
        <v>0</v>
      </c>
      <c r="F2022" s="17">
        <f>SUMIF(tdiario[CUENTA],tbal[[#This Row],[CUENTA]],tdiario[HABER])</f>
        <v>0</v>
      </c>
      <c r="G2022" s="16">
        <f>IF(tbal[[#This Row],[DEBE]]-tbal[[#This Row],[HABER]]&gt;0,tbal[[#This Row],[DEBE]]-tbal[[#This Row],[HABER]],0)</f>
        <v>0</v>
      </c>
      <c r="H2022" s="18">
        <f>IF(tbal[[#This Row],[HABER]]-tbal[[#This Row],[DEBE]]&gt;0,tbal[[#This Row],[HABER]]-tbal[[#This Row],[DEBE]],0)</f>
        <v>0</v>
      </c>
      <c r="I2022" s="16">
        <f>IF((OR(tbal[[#This Row],[X]]=1,tbal[[#This Row],[X]]=2)),tbal[[#This Row],[DEUDOR]],0)</f>
        <v>0</v>
      </c>
      <c r="J2022" s="18">
        <f>IF((OR(tbal[[#This Row],[X]]=2,tbal[[#This Row],[X]]=3)),tbal[[#This Row],[ACREEDOR]],0)</f>
        <v>0</v>
      </c>
      <c r="K2022" s="16">
        <f>IF((OR(tbal[[#This Row],[X]]=3,tbal[[#This Row],[X]]=5)),tbal[[#This Row],[DEUDOR]],0)</f>
        <v>0</v>
      </c>
      <c r="L2022" s="18">
        <f>IF((OR(tbal[[#This Row],[X]]=3,tbal[[#This Row],[X]]=4)),tbal[[#This Row],[ACREEDOR]],0)</f>
        <v>0</v>
      </c>
      <c r="M2022" s="16">
        <f>IF((OR(tbal[[#This Row],[X]]=0,tbal[[#This Row],[X]]=6)),tbal[[#This Row],[DEUDOR]],0)</f>
        <v>0</v>
      </c>
      <c r="N2022" s="18">
        <f>IF((OR(tbal[[#This Row],[X]]=0,tbal[[#This Row],[X]]=5)),tbal[[#This Row],[ACREEDOR]],0)</f>
        <v>0</v>
      </c>
    </row>
    <row r="2023" spans="1:14" hidden="1" x14ac:dyDescent="0.3">
      <c r="A2023" s="14">
        <f>+'PLAN DE CUENTAS'!A2023</f>
        <v>0</v>
      </c>
      <c r="B2023" s="13">
        <f>+'PLAN DE CUENTAS'!B2023</f>
        <v>0</v>
      </c>
      <c r="C2023" s="13">
        <f>+'PLAN DE CUENTAS'!C2023</f>
        <v>0</v>
      </c>
      <c r="D2023" t="str">
        <f>IF(tbal[[#This Row],[DEBE]]+tbal[[#This Row],[HABER]]=0,"","X")</f>
        <v/>
      </c>
      <c r="E2023" s="16">
        <f>SUMIF(tdiario[CUENTA],tbal[[#This Row],[CUENTA]],tdiario[DEBE])</f>
        <v>0</v>
      </c>
      <c r="F2023" s="17">
        <f>SUMIF(tdiario[CUENTA],tbal[[#This Row],[CUENTA]],tdiario[HABER])</f>
        <v>0</v>
      </c>
      <c r="G2023" s="16">
        <f>IF(tbal[[#This Row],[DEBE]]-tbal[[#This Row],[HABER]]&gt;0,tbal[[#This Row],[DEBE]]-tbal[[#This Row],[HABER]],0)</f>
        <v>0</v>
      </c>
      <c r="H2023" s="18">
        <f>IF(tbal[[#This Row],[HABER]]-tbal[[#This Row],[DEBE]]&gt;0,tbal[[#This Row],[HABER]]-tbal[[#This Row],[DEBE]],0)</f>
        <v>0</v>
      </c>
      <c r="I2023" s="16">
        <f>IF((OR(tbal[[#This Row],[X]]=1,tbal[[#This Row],[X]]=2)),tbal[[#This Row],[DEUDOR]],0)</f>
        <v>0</v>
      </c>
      <c r="J2023" s="18">
        <f>IF((OR(tbal[[#This Row],[X]]=2,tbal[[#This Row],[X]]=3)),tbal[[#This Row],[ACREEDOR]],0)</f>
        <v>0</v>
      </c>
      <c r="K2023" s="16">
        <f>IF((OR(tbal[[#This Row],[X]]=3,tbal[[#This Row],[X]]=5)),tbal[[#This Row],[DEUDOR]],0)</f>
        <v>0</v>
      </c>
      <c r="L2023" s="18">
        <f>IF((OR(tbal[[#This Row],[X]]=3,tbal[[#This Row],[X]]=4)),tbal[[#This Row],[ACREEDOR]],0)</f>
        <v>0</v>
      </c>
      <c r="M2023" s="16">
        <f>IF((OR(tbal[[#This Row],[X]]=0,tbal[[#This Row],[X]]=6)),tbal[[#This Row],[DEUDOR]],0)</f>
        <v>0</v>
      </c>
      <c r="N2023" s="18">
        <f>IF((OR(tbal[[#This Row],[X]]=0,tbal[[#This Row],[X]]=5)),tbal[[#This Row],[ACREEDOR]],0)</f>
        <v>0</v>
      </c>
    </row>
    <row r="2024" spans="1:14" hidden="1" x14ac:dyDescent="0.3">
      <c r="A2024" s="14">
        <f>+'PLAN DE CUENTAS'!A2024</f>
        <v>0</v>
      </c>
      <c r="B2024" s="13">
        <f>+'PLAN DE CUENTAS'!B2024</f>
        <v>0</v>
      </c>
      <c r="C2024" s="13">
        <f>+'PLAN DE CUENTAS'!C2024</f>
        <v>0</v>
      </c>
      <c r="D2024" t="str">
        <f>IF(tbal[[#This Row],[DEBE]]+tbal[[#This Row],[HABER]]=0,"","X")</f>
        <v/>
      </c>
      <c r="E2024" s="16">
        <f>SUMIF(tdiario[CUENTA],tbal[[#This Row],[CUENTA]],tdiario[DEBE])</f>
        <v>0</v>
      </c>
      <c r="F2024" s="17">
        <f>SUMIF(tdiario[CUENTA],tbal[[#This Row],[CUENTA]],tdiario[HABER])</f>
        <v>0</v>
      </c>
      <c r="G2024" s="16">
        <f>IF(tbal[[#This Row],[DEBE]]-tbal[[#This Row],[HABER]]&gt;0,tbal[[#This Row],[DEBE]]-tbal[[#This Row],[HABER]],0)</f>
        <v>0</v>
      </c>
      <c r="H2024" s="18">
        <f>IF(tbal[[#This Row],[HABER]]-tbal[[#This Row],[DEBE]]&gt;0,tbal[[#This Row],[HABER]]-tbal[[#This Row],[DEBE]],0)</f>
        <v>0</v>
      </c>
      <c r="I2024" s="16">
        <f>IF((OR(tbal[[#This Row],[X]]=1,tbal[[#This Row],[X]]=2)),tbal[[#This Row],[DEUDOR]],0)</f>
        <v>0</v>
      </c>
      <c r="J2024" s="18">
        <f>IF((OR(tbal[[#This Row],[X]]=2,tbal[[#This Row],[X]]=3)),tbal[[#This Row],[ACREEDOR]],0)</f>
        <v>0</v>
      </c>
      <c r="K2024" s="16">
        <f>IF((OR(tbal[[#This Row],[X]]=3,tbal[[#This Row],[X]]=5)),tbal[[#This Row],[DEUDOR]],0)</f>
        <v>0</v>
      </c>
      <c r="L2024" s="18">
        <f>IF((OR(tbal[[#This Row],[X]]=3,tbal[[#This Row],[X]]=4)),tbal[[#This Row],[ACREEDOR]],0)</f>
        <v>0</v>
      </c>
      <c r="M2024" s="16">
        <f>IF((OR(tbal[[#This Row],[X]]=0,tbal[[#This Row],[X]]=6)),tbal[[#This Row],[DEUDOR]],0)</f>
        <v>0</v>
      </c>
      <c r="N2024" s="18">
        <f>IF((OR(tbal[[#This Row],[X]]=0,tbal[[#This Row],[X]]=5)),tbal[[#This Row],[ACREEDOR]],0)</f>
        <v>0</v>
      </c>
    </row>
    <row r="2025" spans="1:14" hidden="1" x14ac:dyDescent="0.3">
      <c r="A2025" s="14">
        <f>+'PLAN DE CUENTAS'!A2025</f>
        <v>0</v>
      </c>
      <c r="B2025" s="13">
        <f>+'PLAN DE CUENTAS'!B2025</f>
        <v>0</v>
      </c>
      <c r="C2025" s="13">
        <f>+'PLAN DE CUENTAS'!C2025</f>
        <v>0</v>
      </c>
      <c r="D2025" t="str">
        <f>IF(tbal[[#This Row],[DEBE]]+tbal[[#This Row],[HABER]]=0,"","X")</f>
        <v/>
      </c>
      <c r="E2025" s="16">
        <f>SUMIF(tdiario[CUENTA],tbal[[#This Row],[CUENTA]],tdiario[DEBE])</f>
        <v>0</v>
      </c>
      <c r="F2025" s="17">
        <f>SUMIF(tdiario[CUENTA],tbal[[#This Row],[CUENTA]],tdiario[HABER])</f>
        <v>0</v>
      </c>
      <c r="G2025" s="16">
        <f>IF(tbal[[#This Row],[DEBE]]-tbal[[#This Row],[HABER]]&gt;0,tbal[[#This Row],[DEBE]]-tbal[[#This Row],[HABER]],0)</f>
        <v>0</v>
      </c>
      <c r="H2025" s="18">
        <f>IF(tbal[[#This Row],[HABER]]-tbal[[#This Row],[DEBE]]&gt;0,tbal[[#This Row],[HABER]]-tbal[[#This Row],[DEBE]],0)</f>
        <v>0</v>
      </c>
      <c r="I2025" s="16">
        <f>IF((OR(tbal[[#This Row],[X]]=1,tbal[[#This Row],[X]]=2)),tbal[[#This Row],[DEUDOR]],0)</f>
        <v>0</v>
      </c>
      <c r="J2025" s="18">
        <f>IF((OR(tbal[[#This Row],[X]]=2,tbal[[#This Row],[X]]=3)),tbal[[#This Row],[ACREEDOR]],0)</f>
        <v>0</v>
      </c>
      <c r="K2025" s="16">
        <f>IF((OR(tbal[[#This Row],[X]]=3,tbal[[#This Row],[X]]=5)),tbal[[#This Row],[DEUDOR]],0)</f>
        <v>0</v>
      </c>
      <c r="L2025" s="18">
        <f>IF((OR(tbal[[#This Row],[X]]=3,tbal[[#This Row],[X]]=4)),tbal[[#This Row],[ACREEDOR]],0)</f>
        <v>0</v>
      </c>
      <c r="M2025" s="16">
        <f>IF((OR(tbal[[#This Row],[X]]=0,tbal[[#This Row],[X]]=6)),tbal[[#This Row],[DEUDOR]],0)</f>
        <v>0</v>
      </c>
      <c r="N2025" s="18">
        <f>IF((OR(tbal[[#This Row],[X]]=0,tbal[[#This Row],[X]]=5)),tbal[[#This Row],[ACREEDOR]],0)</f>
        <v>0</v>
      </c>
    </row>
    <row r="2026" spans="1:14" hidden="1" x14ac:dyDescent="0.3">
      <c r="A2026" s="14">
        <f>+'PLAN DE CUENTAS'!A2026</f>
        <v>0</v>
      </c>
      <c r="B2026" s="13">
        <f>+'PLAN DE CUENTAS'!B2026</f>
        <v>0</v>
      </c>
      <c r="C2026" s="13">
        <f>+'PLAN DE CUENTAS'!C2026</f>
        <v>0</v>
      </c>
      <c r="D2026" t="str">
        <f>IF(tbal[[#This Row],[DEBE]]+tbal[[#This Row],[HABER]]=0,"","X")</f>
        <v/>
      </c>
      <c r="E2026" s="16">
        <f>SUMIF(tdiario[CUENTA],tbal[[#This Row],[CUENTA]],tdiario[DEBE])</f>
        <v>0</v>
      </c>
      <c r="F2026" s="17">
        <f>SUMIF(tdiario[CUENTA],tbal[[#This Row],[CUENTA]],tdiario[HABER])</f>
        <v>0</v>
      </c>
      <c r="G2026" s="16">
        <f>IF(tbal[[#This Row],[DEBE]]-tbal[[#This Row],[HABER]]&gt;0,tbal[[#This Row],[DEBE]]-tbal[[#This Row],[HABER]],0)</f>
        <v>0</v>
      </c>
      <c r="H2026" s="18">
        <f>IF(tbal[[#This Row],[HABER]]-tbal[[#This Row],[DEBE]]&gt;0,tbal[[#This Row],[HABER]]-tbal[[#This Row],[DEBE]],0)</f>
        <v>0</v>
      </c>
      <c r="I2026" s="16">
        <f>IF((OR(tbal[[#This Row],[X]]=1,tbal[[#This Row],[X]]=2)),tbal[[#This Row],[DEUDOR]],0)</f>
        <v>0</v>
      </c>
      <c r="J2026" s="18">
        <f>IF((OR(tbal[[#This Row],[X]]=2,tbal[[#This Row],[X]]=3)),tbal[[#This Row],[ACREEDOR]],0)</f>
        <v>0</v>
      </c>
      <c r="K2026" s="16">
        <f>IF((OR(tbal[[#This Row],[X]]=3,tbal[[#This Row],[X]]=5)),tbal[[#This Row],[DEUDOR]],0)</f>
        <v>0</v>
      </c>
      <c r="L2026" s="18">
        <f>IF((OR(tbal[[#This Row],[X]]=3,tbal[[#This Row],[X]]=4)),tbal[[#This Row],[ACREEDOR]],0)</f>
        <v>0</v>
      </c>
      <c r="M2026" s="16">
        <f>IF((OR(tbal[[#This Row],[X]]=0,tbal[[#This Row],[X]]=6)),tbal[[#This Row],[DEUDOR]],0)</f>
        <v>0</v>
      </c>
      <c r="N2026" s="18">
        <f>IF((OR(tbal[[#This Row],[X]]=0,tbal[[#This Row],[X]]=5)),tbal[[#This Row],[ACREEDOR]],0)</f>
        <v>0</v>
      </c>
    </row>
    <row r="2027" spans="1:14" hidden="1" x14ac:dyDescent="0.3">
      <c r="A2027" s="14">
        <f>+'PLAN DE CUENTAS'!A2027</f>
        <v>0</v>
      </c>
      <c r="B2027" s="13">
        <f>+'PLAN DE CUENTAS'!B2027</f>
        <v>0</v>
      </c>
      <c r="C2027" s="13">
        <f>+'PLAN DE CUENTAS'!C2027</f>
        <v>0</v>
      </c>
      <c r="D2027" t="str">
        <f>IF(tbal[[#This Row],[DEBE]]+tbal[[#This Row],[HABER]]=0,"","X")</f>
        <v/>
      </c>
      <c r="E2027" s="16">
        <f>SUMIF(tdiario[CUENTA],tbal[[#This Row],[CUENTA]],tdiario[DEBE])</f>
        <v>0</v>
      </c>
      <c r="F2027" s="17">
        <f>SUMIF(tdiario[CUENTA],tbal[[#This Row],[CUENTA]],tdiario[HABER])</f>
        <v>0</v>
      </c>
      <c r="G2027" s="16">
        <f>IF(tbal[[#This Row],[DEBE]]-tbal[[#This Row],[HABER]]&gt;0,tbal[[#This Row],[DEBE]]-tbal[[#This Row],[HABER]],0)</f>
        <v>0</v>
      </c>
      <c r="H2027" s="18">
        <f>IF(tbal[[#This Row],[HABER]]-tbal[[#This Row],[DEBE]]&gt;0,tbal[[#This Row],[HABER]]-tbal[[#This Row],[DEBE]],0)</f>
        <v>0</v>
      </c>
      <c r="I2027" s="16">
        <f>IF((OR(tbal[[#This Row],[X]]=1,tbal[[#This Row],[X]]=2)),tbal[[#This Row],[DEUDOR]],0)</f>
        <v>0</v>
      </c>
      <c r="J2027" s="18">
        <f>IF((OR(tbal[[#This Row],[X]]=2,tbal[[#This Row],[X]]=3)),tbal[[#This Row],[ACREEDOR]],0)</f>
        <v>0</v>
      </c>
      <c r="K2027" s="16">
        <f>IF((OR(tbal[[#This Row],[X]]=3,tbal[[#This Row],[X]]=5)),tbal[[#This Row],[DEUDOR]],0)</f>
        <v>0</v>
      </c>
      <c r="L2027" s="18">
        <f>IF((OR(tbal[[#This Row],[X]]=3,tbal[[#This Row],[X]]=4)),tbal[[#This Row],[ACREEDOR]],0)</f>
        <v>0</v>
      </c>
      <c r="M2027" s="16">
        <f>IF((OR(tbal[[#This Row],[X]]=0,tbal[[#This Row],[X]]=6)),tbal[[#This Row],[DEUDOR]],0)</f>
        <v>0</v>
      </c>
      <c r="N2027" s="18">
        <f>IF((OR(tbal[[#This Row],[X]]=0,tbal[[#This Row],[X]]=5)),tbal[[#This Row],[ACREEDOR]],0)</f>
        <v>0</v>
      </c>
    </row>
    <row r="2028" spans="1:14" hidden="1" x14ac:dyDescent="0.3">
      <c r="A2028" s="14">
        <f>+'PLAN DE CUENTAS'!A2028</f>
        <v>0</v>
      </c>
      <c r="B2028" s="13">
        <f>+'PLAN DE CUENTAS'!B2028</f>
        <v>0</v>
      </c>
      <c r="C2028" s="13">
        <f>+'PLAN DE CUENTAS'!C2028</f>
        <v>0</v>
      </c>
      <c r="D2028" t="str">
        <f>IF(tbal[[#This Row],[DEBE]]+tbal[[#This Row],[HABER]]=0,"","X")</f>
        <v/>
      </c>
      <c r="E2028" s="16">
        <f>SUMIF(tdiario[CUENTA],tbal[[#This Row],[CUENTA]],tdiario[DEBE])</f>
        <v>0</v>
      </c>
      <c r="F2028" s="17">
        <f>SUMIF(tdiario[CUENTA],tbal[[#This Row],[CUENTA]],tdiario[HABER])</f>
        <v>0</v>
      </c>
      <c r="G2028" s="16">
        <f>IF(tbal[[#This Row],[DEBE]]-tbal[[#This Row],[HABER]]&gt;0,tbal[[#This Row],[DEBE]]-tbal[[#This Row],[HABER]],0)</f>
        <v>0</v>
      </c>
      <c r="H2028" s="18">
        <f>IF(tbal[[#This Row],[HABER]]-tbal[[#This Row],[DEBE]]&gt;0,tbal[[#This Row],[HABER]]-tbal[[#This Row],[DEBE]],0)</f>
        <v>0</v>
      </c>
      <c r="I2028" s="16">
        <f>IF((OR(tbal[[#This Row],[X]]=1,tbal[[#This Row],[X]]=2)),tbal[[#This Row],[DEUDOR]],0)</f>
        <v>0</v>
      </c>
      <c r="J2028" s="18">
        <f>IF((OR(tbal[[#This Row],[X]]=2,tbal[[#This Row],[X]]=3)),tbal[[#This Row],[ACREEDOR]],0)</f>
        <v>0</v>
      </c>
      <c r="K2028" s="16">
        <f>IF((OR(tbal[[#This Row],[X]]=3,tbal[[#This Row],[X]]=5)),tbal[[#This Row],[DEUDOR]],0)</f>
        <v>0</v>
      </c>
      <c r="L2028" s="18">
        <f>IF((OR(tbal[[#This Row],[X]]=3,tbal[[#This Row],[X]]=4)),tbal[[#This Row],[ACREEDOR]],0)</f>
        <v>0</v>
      </c>
      <c r="M2028" s="16">
        <f>IF((OR(tbal[[#This Row],[X]]=0,tbal[[#This Row],[X]]=6)),tbal[[#This Row],[DEUDOR]],0)</f>
        <v>0</v>
      </c>
      <c r="N2028" s="18">
        <f>IF((OR(tbal[[#This Row],[X]]=0,tbal[[#This Row],[X]]=5)),tbal[[#This Row],[ACREEDOR]],0)</f>
        <v>0</v>
      </c>
    </row>
    <row r="2029" spans="1:14" hidden="1" x14ac:dyDescent="0.3">
      <c r="A2029" s="14">
        <f>+'PLAN DE CUENTAS'!A2029</f>
        <v>0</v>
      </c>
      <c r="B2029" s="13">
        <f>+'PLAN DE CUENTAS'!B2029</f>
        <v>0</v>
      </c>
      <c r="C2029" s="13">
        <f>+'PLAN DE CUENTAS'!C2029</f>
        <v>0</v>
      </c>
      <c r="D2029" t="str">
        <f>IF(tbal[[#This Row],[DEBE]]+tbal[[#This Row],[HABER]]=0,"","X")</f>
        <v/>
      </c>
      <c r="E2029" s="16">
        <f>SUMIF(tdiario[CUENTA],tbal[[#This Row],[CUENTA]],tdiario[DEBE])</f>
        <v>0</v>
      </c>
      <c r="F2029" s="17">
        <f>SUMIF(tdiario[CUENTA],tbal[[#This Row],[CUENTA]],tdiario[HABER])</f>
        <v>0</v>
      </c>
      <c r="G2029" s="16">
        <f>IF(tbal[[#This Row],[DEBE]]-tbal[[#This Row],[HABER]]&gt;0,tbal[[#This Row],[DEBE]]-tbal[[#This Row],[HABER]],0)</f>
        <v>0</v>
      </c>
      <c r="H2029" s="18">
        <f>IF(tbal[[#This Row],[HABER]]-tbal[[#This Row],[DEBE]]&gt;0,tbal[[#This Row],[HABER]]-tbal[[#This Row],[DEBE]],0)</f>
        <v>0</v>
      </c>
      <c r="I2029" s="16">
        <f>IF((OR(tbal[[#This Row],[X]]=1,tbal[[#This Row],[X]]=2)),tbal[[#This Row],[DEUDOR]],0)</f>
        <v>0</v>
      </c>
      <c r="J2029" s="18">
        <f>IF((OR(tbal[[#This Row],[X]]=2,tbal[[#This Row],[X]]=3)),tbal[[#This Row],[ACREEDOR]],0)</f>
        <v>0</v>
      </c>
      <c r="K2029" s="16">
        <f>IF((OR(tbal[[#This Row],[X]]=3,tbal[[#This Row],[X]]=5)),tbal[[#This Row],[DEUDOR]],0)</f>
        <v>0</v>
      </c>
      <c r="L2029" s="18">
        <f>IF((OR(tbal[[#This Row],[X]]=3,tbal[[#This Row],[X]]=4)),tbal[[#This Row],[ACREEDOR]],0)</f>
        <v>0</v>
      </c>
      <c r="M2029" s="16">
        <f>IF((OR(tbal[[#This Row],[X]]=0,tbal[[#This Row],[X]]=6)),tbal[[#This Row],[DEUDOR]],0)</f>
        <v>0</v>
      </c>
      <c r="N2029" s="18">
        <f>IF((OR(tbal[[#This Row],[X]]=0,tbal[[#This Row],[X]]=5)),tbal[[#This Row],[ACREEDOR]],0)</f>
        <v>0</v>
      </c>
    </row>
    <row r="2030" spans="1:14" hidden="1" x14ac:dyDescent="0.3">
      <c r="A2030" s="14">
        <f>+'PLAN DE CUENTAS'!A2030</f>
        <v>0</v>
      </c>
      <c r="B2030" s="13">
        <f>+'PLAN DE CUENTAS'!B2030</f>
        <v>0</v>
      </c>
      <c r="C2030" s="13">
        <f>+'PLAN DE CUENTAS'!C2030</f>
        <v>0</v>
      </c>
      <c r="D2030" t="str">
        <f>IF(tbal[[#This Row],[DEBE]]+tbal[[#This Row],[HABER]]=0,"","X")</f>
        <v/>
      </c>
      <c r="E2030" s="16">
        <f>SUMIF(tdiario[CUENTA],tbal[[#This Row],[CUENTA]],tdiario[DEBE])</f>
        <v>0</v>
      </c>
      <c r="F2030" s="17">
        <f>SUMIF(tdiario[CUENTA],tbal[[#This Row],[CUENTA]],tdiario[HABER])</f>
        <v>0</v>
      </c>
      <c r="G2030" s="16">
        <f>IF(tbal[[#This Row],[DEBE]]-tbal[[#This Row],[HABER]]&gt;0,tbal[[#This Row],[DEBE]]-tbal[[#This Row],[HABER]],0)</f>
        <v>0</v>
      </c>
      <c r="H2030" s="18">
        <f>IF(tbal[[#This Row],[HABER]]-tbal[[#This Row],[DEBE]]&gt;0,tbal[[#This Row],[HABER]]-tbal[[#This Row],[DEBE]],0)</f>
        <v>0</v>
      </c>
      <c r="I2030" s="16">
        <f>IF((OR(tbal[[#This Row],[X]]=1,tbal[[#This Row],[X]]=2)),tbal[[#This Row],[DEUDOR]],0)</f>
        <v>0</v>
      </c>
      <c r="J2030" s="18">
        <f>IF((OR(tbal[[#This Row],[X]]=2,tbal[[#This Row],[X]]=3)),tbal[[#This Row],[ACREEDOR]],0)</f>
        <v>0</v>
      </c>
      <c r="K2030" s="16">
        <f>IF((OR(tbal[[#This Row],[X]]=3,tbal[[#This Row],[X]]=5)),tbal[[#This Row],[DEUDOR]],0)</f>
        <v>0</v>
      </c>
      <c r="L2030" s="18">
        <f>IF((OR(tbal[[#This Row],[X]]=3,tbal[[#This Row],[X]]=4)),tbal[[#This Row],[ACREEDOR]],0)</f>
        <v>0</v>
      </c>
      <c r="M2030" s="16">
        <f>IF((OR(tbal[[#This Row],[X]]=0,tbal[[#This Row],[X]]=6)),tbal[[#This Row],[DEUDOR]],0)</f>
        <v>0</v>
      </c>
      <c r="N2030" s="18">
        <f>IF((OR(tbal[[#This Row],[X]]=0,tbal[[#This Row],[X]]=5)),tbal[[#This Row],[ACREEDOR]],0)</f>
        <v>0</v>
      </c>
    </row>
    <row r="2031" spans="1:14" hidden="1" x14ac:dyDescent="0.3">
      <c r="A2031" s="14">
        <f>+'PLAN DE CUENTAS'!A2031</f>
        <v>0</v>
      </c>
      <c r="B2031" s="13">
        <f>+'PLAN DE CUENTAS'!B2031</f>
        <v>0</v>
      </c>
      <c r="C2031" s="13">
        <f>+'PLAN DE CUENTAS'!C2031</f>
        <v>0</v>
      </c>
      <c r="D2031" t="str">
        <f>IF(tbal[[#This Row],[DEBE]]+tbal[[#This Row],[HABER]]=0,"","X")</f>
        <v/>
      </c>
      <c r="E2031" s="16">
        <f>SUMIF(tdiario[CUENTA],tbal[[#This Row],[CUENTA]],tdiario[DEBE])</f>
        <v>0</v>
      </c>
      <c r="F2031" s="17">
        <f>SUMIF(tdiario[CUENTA],tbal[[#This Row],[CUENTA]],tdiario[HABER])</f>
        <v>0</v>
      </c>
      <c r="G2031" s="16">
        <f>IF(tbal[[#This Row],[DEBE]]-tbal[[#This Row],[HABER]]&gt;0,tbal[[#This Row],[DEBE]]-tbal[[#This Row],[HABER]],0)</f>
        <v>0</v>
      </c>
      <c r="H2031" s="18">
        <f>IF(tbal[[#This Row],[HABER]]-tbal[[#This Row],[DEBE]]&gt;0,tbal[[#This Row],[HABER]]-tbal[[#This Row],[DEBE]],0)</f>
        <v>0</v>
      </c>
      <c r="I2031" s="16">
        <f>IF((OR(tbal[[#This Row],[X]]=1,tbal[[#This Row],[X]]=2)),tbal[[#This Row],[DEUDOR]],0)</f>
        <v>0</v>
      </c>
      <c r="J2031" s="18">
        <f>IF((OR(tbal[[#This Row],[X]]=2,tbal[[#This Row],[X]]=3)),tbal[[#This Row],[ACREEDOR]],0)</f>
        <v>0</v>
      </c>
      <c r="K2031" s="16">
        <f>IF((OR(tbal[[#This Row],[X]]=3,tbal[[#This Row],[X]]=5)),tbal[[#This Row],[DEUDOR]],0)</f>
        <v>0</v>
      </c>
      <c r="L2031" s="18">
        <f>IF((OR(tbal[[#This Row],[X]]=3,tbal[[#This Row],[X]]=4)),tbal[[#This Row],[ACREEDOR]],0)</f>
        <v>0</v>
      </c>
      <c r="M2031" s="16">
        <f>IF((OR(tbal[[#This Row],[X]]=0,tbal[[#This Row],[X]]=6)),tbal[[#This Row],[DEUDOR]],0)</f>
        <v>0</v>
      </c>
      <c r="N2031" s="18">
        <f>IF((OR(tbal[[#This Row],[X]]=0,tbal[[#This Row],[X]]=5)),tbal[[#This Row],[ACREEDOR]],0)</f>
        <v>0</v>
      </c>
    </row>
    <row r="2032" spans="1:14" hidden="1" x14ac:dyDescent="0.3">
      <c r="A2032" s="14">
        <f>+'PLAN DE CUENTAS'!A2032</f>
        <v>0</v>
      </c>
      <c r="B2032" s="13">
        <f>+'PLAN DE CUENTAS'!B2032</f>
        <v>0</v>
      </c>
      <c r="C2032" s="13">
        <f>+'PLAN DE CUENTAS'!C2032</f>
        <v>0</v>
      </c>
      <c r="D2032" t="str">
        <f>IF(tbal[[#This Row],[DEBE]]+tbal[[#This Row],[HABER]]=0,"","X")</f>
        <v/>
      </c>
      <c r="E2032" s="16">
        <f>SUMIF(tdiario[CUENTA],tbal[[#This Row],[CUENTA]],tdiario[DEBE])</f>
        <v>0</v>
      </c>
      <c r="F2032" s="17">
        <f>SUMIF(tdiario[CUENTA],tbal[[#This Row],[CUENTA]],tdiario[HABER])</f>
        <v>0</v>
      </c>
      <c r="G2032" s="16">
        <f>IF(tbal[[#This Row],[DEBE]]-tbal[[#This Row],[HABER]]&gt;0,tbal[[#This Row],[DEBE]]-tbal[[#This Row],[HABER]],0)</f>
        <v>0</v>
      </c>
      <c r="H2032" s="18">
        <f>IF(tbal[[#This Row],[HABER]]-tbal[[#This Row],[DEBE]]&gt;0,tbal[[#This Row],[HABER]]-tbal[[#This Row],[DEBE]],0)</f>
        <v>0</v>
      </c>
      <c r="I2032" s="16">
        <f>IF((OR(tbal[[#This Row],[X]]=1,tbal[[#This Row],[X]]=2)),tbal[[#This Row],[DEUDOR]],0)</f>
        <v>0</v>
      </c>
      <c r="J2032" s="18">
        <f>IF((OR(tbal[[#This Row],[X]]=2,tbal[[#This Row],[X]]=3)),tbal[[#This Row],[ACREEDOR]],0)</f>
        <v>0</v>
      </c>
      <c r="K2032" s="16">
        <f>IF((OR(tbal[[#This Row],[X]]=3,tbal[[#This Row],[X]]=5)),tbal[[#This Row],[DEUDOR]],0)</f>
        <v>0</v>
      </c>
      <c r="L2032" s="18">
        <f>IF((OR(tbal[[#This Row],[X]]=3,tbal[[#This Row],[X]]=4)),tbal[[#This Row],[ACREEDOR]],0)</f>
        <v>0</v>
      </c>
      <c r="M2032" s="16">
        <f>IF((OR(tbal[[#This Row],[X]]=0,tbal[[#This Row],[X]]=6)),tbal[[#This Row],[DEUDOR]],0)</f>
        <v>0</v>
      </c>
      <c r="N2032" s="18">
        <f>IF((OR(tbal[[#This Row],[X]]=0,tbal[[#This Row],[X]]=5)),tbal[[#This Row],[ACREEDOR]],0)</f>
        <v>0</v>
      </c>
    </row>
    <row r="2033" spans="1:14" hidden="1" x14ac:dyDescent="0.3">
      <c r="A2033" s="14">
        <f>+'PLAN DE CUENTAS'!A2033</f>
        <v>0</v>
      </c>
      <c r="B2033" s="13">
        <f>+'PLAN DE CUENTAS'!B2033</f>
        <v>0</v>
      </c>
      <c r="C2033" s="13">
        <f>+'PLAN DE CUENTAS'!C2033</f>
        <v>0</v>
      </c>
      <c r="D2033" t="str">
        <f>IF(tbal[[#This Row],[DEBE]]+tbal[[#This Row],[HABER]]=0,"","X")</f>
        <v/>
      </c>
      <c r="E2033" s="16">
        <f>SUMIF(tdiario[CUENTA],tbal[[#This Row],[CUENTA]],tdiario[DEBE])</f>
        <v>0</v>
      </c>
      <c r="F2033" s="17">
        <f>SUMIF(tdiario[CUENTA],tbal[[#This Row],[CUENTA]],tdiario[HABER])</f>
        <v>0</v>
      </c>
      <c r="G2033" s="16">
        <f>IF(tbal[[#This Row],[DEBE]]-tbal[[#This Row],[HABER]]&gt;0,tbal[[#This Row],[DEBE]]-tbal[[#This Row],[HABER]],0)</f>
        <v>0</v>
      </c>
      <c r="H2033" s="18">
        <f>IF(tbal[[#This Row],[HABER]]-tbal[[#This Row],[DEBE]]&gt;0,tbal[[#This Row],[HABER]]-tbal[[#This Row],[DEBE]],0)</f>
        <v>0</v>
      </c>
      <c r="I2033" s="16">
        <f>IF((OR(tbal[[#This Row],[X]]=1,tbal[[#This Row],[X]]=2)),tbal[[#This Row],[DEUDOR]],0)</f>
        <v>0</v>
      </c>
      <c r="J2033" s="18">
        <f>IF((OR(tbal[[#This Row],[X]]=2,tbal[[#This Row],[X]]=3)),tbal[[#This Row],[ACREEDOR]],0)</f>
        <v>0</v>
      </c>
      <c r="K2033" s="16">
        <f>IF((OR(tbal[[#This Row],[X]]=3,tbal[[#This Row],[X]]=5)),tbal[[#This Row],[DEUDOR]],0)</f>
        <v>0</v>
      </c>
      <c r="L2033" s="18">
        <f>IF((OR(tbal[[#This Row],[X]]=3,tbal[[#This Row],[X]]=4)),tbal[[#This Row],[ACREEDOR]],0)</f>
        <v>0</v>
      </c>
      <c r="M2033" s="16">
        <f>IF((OR(tbal[[#This Row],[X]]=0,tbal[[#This Row],[X]]=6)),tbal[[#This Row],[DEUDOR]],0)</f>
        <v>0</v>
      </c>
      <c r="N2033" s="18">
        <f>IF((OR(tbal[[#This Row],[X]]=0,tbal[[#This Row],[X]]=5)),tbal[[#This Row],[ACREEDOR]],0)</f>
        <v>0</v>
      </c>
    </row>
    <row r="2034" spans="1:14" hidden="1" x14ac:dyDescent="0.3">
      <c r="A2034" s="14">
        <f>+'PLAN DE CUENTAS'!A2034</f>
        <v>0</v>
      </c>
      <c r="B2034" s="13">
        <f>+'PLAN DE CUENTAS'!B2034</f>
        <v>0</v>
      </c>
      <c r="C2034" s="13">
        <f>+'PLAN DE CUENTAS'!C2034</f>
        <v>0</v>
      </c>
      <c r="D2034" t="str">
        <f>IF(tbal[[#This Row],[DEBE]]+tbal[[#This Row],[HABER]]=0,"","X")</f>
        <v/>
      </c>
      <c r="E2034" s="16">
        <f>SUMIF(tdiario[CUENTA],tbal[[#This Row],[CUENTA]],tdiario[DEBE])</f>
        <v>0</v>
      </c>
      <c r="F2034" s="17">
        <f>SUMIF(tdiario[CUENTA],tbal[[#This Row],[CUENTA]],tdiario[HABER])</f>
        <v>0</v>
      </c>
      <c r="G2034" s="16">
        <f>IF(tbal[[#This Row],[DEBE]]-tbal[[#This Row],[HABER]]&gt;0,tbal[[#This Row],[DEBE]]-tbal[[#This Row],[HABER]],0)</f>
        <v>0</v>
      </c>
      <c r="H2034" s="18">
        <f>IF(tbal[[#This Row],[HABER]]-tbal[[#This Row],[DEBE]]&gt;0,tbal[[#This Row],[HABER]]-tbal[[#This Row],[DEBE]],0)</f>
        <v>0</v>
      </c>
      <c r="I2034" s="16">
        <f>IF((OR(tbal[[#This Row],[X]]=1,tbal[[#This Row],[X]]=2)),tbal[[#This Row],[DEUDOR]],0)</f>
        <v>0</v>
      </c>
      <c r="J2034" s="18">
        <f>IF((OR(tbal[[#This Row],[X]]=2,tbal[[#This Row],[X]]=3)),tbal[[#This Row],[ACREEDOR]],0)</f>
        <v>0</v>
      </c>
      <c r="K2034" s="16">
        <f>IF((OR(tbal[[#This Row],[X]]=3,tbal[[#This Row],[X]]=5)),tbal[[#This Row],[DEUDOR]],0)</f>
        <v>0</v>
      </c>
      <c r="L2034" s="18">
        <f>IF((OR(tbal[[#This Row],[X]]=3,tbal[[#This Row],[X]]=4)),tbal[[#This Row],[ACREEDOR]],0)</f>
        <v>0</v>
      </c>
      <c r="M2034" s="16">
        <f>IF((OR(tbal[[#This Row],[X]]=0,tbal[[#This Row],[X]]=6)),tbal[[#This Row],[DEUDOR]],0)</f>
        <v>0</v>
      </c>
      <c r="N2034" s="18">
        <f>IF((OR(tbal[[#This Row],[X]]=0,tbal[[#This Row],[X]]=5)),tbal[[#This Row],[ACREEDOR]],0)</f>
        <v>0</v>
      </c>
    </row>
    <row r="2035" spans="1:14" hidden="1" x14ac:dyDescent="0.3">
      <c r="A2035" s="14">
        <f>+'PLAN DE CUENTAS'!A2035</f>
        <v>0</v>
      </c>
      <c r="B2035" s="13">
        <f>+'PLAN DE CUENTAS'!B2035</f>
        <v>0</v>
      </c>
      <c r="C2035" s="13">
        <f>+'PLAN DE CUENTAS'!C2035</f>
        <v>0</v>
      </c>
      <c r="D2035" t="str">
        <f>IF(tbal[[#This Row],[DEBE]]+tbal[[#This Row],[HABER]]=0,"","X")</f>
        <v/>
      </c>
      <c r="E2035" s="16">
        <f>SUMIF(tdiario[CUENTA],tbal[[#This Row],[CUENTA]],tdiario[DEBE])</f>
        <v>0</v>
      </c>
      <c r="F2035" s="17">
        <f>SUMIF(tdiario[CUENTA],tbal[[#This Row],[CUENTA]],tdiario[HABER])</f>
        <v>0</v>
      </c>
      <c r="G2035" s="16">
        <f>IF(tbal[[#This Row],[DEBE]]-tbal[[#This Row],[HABER]]&gt;0,tbal[[#This Row],[DEBE]]-tbal[[#This Row],[HABER]],0)</f>
        <v>0</v>
      </c>
      <c r="H2035" s="18">
        <f>IF(tbal[[#This Row],[HABER]]-tbal[[#This Row],[DEBE]]&gt;0,tbal[[#This Row],[HABER]]-tbal[[#This Row],[DEBE]],0)</f>
        <v>0</v>
      </c>
      <c r="I2035" s="16">
        <f>IF((OR(tbal[[#This Row],[X]]=1,tbal[[#This Row],[X]]=2)),tbal[[#This Row],[DEUDOR]],0)</f>
        <v>0</v>
      </c>
      <c r="J2035" s="18">
        <f>IF((OR(tbal[[#This Row],[X]]=2,tbal[[#This Row],[X]]=3)),tbal[[#This Row],[ACREEDOR]],0)</f>
        <v>0</v>
      </c>
      <c r="K2035" s="16">
        <f>IF((OR(tbal[[#This Row],[X]]=3,tbal[[#This Row],[X]]=5)),tbal[[#This Row],[DEUDOR]],0)</f>
        <v>0</v>
      </c>
      <c r="L2035" s="18">
        <f>IF((OR(tbal[[#This Row],[X]]=3,tbal[[#This Row],[X]]=4)),tbal[[#This Row],[ACREEDOR]],0)</f>
        <v>0</v>
      </c>
      <c r="M2035" s="16">
        <f>IF((OR(tbal[[#This Row],[X]]=0,tbal[[#This Row],[X]]=6)),tbal[[#This Row],[DEUDOR]],0)</f>
        <v>0</v>
      </c>
      <c r="N2035" s="18">
        <f>IF((OR(tbal[[#This Row],[X]]=0,tbal[[#This Row],[X]]=5)),tbal[[#This Row],[ACREEDOR]],0)</f>
        <v>0</v>
      </c>
    </row>
    <row r="2036" spans="1:14" hidden="1" x14ac:dyDescent="0.3">
      <c r="A2036" s="14">
        <f>+'PLAN DE CUENTAS'!A2036</f>
        <v>0</v>
      </c>
      <c r="B2036" s="13">
        <f>+'PLAN DE CUENTAS'!B2036</f>
        <v>0</v>
      </c>
      <c r="C2036" s="13">
        <f>+'PLAN DE CUENTAS'!C2036</f>
        <v>0</v>
      </c>
      <c r="D2036" t="str">
        <f>IF(tbal[[#This Row],[DEBE]]+tbal[[#This Row],[HABER]]=0,"","X")</f>
        <v/>
      </c>
      <c r="E2036" s="16">
        <f>SUMIF(tdiario[CUENTA],tbal[[#This Row],[CUENTA]],tdiario[DEBE])</f>
        <v>0</v>
      </c>
      <c r="F2036" s="17">
        <f>SUMIF(tdiario[CUENTA],tbal[[#This Row],[CUENTA]],tdiario[HABER])</f>
        <v>0</v>
      </c>
      <c r="G2036" s="16">
        <f>IF(tbal[[#This Row],[DEBE]]-tbal[[#This Row],[HABER]]&gt;0,tbal[[#This Row],[DEBE]]-tbal[[#This Row],[HABER]],0)</f>
        <v>0</v>
      </c>
      <c r="H2036" s="18">
        <f>IF(tbal[[#This Row],[HABER]]-tbal[[#This Row],[DEBE]]&gt;0,tbal[[#This Row],[HABER]]-tbal[[#This Row],[DEBE]],0)</f>
        <v>0</v>
      </c>
      <c r="I2036" s="16">
        <f>IF((OR(tbal[[#This Row],[X]]=1,tbal[[#This Row],[X]]=2)),tbal[[#This Row],[DEUDOR]],0)</f>
        <v>0</v>
      </c>
      <c r="J2036" s="18">
        <f>IF((OR(tbal[[#This Row],[X]]=2,tbal[[#This Row],[X]]=3)),tbal[[#This Row],[ACREEDOR]],0)</f>
        <v>0</v>
      </c>
      <c r="K2036" s="16">
        <f>IF((OR(tbal[[#This Row],[X]]=3,tbal[[#This Row],[X]]=5)),tbal[[#This Row],[DEUDOR]],0)</f>
        <v>0</v>
      </c>
      <c r="L2036" s="18">
        <f>IF((OR(tbal[[#This Row],[X]]=3,tbal[[#This Row],[X]]=4)),tbal[[#This Row],[ACREEDOR]],0)</f>
        <v>0</v>
      </c>
      <c r="M2036" s="16">
        <f>IF((OR(tbal[[#This Row],[X]]=0,tbal[[#This Row],[X]]=6)),tbal[[#This Row],[DEUDOR]],0)</f>
        <v>0</v>
      </c>
      <c r="N2036" s="18">
        <f>IF((OR(tbal[[#This Row],[X]]=0,tbal[[#This Row],[X]]=5)),tbal[[#This Row],[ACREEDOR]],0)</f>
        <v>0</v>
      </c>
    </row>
    <row r="2037" spans="1:14" hidden="1" x14ac:dyDescent="0.3">
      <c r="A2037" s="14">
        <f>+'PLAN DE CUENTAS'!A2037</f>
        <v>0</v>
      </c>
      <c r="B2037" s="13">
        <f>+'PLAN DE CUENTAS'!B2037</f>
        <v>0</v>
      </c>
      <c r="C2037" s="13">
        <f>+'PLAN DE CUENTAS'!C2037</f>
        <v>0</v>
      </c>
      <c r="D2037" t="str">
        <f>IF(tbal[[#This Row],[DEBE]]+tbal[[#This Row],[HABER]]=0,"","X")</f>
        <v/>
      </c>
      <c r="E2037" s="16">
        <f>SUMIF(tdiario[CUENTA],tbal[[#This Row],[CUENTA]],tdiario[DEBE])</f>
        <v>0</v>
      </c>
      <c r="F2037" s="17">
        <f>SUMIF(tdiario[CUENTA],tbal[[#This Row],[CUENTA]],tdiario[HABER])</f>
        <v>0</v>
      </c>
      <c r="G2037" s="16">
        <f>IF(tbal[[#This Row],[DEBE]]-tbal[[#This Row],[HABER]]&gt;0,tbal[[#This Row],[DEBE]]-tbal[[#This Row],[HABER]],0)</f>
        <v>0</v>
      </c>
      <c r="H2037" s="18">
        <f>IF(tbal[[#This Row],[HABER]]-tbal[[#This Row],[DEBE]]&gt;0,tbal[[#This Row],[HABER]]-tbal[[#This Row],[DEBE]],0)</f>
        <v>0</v>
      </c>
      <c r="I2037" s="16">
        <f>IF((OR(tbal[[#This Row],[X]]=1,tbal[[#This Row],[X]]=2)),tbal[[#This Row],[DEUDOR]],0)</f>
        <v>0</v>
      </c>
      <c r="J2037" s="18">
        <f>IF((OR(tbal[[#This Row],[X]]=2,tbal[[#This Row],[X]]=3)),tbal[[#This Row],[ACREEDOR]],0)</f>
        <v>0</v>
      </c>
      <c r="K2037" s="16">
        <f>IF((OR(tbal[[#This Row],[X]]=3,tbal[[#This Row],[X]]=5)),tbal[[#This Row],[DEUDOR]],0)</f>
        <v>0</v>
      </c>
      <c r="L2037" s="18">
        <f>IF((OR(tbal[[#This Row],[X]]=3,tbal[[#This Row],[X]]=4)),tbal[[#This Row],[ACREEDOR]],0)</f>
        <v>0</v>
      </c>
      <c r="M2037" s="16">
        <f>IF((OR(tbal[[#This Row],[X]]=0,tbal[[#This Row],[X]]=6)),tbal[[#This Row],[DEUDOR]],0)</f>
        <v>0</v>
      </c>
      <c r="N2037" s="18">
        <f>IF((OR(tbal[[#This Row],[X]]=0,tbal[[#This Row],[X]]=5)),tbal[[#This Row],[ACREEDOR]],0)</f>
        <v>0</v>
      </c>
    </row>
    <row r="2038" spans="1:14" hidden="1" x14ac:dyDescent="0.3">
      <c r="A2038" s="14">
        <f>+'PLAN DE CUENTAS'!A2038</f>
        <v>0</v>
      </c>
      <c r="B2038" s="13">
        <f>+'PLAN DE CUENTAS'!B2038</f>
        <v>0</v>
      </c>
      <c r="C2038" s="13">
        <f>+'PLAN DE CUENTAS'!C2038</f>
        <v>0</v>
      </c>
      <c r="D2038" t="str">
        <f>IF(tbal[[#This Row],[DEBE]]+tbal[[#This Row],[HABER]]=0,"","X")</f>
        <v/>
      </c>
      <c r="E2038" s="16">
        <f>SUMIF(tdiario[CUENTA],tbal[[#This Row],[CUENTA]],tdiario[DEBE])</f>
        <v>0</v>
      </c>
      <c r="F2038" s="17">
        <f>SUMIF(tdiario[CUENTA],tbal[[#This Row],[CUENTA]],tdiario[HABER])</f>
        <v>0</v>
      </c>
      <c r="G2038" s="16">
        <f>IF(tbal[[#This Row],[DEBE]]-tbal[[#This Row],[HABER]]&gt;0,tbal[[#This Row],[DEBE]]-tbal[[#This Row],[HABER]],0)</f>
        <v>0</v>
      </c>
      <c r="H2038" s="18">
        <f>IF(tbal[[#This Row],[HABER]]-tbal[[#This Row],[DEBE]]&gt;0,tbal[[#This Row],[HABER]]-tbal[[#This Row],[DEBE]],0)</f>
        <v>0</v>
      </c>
      <c r="I2038" s="16">
        <f>IF((OR(tbal[[#This Row],[X]]=1,tbal[[#This Row],[X]]=2)),tbal[[#This Row],[DEUDOR]],0)</f>
        <v>0</v>
      </c>
      <c r="J2038" s="18">
        <f>IF((OR(tbal[[#This Row],[X]]=2,tbal[[#This Row],[X]]=3)),tbal[[#This Row],[ACREEDOR]],0)</f>
        <v>0</v>
      </c>
      <c r="K2038" s="16">
        <f>IF((OR(tbal[[#This Row],[X]]=3,tbal[[#This Row],[X]]=5)),tbal[[#This Row],[DEUDOR]],0)</f>
        <v>0</v>
      </c>
      <c r="L2038" s="18">
        <f>IF((OR(tbal[[#This Row],[X]]=3,tbal[[#This Row],[X]]=4)),tbal[[#This Row],[ACREEDOR]],0)</f>
        <v>0</v>
      </c>
      <c r="M2038" s="16">
        <f>IF((OR(tbal[[#This Row],[X]]=0,tbal[[#This Row],[X]]=6)),tbal[[#This Row],[DEUDOR]],0)</f>
        <v>0</v>
      </c>
      <c r="N2038" s="18">
        <f>IF((OR(tbal[[#This Row],[X]]=0,tbal[[#This Row],[X]]=5)),tbal[[#This Row],[ACREEDOR]],0)</f>
        <v>0</v>
      </c>
    </row>
    <row r="2039" spans="1:14" hidden="1" x14ac:dyDescent="0.3">
      <c r="A2039" s="14">
        <f>+'PLAN DE CUENTAS'!A2039</f>
        <v>0</v>
      </c>
      <c r="B2039" s="13">
        <f>+'PLAN DE CUENTAS'!B2039</f>
        <v>0</v>
      </c>
      <c r="C2039" s="13">
        <f>+'PLAN DE CUENTAS'!C2039</f>
        <v>0</v>
      </c>
      <c r="D2039" t="str">
        <f>IF(tbal[[#This Row],[DEBE]]+tbal[[#This Row],[HABER]]=0,"","X")</f>
        <v/>
      </c>
      <c r="E2039" s="16">
        <f>SUMIF(tdiario[CUENTA],tbal[[#This Row],[CUENTA]],tdiario[DEBE])</f>
        <v>0</v>
      </c>
      <c r="F2039" s="17">
        <f>SUMIF(tdiario[CUENTA],tbal[[#This Row],[CUENTA]],tdiario[HABER])</f>
        <v>0</v>
      </c>
      <c r="G2039" s="16">
        <f>IF(tbal[[#This Row],[DEBE]]-tbal[[#This Row],[HABER]]&gt;0,tbal[[#This Row],[DEBE]]-tbal[[#This Row],[HABER]],0)</f>
        <v>0</v>
      </c>
      <c r="H2039" s="18">
        <f>IF(tbal[[#This Row],[HABER]]-tbal[[#This Row],[DEBE]]&gt;0,tbal[[#This Row],[HABER]]-tbal[[#This Row],[DEBE]],0)</f>
        <v>0</v>
      </c>
      <c r="I2039" s="16">
        <f>IF((OR(tbal[[#This Row],[X]]=1,tbal[[#This Row],[X]]=2)),tbal[[#This Row],[DEUDOR]],0)</f>
        <v>0</v>
      </c>
      <c r="J2039" s="18">
        <f>IF((OR(tbal[[#This Row],[X]]=2,tbal[[#This Row],[X]]=3)),tbal[[#This Row],[ACREEDOR]],0)</f>
        <v>0</v>
      </c>
      <c r="K2039" s="16">
        <f>IF((OR(tbal[[#This Row],[X]]=3,tbal[[#This Row],[X]]=5)),tbal[[#This Row],[DEUDOR]],0)</f>
        <v>0</v>
      </c>
      <c r="L2039" s="18">
        <f>IF((OR(tbal[[#This Row],[X]]=3,tbal[[#This Row],[X]]=4)),tbal[[#This Row],[ACREEDOR]],0)</f>
        <v>0</v>
      </c>
      <c r="M2039" s="16">
        <f>IF((OR(tbal[[#This Row],[X]]=0,tbal[[#This Row],[X]]=6)),tbal[[#This Row],[DEUDOR]],0)</f>
        <v>0</v>
      </c>
      <c r="N2039" s="18">
        <f>IF((OR(tbal[[#This Row],[X]]=0,tbal[[#This Row],[X]]=5)),tbal[[#This Row],[ACREEDOR]],0)</f>
        <v>0</v>
      </c>
    </row>
    <row r="2040" spans="1:14" hidden="1" x14ac:dyDescent="0.3">
      <c r="A2040" s="14">
        <f>+'PLAN DE CUENTAS'!A2040</f>
        <v>0</v>
      </c>
      <c r="B2040" s="13">
        <f>+'PLAN DE CUENTAS'!B2040</f>
        <v>0</v>
      </c>
      <c r="C2040" s="13">
        <f>+'PLAN DE CUENTAS'!C2040</f>
        <v>0</v>
      </c>
      <c r="D2040" t="str">
        <f>IF(tbal[[#This Row],[DEBE]]+tbal[[#This Row],[HABER]]=0,"","X")</f>
        <v/>
      </c>
      <c r="E2040" s="16">
        <f>SUMIF(tdiario[CUENTA],tbal[[#This Row],[CUENTA]],tdiario[DEBE])</f>
        <v>0</v>
      </c>
      <c r="F2040" s="17">
        <f>SUMIF(tdiario[CUENTA],tbal[[#This Row],[CUENTA]],tdiario[HABER])</f>
        <v>0</v>
      </c>
      <c r="G2040" s="16">
        <f>IF(tbal[[#This Row],[DEBE]]-tbal[[#This Row],[HABER]]&gt;0,tbal[[#This Row],[DEBE]]-tbal[[#This Row],[HABER]],0)</f>
        <v>0</v>
      </c>
      <c r="H2040" s="18">
        <f>IF(tbal[[#This Row],[HABER]]-tbal[[#This Row],[DEBE]]&gt;0,tbal[[#This Row],[HABER]]-tbal[[#This Row],[DEBE]],0)</f>
        <v>0</v>
      </c>
      <c r="I2040" s="16">
        <f>IF((OR(tbal[[#This Row],[X]]=1,tbal[[#This Row],[X]]=2)),tbal[[#This Row],[DEUDOR]],0)</f>
        <v>0</v>
      </c>
      <c r="J2040" s="18">
        <f>IF((OR(tbal[[#This Row],[X]]=2,tbal[[#This Row],[X]]=3)),tbal[[#This Row],[ACREEDOR]],0)</f>
        <v>0</v>
      </c>
      <c r="K2040" s="16">
        <f>IF((OR(tbal[[#This Row],[X]]=3,tbal[[#This Row],[X]]=5)),tbal[[#This Row],[DEUDOR]],0)</f>
        <v>0</v>
      </c>
      <c r="L2040" s="18">
        <f>IF((OR(tbal[[#This Row],[X]]=3,tbal[[#This Row],[X]]=4)),tbal[[#This Row],[ACREEDOR]],0)</f>
        <v>0</v>
      </c>
      <c r="M2040" s="16">
        <f>IF((OR(tbal[[#This Row],[X]]=0,tbal[[#This Row],[X]]=6)),tbal[[#This Row],[DEUDOR]],0)</f>
        <v>0</v>
      </c>
      <c r="N2040" s="18">
        <f>IF((OR(tbal[[#This Row],[X]]=0,tbal[[#This Row],[X]]=5)),tbal[[#This Row],[ACREEDOR]],0)</f>
        <v>0</v>
      </c>
    </row>
    <row r="2041" spans="1:14" hidden="1" x14ac:dyDescent="0.3">
      <c r="A2041" s="14">
        <f>+'PLAN DE CUENTAS'!A2041</f>
        <v>0</v>
      </c>
      <c r="B2041" s="13">
        <f>+'PLAN DE CUENTAS'!B2041</f>
        <v>0</v>
      </c>
      <c r="C2041" s="13">
        <f>+'PLAN DE CUENTAS'!C2041</f>
        <v>0</v>
      </c>
      <c r="D2041" t="str">
        <f>IF(tbal[[#This Row],[DEBE]]+tbal[[#This Row],[HABER]]=0,"","X")</f>
        <v/>
      </c>
      <c r="E2041" s="16">
        <f>SUMIF(tdiario[CUENTA],tbal[[#This Row],[CUENTA]],tdiario[DEBE])</f>
        <v>0</v>
      </c>
      <c r="F2041" s="17">
        <f>SUMIF(tdiario[CUENTA],tbal[[#This Row],[CUENTA]],tdiario[HABER])</f>
        <v>0</v>
      </c>
      <c r="G2041" s="16">
        <f>IF(tbal[[#This Row],[DEBE]]-tbal[[#This Row],[HABER]]&gt;0,tbal[[#This Row],[DEBE]]-tbal[[#This Row],[HABER]],0)</f>
        <v>0</v>
      </c>
      <c r="H2041" s="18">
        <f>IF(tbal[[#This Row],[HABER]]-tbal[[#This Row],[DEBE]]&gt;0,tbal[[#This Row],[HABER]]-tbal[[#This Row],[DEBE]],0)</f>
        <v>0</v>
      </c>
      <c r="I2041" s="16">
        <f>IF((OR(tbal[[#This Row],[X]]=1,tbal[[#This Row],[X]]=2)),tbal[[#This Row],[DEUDOR]],0)</f>
        <v>0</v>
      </c>
      <c r="J2041" s="18">
        <f>IF((OR(tbal[[#This Row],[X]]=2,tbal[[#This Row],[X]]=3)),tbal[[#This Row],[ACREEDOR]],0)</f>
        <v>0</v>
      </c>
      <c r="K2041" s="16">
        <f>IF((OR(tbal[[#This Row],[X]]=3,tbal[[#This Row],[X]]=5)),tbal[[#This Row],[DEUDOR]],0)</f>
        <v>0</v>
      </c>
      <c r="L2041" s="18">
        <f>IF((OR(tbal[[#This Row],[X]]=3,tbal[[#This Row],[X]]=4)),tbal[[#This Row],[ACREEDOR]],0)</f>
        <v>0</v>
      </c>
      <c r="M2041" s="16">
        <f>IF((OR(tbal[[#This Row],[X]]=0,tbal[[#This Row],[X]]=6)),tbal[[#This Row],[DEUDOR]],0)</f>
        <v>0</v>
      </c>
      <c r="N2041" s="18">
        <f>IF((OR(tbal[[#This Row],[X]]=0,tbal[[#This Row],[X]]=5)),tbal[[#This Row],[ACREEDOR]],0)</f>
        <v>0</v>
      </c>
    </row>
    <row r="2042" spans="1:14" hidden="1" x14ac:dyDescent="0.3">
      <c r="A2042" s="14">
        <f>+'PLAN DE CUENTAS'!A2042</f>
        <v>0</v>
      </c>
      <c r="B2042" s="13">
        <f>+'PLAN DE CUENTAS'!B2042</f>
        <v>0</v>
      </c>
      <c r="C2042" s="13">
        <f>+'PLAN DE CUENTAS'!C2042</f>
        <v>0</v>
      </c>
      <c r="D2042" t="str">
        <f>IF(tbal[[#This Row],[DEBE]]+tbal[[#This Row],[HABER]]=0,"","X")</f>
        <v/>
      </c>
      <c r="E2042" s="16">
        <f>SUMIF(tdiario[CUENTA],tbal[[#This Row],[CUENTA]],tdiario[DEBE])</f>
        <v>0</v>
      </c>
      <c r="F2042" s="17">
        <f>SUMIF(tdiario[CUENTA],tbal[[#This Row],[CUENTA]],tdiario[HABER])</f>
        <v>0</v>
      </c>
      <c r="G2042" s="16">
        <f>IF(tbal[[#This Row],[DEBE]]-tbal[[#This Row],[HABER]]&gt;0,tbal[[#This Row],[DEBE]]-tbal[[#This Row],[HABER]],0)</f>
        <v>0</v>
      </c>
      <c r="H2042" s="18">
        <f>IF(tbal[[#This Row],[HABER]]-tbal[[#This Row],[DEBE]]&gt;0,tbal[[#This Row],[HABER]]-tbal[[#This Row],[DEBE]],0)</f>
        <v>0</v>
      </c>
      <c r="I2042" s="16">
        <f>IF((OR(tbal[[#This Row],[X]]=1,tbal[[#This Row],[X]]=2)),tbal[[#This Row],[DEUDOR]],0)</f>
        <v>0</v>
      </c>
      <c r="J2042" s="18">
        <f>IF((OR(tbal[[#This Row],[X]]=2,tbal[[#This Row],[X]]=3)),tbal[[#This Row],[ACREEDOR]],0)</f>
        <v>0</v>
      </c>
      <c r="K2042" s="16">
        <f>IF((OR(tbal[[#This Row],[X]]=3,tbal[[#This Row],[X]]=5)),tbal[[#This Row],[DEUDOR]],0)</f>
        <v>0</v>
      </c>
      <c r="L2042" s="18">
        <f>IF((OR(tbal[[#This Row],[X]]=3,tbal[[#This Row],[X]]=4)),tbal[[#This Row],[ACREEDOR]],0)</f>
        <v>0</v>
      </c>
      <c r="M2042" s="16">
        <f>IF((OR(tbal[[#This Row],[X]]=0,tbal[[#This Row],[X]]=6)),tbal[[#This Row],[DEUDOR]],0)</f>
        <v>0</v>
      </c>
      <c r="N2042" s="18">
        <f>IF((OR(tbal[[#This Row],[X]]=0,tbal[[#This Row],[X]]=5)),tbal[[#This Row],[ACREEDOR]],0)</f>
        <v>0</v>
      </c>
    </row>
    <row r="2043" spans="1:14" hidden="1" x14ac:dyDescent="0.3">
      <c r="A2043" s="14">
        <f>+'PLAN DE CUENTAS'!A2043</f>
        <v>0</v>
      </c>
      <c r="B2043" s="13">
        <f>+'PLAN DE CUENTAS'!B2043</f>
        <v>0</v>
      </c>
      <c r="C2043" s="13">
        <f>+'PLAN DE CUENTAS'!C2043</f>
        <v>0</v>
      </c>
      <c r="D2043" t="str">
        <f>IF(tbal[[#This Row],[DEBE]]+tbal[[#This Row],[HABER]]=0,"","X")</f>
        <v/>
      </c>
      <c r="E2043" s="16">
        <f>SUMIF(tdiario[CUENTA],tbal[[#This Row],[CUENTA]],tdiario[DEBE])</f>
        <v>0</v>
      </c>
      <c r="F2043" s="17">
        <f>SUMIF(tdiario[CUENTA],tbal[[#This Row],[CUENTA]],tdiario[HABER])</f>
        <v>0</v>
      </c>
      <c r="G2043" s="16">
        <f>IF(tbal[[#This Row],[DEBE]]-tbal[[#This Row],[HABER]]&gt;0,tbal[[#This Row],[DEBE]]-tbal[[#This Row],[HABER]],0)</f>
        <v>0</v>
      </c>
      <c r="H2043" s="18">
        <f>IF(tbal[[#This Row],[HABER]]-tbal[[#This Row],[DEBE]]&gt;0,tbal[[#This Row],[HABER]]-tbal[[#This Row],[DEBE]],0)</f>
        <v>0</v>
      </c>
      <c r="I2043" s="16">
        <f>IF((OR(tbal[[#This Row],[X]]=1,tbal[[#This Row],[X]]=2)),tbal[[#This Row],[DEUDOR]],0)</f>
        <v>0</v>
      </c>
      <c r="J2043" s="18">
        <f>IF((OR(tbal[[#This Row],[X]]=2,tbal[[#This Row],[X]]=3)),tbal[[#This Row],[ACREEDOR]],0)</f>
        <v>0</v>
      </c>
      <c r="K2043" s="16">
        <f>IF((OR(tbal[[#This Row],[X]]=3,tbal[[#This Row],[X]]=5)),tbal[[#This Row],[DEUDOR]],0)</f>
        <v>0</v>
      </c>
      <c r="L2043" s="18">
        <f>IF((OR(tbal[[#This Row],[X]]=3,tbal[[#This Row],[X]]=4)),tbal[[#This Row],[ACREEDOR]],0)</f>
        <v>0</v>
      </c>
      <c r="M2043" s="16">
        <f>IF((OR(tbal[[#This Row],[X]]=0,tbal[[#This Row],[X]]=6)),tbal[[#This Row],[DEUDOR]],0)</f>
        <v>0</v>
      </c>
      <c r="N2043" s="18">
        <f>IF((OR(tbal[[#This Row],[X]]=0,tbal[[#This Row],[X]]=5)),tbal[[#This Row],[ACREEDOR]],0)</f>
        <v>0</v>
      </c>
    </row>
    <row r="2044" spans="1:14" hidden="1" x14ac:dyDescent="0.3">
      <c r="A2044" s="14">
        <f>+'PLAN DE CUENTAS'!A2044</f>
        <v>0</v>
      </c>
      <c r="B2044" s="13">
        <f>+'PLAN DE CUENTAS'!B2044</f>
        <v>0</v>
      </c>
      <c r="C2044" s="13">
        <f>+'PLAN DE CUENTAS'!C2044</f>
        <v>0</v>
      </c>
      <c r="D2044" t="str">
        <f>IF(tbal[[#This Row],[DEBE]]+tbal[[#This Row],[HABER]]=0,"","X")</f>
        <v/>
      </c>
      <c r="E2044" s="16">
        <f>SUMIF(tdiario[CUENTA],tbal[[#This Row],[CUENTA]],tdiario[DEBE])</f>
        <v>0</v>
      </c>
      <c r="F2044" s="17">
        <f>SUMIF(tdiario[CUENTA],tbal[[#This Row],[CUENTA]],tdiario[HABER])</f>
        <v>0</v>
      </c>
      <c r="G2044" s="16">
        <f>IF(tbal[[#This Row],[DEBE]]-tbal[[#This Row],[HABER]]&gt;0,tbal[[#This Row],[DEBE]]-tbal[[#This Row],[HABER]],0)</f>
        <v>0</v>
      </c>
      <c r="H2044" s="18">
        <f>IF(tbal[[#This Row],[HABER]]-tbal[[#This Row],[DEBE]]&gt;0,tbal[[#This Row],[HABER]]-tbal[[#This Row],[DEBE]],0)</f>
        <v>0</v>
      </c>
      <c r="I2044" s="16">
        <f>IF((OR(tbal[[#This Row],[X]]=1,tbal[[#This Row],[X]]=2)),tbal[[#This Row],[DEUDOR]],0)</f>
        <v>0</v>
      </c>
      <c r="J2044" s="18">
        <f>IF((OR(tbal[[#This Row],[X]]=2,tbal[[#This Row],[X]]=3)),tbal[[#This Row],[ACREEDOR]],0)</f>
        <v>0</v>
      </c>
      <c r="K2044" s="16">
        <f>IF((OR(tbal[[#This Row],[X]]=3,tbal[[#This Row],[X]]=5)),tbal[[#This Row],[DEUDOR]],0)</f>
        <v>0</v>
      </c>
      <c r="L2044" s="18">
        <f>IF((OR(tbal[[#This Row],[X]]=3,tbal[[#This Row],[X]]=4)),tbal[[#This Row],[ACREEDOR]],0)</f>
        <v>0</v>
      </c>
      <c r="M2044" s="16">
        <f>IF((OR(tbal[[#This Row],[X]]=0,tbal[[#This Row],[X]]=6)),tbal[[#This Row],[DEUDOR]],0)</f>
        <v>0</v>
      </c>
      <c r="N2044" s="18">
        <f>IF((OR(tbal[[#This Row],[X]]=0,tbal[[#This Row],[X]]=5)),tbal[[#This Row],[ACREEDOR]],0)</f>
        <v>0</v>
      </c>
    </row>
    <row r="2045" spans="1:14" hidden="1" x14ac:dyDescent="0.3">
      <c r="A2045" s="14">
        <f>+'PLAN DE CUENTAS'!A2045</f>
        <v>0</v>
      </c>
      <c r="B2045" s="13">
        <f>+'PLAN DE CUENTAS'!B2045</f>
        <v>0</v>
      </c>
      <c r="C2045" s="13">
        <f>+'PLAN DE CUENTAS'!C2045</f>
        <v>0</v>
      </c>
      <c r="D2045" t="str">
        <f>IF(tbal[[#This Row],[DEBE]]+tbal[[#This Row],[HABER]]=0,"","X")</f>
        <v/>
      </c>
      <c r="E2045" s="16">
        <f>SUMIF(tdiario[CUENTA],tbal[[#This Row],[CUENTA]],tdiario[DEBE])</f>
        <v>0</v>
      </c>
      <c r="F2045" s="17">
        <f>SUMIF(tdiario[CUENTA],tbal[[#This Row],[CUENTA]],tdiario[HABER])</f>
        <v>0</v>
      </c>
      <c r="G2045" s="16">
        <f>IF(tbal[[#This Row],[DEBE]]-tbal[[#This Row],[HABER]]&gt;0,tbal[[#This Row],[DEBE]]-tbal[[#This Row],[HABER]],0)</f>
        <v>0</v>
      </c>
      <c r="H2045" s="18">
        <f>IF(tbal[[#This Row],[HABER]]-tbal[[#This Row],[DEBE]]&gt;0,tbal[[#This Row],[HABER]]-tbal[[#This Row],[DEBE]],0)</f>
        <v>0</v>
      </c>
      <c r="I2045" s="16">
        <f>IF((OR(tbal[[#This Row],[X]]=1,tbal[[#This Row],[X]]=2)),tbal[[#This Row],[DEUDOR]],0)</f>
        <v>0</v>
      </c>
      <c r="J2045" s="18">
        <f>IF((OR(tbal[[#This Row],[X]]=2,tbal[[#This Row],[X]]=3)),tbal[[#This Row],[ACREEDOR]],0)</f>
        <v>0</v>
      </c>
      <c r="K2045" s="16">
        <f>IF((OR(tbal[[#This Row],[X]]=3,tbal[[#This Row],[X]]=5)),tbal[[#This Row],[DEUDOR]],0)</f>
        <v>0</v>
      </c>
      <c r="L2045" s="18">
        <f>IF((OR(tbal[[#This Row],[X]]=3,tbal[[#This Row],[X]]=4)),tbal[[#This Row],[ACREEDOR]],0)</f>
        <v>0</v>
      </c>
      <c r="M2045" s="16">
        <f>IF((OR(tbal[[#This Row],[X]]=0,tbal[[#This Row],[X]]=6)),tbal[[#This Row],[DEUDOR]],0)</f>
        <v>0</v>
      </c>
      <c r="N2045" s="18">
        <f>IF((OR(tbal[[#This Row],[X]]=0,tbal[[#This Row],[X]]=5)),tbal[[#This Row],[ACREEDOR]],0)</f>
        <v>0</v>
      </c>
    </row>
    <row r="2046" spans="1:14" hidden="1" x14ac:dyDescent="0.3">
      <c r="A2046" s="14">
        <f>+'PLAN DE CUENTAS'!A2046</f>
        <v>0</v>
      </c>
      <c r="B2046" s="13">
        <f>+'PLAN DE CUENTAS'!B2046</f>
        <v>0</v>
      </c>
      <c r="C2046" s="13">
        <f>+'PLAN DE CUENTAS'!C2046</f>
        <v>0</v>
      </c>
      <c r="D2046" t="str">
        <f>IF(tbal[[#This Row],[DEBE]]+tbal[[#This Row],[HABER]]=0,"","X")</f>
        <v/>
      </c>
      <c r="E2046" s="16">
        <f>SUMIF(tdiario[CUENTA],tbal[[#This Row],[CUENTA]],tdiario[DEBE])</f>
        <v>0</v>
      </c>
      <c r="F2046" s="17">
        <f>SUMIF(tdiario[CUENTA],tbal[[#This Row],[CUENTA]],tdiario[HABER])</f>
        <v>0</v>
      </c>
      <c r="G2046" s="16">
        <f>IF(tbal[[#This Row],[DEBE]]-tbal[[#This Row],[HABER]]&gt;0,tbal[[#This Row],[DEBE]]-tbal[[#This Row],[HABER]],0)</f>
        <v>0</v>
      </c>
      <c r="H2046" s="18">
        <f>IF(tbal[[#This Row],[HABER]]-tbal[[#This Row],[DEBE]]&gt;0,tbal[[#This Row],[HABER]]-tbal[[#This Row],[DEBE]],0)</f>
        <v>0</v>
      </c>
      <c r="I2046" s="16">
        <f>IF((OR(tbal[[#This Row],[X]]=1,tbal[[#This Row],[X]]=2)),tbal[[#This Row],[DEUDOR]],0)</f>
        <v>0</v>
      </c>
      <c r="J2046" s="18">
        <f>IF((OR(tbal[[#This Row],[X]]=2,tbal[[#This Row],[X]]=3)),tbal[[#This Row],[ACREEDOR]],0)</f>
        <v>0</v>
      </c>
      <c r="K2046" s="16">
        <f>IF((OR(tbal[[#This Row],[X]]=3,tbal[[#This Row],[X]]=5)),tbal[[#This Row],[DEUDOR]],0)</f>
        <v>0</v>
      </c>
      <c r="L2046" s="18">
        <f>IF((OR(tbal[[#This Row],[X]]=3,tbal[[#This Row],[X]]=4)),tbal[[#This Row],[ACREEDOR]],0)</f>
        <v>0</v>
      </c>
      <c r="M2046" s="16">
        <f>IF((OR(tbal[[#This Row],[X]]=0,tbal[[#This Row],[X]]=6)),tbal[[#This Row],[DEUDOR]],0)</f>
        <v>0</v>
      </c>
      <c r="N2046" s="18">
        <f>IF((OR(tbal[[#This Row],[X]]=0,tbal[[#This Row],[X]]=5)),tbal[[#This Row],[ACREEDOR]],0)</f>
        <v>0</v>
      </c>
    </row>
    <row r="2047" spans="1:14" hidden="1" x14ac:dyDescent="0.3">
      <c r="A2047" s="14">
        <f>+'PLAN DE CUENTAS'!A2047</f>
        <v>0</v>
      </c>
      <c r="B2047" s="13">
        <f>+'PLAN DE CUENTAS'!B2047</f>
        <v>0</v>
      </c>
      <c r="C2047" s="13">
        <f>+'PLAN DE CUENTAS'!C2047</f>
        <v>0</v>
      </c>
      <c r="D2047" t="str">
        <f>IF(tbal[[#This Row],[DEBE]]+tbal[[#This Row],[HABER]]=0,"","X")</f>
        <v/>
      </c>
      <c r="E2047" s="16">
        <f>SUMIF(tdiario[CUENTA],tbal[[#This Row],[CUENTA]],tdiario[DEBE])</f>
        <v>0</v>
      </c>
      <c r="F2047" s="17">
        <f>SUMIF(tdiario[CUENTA],tbal[[#This Row],[CUENTA]],tdiario[HABER])</f>
        <v>0</v>
      </c>
      <c r="G2047" s="16">
        <f>IF(tbal[[#This Row],[DEBE]]-tbal[[#This Row],[HABER]]&gt;0,tbal[[#This Row],[DEBE]]-tbal[[#This Row],[HABER]],0)</f>
        <v>0</v>
      </c>
      <c r="H2047" s="18">
        <f>IF(tbal[[#This Row],[HABER]]-tbal[[#This Row],[DEBE]]&gt;0,tbal[[#This Row],[HABER]]-tbal[[#This Row],[DEBE]],0)</f>
        <v>0</v>
      </c>
      <c r="I2047" s="16">
        <f>IF((OR(tbal[[#This Row],[X]]=1,tbal[[#This Row],[X]]=2)),tbal[[#This Row],[DEUDOR]],0)</f>
        <v>0</v>
      </c>
      <c r="J2047" s="18">
        <f>IF((OR(tbal[[#This Row],[X]]=2,tbal[[#This Row],[X]]=3)),tbal[[#This Row],[ACREEDOR]],0)</f>
        <v>0</v>
      </c>
      <c r="K2047" s="16">
        <f>IF((OR(tbal[[#This Row],[X]]=3,tbal[[#This Row],[X]]=5)),tbal[[#This Row],[DEUDOR]],0)</f>
        <v>0</v>
      </c>
      <c r="L2047" s="18">
        <f>IF((OR(tbal[[#This Row],[X]]=3,tbal[[#This Row],[X]]=4)),tbal[[#This Row],[ACREEDOR]],0)</f>
        <v>0</v>
      </c>
      <c r="M2047" s="16">
        <f>IF((OR(tbal[[#This Row],[X]]=0,tbal[[#This Row],[X]]=6)),tbal[[#This Row],[DEUDOR]],0)</f>
        <v>0</v>
      </c>
      <c r="N2047" s="18">
        <f>IF((OR(tbal[[#This Row],[X]]=0,tbal[[#This Row],[X]]=5)),tbal[[#This Row],[ACREEDOR]],0)</f>
        <v>0</v>
      </c>
    </row>
    <row r="2048" spans="1:14" hidden="1" x14ac:dyDescent="0.3">
      <c r="A2048" s="14">
        <f>+'PLAN DE CUENTAS'!A2048</f>
        <v>0</v>
      </c>
      <c r="B2048" s="13">
        <f>+'PLAN DE CUENTAS'!B2048</f>
        <v>0</v>
      </c>
      <c r="C2048" s="13">
        <f>+'PLAN DE CUENTAS'!C2048</f>
        <v>0</v>
      </c>
      <c r="D2048" t="str">
        <f>IF(tbal[[#This Row],[DEBE]]+tbal[[#This Row],[HABER]]=0,"","X")</f>
        <v/>
      </c>
      <c r="E2048" s="16">
        <f>SUMIF(tdiario[CUENTA],tbal[[#This Row],[CUENTA]],tdiario[DEBE])</f>
        <v>0</v>
      </c>
      <c r="F2048" s="17">
        <f>SUMIF(tdiario[CUENTA],tbal[[#This Row],[CUENTA]],tdiario[HABER])</f>
        <v>0</v>
      </c>
      <c r="G2048" s="16">
        <f>IF(tbal[[#This Row],[DEBE]]-tbal[[#This Row],[HABER]]&gt;0,tbal[[#This Row],[DEBE]]-tbal[[#This Row],[HABER]],0)</f>
        <v>0</v>
      </c>
      <c r="H2048" s="18">
        <f>IF(tbal[[#This Row],[HABER]]-tbal[[#This Row],[DEBE]]&gt;0,tbal[[#This Row],[HABER]]-tbal[[#This Row],[DEBE]],0)</f>
        <v>0</v>
      </c>
      <c r="I2048" s="16">
        <f>IF((OR(tbal[[#This Row],[X]]=1,tbal[[#This Row],[X]]=2)),tbal[[#This Row],[DEUDOR]],0)</f>
        <v>0</v>
      </c>
      <c r="J2048" s="18">
        <f>IF((OR(tbal[[#This Row],[X]]=2,tbal[[#This Row],[X]]=3)),tbal[[#This Row],[ACREEDOR]],0)</f>
        <v>0</v>
      </c>
      <c r="K2048" s="16">
        <f>IF((OR(tbal[[#This Row],[X]]=3,tbal[[#This Row],[X]]=5)),tbal[[#This Row],[DEUDOR]],0)</f>
        <v>0</v>
      </c>
      <c r="L2048" s="18">
        <f>IF((OR(tbal[[#This Row],[X]]=3,tbal[[#This Row],[X]]=4)),tbal[[#This Row],[ACREEDOR]],0)</f>
        <v>0</v>
      </c>
      <c r="M2048" s="16">
        <f>IF((OR(tbal[[#This Row],[X]]=0,tbal[[#This Row],[X]]=6)),tbal[[#This Row],[DEUDOR]],0)</f>
        <v>0</v>
      </c>
      <c r="N2048" s="18">
        <f>IF((OR(tbal[[#This Row],[X]]=0,tbal[[#This Row],[X]]=5)),tbal[[#This Row],[ACREEDOR]],0)</f>
        <v>0</v>
      </c>
    </row>
    <row r="2049" spans="1:14" hidden="1" x14ac:dyDescent="0.3">
      <c r="A2049" s="14">
        <f>+'PLAN DE CUENTAS'!A2049</f>
        <v>0</v>
      </c>
      <c r="B2049" s="13">
        <f>+'PLAN DE CUENTAS'!B2049</f>
        <v>0</v>
      </c>
      <c r="C2049" s="13">
        <f>+'PLAN DE CUENTAS'!C2049</f>
        <v>0</v>
      </c>
      <c r="D2049" t="str">
        <f>IF(tbal[[#This Row],[DEBE]]+tbal[[#This Row],[HABER]]=0,"","X")</f>
        <v/>
      </c>
      <c r="E2049" s="16">
        <f>SUMIF(tdiario[CUENTA],tbal[[#This Row],[CUENTA]],tdiario[DEBE])</f>
        <v>0</v>
      </c>
      <c r="F2049" s="17">
        <f>SUMIF(tdiario[CUENTA],tbal[[#This Row],[CUENTA]],tdiario[HABER])</f>
        <v>0</v>
      </c>
      <c r="G2049" s="16">
        <f>IF(tbal[[#This Row],[DEBE]]-tbal[[#This Row],[HABER]]&gt;0,tbal[[#This Row],[DEBE]]-tbal[[#This Row],[HABER]],0)</f>
        <v>0</v>
      </c>
      <c r="H2049" s="18">
        <f>IF(tbal[[#This Row],[HABER]]-tbal[[#This Row],[DEBE]]&gt;0,tbal[[#This Row],[HABER]]-tbal[[#This Row],[DEBE]],0)</f>
        <v>0</v>
      </c>
      <c r="I2049" s="16">
        <f>IF((OR(tbal[[#This Row],[X]]=1,tbal[[#This Row],[X]]=2)),tbal[[#This Row],[DEUDOR]],0)</f>
        <v>0</v>
      </c>
      <c r="J2049" s="18">
        <f>IF((OR(tbal[[#This Row],[X]]=2,tbal[[#This Row],[X]]=3)),tbal[[#This Row],[ACREEDOR]],0)</f>
        <v>0</v>
      </c>
      <c r="K2049" s="16">
        <f>IF((OR(tbal[[#This Row],[X]]=3,tbal[[#This Row],[X]]=5)),tbal[[#This Row],[DEUDOR]],0)</f>
        <v>0</v>
      </c>
      <c r="L2049" s="18">
        <f>IF((OR(tbal[[#This Row],[X]]=3,tbal[[#This Row],[X]]=4)),tbal[[#This Row],[ACREEDOR]],0)</f>
        <v>0</v>
      </c>
      <c r="M2049" s="16">
        <f>IF((OR(tbal[[#This Row],[X]]=0,tbal[[#This Row],[X]]=6)),tbal[[#This Row],[DEUDOR]],0)</f>
        <v>0</v>
      </c>
      <c r="N2049" s="18">
        <f>IF((OR(tbal[[#This Row],[X]]=0,tbal[[#This Row],[X]]=5)),tbal[[#This Row],[ACREEDOR]],0)</f>
        <v>0</v>
      </c>
    </row>
    <row r="2050" spans="1:14" hidden="1" x14ac:dyDescent="0.3">
      <c r="A2050" s="14">
        <f>+'PLAN DE CUENTAS'!A2050</f>
        <v>0</v>
      </c>
      <c r="B2050" s="13">
        <f>+'PLAN DE CUENTAS'!B2050</f>
        <v>0</v>
      </c>
      <c r="C2050" s="13">
        <f>+'PLAN DE CUENTAS'!C2050</f>
        <v>0</v>
      </c>
      <c r="D2050" t="str">
        <f>IF(tbal[[#This Row],[DEBE]]+tbal[[#This Row],[HABER]]=0,"","X")</f>
        <v/>
      </c>
      <c r="E2050" s="16">
        <f>SUMIF(tdiario[CUENTA],tbal[[#This Row],[CUENTA]],tdiario[DEBE])</f>
        <v>0</v>
      </c>
      <c r="F2050" s="17">
        <f>SUMIF(tdiario[CUENTA],tbal[[#This Row],[CUENTA]],tdiario[HABER])</f>
        <v>0</v>
      </c>
      <c r="G2050" s="16">
        <f>IF(tbal[[#This Row],[DEBE]]-tbal[[#This Row],[HABER]]&gt;0,tbal[[#This Row],[DEBE]]-tbal[[#This Row],[HABER]],0)</f>
        <v>0</v>
      </c>
      <c r="H2050" s="18">
        <f>IF(tbal[[#This Row],[HABER]]-tbal[[#This Row],[DEBE]]&gt;0,tbal[[#This Row],[HABER]]-tbal[[#This Row],[DEBE]],0)</f>
        <v>0</v>
      </c>
      <c r="I2050" s="16">
        <f>IF((OR(tbal[[#This Row],[X]]=1,tbal[[#This Row],[X]]=2)),tbal[[#This Row],[DEUDOR]],0)</f>
        <v>0</v>
      </c>
      <c r="J2050" s="18">
        <f>IF((OR(tbal[[#This Row],[X]]=2,tbal[[#This Row],[X]]=3)),tbal[[#This Row],[ACREEDOR]],0)</f>
        <v>0</v>
      </c>
      <c r="K2050" s="16">
        <f>IF((OR(tbal[[#This Row],[X]]=3,tbal[[#This Row],[X]]=5)),tbal[[#This Row],[DEUDOR]],0)</f>
        <v>0</v>
      </c>
      <c r="L2050" s="18">
        <f>IF((OR(tbal[[#This Row],[X]]=3,tbal[[#This Row],[X]]=4)),tbal[[#This Row],[ACREEDOR]],0)</f>
        <v>0</v>
      </c>
      <c r="M2050" s="16">
        <f>IF((OR(tbal[[#This Row],[X]]=0,tbal[[#This Row],[X]]=6)),tbal[[#This Row],[DEUDOR]],0)</f>
        <v>0</v>
      </c>
      <c r="N2050" s="18">
        <f>IF((OR(tbal[[#This Row],[X]]=0,tbal[[#This Row],[X]]=5)),tbal[[#This Row],[ACREEDOR]],0)</f>
        <v>0</v>
      </c>
    </row>
    <row r="2051" spans="1:14" hidden="1" x14ac:dyDescent="0.3">
      <c r="A2051" s="14">
        <f>+'PLAN DE CUENTAS'!A2051</f>
        <v>0</v>
      </c>
      <c r="B2051" s="13">
        <f>+'PLAN DE CUENTAS'!B2051</f>
        <v>0</v>
      </c>
      <c r="C2051" s="13">
        <f>+'PLAN DE CUENTAS'!C2051</f>
        <v>0</v>
      </c>
      <c r="D2051" t="str">
        <f>IF(tbal[[#This Row],[DEBE]]+tbal[[#This Row],[HABER]]=0,"","X")</f>
        <v/>
      </c>
      <c r="E2051" s="16">
        <f>SUMIF(tdiario[CUENTA],tbal[[#This Row],[CUENTA]],tdiario[DEBE])</f>
        <v>0</v>
      </c>
      <c r="F2051" s="17">
        <f>SUMIF(tdiario[CUENTA],tbal[[#This Row],[CUENTA]],tdiario[HABER])</f>
        <v>0</v>
      </c>
      <c r="G2051" s="16">
        <f>IF(tbal[[#This Row],[DEBE]]-tbal[[#This Row],[HABER]]&gt;0,tbal[[#This Row],[DEBE]]-tbal[[#This Row],[HABER]],0)</f>
        <v>0</v>
      </c>
      <c r="H2051" s="18">
        <f>IF(tbal[[#This Row],[HABER]]-tbal[[#This Row],[DEBE]]&gt;0,tbal[[#This Row],[HABER]]-tbal[[#This Row],[DEBE]],0)</f>
        <v>0</v>
      </c>
      <c r="I2051" s="16">
        <f>IF((OR(tbal[[#This Row],[X]]=1,tbal[[#This Row],[X]]=2)),tbal[[#This Row],[DEUDOR]],0)</f>
        <v>0</v>
      </c>
      <c r="J2051" s="18">
        <f>IF((OR(tbal[[#This Row],[X]]=2,tbal[[#This Row],[X]]=3)),tbal[[#This Row],[ACREEDOR]],0)</f>
        <v>0</v>
      </c>
      <c r="K2051" s="16">
        <f>IF((OR(tbal[[#This Row],[X]]=3,tbal[[#This Row],[X]]=5)),tbal[[#This Row],[DEUDOR]],0)</f>
        <v>0</v>
      </c>
      <c r="L2051" s="18">
        <f>IF((OR(tbal[[#This Row],[X]]=3,tbal[[#This Row],[X]]=4)),tbal[[#This Row],[ACREEDOR]],0)</f>
        <v>0</v>
      </c>
      <c r="M2051" s="16">
        <f>IF((OR(tbal[[#This Row],[X]]=0,tbal[[#This Row],[X]]=6)),tbal[[#This Row],[DEUDOR]],0)</f>
        <v>0</v>
      </c>
      <c r="N2051" s="18">
        <f>IF((OR(tbal[[#This Row],[X]]=0,tbal[[#This Row],[X]]=5)),tbal[[#This Row],[ACREEDOR]],0)</f>
        <v>0</v>
      </c>
    </row>
    <row r="2052" spans="1:14" hidden="1" x14ac:dyDescent="0.3">
      <c r="A2052" s="14">
        <f>+'PLAN DE CUENTAS'!A2052</f>
        <v>0</v>
      </c>
      <c r="B2052" s="13">
        <f>+'PLAN DE CUENTAS'!B2052</f>
        <v>0</v>
      </c>
      <c r="C2052" s="13">
        <f>+'PLAN DE CUENTAS'!C2052</f>
        <v>0</v>
      </c>
      <c r="D2052" t="str">
        <f>IF(tbal[[#This Row],[DEBE]]+tbal[[#This Row],[HABER]]=0,"","X")</f>
        <v/>
      </c>
      <c r="E2052" s="16">
        <f>SUMIF(tdiario[CUENTA],tbal[[#This Row],[CUENTA]],tdiario[DEBE])</f>
        <v>0</v>
      </c>
      <c r="F2052" s="17">
        <f>SUMIF(tdiario[CUENTA],tbal[[#This Row],[CUENTA]],tdiario[HABER])</f>
        <v>0</v>
      </c>
      <c r="G2052" s="16">
        <f>IF(tbal[[#This Row],[DEBE]]-tbal[[#This Row],[HABER]]&gt;0,tbal[[#This Row],[DEBE]]-tbal[[#This Row],[HABER]],0)</f>
        <v>0</v>
      </c>
      <c r="H2052" s="18">
        <f>IF(tbal[[#This Row],[HABER]]-tbal[[#This Row],[DEBE]]&gt;0,tbal[[#This Row],[HABER]]-tbal[[#This Row],[DEBE]],0)</f>
        <v>0</v>
      </c>
      <c r="I2052" s="16">
        <f>IF((OR(tbal[[#This Row],[X]]=1,tbal[[#This Row],[X]]=2)),tbal[[#This Row],[DEUDOR]],0)</f>
        <v>0</v>
      </c>
      <c r="J2052" s="18">
        <f>IF((OR(tbal[[#This Row],[X]]=2,tbal[[#This Row],[X]]=3)),tbal[[#This Row],[ACREEDOR]],0)</f>
        <v>0</v>
      </c>
      <c r="K2052" s="16">
        <f>IF((OR(tbal[[#This Row],[X]]=3,tbal[[#This Row],[X]]=5)),tbal[[#This Row],[DEUDOR]],0)</f>
        <v>0</v>
      </c>
      <c r="L2052" s="18">
        <f>IF((OR(tbal[[#This Row],[X]]=3,tbal[[#This Row],[X]]=4)),tbal[[#This Row],[ACREEDOR]],0)</f>
        <v>0</v>
      </c>
      <c r="M2052" s="16">
        <f>IF((OR(tbal[[#This Row],[X]]=0,tbal[[#This Row],[X]]=6)),tbal[[#This Row],[DEUDOR]],0)</f>
        <v>0</v>
      </c>
      <c r="N2052" s="18">
        <f>IF((OR(tbal[[#This Row],[X]]=0,tbal[[#This Row],[X]]=5)),tbal[[#This Row],[ACREEDOR]],0)</f>
        <v>0</v>
      </c>
    </row>
    <row r="2053" spans="1:14" hidden="1" x14ac:dyDescent="0.3">
      <c r="A2053" s="14">
        <f>+'PLAN DE CUENTAS'!A2053</f>
        <v>0</v>
      </c>
      <c r="B2053" s="13">
        <f>+'PLAN DE CUENTAS'!B2053</f>
        <v>0</v>
      </c>
      <c r="C2053" s="13">
        <f>+'PLAN DE CUENTAS'!C2053</f>
        <v>0</v>
      </c>
      <c r="D2053" t="str">
        <f>IF(tbal[[#This Row],[DEBE]]+tbal[[#This Row],[HABER]]=0,"","X")</f>
        <v/>
      </c>
      <c r="E2053" s="16">
        <f>SUMIF(tdiario[CUENTA],tbal[[#This Row],[CUENTA]],tdiario[DEBE])</f>
        <v>0</v>
      </c>
      <c r="F2053" s="17">
        <f>SUMIF(tdiario[CUENTA],tbal[[#This Row],[CUENTA]],tdiario[HABER])</f>
        <v>0</v>
      </c>
      <c r="G2053" s="16">
        <f>IF(tbal[[#This Row],[DEBE]]-tbal[[#This Row],[HABER]]&gt;0,tbal[[#This Row],[DEBE]]-tbal[[#This Row],[HABER]],0)</f>
        <v>0</v>
      </c>
      <c r="H2053" s="18">
        <f>IF(tbal[[#This Row],[HABER]]-tbal[[#This Row],[DEBE]]&gt;0,tbal[[#This Row],[HABER]]-tbal[[#This Row],[DEBE]],0)</f>
        <v>0</v>
      </c>
      <c r="I2053" s="16">
        <f>IF((OR(tbal[[#This Row],[X]]=1,tbal[[#This Row],[X]]=2)),tbal[[#This Row],[DEUDOR]],0)</f>
        <v>0</v>
      </c>
      <c r="J2053" s="18">
        <f>IF((OR(tbal[[#This Row],[X]]=2,tbal[[#This Row],[X]]=3)),tbal[[#This Row],[ACREEDOR]],0)</f>
        <v>0</v>
      </c>
      <c r="K2053" s="16">
        <f>IF((OR(tbal[[#This Row],[X]]=3,tbal[[#This Row],[X]]=5)),tbal[[#This Row],[DEUDOR]],0)</f>
        <v>0</v>
      </c>
      <c r="L2053" s="18">
        <f>IF((OR(tbal[[#This Row],[X]]=3,tbal[[#This Row],[X]]=4)),tbal[[#This Row],[ACREEDOR]],0)</f>
        <v>0</v>
      </c>
      <c r="M2053" s="16">
        <f>IF((OR(tbal[[#This Row],[X]]=0,tbal[[#This Row],[X]]=6)),tbal[[#This Row],[DEUDOR]],0)</f>
        <v>0</v>
      </c>
      <c r="N2053" s="18">
        <f>IF((OR(tbal[[#This Row],[X]]=0,tbal[[#This Row],[X]]=5)),tbal[[#This Row],[ACREEDOR]],0)</f>
        <v>0</v>
      </c>
    </row>
    <row r="2054" spans="1:14" hidden="1" x14ac:dyDescent="0.3">
      <c r="A2054" s="14">
        <f>+'PLAN DE CUENTAS'!A2054</f>
        <v>0</v>
      </c>
      <c r="B2054" s="13">
        <f>+'PLAN DE CUENTAS'!B2054</f>
        <v>0</v>
      </c>
      <c r="C2054" s="13">
        <f>+'PLAN DE CUENTAS'!C2054</f>
        <v>0</v>
      </c>
      <c r="D2054" t="str">
        <f>IF(tbal[[#This Row],[DEBE]]+tbal[[#This Row],[HABER]]=0,"","X")</f>
        <v/>
      </c>
      <c r="E2054" s="16">
        <f>SUMIF(tdiario[CUENTA],tbal[[#This Row],[CUENTA]],tdiario[DEBE])</f>
        <v>0</v>
      </c>
      <c r="F2054" s="17">
        <f>SUMIF(tdiario[CUENTA],tbal[[#This Row],[CUENTA]],tdiario[HABER])</f>
        <v>0</v>
      </c>
      <c r="G2054" s="16">
        <f>IF(tbal[[#This Row],[DEBE]]-tbal[[#This Row],[HABER]]&gt;0,tbal[[#This Row],[DEBE]]-tbal[[#This Row],[HABER]],0)</f>
        <v>0</v>
      </c>
      <c r="H2054" s="18">
        <f>IF(tbal[[#This Row],[HABER]]-tbal[[#This Row],[DEBE]]&gt;0,tbal[[#This Row],[HABER]]-tbal[[#This Row],[DEBE]],0)</f>
        <v>0</v>
      </c>
      <c r="I2054" s="16">
        <f>IF((OR(tbal[[#This Row],[X]]=1,tbal[[#This Row],[X]]=2)),tbal[[#This Row],[DEUDOR]],0)</f>
        <v>0</v>
      </c>
      <c r="J2054" s="18">
        <f>IF((OR(tbal[[#This Row],[X]]=2,tbal[[#This Row],[X]]=3)),tbal[[#This Row],[ACREEDOR]],0)</f>
        <v>0</v>
      </c>
      <c r="K2054" s="16">
        <f>IF((OR(tbal[[#This Row],[X]]=3,tbal[[#This Row],[X]]=5)),tbal[[#This Row],[DEUDOR]],0)</f>
        <v>0</v>
      </c>
      <c r="L2054" s="18">
        <f>IF((OR(tbal[[#This Row],[X]]=3,tbal[[#This Row],[X]]=4)),tbal[[#This Row],[ACREEDOR]],0)</f>
        <v>0</v>
      </c>
      <c r="M2054" s="16">
        <f>IF((OR(tbal[[#This Row],[X]]=0,tbal[[#This Row],[X]]=6)),tbal[[#This Row],[DEUDOR]],0)</f>
        <v>0</v>
      </c>
      <c r="N2054" s="18">
        <f>IF((OR(tbal[[#This Row],[X]]=0,tbal[[#This Row],[X]]=5)),tbal[[#This Row],[ACREEDOR]],0)</f>
        <v>0</v>
      </c>
    </row>
    <row r="2055" spans="1:14" hidden="1" x14ac:dyDescent="0.3">
      <c r="A2055" s="14">
        <f>+'PLAN DE CUENTAS'!A2055</f>
        <v>0</v>
      </c>
      <c r="B2055" s="13">
        <f>+'PLAN DE CUENTAS'!B2055</f>
        <v>0</v>
      </c>
      <c r="C2055" s="13">
        <f>+'PLAN DE CUENTAS'!C2055</f>
        <v>0</v>
      </c>
      <c r="D2055" t="str">
        <f>IF(tbal[[#This Row],[DEBE]]+tbal[[#This Row],[HABER]]=0,"","X")</f>
        <v/>
      </c>
      <c r="E2055" s="16">
        <f>SUMIF(tdiario[CUENTA],tbal[[#This Row],[CUENTA]],tdiario[DEBE])</f>
        <v>0</v>
      </c>
      <c r="F2055" s="17">
        <f>SUMIF(tdiario[CUENTA],tbal[[#This Row],[CUENTA]],tdiario[HABER])</f>
        <v>0</v>
      </c>
      <c r="G2055" s="16">
        <f>IF(tbal[[#This Row],[DEBE]]-tbal[[#This Row],[HABER]]&gt;0,tbal[[#This Row],[DEBE]]-tbal[[#This Row],[HABER]],0)</f>
        <v>0</v>
      </c>
      <c r="H2055" s="18">
        <f>IF(tbal[[#This Row],[HABER]]-tbal[[#This Row],[DEBE]]&gt;0,tbal[[#This Row],[HABER]]-tbal[[#This Row],[DEBE]],0)</f>
        <v>0</v>
      </c>
      <c r="I2055" s="16">
        <f>IF((OR(tbal[[#This Row],[X]]=1,tbal[[#This Row],[X]]=2)),tbal[[#This Row],[DEUDOR]],0)</f>
        <v>0</v>
      </c>
      <c r="J2055" s="18">
        <f>IF((OR(tbal[[#This Row],[X]]=2,tbal[[#This Row],[X]]=3)),tbal[[#This Row],[ACREEDOR]],0)</f>
        <v>0</v>
      </c>
      <c r="K2055" s="16">
        <f>IF((OR(tbal[[#This Row],[X]]=3,tbal[[#This Row],[X]]=5)),tbal[[#This Row],[DEUDOR]],0)</f>
        <v>0</v>
      </c>
      <c r="L2055" s="18">
        <f>IF((OR(tbal[[#This Row],[X]]=3,tbal[[#This Row],[X]]=4)),tbal[[#This Row],[ACREEDOR]],0)</f>
        <v>0</v>
      </c>
      <c r="M2055" s="16">
        <f>IF((OR(tbal[[#This Row],[X]]=0,tbal[[#This Row],[X]]=6)),tbal[[#This Row],[DEUDOR]],0)</f>
        <v>0</v>
      </c>
      <c r="N2055" s="18">
        <f>IF((OR(tbal[[#This Row],[X]]=0,tbal[[#This Row],[X]]=5)),tbal[[#This Row],[ACREEDOR]],0)</f>
        <v>0</v>
      </c>
    </row>
    <row r="2056" spans="1:14" hidden="1" x14ac:dyDescent="0.3">
      <c r="A2056" s="14">
        <f>+'PLAN DE CUENTAS'!A2056</f>
        <v>0</v>
      </c>
      <c r="B2056" s="13">
        <f>+'PLAN DE CUENTAS'!B2056</f>
        <v>0</v>
      </c>
      <c r="C2056" s="13">
        <f>+'PLAN DE CUENTAS'!C2056</f>
        <v>0</v>
      </c>
      <c r="D2056" t="str">
        <f>IF(tbal[[#This Row],[DEBE]]+tbal[[#This Row],[HABER]]=0,"","X")</f>
        <v/>
      </c>
      <c r="E2056" s="16">
        <f>SUMIF(tdiario[CUENTA],tbal[[#This Row],[CUENTA]],tdiario[DEBE])</f>
        <v>0</v>
      </c>
      <c r="F2056" s="17">
        <f>SUMIF(tdiario[CUENTA],tbal[[#This Row],[CUENTA]],tdiario[HABER])</f>
        <v>0</v>
      </c>
      <c r="G2056" s="16">
        <f>IF(tbal[[#This Row],[DEBE]]-tbal[[#This Row],[HABER]]&gt;0,tbal[[#This Row],[DEBE]]-tbal[[#This Row],[HABER]],0)</f>
        <v>0</v>
      </c>
      <c r="H2056" s="18">
        <f>IF(tbal[[#This Row],[HABER]]-tbal[[#This Row],[DEBE]]&gt;0,tbal[[#This Row],[HABER]]-tbal[[#This Row],[DEBE]],0)</f>
        <v>0</v>
      </c>
      <c r="I2056" s="16">
        <f>IF((OR(tbal[[#This Row],[X]]=1,tbal[[#This Row],[X]]=2)),tbal[[#This Row],[DEUDOR]],0)</f>
        <v>0</v>
      </c>
      <c r="J2056" s="18">
        <f>IF((OR(tbal[[#This Row],[X]]=2,tbal[[#This Row],[X]]=3)),tbal[[#This Row],[ACREEDOR]],0)</f>
        <v>0</v>
      </c>
      <c r="K2056" s="16">
        <f>IF((OR(tbal[[#This Row],[X]]=3,tbal[[#This Row],[X]]=5)),tbal[[#This Row],[DEUDOR]],0)</f>
        <v>0</v>
      </c>
      <c r="L2056" s="18">
        <f>IF((OR(tbal[[#This Row],[X]]=3,tbal[[#This Row],[X]]=4)),tbal[[#This Row],[ACREEDOR]],0)</f>
        <v>0</v>
      </c>
      <c r="M2056" s="16">
        <f>IF((OR(tbal[[#This Row],[X]]=0,tbal[[#This Row],[X]]=6)),tbal[[#This Row],[DEUDOR]],0)</f>
        <v>0</v>
      </c>
      <c r="N2056" s="18">
        <f>IF((OR(tbal[[#This Row],[X]]=0,tbal[[#This Row],[X]]=5)),tbal[[#This Row],[ACREEDOR]],0)</f>
        <v>0</v>
      </c>
    </row>
    <row r="2057" spans="1:14" hidden="1" x14ac:dyDescent="0.3">
      <c r="A2057" s="14">
        <f>+'PLAN DE CUENTAS'!A2057</f>
        <v>0</v>
      </c>
      <c r="B2057" s="13">
        <f>+'PLAN DE CUENTAS'!B2057</f>
        <v>0</v>
      </c>
      <c r="C2057" s="13">
        <f>+'PLAN DE CUENTAS'!C2057</f>
        <v>0</v>
      </c>
      <c r="D2057" t="str">
        <f>IF(tbal[[#This Row],[DEBE]]+tbal[[#This Row],[HABER]]=0,"","X")</f>
        <v/>
      </c>
      <c r="E2057" s="16">
        <f>SUMIF(tdiario[CUENTA],tbal[[#This Row],[CUENTA]],tdiario[DEBE])</f>
        <v>0</v>
      </c>
      <c r="F2057" s="17">
        <f>SUMIF(tdiario[CUENTA],tbal[[#This Row],[CUENTA]],tdiario[HABER])</f>
        <v>0</v>
      </c>
      <c r="G2057" s="16">
        <f>IF(tbal[[#This Row],[DEBE]]-tbal[[#This Row],[HABER]]&gt;0,tbal[[#This Row],[DEBE]]-tbal[[#This Row],[HABER]],0)</f>
        <v>0</v>
      </c>
      <c r="H2057" s="18">
        <f>IF(tbal[[#This Row],[HABER]]-tbal[[#This Row],[DEBE]]&gt;0,tbal[[#This Row],[HABER]]-tbal[[#This Row],[DEBE]],0)</f>
        <v>0</v>
      </c>
      <c r="I2057" s="16">
        <f>IF((OR(tbal[[#This Row],[X]]=1,tbal[[#This Row],[X]]=2)),tbal[[#This Row],[DEUDOR]],0)</f>
        <v>0</v>
      </c>
      <c r="J2057" s="18">
        <f>IF((OR(tbal[[#This Row],[X]]=2,tbal[[#This Row],[X]]=3)),tbal[[#This Row],[ACREEDOR]],0)</f>
        <v>0</v>
      </c>
      <c r="K2057" s="16">
        <f>IF((OR(tbal[[#This Row],[X]]=3,tbal[[#This Row],[X]]=5)),tbal[[#This Row],[DEUDOR]],0)</f>
        <v>0</v>
      </c>
      <c r="L2057" s="18">
        <f>IF((OR(tbal[[#This Row],[X]]=3,tbal[[#This Row],[X]]=4)),tbal[[#This Row],[ACREEDOR]],0)</f>
        <v>0</v>
      </c>
      <c r="M2057" s="16">
        <f>IF((OR(tbal[[#This Row],[X]]=0,tbal[[#This Row],[X]]=6)),tbal[[#This Row],[DEUDOR]],0)</f>
        <v>0</v>
      </c>
      <c r="N2057" s="18">
        <f>IF((OR(tbal[[#This Row],[X]]=0,tbal[[#This Row],[X]]=5)),tbal[[#This Row],[ACREEDOR]],0)</f>
        <v>0</v>
      </c>
    </row>
    <row r="2058" spans="1:14" hidden="1" x14ac:dyDescent="0.3">
      <c r="A2058" s="14">
        <f>+'PLAN DE CUENTAS'!A2058</f>
        <v>0</v>
      </c>
      <c r="B2058" s="13">
        <f>+'PLAN DE CUENTAS'!B2058</f>
        <v>0</v>
      </c>
      <c r="C2058" s="13">
        <f>+'PLAN DE CUENTAS'!C2058</f>
        <v>0</v>
      </c>
      <c r="D2058" t="str">
        <f>IF(tbal[[#This Row],[DEBE]]+tbal[[#This Row],[HABER]]=0,"","X")</f>
        <v/>
      </c>
      <c r="E2058" s="16">
        <f>SUMIF(tdiario[CUENTA],tbal[[#This Row],[CUENTA]],tdiario[DEBE])</f>
        <v>0</v>
      </c>
      <c r="F2058" s="17">
        <f>SUMIF(tdiario[CUENTA],tbal[[#This Row],[CUENTA]],tdiario[HABER])</f>
        <v>0</v>
      </c>
      <c r="G2058" s="16">
        <f>IF(tbal[[#This Row],[DEBE]]-tbal[[#This Row],[HABER]]&gt;0,tbal[[#This Row],[DEBE]]-tbal[[#This Row],[HABER]],0)</f>
        <v>0</v>
      </c>
      <c r="H2058" s="18">
        <f>IF(tbal[[#This Row],[HABER]]-tbal[[#This Row],[DEBE]]&gt;0,tbal[[#This Row],[HABER]]-tbal[[#This Row],[DEBE]],0)</f>
        <v>0</v>
      </c>
      <c r="I2058" s="16">
        <f>IF((OR(tbal[[#This Row],[X]]=1,tbal[[#This Row],[X]]=2)),tbal[[#This Row],[DEUDOR]],0)</f>
        <v>0</v>
      </c>
      <c r="J2058" s="18">
        <f>IF((OR(tbal[[#This Row],[X]]=2,tbal[[#This Row],[X]]=3)),tbal[[#This Row],[ACREEDOR]],0)</f>
        <v>0</v>
      </c>
      <c r="K2058" s="16">
        <f>IF((OR(tbal[[#This Row],[X]]=3,tbal[[#This Row],[X]]=5)),tbal[[#This Row],[DEUDOR]],0)</f>
        <v>0</v>
      </c>
      <c r="L2058" s="18">
        <f>IF((OR(tbal[[#This Row],[X]]=3,tbal[[#This Row],[X]]=4)),tbal[[#This Row],[ACREEDOR]],0)</f>
        <v>0</v>
      </c>
      <c r="M2058" s="16">
        <f>IF((OR(tbal[[#This Row],[X]]=0,tbal[[#This Row],[X]]=6)),tbal[[#This Row],[DEUDOR]],0)</f>
        <v>0</v>
      </c>
      <c r="N2058" s="18">
        <f>IF((OR(tbal[[#This Row],[X]]=0,tbal[[#This Row],[X]]=5)),tbal[[#This Row],[ACREEDOR]],0)</f>
        <v>0</v>
      </c>
    </row>
    <row r="2059" spans="1:14" hidden="1" x14ac:dyDescent="0.3">
      <c r="A2059" s="14">
        <f>+'PLAN DE CUENTAS'!A2059</f>
        <v>0</v>
      </c>
      <c r="B2059" s="13">
        <f>+'PLAN DE CUENTAS'!B2059</f>
        <v>0</v>
      </c>
      <c r="C2059" s="13">
        <f>+'PLAN DE CUENTAS'!C2059</f>
        <v>0</v>
      </c>
      <c r="D2059" t="str">
        <f>IF(tbal[[#This Row],[DEBE]]+tbal[[#This Row],[HABER]]=0,"","X")</f>
        <v/>
      </c>
      <c r="E2059" s="16">
        <f>SUMIF(tdiario[CUENTA],tbal[[#This Row],[CUENTA]],tdiario[DEBE])</f>
        <v>0</v>
      </c>
      <c r="F2059" s="17">
        <f>SUMIF(tdiario[CUENTA],tbal[[#This Row],[CUENTA]],tdiario[HABER])</f>
        <v>0</v>
      </c>
      <c r="G2059" s="16">
        <f>IF(tbal[[#This Row],[DEBE]]-tbal[[#This Row],[HABER]]&gt;0,tbal[[#This Row],[DEBE]]-tbal[[#This Row],[HABER]],0)</f>
        <v>0</v>
      </c>
      <c r="H2059" s="18">
        <f>IF(tbal[[#This Row],[HABER]]-tbal[[#This Row],[DEBE]]&gt;0,tbal[[#This Row],[HABER]]-tbal[[#This Row],[DEBE]],0)</f>
        <v>0</v>
      </c>
      <c r="I2059" s="16">
        <f>IF((OR(tbal[[#This Row],[X]]=1,tbal[[#This Row],[X]]=2)),tbal[[#This Row],[DEUDOR]],0)</f>
        <v>0</v>
      </c>
      <c r="J2059" s="18">
        <f>IF((OR(tbal[[#This Row],[X]]=2,tbal[[#This Row],[X]]=3)),tbal[[#This Row],[ACREEDOR]],0)</f>
        <v>0</v>
      </c>
      <c r="K2059" s="16">
        <f>IF((OR(tbal[[#This Row],[X]]=3,tbal[[#This Row],[X]]=5)),tbal[[#This Row],[DEUDOR]],0)</f>
        <v>0</v>
      </c>
      <c r="L2059" s="18">
        <f>IF((OR(tbal[[#This Row],[X]]=3,tbal[[#This Row],[X]]=4)),tbal[[#This Row],[ACREEDOR]],0)</f>
        <v>0</v>
      </c>
      <c r="M2059" s="16">
        <f>IF((OR(tbal[[#This Row],[X]]=0,tbal[[#This Row],[X]]=6)),tbal[[#This Row],[DEUDOR]],0)</f>
        <v>0</v>
      </c>
      <c r="N2059" s="18">
        <f>IF((OR(tbal[[#This Row],[X]]=0,tbal[[#This Row],[X]]=5)),tbal[[#This Row],[ACREEDOR]],0)</f>
        <v>0</v>
      </c>
    </row>
    <row r="2060" spans="1:14" hidden="1" x14ac:dyDescent="0.3">
      <c r="A2060" s="14">
        <f>+'PLAN DE CUENTAS'!A2060</f>
        <v>0</v>
      </c>
      <c r="B2060" s="13">
        <f>+'PLAN DE CUENTAS'!B2060</f>
        <v>0</v>
      </c>
      <c r="C2060" s="13">
        <f>+'PLAN DE CUENTAS'!C2060</f>
        <v>0</v>
      </c>
      <c r="D2060" t="str">
        <f>IF(tbal[[#This Row],[DEBE]]+tbal[[#This Row],[HABER]]=0,"","X")</f>
        <v/>
      </c>
      <c r="E2060" s="16">
        <f>SUMIF(tdiario[CUENTA],tbal[[#This Row],[CUENTA]],tdiario[DEBE])</f>
        <v>0</v>
      </c>
      <c r="F2060" s="17">
        <f>SUMIF(tdiario[CUENTA],tbal[[#This Row],[CUENTA]],tdiario[HABER])</f>
        <v>0</v>
      </c>
      <c r="G2060" s="16">
        <f>IF(tbal[[#This Row],[DEBE]]-tbal[[#This Row],[HABER]]&gt;0,tbal[[#This Row],[DEBE]]-tbal[[#This Row],[HABER]],0)</f>
        <v>0</v>
      </c>
      <c r="H2060" s="18">
        <f>IF(tbal[[#This Row],[HABER]]-tbal[[#This Row],[DEBE]]&gt;0,tbal[[#This Row],[HABER]]-tbal[[#This Row],[DEBE]],0)</f>
        <v>0</v>
      </c>
      <c r="I2060" s="16">
        <f>IF((OR(tbal[[#This Row],[X]]=1,tbal[[#This Row],[X]]=2)),tbal[[#This Row],[DEUDOR]],0)</f>
        <v>0</v>
      </c>
      <c r="J2060" s="18">
        <f>IF((OR(tbal[[#This Row],[X]]=2,tbal[[#This Row],[X]]=3)),tbal[[#This Row],[ACREEDOR]],0)</f>
        <v>0</v>
      </c>
      <c r="K2060" s="16">
        <f>IF((OR(tbal[[#This Row],[X]]=3,tbal[[#This Row],[X]]=5)),tbal[[#This Row],[DEUDOR]],0)</f>
        <v>0</v>
      </c>
      <c r="L2060" s="18">
        <f>IF((OR(tbal[[#This Row],[X]]=3,tbal[[#This Row],[X]]=4)),tbal[[#This Row],[ACREEDOR]],0)</f>
        <v>0</v>
      </c>
      <c r="M2060" s="16">
        <f>IF((OR(tbal[[#This Row],[X]]=0,tbal[[#This Row],[X]]=6)),tbal[[#This Row],[DEUDOR]],0)</f>
        <v>0</v>
      </c>
      <c r="N2060" s="18">
        <f>IF((OR(tbal[[#This Row],[X]]=0,tbal[[#This Row],[X]]=5)),tbal[[#This Row],[ACREEDOR]],0)</f>
        <v>0</v>
      </c>
    </row>
    <row r="2061" spans="1:14" hidden="1" x14ac:dyDescent="0.3">
      <c r="A2061" s="14">
        <f>+'PLAN DE CUENTAS'!A2061</f>
        <v>0</v>
      </c>
      <c r="B2061" s="13">
        <f>+'PLAN DE CUENTAS'!B2061</f>
        <v>0</v>
      </c>
      <c r="C2061" s="13">
        <f>+'PLAN DE CUENTAS'!C2061</f>
        <v>0</v>
      </c>
      <c r="D2061" t="str">
        <f>IF(tbal[[#This Row],[DEBE]]+tbal[[#This Row],[HABER]]=0,"","X")</f>
        <v/>
      </c>
      <c r="E2061" s="16">
        <f>SUMIF(tdiario[CUENTA],tbal[[#This Row],[CUENTA]],tdiario[DEBE])</f>
        <v>0</v>
      </c>
      <c r="F2061" s="17">
        <f>SUMIF(tdiario[CUENTA],tbal[[#This Row],[CUENTA]],tdiario[HABER])</f>
        <v>0</v>
      </c>
      <c r="G2061" s="16">
        <f>IF(tbal[[#This Row],[DEBE]]-tbal[[#This Row],[HABER]]&gt;0,tbal[[#This Row],[DEBE]]-tbal[[#This Row],[HABER]],0)</f>
        <v>0</v>
      </c>
      <c r="H2061" s="18">
        <f>IF(tbal[[#This Row],[HABER]]-tbal[[#This Row],[DEBE]]&gt;0,tbal[[#This Row],[HABER]]-tbal[[#This Row],[DEBE]],0)</f>
        <v>0</v>
      </c>
      <c r="I2061" s="16">
        <f>IF((OR(tbal[[#This Row],[X]]=1,tbal[[#This Row],[X]]=2)),tbal[[#This Row],[DEUDOR]],0)</f>
        <v>0</v>
      </c>
      <c r="J2061" s="18">
        <f>IF((OR(tbal[[#This Row],[X]]=2,tbal[[#This Row],[X]]=3)),tbal[[#This Row],[ACREEDOR]],0)</f>
        <v>0</v>
      </c>
      <c r="K2061" s="16">
        <f>IF((OR(tbal[[#This Row],[X]]=3,tbal[[#This Row],[X]]=5)),tbal[[#This Row],[DEUDOR]],0)</f>
        <v>0</v>
      </c>
      <c r="L2061" s="18">
        <f>IF((OR(tbal[[#This Row],[X]]=3,tbal[[#This Row],[X]]=4)),tbal[[#This Row],[ACREEDOR]],0)</f>
        <v>0</v>
      </c>
      <c r="M2061" s="16">
        <f>IF((OR(tbal[[#This Row],[X]]=0,tbal[[#This Row],[X]]=6)),tbal[[#This Row],[DEUDOR]],0)</f>
        <v>0</v>
      </c>
      <c r="N2061" s="18">
        <f>IF((OR(tbal[[#This Row],[X]]=0,tbal[[#This Row],[X]]=5)),tbal[[#This Row],[ACREEDOR]],0)</f>
        <v>0</v>
      </c>
    </row>
    <row r="2062" spans="1:14" hidden="1" x14ac:dyDescent="0.3">
      <c r="A2062" s="14">
        <f>+'PLAN DE CUENTAS'!A2062</f>
        <v>0</v>
      </c>
      <c r="B2062" s="13">
        <f>+'PLAN DE CUENTAS'!B2062</f>
        <v>0</v>
      </c>
      <c r="C2062" s="13">
        <f>+'PLAN DE CUENTAS'!C2062</f>
        <v>0</v>
      </c>
      <c r="D2062" t="str">
        <f>IF(tbal[[#This Row],[DEBE]]+tbal[[#This Row],[HABER]]=0,"","X")</f>
        <v/>
      </c>
      <c r="E2062" s="16">
        <f>SUMIF(tdiario[CUENTA],tbal[[#This Row],[CUENTA]],tdiario[DEBE])</f>
        <v>0</v>
      </c>
      <c r="F2062" s="17">
        <f>SUMIF(tdiario[CUENTA],tbal[[#This Row],[CUENTA]],tdiario[HABER])</f>
        <v>0</v>
      </c>
      <c r="G2062" s="16">
        <f>IF(tbal[[#This Row],[DEBE]]-tbal[[#This Row],[HABER]]&gt;0,tbal[[#This Row],[DEBE]]-tbal[[#This Row],[HABER]],0)</f>
        <v>0</v>
      </c>
      <c r="H2062" s="18">
        <f>IF(tbal[[#This Row],[HABER]]-tbal[[#This Row],[DEBE]]&gt;0,tbal[[#This Row],[HABER]]-tbal[[#This Row],[DEBE]],0)</f>
        <v>0</v>
      </c>
      <c r="I2062" s="16">
        <f>IF((OR(tbal[[#This Row],[X]]=1,tbal[[#This Row],[X]]=2)),tbal[[#This Row],[DEUDOR]],0)</f>
        <v>0</v>
      </c>
      <c r="J2062" s="18">
        <f>IF((OR(tbal[[#This Row],[X]]=2,tbal[[#This Row],[X]]=3)),tbal[[#This Row],[ACREEDOR]],0)</f>
        <v>0</v>
      </c>
      <c r="K2062" s="16">
        <f>IF((OR(tbal[[#This Row],[X]]=3,tbal[[#This Row],[X]]=5)),tbal[[#This Row],[DEUDOR]],0)</f>
        <v>0</v>
      </c>
      <c r="L2062" s="18">
        <f>IF((OR(tbal[[#This Row],[X]]=3,tbal[[#This Row],[X]]=4)),tbal[[#This Row],[ACREEDOR]],0)</f>
        <v>0</v>
      </c>
      <c r="M2062" s="16">
        <f>IF((OR(tbal[[#This Row],[X]]=0,tbal[[#This Row],[X]]=6)),tbal[[#This Row],[DEUDOR]],0)</f>
        <v>0</v>
      </c>
      <c r="N2062" s="18">
        <f>IF((OR(tbal[[#This Row],[X]]=0,tbal[[#This Row],[X]]=5)),tbal[[#This Row],[ACREEDOR]],0)</f>
        <v>0</v>
      </c>
    </row>
    <row r="2063" spans="1:14" hidden="1" x14ac:dyDescent="0.3">
      <c r="A2063" s="14">
        <f>+'PLAN DE CUENTAS'!A2063</f>
        <v>0</v>
      </c>
      <c r="B2063" s="13">
        <f>+'PLAN DE CUENTAS'!B2063</f>
        <v>0</v>
      </c>
      <c r="C2063" s="13">
        <f>+'PLAN DE CUENTAS'!C2063</f>
        <v>0</v>
      </c>
      <c r="D2063" t="str">
        <f>IF(tbal[[#This Row],[DEBE]]+tbal[[#This Row],[HABER]]=0,"","X")</f>
        <v/>
      </c>
      <c r="E2063" s="16">
        <f>SUMIF(tdiario[CUENTA],tbal[[#This Row],[CUENTA]],tdiario[DEBE])</f>
        <v>0</v>
      </c>
      <c r="F2063" s="17">
        <f>SUMIF(tdiario[CUENTA],tbal[[#This Row],[CUENTA]],tdiario[HABER])</f>
        <v>0</v>
      </c>
      <c r="G2063" s="16">
        <f>IF(tbal[[#This Row],[DEBE]]-tbal[[#This Row],[HABER]]&gt;0,tbal[[#This Row],[DEBE]]-tbal[[#This Row],[HABER]],0)</f>
        <v>0</v>
      </c>
      <c r="H2063" s="18">
        <f>IF(tbal[[#This Row],[HABER]]-tbal[[#This Row],[DEBE]]&gt;0,tbal[[#This Row],[HABER]]-tbal[[#This Row],[DEBE]],0)</f>
        <v>0</v>
      </c>
      <c r="I2063" s="16">
        <f>IF((OR(tbal[[#This Row],[X]]=1,tbal[[#This Row],[X]]=2)),tbal[[#This Row],[DEUDOR]],0)</f>
        <v>0</v>
      </c>
      <c r="J2063" s="18">
        <f>IF((OR(tbal[[#This Row],[X]]=2,tbal[[#This Row],[X]]=3)),tbal[[#This Row],[ACREEDOR]],0)</f>
        <v>0</v>
      </c>
      <c r="K2063" s="16">
        <f>IF((OR(tbal[[#This Row],[X]]=3,tbal[[#This Row],[X]]=5)),tbal[[#This Row],[DEUDOR]],0)</f>
        <v>0</v>
      </c>
      <c r="L2063" s="18">
        <f>IF((OR(tbal[[#This Row],[X]]=3,tbal[[#This Row],[X]]=4)),tbal[[#This Row],[ACREEDOR]],0)</f>
        <v>0</v>
      </c>
      <c r="M2063" s="16">
        <f>IF((OR(tbal[[#This Row],[X]]=0,tbal[[#This Row],[X]]=6)),tbal[[#This Row],[DEUDOR]],0)</f>
        <v>0</v>
      </c>
      <c r="N2063" s="18">
        <f>IF((OR(tbal[[#This Row],[X]]=0,tbal[[#This Row],[X]]=5)),tbal[[#This Row],[ACREEDOR]],0)</f>
        <v>0</v>
      </c>
    </row>
    <row r="2064" spans="1:14" hidden="1" x14ac:dyDescent="0.3">
      <c r="A2064" s="14">
        <f>+'PLAN DE CUENTAS'!A2064</f>
        <v>0</v>
      </c>
      <c r="B2064" s="13">
        <f>+'PLAN DE CUENTAS'!B2064</f>
        <v>0</v>
      </c>
      <c r="C2064" s="13">
        <f>+'PLAN DE CUENTAS'!C2064</f>
        <v>0</v>
      </c>
      <c r="D2064" t="str">
        <f>IF(tbal[[#This Row],[DEBE]]+tbal[[#This Row],[HABER]]=0,"","X")</f>
        <v/>
      </c>
      <c r="E2064" s="16">
        <f>SUMIF(tdiario[CUENTA],tbal[[#This Row],[CUENTA]],tdiario[DEBE])</f>
        <v>0</v>
      </c>
      <c r="F2064" s="17">
        <f>SUMIF(tdiario[CUENTA],tbal[[#This Row],[CUENTA]],tdiario[HABER])</f>
        <v>0</v>
      </c>
      <c r="G2064" s="16">
        <f>IF(tbal[[#This Row],[DEBE]]-tbal[[#This Row],[HABER]]&gt;0,tbal[[#This Row],[DEBE]]-tbal[[#This Row],[HABER]],0)</f>
        <v>0</v>
      </c>
      <c r="H2064" s="18">
        <f>IF(tbal[[#This Row],[HABER]]-tbal[[#This Row],[DEBE]]&gt;0,tbal[[#This Row],[HABER]]-tbal[[#This Row],[DEBE]],0)</f>
        <v>0</v>
      </c>
      <c r="I2064" s="16">
        <f>IF((OR(tbal[[#This Row],[X]]=1,tbal[[#This Row],[X]]=2)),tbal[[#This Row],[DEUDOR]],0)</f>
        <v>0</v>
      </c>
      <c r="J2064" s="18">
        <f>IF((OR(tbal[[#This Row],[X]]=2,tbal[[#This Row],[X]]=3)),tbal[[#This Row],[ACREEDOR]],0)</f>
        <v>0</v>
      </c>
      <c r="K2064" s="16">
        <f>IF((OR(tbal[[#This Row],[X]]=3,tbal[[#This Row],[X]]=5)),tbal[[#This Row],[DEUDOR]],0)</f>
        <v>0</v>
      </c>
      <c r="L2064" s="18">
        <f>IF((OR(tbal[[#This Row],[X]]=3,tbal[[#This Row],[X]]=4)),tbal[[#This Row],[ACREEDOR]],0)</f>
        <v>0</v>
      </c>
      <c r="M2064" s="16">
        <f>IF((OR(tbal[[#This Row],[X]]=0,tbal[[#This Row],[X]]=6)),tbal[[#This Row],[DEUDOR]],0)</f>
        <v>0</v>
      </c>
      <c r="N2064" s="18">
        <f>IF((OR(tbal[[#This Row],[X]]=0,tbal[[#This Row],[X]]=5)),tbal[[#This Row],[ACREEDOR]],0)</f>
        <v>0</v>
      </c>
    </row>
    <row r="2065" spans="1:14" hidden="1" x14ac:dyDescent="0.3">
      <c r="A2065" s="14">
        <f>+'PLAN DE CUENTAS'!A2065</f>
        <v>0</v>
      </c>
      <c r="B2065" s="13">
        <f>+'PLAN DE CUENTAS'!B2065</f>
        <v>0</v>
      </c>
      <c r="C2065" s="13">
        <f>+'PLAN DE CUENTAS'!C2065</f>
        <v>0</v>
      </c>
      <c r="D2065" t="str">
        <f>IF(tbal[[#This Row],[DEBE]]+tbal[[#This Row],[HABER]]=0,"","X")</f>
        <v/>
      </c>
      <c r="E2065" s="16">
        <f>SUMIF(tdiario[CUENTA],tbal[[#This Row],[CUENTA]],tdiario[DEBE])</f>
        <v>0</v>
      </c>
      <c r="F2065" s="17">
        <f>SUMIF(tdiario[CUENTA],tbal[[#This Row],[CUENTA]],tdiario[HABER])</f>
        <v>0</v>
      </c>
      <c r="G2065" s="16">
        <f>IF(tbal[[#This Row],[DEBE]]-tbal[[#This Row],[HABER]]&gt;0,tbal[[#This Row],[DEBE]]-tbal[[#This Row],[HABER]],0)</f>
        <v>0</v>
      </c>
      <c r="H2065" s="18">
        <f>IF(tbal[[#This Row],[HABER]]-tbal[[#This Row],[DEBE]]&gt;0,tbal[[#This Row],[HABER]]-tbal[[#This Row],[DEBE]],0)</f>
        <v>0</v>
      </c>
      <c r="I2065" s="16">
        <f>IF((OR(tbal[[#This Row],[X]]=1,tbal[[#This Row],[X]]=2)),tbal[[#This Row],[DEUDOR]],0)</f>
        <v>0</v>
      </c>
      <c r="J2065" s="18">
        <f>IF((OR(tbal[[#This Row],[X]]=2,tbal[[#This Row],[X]]=3)),tbal[[#This Row],[ACREEDOR]],0)</f>
        <v>0</v>
      </c>
      <c r="K2065" s="16">
        <f>IF((OR(tbal[[#This Row],[X]]=3,tbal[[#This Row],[X]]=5)),tbal[[#This Row],[DEUDOR]],0)</f>
        <v>0</v>
      </c>
      <c r="L2065" s="18">
        <f>IF((OR(tbal[[#This Row],[X]]=3,tbal[[#This Row],[X]]=4)),tbal[[#This Row],[ACREEDOR]],0)</f>
        <v>0</v>
      </c>
      <c r="M2065" s="16">
        <f>IF((OR(tbal[[#This Row],[X]]=0,tbal[[#This Row],[X]]=6)),tbal[[#This Row],[DEUDOR]],0)</f>
        <v>0</v>
      </c>
      <c r="N2065" s="18">
        <f>IF((OR(tbal[[#This Row],[X]]=0,tbal[[#This Row],[X]]=5)),tbal[[#This Row],[ACREEDOR]],0)</f>
        <v>0</v>
      </c>
    </row>
    <row r="2066" spans="1:14" hidden="1" x14ac:dyDescent="0.3">
      <c r="A2066" s="14">
        <f>+'PLAN DE CUENTAS'!A2066</f>
        <v>0</v>
      </c>
      <c r="B2066" s="13">
        <f>+'PLAN DE CUENTAS'!B2066</f>
        <v>0</v>
      </c>
      <c r="C2066" s="13">
        <f>+'PLAN DE CUENTAS'!C2066</f>
        <v>0</v>
      </c>
      <c r="D2066" t="str">
        <f>IF(tbal[[#This Row],[DEBE]]+tbal[[#This Row],[HABER]]=0,"","X")</f>
        <v/>
      </c>
      <c r="E2066" s="16">
        <f>SUMIF(tdiario[CUENTA],tbal[[#This Row],[CUENTA]],tdiario[DEBE])</f>
        <v>0</v>
      </c>
      <c r="F2066" s="17">
        <f>SUMIF(tdiario[CUENTA],tbal[[#This Row],[CUENTA]],tdiario[HABER])</f>
        <v>0</v>
      </c>
      <c r="G2066" s="16">
        <f>IF(tbal[[#This Row],[DEBE]]-tbal[[#This Row],[HABER]]&gt;0,tbal[[#This Row],[DEBE]]-tbal[[#This Row],[HABER]],0)</f>
        <v>0</v>
      </c>
      <c r="H2066" s="18">
        <f>IF(tbal[[#This Row],[HABER]]-tbal[[#This Row],[DEBE]]&gt;0,tbal[[#This Row],[HABER]]-tbal[[#This Row],[DEBE]],0)</f>
        <v>0</v>
      </c>
      <c r="I2066" s="16">
        <f>IF((OR(tbal[[#This Row],[X]]=1,tbal[[#This Row],[X]]=2)),tbal[[#This Row],[DEUDOR]],0)</f>
        <v>0</v>
      </c>
      <c r="J2066" s="18">
        <f>IF((OR(tbal[[#This Row],[X]]=2,tbal[[#This Row],[X]]=3)),tbal[[#This Row],[ACREEDOR]],0)</f>
        <v>0</v>
      </c>
      <c r="K2066" s="16">
        <f>IF((OR(tbal[[#This Row],[X]]=3,tbal[[#This Row],[X]]=5)),tbal[[#This Row],[DEUDOR]],0)</f>
        <v>0</v>
      </c>
      <c r="L2066" s="18">
        <f>IF((OR(tbal[[#This Row],[X]]=3,tbal[[#This Row],[X]]=4)),tbal[[#This Row],[ACREEDOR]],0)</f>
        <v>0</v>
      </c>
      <c r="M2066" s="16">
        <f>IF((OR(tbal[[#This Row],[X]]=0,tbal[[#This Row],[X]]=6)),tbal[[#This Row],[DEUDOR]],0)</f>
        <v>0</v>
      </c>
      <c r="N2066" s="18">
        <f>IF((OR(tbal[[#This Row],[X]]=0,tbal[[#This Row],[X]]=5)),tbal[[#This Row],[ACREEDOR]],0)</f>
        <v>0</v>
      </c>
    </row>
    <row r="2067" spans="1:14" hidden="1" x14ac:dyDescent="0.3">
      <c r="A2067" s="14">
        <f>+'PLAN DE CUENTAS'!A2067</f>
        <v>0</v>
      </c>
      <c r="B2067" s="13">
        <f>+'PLAN DE CUENTAS'!B2067</f>
        <v>0</v>
      </c>
      <c r="C2067" s="13">
        <f>+'PLAN DE CUENTAS'!C2067</f>
        <v>0</v>
      </c>
      <c r="D2067" t="str">
        <f>IF(tbal[[#This Row],[DEBE]]+tbal[[#This Row],[HABER]]=0,"","X")</f>
        <v/>
      </c>
      <c r="E2067" s="16">
        <f>SUMIF(tdiario[CUENTA],tbal[[#This Row],[CUENTA]],tdiario[DEBE])</f>
        <v>0</v>
      </c>
      <c r="F2067" s="17">
        <f>SUMIF(tdiario[CUENTA],tbal[[#This Row],[CUENTA]],tdiario[HABER])</f>
        <v>0</v>
      </c>
      <c r="G2067" s="16">
        <f>IF(tbal[[#This Row],[DEBE]]-tbal[[#This Row],[HABER]]&gt;0,tbal[[#This Row],[DEBE]]-tbal[[#This Row],[HABER]],0)</f>
        <v>0</v>
      </c>
      <c r="H2067" s="18">
        <f>IF(tbal[[#This Row],[HABER]]-tbal[[#This Row],[DEBE]]&gt;0,tbal[[#This Row],[HABER]]-tbal[[#This Row],[DEBE]],0)</f>
        <v>0</v>
      </c>
      <c r="I2067" s="16">
        <f>IF((OR(tbal[[#This Row],[X]]=1,tbal[[#This Row],[X]]=2)),tbal[[#This Row],[DEUDOR]],0)</f>
        <v>0</v>
      </c>
      <c r="J2067" s="18">
        <f>IF((OR(tbal[[#This Row],[X]]=2,tbal[[#This Row],[X]]=3)),tbal[[#This Row],[ACREEDOR]],0)</f>
        <v>0</v>
      </c>
      <c r="K2067" s="16">
        <f>IF((OR(tbal[[#This Row],[X]]=3,tbal[[#This Row],[X]]=5)),tbal[[#This Row],[DEUDOR]],0)</f>
        <v>0</v>
      </c>
      <c r="L2067" s="18">
        <f>IF((OR(tbal[[#This Row],[X]]=3,tbal[[#This Row],[X]]=4)),tbal[[#This Row],[ACREEDOR]],0)</f>
        <v>0</v>
      </c>
      <c r="M2067" s="16">
        <f>IF((OR(tbal[[#This Row],[X]]=0,tbal[[#This Row],[X]]=6)),tbal[[#This Row],[DEUDOR]],0)</f>
        <v>0</v>
      </c>
      <c r="N2067" s="18">
        <f>IF((OR(tbal[[#This Row],[X]]=0,tbal[[#This Row],[X]]=5)),tbal[[#This Row],[ACREEDOR]],0)</f>
        <v>0</v>
      </c>
    </row>
    <row r="2068" spans="1:14" hidden="1" x14ac:dyDescent="0.3">
      <c r="A2068" s="14">
        <f>+'PLAN DE CUENTAS'!A2068</f>
        <v>0</v>
      </c>
      <c r="B2068" s="13">
        <f>+'PLAN DE CUENTAS'!B2068</f>
        <v>0</v>
      </c>
      <c r="C2068" s="13">
        <f>+'PLAN DE CUENTAS'!C2068</f>
        <v>0</v>
      </c>
      <c r="D2068" t="str">
        <f>IF(tbal[[#This Row],[DEBE]]+tbal[[#This Row],[HABER]]=0,"","X")</f>
        <v/>
      </c>
      <c r="E2068" s="16">
        <f>SUMIF(tdiario[CUENTA],tbal[[#This Row],[CUENTA]],tdiario[DEBE])</f>
        <v>0</v>
      </c>
      <c r="F2068" s="17">
        <f>SUMIF(tdiario[CUENTA],tbal[[#This Row],[CUENTA]],tdiario[HABER])</f>
        <v>0</v>
      </c>
      <c r="G2068" s="16">
        <f>IF(tbal[[#This Row],[DEBE]]-tbal[[#This Row],[HABER]]&gt;0,tbal[[#This Row],[DEBE]]-tbal[[#This Row],[HABER]],0)</f>
        <v>0</v>
      </c>
      <c r="H2068" s="18">
        <f>IF(tbal[[#This Row],[HABER]]-tbal[[#This Row],[DEBE]]&gt;0,tbal[[#This Row],[HABER]]-tbal[[#This Row],[DEBE]],0)</f>
        <v>0</v>
      </c>
      <c r="I2068" s="16">
        <f>IF((OR(tbal[[#This Row],[X]]=1,tbal[[#This Row],[X]]=2)),tbal[[#This Row],[DEUDOR]],0)</f>
        <v>0</v>
      </c>
      <c r="J2068" s="18">
        <f>IF((OR(tbal[[#This Row],[X]]=2,tbal[[#This Row],[X]]=3)),tbal[[#This Row],[ACREEDOR]],0)</f>
        <v>0</v>
      </c>
      <c r="K2068" s="16">
        <f>IF((OR(tbal[[#This Row],[X]]=3,tbal[[#This Row],[X]]=5)),tbal[[#This Row],[DEUDOR]],0)</f>
        <v>0</v>
      </c>
      <c r="L2068" s="18">
        <f>IF((OR(tbal[[#This Row],[X]]=3,tbal[[#This Row],[X]]=4)),tbal[[#This Row],[ACREEDOR]],0)</f>
        <v>0</v>
      </c>
      <c r="M2068" s="16">
        <f>IF((OR(tbal[[#This Row],[X]]=0,tbal[[#This Row],[X]]=6)),tbal[[#This Row],[DEUDOR]],0)</f>
        <v>0</v>
      </c>
      <c r="N2068" s="18">
        <f>IF((OR(tbal[[#This Row],[X]]=0,tbal[[#This Row],[X]]=5)),tbal[[#This Row],[ACREEDOR]],0)</f>
        <v>0</v>
      </c>
    </row>
    <row r="2069" spans="1:14" hidden="1" x14ac:dyDescent="0.3">
      <c r="A2069" s="14">
        <f>+'PLAN DE CUENTAS'!A2069</f>
        <v>0</v>
      </c>
      <c r="B2069" s="13">
        <f>+'PLAN DE CUENTAS'!B2069</f>
        <v>0</v>
      </c>
      <c r="C2069" s="13">
        <f>+'PLAN DE CUENTAS'!C2069</f>
        <v>0</v>
      </c>
      <c r="D2069" t="str">
        <f>IF(tbal[[#This Row],[DEBE]]+tbal[[#This Row],[HABER]]=0,"","X")</f>
        <v/>
      </c>
      <c r="E2069" s="16">
        <f>SUMIF(tdiario[CUENTA],tbal[[#This Row],[CUENTA]],tdiario[DEBE])</f>
        <v>0</v>
      </c>
      <c r="F2069" s="17">
        <f>SUMIF(tdiario[CUENTA],tbal[[#This Row],[CUENTA]],tdiario[HABER])</f>
        <v>0</v>
      </c>
      <c r="G2069" s="16">
        <f>IF(tbal[[#This Row],[DEBE]]-tbal[[#This Row],[HABER]]&gt;0,tbal[[#This Row],[DEBE]]-tbal[[#This Row],[HABER]],0)</f>
        <v>0</v>
      </c>
      <c r="H2069" s="18">
        <f>IF(tbal[[#This Row],[HABER]]-tbal[[#This Row],[DEBE]]&gt;0,tbal[[#This Row],[HABER]]-tbal[[#This Row],[DEBE]],0)</f>
        <v>0</v>
      </c>
      <c r="I2069" s="16">
        <f>IF((OR(tbal[[#This Row],[X]]=1,tbal[[#This Row],[X]]=2)),tbal[[#This Row],[DEUDOR]],0)</f>
        <v>0</v>
      </c>
      <c r="J2069" s="18">
        <f>IF((OR(tbal[[#This Row],[X]]=2,tbal[[#This Row],[X]]=3)),tbal[[#This Row],[ACREEDOR]],0)</f>
        <v>0</v>
      </c>
      <c r="K2069" s="16">
        <f>IF((OR(tbal[[#This Row],[X]]=3,tbal[[#This Row],[X]]=5)),tbal[[#This Row],[DEUDOR]],0)</f>
        <v>0</v>
      </c>
      <c r="L2069" s="18">
        <f>IF((OR(tbal[[#This Row],[X]]=3,tbal[[#This Row],[X]]=4)),tbal[[#This Row],[ACREEDOR]],0)</f>
        <v>0</v>
      </c>
      <c r="M2069" s="16">
        <f>IF((OR(tbal[[#This Row],[X]]=0,tbal[[#This Row],[X]]=6)),tbal[[#This Row],[DEUDOR]],0)</f>
        <v>0</v>
      </c>
      <c r="N2069" s="18">
        <f>IF((OR(tbal[[#This Row],[X]]=0,tbal[[#This Row],[X]]=5)),tbal[[#This Row],[ACREEDOR]],0)</f>
        <v>0</v>
      </c>
    </row>
    <row r="2070" spans="1:14" hidden="1" x14ac:dyDescent="0.3">
      <c r="A2070" s="14">
        <f>+'PLAN DE CUENTAS'!A2070</f>
        <v>0</v>
      </c>
      <c r="B2070" s="13">
        <f>+'PLAN DE CUENTAS'!B2070</f>
        <v>0</v>
      </c>
      <c r="C2070" s="13">
        <f>+'PLAN DE CUENTAS'!C2070</f>
        <v>0</v>
      </c>
      <c r="D2070" t="str">
        <f>IF(tbal[[#This Row],[DEBE]]+tbal[[#This Row],[HABER]]=0,"","X")</f>
        <v/>
      </c>
      <c r="E2070" s="16">
        <f>SUMIF(tdiario[CUENTA],tbal[[#This Row],[CUENTA]],tdiario[DEBE])</f>
        <v>0</v>
      </c>
      <c r="F2070" s="17">
        <f>SUMIF(tdiario[CUENTA],tbal[[#This Row],[CUENTA]],tdiario[HABER])</f>
        <v>0</v>
      </c>
      <c r="G2070" s="16">
        <f>IF(tbal[[#This Row],[DEBE]]-tbal[[#This Row],[HABER]]&gt;0,tbal[[#This Row],[DEBE]]-tbal[[#This Row],[HABER]],0)</f>
        <v>0</v>
      </c>
      <c r="H2070" s="18">
        <f>IF(tbal[[#This Row],[HABER]]-tbal[[#This Row],[DEBE]]&gt;0,tbal[[#This Row],[HABER]]-tbal[[#This Row],[DEBE]],0)</f>
        <v>0</v>
      </c>
      <c r="I2070" s="16">
        <f>IF((OR(tbal[[#This Row],[X]]=1,tbal[[#This Row],[X]]=2)),tbal[[#This Row],[DEUDOR]],0)</f>
        <v>0</v>
      </c>
      <c r="J2070" s="18">
        <f>IF((OR(tbal[[#This Row],[X]]=2,tbal[[#This Row],[X]]=3)),tbal[[#This Row],[ACREEDOR]],0)</f>
        <v>0</v>
      </c>
      <c r="K2070" s="16">
        <f>IF((OR(tbal[[#This Row],[X]]=3,tbal[[#This Row],[X]]=5)),tbal[[#This Row],[DEUDOR]],0)</f>
        <v>0</v>
      </c>
      <c r="L2070" s="18">
        <f>IF((OR(tbal[[#This Row],[X]]=3,tbal[[#This Row],[X]]=4)),tbal[[#This Row],[ACREEDOR]],0)</f>
        <v>0</v>
      </c>
      <c r="M2070" s="16">
        <f>IF((OR(tbal[[#This Row],[X]]=0,tbal[[#This Row],[X]]=6)),tbal[[#This Row],[DEUDOR]],0)</f>
        <v>0</v>
      </c>
      <c r="N2070" s="18">
        <f>IF((OR(tbal[[#This Row],[X]]=0,tbal[[#This Row],[X]]=5)),tbal[[#This Row],[ACREEDOR]],0)</f>
        <v>0</v>
      </c>
    </row>
    <row r="2071" spans="1:14" hidden="1" x14ac:dyDescent="0.3">
      <c r="A2071" s="14">
        <f>+'PLAN DE CUENTAS'!A2071</f>
        <v>0</v>
      </c>
      <c r="B2071" s="13">
        <f>+'PLAN DE CUENTAS'!B2071</f>
        <v>0</v>
      </c>
      <c r="C2071" s="13">
        <f>+'PLAN DE CUENTAS'!C2071</f>
        <v>0</v>
      </c>
      <c r="D2071" t="str">
        <f>IF(tbal[[#This Row],[DEBE]]+tbal[[#This Row],[HABER]]=0,"","X")</f>
        <v/>
      </c>
      <c r="E2071" s="16">
        <f>SUMIF(tdiario[CUENTA],tbal[[#This Row],[CUENTA]],tdiario[DEBE])</f>
        <v>0</v>
      </c>
      <c r="F2071" s="17">
        <f>SUMIF(tdiario[CUENTA],tbal[[#This Row],[CUENTA]],tdiario[HABER])</f>
        <v>0</v>
      </c>
      <c r="G2071" s="16">
        <f>IF(tbal[[#This Row],[DEBE]]-tbal[[#This Row],[HABER]]&gt;0,tbal[[#This Row],[DEBE]]-tbal[[#This Row],[HABER]],0)</f>
        <v>0</v>
      </c>
      <c r="H2071" s="18">
        <f>IF(tbal[[#This Row],[HABER]]-tbal[[#This Row],[DEBE]]&gt;0,tbal[[#This Row],[HABER]]-tbal[[#This Row],[DEBE]],0)</f>
        <v>0</v>
      </c>
      <c r="I2071" s="16">
        <f>IF((OR(tbal[[#This Row],[X]]=1,tbal[[#This Row],[X]]=2)),tbal[[#This Row],[DEUDOR]],0)</f>
        <v>0</v>
      </c>
      <c r="J2071" s="18">
        <f>IF((OR(tbal[[#This Row],[X]]=2,tbal[[#This Row],[X]]=3)),tbal[[#This Row],[ACREEDOR]],0)</f>
        <v>0</v>
      </c>
      <c r="K2071" s="16">
        <f>IF((OR(tbal[[#This Row],[X]]=3,tbal[[#This Row],[X]]=5)),tbal[[#This Row],[DEUDOR]],0)</f>
        <v>0</v>
      </c>
      <c r="L2071" s="18">
        <f>IF((OR(tbal[[#This Row],[X]]=3,tbal[[#This Row],[X]]=4)),tbal[[#This Row],[ACREEDOR]],0)</f>
        <v>0</v>
      </c>
      <c r="M2071" s="16">
        <f>IF((OR(tbal[[#This Row],[X]]=0,tbal[[#This Row],[X]]=6)),tbal[[#This Row],[DEUDOR]],0)</f>
        <v>0</v>
      </c>
      <c r="N2071" s="18">
        <f>IF((OR(tbal[[#This Row],[X]]=0,tbal[[#This Row],[X]]=5)),tbal[[#This Row],[ACREEDOR]],0)</f>
        <v>0</v>
      </c>
    </row>
    <row r="2072" spans="1:14" hidden="1" x14ac:dyDescent="0.3">
      <c r="A2072" s="14">
        <f>+'PLAN DE CUENTAS'!A2072</f>
        <v>0</v>
      </c>
      <c r="B2072" s="13">
        <f>+'PLAN DE CUENTAS'!B2072</f>
        <v>0</v>
      </c>
      <c r="C2072" s="13">
        <f>+'PLAN DE CUENTAS'!C2072</f>
        <v>0</v>
      </c>
      <c r="D2072" t="str">
        <f>IF(tbal[[#This Row],[DEBE]]+tbal[[#This Row],[HABER]]=0,"","X")</f>
        <v/>
      </c>
      <c r="E2072" s="16">
        <f>SUMIF(tdiario[CUENTA],tbal[[#This Row],[CUENTA]],tdiario[DEBE])</f>
        <v>0</v>
      </c>
      <c r="F2072" s="17">
        <f>SUMIF(tdiario[CUENTA],tbal[[#This Row],[CUENTA]],tdiario[HABER])</f>
        <v>0</v>
      </c>
      <c r="G2072" s="16">
        <f>IF(tbal[[#This Row],[DEBE]]-tbal[[#This Row],[HABER]]&gt;0,tbal[[#This Row],[DEBE]]-tbal[[#This Row],[HABER]],0)</f>
        <v>0</v>
      </c>
      <c r="H2072" s="18">
        <f>IF(tbal[[#This Row],[HABER]]-tbal[[#This Row],[DEBE]]&gt;0,tbal[[#This Row],[HABER]]-tbal[[#This Row],[DEBE]],0)</f>
        <v>0</v>
      </c>
      <c r="I2072" s="16">
        <f>IF((OR(tbal[[#This Row],[X]]=1,tbal[[#This Row],[X]]=2)),tbal[[#This Row],[DEUDOR]],0)</f>
        <v>0</v>
      </c>
      <c r="J2072" s="18">
        <f>IF((OR(tbal[[#This Row],[X]]=2,tbal[[#This Row],[X]]=3)),tbal[[#This Row],[ACREEDOR]],0)</f>
        <v>0</v>
      </c>
      <c r="K2072" s="16">
        <f>IF((OR(tbal[[#This Row],[X]]=3,tbal[[#This Row],[X]]=5)),tbal[[#This Row],[DEUDOR]],0)</f>
        <v>0</v>
      </c>
      <c r="L2072" s="18">
        <f>IF((OR(tbal[[#This Row],[X]]=3,tbal[[#This Row],[X]]=4)),tbal[[#This Row],[ACREEDOR]],0)</f>
        <v>0</v>
      </c>
      <c r="M2072" s="16">
        <f>IF((OR(tbal[[#This Row],[X]]=0,tbal[[#This Row],[X]]=6)),tbal[[#This Row],[DEUDOR]],0)</f>
        <v>0</v>
      </c>
      <c r="N2072" s="18">
        <f>IF((OR(tbal[[#This Row],[X]]=0,tbal[[#This Row],[X]]=5)),tbal[[#This Row],[ACREEDOR]],0)</f>
        <v>0</v>
      </c>
    </row>
    <row r="2073" spans="1:14" hidden="1" x14ac:dyDescent="0.3">
      <c r="A2073" s="14">
        <f>+'PLAN DE CUENTAS'!A2073</f>
        <v>0</v>
      </c>
      <c r="B2073" s="13">
        <f>+'PLAN DE CUENTAS'!B2073</f>
        <v>0</v>
      </c>
      <c r="C2073" s="13">
        <f>+'PLAN DE CUENTAS'!C2073</f>
        <v>0</v>
      </c>
      <c r="D2073" t="str">
        <f>IF(tbal[[#This Row],[DEBE]]+tbal[[#This Row],[HABER]]=0,"","X")</f>
        <v/>
      </c>
      <c r="E2073" s="16">
        <f>SUMIF(tdiario[CUENTA],tbal[[#This Row],[CUENTA]],tdiario[DEBE])</f>
        <v>0</v>
      </c>
      <c r="F2073" s="17">
        <f>SUMIF(tdiario[CUENTA],tbal[[#This Row],[CUENTA]],tdiario[HABER])</f>
        <v>0</v>
      </c>
      <c r="G2073" s="16">
        <f>IF(tbal[[#This Row],[DEBE]]-tbal[[#This Row],[HABER]]&gt;0,tbal[[#This Row],[DEBE]]-tbal[[#This Row],[HABER]],0)</f>
        <v>0</v>
      </c>
      <c r="H2073" s="18">
        <f>IF(tbal[[#This Row],[HABER]]-tbal[[#This Row],[DEBE]]&gt;0,tbal[[#This Row],[HABER]]-tbal[[#This Row],[DEBE]],0)</f>
        <v>0</v>
      </c>
      <c r="I2073" s="16">
        <f>IF((OR(tbal[[#This Row],[X]]=1,tbal[[#This Row],[X]]=2)),tbal[[#This Row],[DEUDOR]],0)</f>
        <v>0</v>
      </c>
      <c r="J2073" s="18">
        <f>IF((OR(tbal[[#This Row],[X]]=2,tbal[[#This Row],[X]]=3)),tbal[[#This Row],[ACREEDOR]],0)</f>
        <v>0</v>
      </c>
      <c r="K2073" s="16">
        <f>IF((OR(tbal[[#This Row],[X]]=3,tbal[[#This Row],[X]]=5)),tbal[[#This Row],[DEUDOR]],0)</f>
        <v>0</v>
      </c>
      <c r="L2073" s="18">
        <f>IF((OR(tbal[[#This Row],[X]]=3,tbal[[#This Row],[X]]=4)),tbal[[#This Row],[ACREEDOR]],0)</f>
        <v>0</v>
      </c>
      <c r="M2073" s="16">
        <f>IF((OR(tbal[[#This Row],[X]]=0,tbal[[#This Row],[X]]=6)),tbal[[#This Row],[DEUDOR]],0)</f>
        <v>0</v>
      </c>
      <c r="N2073" s="18">
        <f>IF((OR(tbal[[#This Row],[X]]=0,tbal[[#This Row],[X]]=5)),tbal[[#This Row],[ACREEDOR]],0)</f>
        <v>0</v>
      </c>
    </row>
    <row r="2074" spans="1:14" hidden="1" x14ac:dyDescent="0.3">
      <c r="A2074" s="14">
        <f>+'PLAN DE CUENTAS'!A2074</f>
        <v>0</v>
      </c>
      <c r="B2074" s="13">
        <f>+'PLAN DE CUENTAS'!B2074</f>
        <v>0</v>
      </c>
      <c r="C2074" s="13">
        <f>+'PLAN DE CUENTAS'!C2074</f>
        <v>0</v>
      </c>
      <c r="D2074" t="str">
        <f>IF(tbal[[#This Row],[DEBE]]+tbal[[#This Row],[HABER]]=0,"","X")</f>
        <v/>
      </c>
      <c r="E2074" s="16">
        <f>SUMIF(tdiario[CUENTA],tbal[[#This Row],[CUENTA]],tdiario[DEBE])</f>
        <v>0</v>
      </c>
      <c r="F2074" s="17">
        <f>SUMIF(tdiario[CUENTA],tbal[[#This Row],[CUENTA]],tdiario[HABER])</f>
        <v>0</v>
      </c>
      <c r="G2074" s="16">
        <f>IF(tbal[[#This Row],[DEBE]]-tbal[[#This Row],[HABER]]&gt;0,tbal[[#This Row],[DEBE]]-tbal[[#This Row],[HABER]],0)</f>
        <v>0</v>
      </c>
      <c r="H2074" s="18">
        <f>IF(tbal[[#This Row],[HABER]]-tbal[[#This Row],[DEBE]]&gt;0,tbal[[#This Row],[HABER]]-tbal[[#This Row],[DEBE]],0)</f>
        <v>0</v>
      </c>
      <c r="I2074" s="16">
        <f>IF((OR(tbal[[#This Row],[X]]=1,tbal[[#This Row],[X]]=2)),tbal[[#This Row],[DEUDOR]],0)</f>
        <v>0</v>
      </c>
      <c r="J2074" s="18">
        <f>IF((OR(tbal[[#This Row],[X]]=2,tbal[[#This Row],[X]]=3)),tbal[[#This Row],[ACREEDOR]],0)</f>
        <v>0</v>
      </c>
      <c r="K2074" s="16">
        <f>IF((OR(tbal[[#This Row],[X]]=3,tbal[[#This Row],[X]]=5)),tbal[[#This Row],[DEUDOR]],0)</f>
        <v>0</v>
      </c>
      <c r="L2074" s="18">
        <f>IF((OR(tbal[[#This Row],[X]]=3,tbal[[#This Row],[X]]=4)),tbal[[#This Row],[ACREEDOR]],0)</f>
        <v>0</v>
      </c>
      <c r="M2074" s="16">
        <f>IF((OR(tbal[[#This Row],[X]]=0,tbal[[#This Row],[X]]=6)),tbal[[#This Row],[DEUDOR]],0)</f>
        <v>0</v>
      </c>
      <c r="N2074" s="18">
        <f>IF((OR(tbal[[#This Row],[X]]=0,tbal[[#This Row],[X]]=5)),tbal[[#This Row],[ACREEDOR]],0)</f>
        <v>0</v>
      </c>
    </row>
    <row r="2075" spans="1:14" hidden="1" x14ac:dyDescent="0.3">
      <c r="A2075" s="14">
        <f>+'PLAN DE CUENTAS'!A2075</f>
        <v>0</v>
      </c>
      <c r="B2075" s="13">
        <f>+'PLAN DE CUENTAS'!B2075</f>
        <v>0</v>
      </c>
      <c r="C2075" s="13">
        <f>+'PLAN DE CUENTAS'!C2075</f>
        <v>0</v>
      </c>
      <c r="D2075" t="str">
        <f>IF(tbal[[#This Row],[DEBE]]+tbal[[#This Row],[HABER]]=0,"","X")</f>
        <v/>
      </c>
      <c r="E2075" s="16">
        <f>SUMIF(tdiario[CUENTA],tbal[[#This Row],[CUENTA]],tdiario[DEBE])</f>
        <v>0</v>
      </c>
      <c r="F2075" s="17">
        <f>SUMIF(tdiario[CUENTA],tbal[[#This Row],[CUENTA]],tdiario[HABER])</f>
        <v>0</v>
      </c>
      <c r="G2075" s="16">
        <f>IF(tbal[[#This Row],[DEBE]]-tbal[[#This Row],[HABER]]&gt;0,tbal[[#This Row],[DEBE]]-tbal[[#This Row],[HABER]],0)</f>
        <v>0</v>
      </c>
      <c r="H2075" s="18">
        <f>IF(tbal[[#This Row],[HABER]]-tbal[[#This Row],[DEBE]]&gt;0,tbal[[#This Row],[HABER]]-tbal[[#This Row],[DEBE]],0)</f>
        <v>0</v>
      </c>
      <c r="I2075" s="16">
        <f>IF((OR(tbal[[#This Row],[X]]=1,tbal[[#This Row],[X]]=2)),tbal[[#This Row],[DEUDOR]],0)</f>
        <v>0</v>
      </c>
      <c r="J2075" s="18">
        <f>IF((OR(tbal[[#This Row],[X]]=2,tbal[[#This Row],[X]]=3)),tbal[[#This Row],[ACREEDOR]],0)</f>
        <v>0</v>
      </c>
      <c r="K2075" s="16">
        <f>IF((OR(tbal[[#This Row],[X]]=3,tbal[[#This Row],[X]]=5)),tbal[[#This Row],[DEUDOR]],0)</f>
        <v>0</v>
      </c>
      <c r="L2075" s="18">
        <f>IF((OR(tbal[[#This Row],[X]]=3,tbal[[#This Row],[X]]=4)),tbal[[#This Row],[ACREEDOR]],0)</f>
        <v>0</v>
      </c>
      <c r="M2075" s="16">
        <f>IF((OR(tbal[[#This Row],[X]]=0,tbal[[#This Row],[X]]=6)),tbal[[#This Row],[DEUDOR]],0)</f>
        <v>0</v>
      </c>
      <c r="N2075" s="18">
        <f>IF((OR(tbal[[#This Row],[X]]=0,tbal[[#This Row],[X]]=5)),tbal[[#This Row],[ACREEDOR]],0)</f>
        <v>0</v>
      </c>
    </row>
    <row r="2076" spans="1:14" hidden="1" x14ac:dyDescent="0.3">
      <c r="A2076" s="14">
        <f>+'PLAN DE CUENTAS'!A2076</f>
        <v>0</v>
      </c>
      <c r="B2076" s="13">
        <f>+'PLAN DE CUENTAS'!B2076</f>
        <v>0</v>
      </c>
      <c r="C2076" s="13">
        <f>+'PLAN DE CUENTAS'!C2076</f>
        <v>0</v>
      </c>
      <c r="D2076" t="str">
        <f>IF(tbal[[#This Row],[DEBE]]+tbal[[#This Row],[HABER]]=0,"","X")</f>
        <v/>
      </c>
      <c r="E2076" s="16">
        <f>SUMIF(tdiario[CUENTA],tbal[[#This Row],[CUENTA]],tdiario[DEBE])</f>
        <v>0</v>
      </c>
      <c r="F2076" s="17">
        <f>SUMIF(tdiario[CUENTA],tbal[[#This Row],[CUENTA]],tdiario[HABER])</f>
        <v>0</v>
      </c>
      <c r="G2076" s="16">
        <f>IF(tbal[[#This Row],[DEBE]]-tbal[[#This Row],[HABER]]&gt;0,tbal[[#This Row],[DEBE]]-tbal[[#This Row],[HABER]],0)</f>
        <v>0</v>
      </c>
      <c r="H2076" s="18">
        <f>IF(tbal[[#This Row],[HABER]]-tbal[[#This Row],[DEBE]]&gt;0,tbal[[#This Row],[HABER]]-tbal[[#This Row],[DEBE]],0)</f>
        <v>0</v>
      </c>
      <c r="I2076" s="16">
        <f>IF((OR(tbal[[#This Row],[X]]=1,tbal[[#This Row],[X]]=2)),tbal[[#This Row],[DEUDOR]],0)</f>
        <v>0</v>
      </c>
      <c r="J2076" s="18">
        <f>IF((OR(tbal[[#This Row],[X]]=2,tbal[[#This Row],[X]]=3)),tbal[[#This Row],[ACREEDOR]],0)</f>
        <v>0</v>
      </c>
      <c r="K2076" s="16">
        <f>IF((OR(tbal[[#This Row],[X]]=3,tbal[[#This Row],[X]]=5)),tbal[[#This Row],[DEUDOR]],0)</f>
        <v>0</v>
      </c>
      <c r="L2076" s="18">
        <f>IF((OR(tbal[[#This Row],[X]]=3,tbal[[#This Row],[X]]=4)),tbal[[#This Row],[ACREEDOR]],0)</f>
        <v>0</v>
      </c>
      <c r="M2076" s="16">
        <f>IF((OR(tbal[[#This Row],[X]]=0,tbal[[#This Row],[X]]=6)),tbal[[#This Row],[DEUDOR]],0)</f>
        <v>0</v>
      </c>
      <c r="N2076" s="18">
        <f>IF((OR(tbal[[#This Row],[X]]=0,tbal[[#This Row],[X]]=5)),tbal[[#This Row],[ACREEDOR]],0)</f>
        <v>0</v>
      </c>
    </row>
    <row r="2077" spans="1:14" hidden="1" x14ac:dyDescent="0.3">
      <c r="A2077" s="14">
        <f>+'PLAN DE CUENTAS'!A2077</f>
        <v>0</v>
      </c>
      <c r="B2077" s="13">
        <f>+'PLAN DE CUENTAS'!B2077</f>
        <v>0</v>
      </c>
      <c r="C2077" s="13">
        <f>+'PLAN DE CUENTAS'!C2077</f>
        <v>0</v>
      </c>
      <c r="D2077" t="str">
        <f>IF(tbal[[#This Row],[DEBE]]+tbal[[#This Row],[HABER]]=0,"","X")</f>
        <v/>
      </c>
      <c r="E2077" s="16">
        <f>SUMIF(tdiario[CUENTA],tbal[[#This Row],[CUENTA]],tdiario[DEBE])</f>
        <v>0</v>
      </c>
      <c r="F2077" s="17">
        <f>SUMIF(tdiario[CUENTA],tbal[[#This Row],[CUENTA]],tdiario[HABER])</f>
        <v>0</v>
      </c>
      <c r="G2077" s="16">
        <f>IF(tbal[[#This Row],[DEBE]]-tbal[[#This Row],[HABER]]&gt;0,tbal[[#This Row],[DEBE]]-tbal[[#This Row],[HABER]],0)</f>
        <v>0</v>
      </c>
      <c r="H2077" s="18">
        <f>IF(tbal[[#This Row],[HABER]]-tbal[[#This Row],[DEBE]]&gt;0,tbal[[#This Row],[HABER]]-tbal[[#This Row],[DEBE]],0)</f>
        <v>0</v>
      </c>
      <c r="I2077" s="16">
        <f>IF((OR(tbal[[#This Row],[X]]=1,tbal[[#This Row],[X]]=2)),tbal[[#This Row],[DEUDOR]],0)</f>
        <v>0</v>
      </c>
      <c r="J2077" s="18">
        <f>IF((OR(tbal[[#This Row],[X]]=2,tbal[[#This Row],[X]]=3)),tbal[[#This Row],[ACREEDOR]],0)</f>
        <v>0</v>
      </c>
      <c r="K2077" s="16">
        <f>IF((OR(tbal[[#This Row],[X]]=3,tbal[[#This Row],[X]]=5)),tbal[[#This Row],[DEUDOR]],0)</f>
        <v>0</v>
      </c>
      <c r="L2077" s="18">
        <f>IF((OR(tbal[[#This Row],[X]]=3,tbal[[#This Row],[X]]=4)),tbal[[#This Row],[ACREEDOR]],0)</f>
        <v>0</v>
      </c>
      <c r="M2077" s="16">
        <f>IF((OR(tbal[[#This Row],[X]]=0,tbal[[#This Row],[X]]=6)),tbal[[#This Row],[DEUDOR]],0)</f>
        <v>0</v>
      </c>
      <c r="N2077" s="18">
        <f>IF((OR(tbal[[#This Row],[X]]=0,tbal[[#This Row],[X]]=5)),tbal[[#This Row],[ACREEDOR]],0)</f>
        <v>0</v>
      </c>
    </row>
    <row r="2078" spans="1:14" hidden="1" x14ac:dyDescent="0.3">
      <c r="A2078" s="14">
        <f>+'PLAN DE CUENTAS'!A2078</f>
        <v>0</v>
      </c>
      <c r="B2078" s="13">
        <f>+'PLAN DE CUENTAS'!B2078</f>
        <v>0</v>
      </c>
      <c r="C2078" s="13">
        <f>+'PLAN DE CUENTAS'!C2078</f>
        <v>0</v>
      </c>
      <c r="D2078" t="str">
        <f>IF(tbal[[#This Row],[DEBE]]+tbal[[#This Row],[HABER]]=0,"","X")</f>
        <v/>
      </c>
      <c r="E2078" s="16">
        <f>SUMIF(tdiario[CUENTA],tbal[[#This Row],[CUENTA]],tdiario[DEBE])</f>
        <v>0</v>
      </c>
      <c r="F2078" s="17">
        <f>SUMIF(tdiario[CUENTA],tbal[[#This Row],[CUENTA]],tdiario[HABER])</f>
        <v>0</v>
      </c>
      <c r="G2078" s="16">
        <f>IF(tbal[[#This Row],[DEBE]]-tbal[[#This Row],[HABER]]&gt;0,tbal[[#This Row],[DEBE]]-tbal[[#This Row],[HABER]],0)</f>
        <v>0</v>
      </c>
      <c r="H2078" s="18">
        <f>IF(tbal[[#This Row],[HABER]]-tbal[[#This Row],[DEBE]]&gt;0,tbal[[#This Row],[HABER]]-tbal[[#This Row],[DEBE]],0)</f>
        <v>0</v>
      </c>
      <c r="I2078" s="16">
        <f>IF((OR(tbal[[#This Row],[X]]=1,tbal[[#This Row],[X]]=2)),tbal[[#This Row],[DEUDOR]],0)</f>
        <v>0</v>
      </c>
      <c r="J2078" s="18">
        <f>IF((OR(tbal[[#This Row],[X]]=2,tbal[[#This Row],[X]]=3)),tbal[[#This Row],[ACREEDOR]],0)</f>
        <v>0</v>
      </c>
      <c r="K2078" s="16">
        <f>IF((OR(tbal[[#This Row],[X]]=3,tbal[[#This Row],[X]]=5)),tbal[[#This Row],[DEUDOR]],0)</f>
        <v>0</v>
      </c>
      <c r="L2078" s="18">
        <f>IF((OR(tbal[[#This Row],[X]]=3,tbal[[#This Row],[X]]=4)),tbal[[#This Row],[ACREEDOR]],0)</f>
        <v>0</v>
      </c>
      <c r="M2078" s="16">
        <f>IF((OR(tbal[[#This Row],[X]]=0,tbal[[#This Row],[X]]=6)),tbal[[#This Row],[DEUDOR]],0)</f>
        <v>0</v>
      </c>
      <c r="N2078" s="18">
        <f>IF((OR(tbal[[#This Row],[X]]=0,tbal[[#This Row],[X]]=5)),tbal[[#This Row],[ACREEDOR]],0)</f>
        <v>0</v>
      </c>
    </row>
    <row r="2079" spans="1:14" hidden="1" x14ac:dyDescent="0.3">
      <c r="A2079" s="14">
        <f>+'PLAN DE CUENTAS'!A2079</f>
        <v>0</v>
      </c>
      <c r="B2079" s="13">
        <f>+'PLAN DE CUENTAS'!B2079</f>
        <v>0</v>
      </c>
      <c r="C2079" s="13">
        <f>+'PLAN DE CUENTAS'!C2079</f>
        <v>0</v>
      </c>
      <c r="D2079" t="str">
        <f>IF(tbal[[#This Row],[DEBE]]+tbal[[#This Row],[HABER]]=0,"","X")</f>
        <v/>
      </c>
      <c r="E2079" s="16">
        <f>SUMIF(tdiario[CUENTA],tbal[[#This Row],[CUENTA]],tdiario[DEBE])</f>
        <v>0</v>
      </c>
      <c r="F2079" s="17">
        <f>SUMIF(tdiario[CUENTA],tbal[[#This Row],[CUENTA]],tdiario[HABER])</f>
        <v>0</v>
      </c>
      <c r="G2079" s="16">
        <f>IF(tbal[[#This Row],[DEBE]]-tbal[[#This Row],[HABER]]&gt;0,tbal[[#This Row],[DEBE]]-tbal[[#This Row],[HABER]],0)</f>
        <v>0</v>
      </c>
      <c r="H2079" s="18">
        <f>IF(tbal[[#This Row],[HABER]]-tbal[[#This Row],[DEBE]]&gt;0,tbal[[#This Row],[HABER]]-tbal[[#This Row],[DEBE]],0)</f>
        <v>0</v>
      </c>
      <c r="I2079" s="16">
        <f>IF((OR(tbal[[#This Row],[X]]=1,tbal[[#This Row],[X]]=2)),tbal[[#This Row],[DEUDOR]],0)</f>
        <v>0</v>
      </c>
      <c r="J2079" s="18">
        <f>IF((OR(tbal[[#This Row],[X]]=2,tbal[[#This Row],[X]]=3)),tbal[[#This Row],[ACREEDOR]],0)</f>
        <v>0</v>
      </c>
      <c r="K2079" s="16">
        <f>IF((OR(tbal[[#This Row],[X]]=3,tbal[[#This Row],[X]]=5)),tbal[[#This Row],[DEUDOR]],0)</f>
        <v>0</v>
      </c>
      <c r="L2079" s="18">
        <f>IF((OR(tbal[[#This Row],[X]]=3,tbal[[#This Row],[X]]=4)),tbal[[#This Row],[ACREEDOR]],0)</f>
        <v>0</v>
      </c>
      <c r="M2079" s="16">
        <f>IF((OR(tbal[[#This Row],[X]]=0,tbal[[#This Row],[X]]=6)),tbal[[#This Row],[DEUDOR]],0)</f>
        <v>0</v>
      </c>
      <c r="N2079" s="18">
        <f>IF((OR(tbal[[#This Row],[X]]=0,tbal[[#This Row],[X]]=5)),tbal[[#This Row],[ACREEDOR]],0)</f>
        <v>0</v>
      </c>
    </row>
    <row r="2080" spans="1:14" hidden="1" x14ac:dyDescent="0.3">
      <c r="A2080" s="14">
        <f>+'PLAN DE CUENTAS'!A2080</f>
        <v>0</v>
      </c>
      <c r="B2080" s="13">
        <f>+'PLAN DE CUENTAS'!B2080</f>
        <v>0</v>
      </c>
      <c r="C2080" s="13">
        <f>+'PLAN DE CUENTAS'!C2080</f>
        <v>0</v>
      </c>
      <c r="D2080" t="str">
        <f>IF(tbal[[#This Row],[DEBE]]+tbal[[#This Row],[HABER]]=0,"","X")</f>
        <v/>
      </c>
      <c r="E2080" s="16">
        <f>SUMIF(tdiario[CUENTA],tbal[[#This Row],[CUENTA]],tdiario[DEBE])</f>
        <v>0</v>
      </c>
      <c r="F2080" s="17">
        <f>SUMIF(tdiario[CUENTA],tbal[[#This Row],[CUENTA]],tdiario[HABER])</f>
        <v>0</v>
      </c>
      <c r="G2080" s="16">
        <f>IF(tbal[[#This Row],[DEBE]]-tbal[[#This Row],[HABER]]&gt;0,tbal[[#This Row],[DEBE]]-tbal[[#This Row],[HABER]],0)</f>
        <v>0</v>
      </c>
      <c r="H2080" s="18">
        <f>IF(tbal[[#This Row],[HABER]]-tbal[[#This Row],[DEBE]]&gt;0,tbal[[#This Row],[HABER]]-tbal[[#This Row],[DEBE]],0)</f>
        <v>0</v>
      </c>
      <c r="I2080" s="16">
        <f>IF((OR(tbal[[#This Row],[X]]=1,tbal[[#This Row],[X]]=2)),tbal[[#This Row],[DEUDOR]],0)</f>
        <v>0</v>
      </c>
      <c r="J2080" s="18">
        <f>IF((OR(tbal[[#This Row],[X]]=2,tbal[[#This Row],[X]]=3)),tbal[[#This Row],[ACREEDOR]],0)</f>
        <v>0</v>
      </c>
      <c r="K2080" s="16">
        <f>IF((OR(tbal[[#This Row],[X]]=3,tbal[[#This Row],[X]]=5)),tbal[[#This Row],[DEUDOR]],0)</f>
        <v>0</v>
      </c>
      <c r="L2080" s="18">
        <f>IF((OR(tbal[[#This Row],[X]]=3,tbal[[#This Row],[X]]=4)),tbal[[#This Row],[ACREEDOR]],0)</f>
        <v>0</v>
      </c>
      <c r="M2080" s="16">
        <f>IF((OR(tbal[[#This Row],[X]]=0,tbal[[#This Row],[X]]=6)),tbal[[#This Row],[DEUDOR]],0)</f>
        <v>0</v>
      </c>
      <c r="N2080" s="18">
        <f>IF((OR(tbal[[#This Row],[X]]=0,tbal[[#This Row],[X]]=5)),tbal[[#This Row],[ACREEDOR]],0)</f>
        <v>0</v>
      </c>
    </row>
    <row r="2081" spans="1:14" hidden="1" x14ac:dyDescent="0.3">
      <c r="A2081" s="14">
        <f>+'PLAN DE CUENTAS'!A2081</f>
        <v>0</v>
      </c>
      <c r="B2081" s="13">
        <f>+'PLAN DE CUENTAS'!B2081</f>
        <v>0</v>
      </c>
      <c r="C2081" s="13">
        <f>+'PLAN DE CUENTAS'!C2081</f>
        <v>0</v>
      </c>
      <c r="D2081" t="str">
        <f>IF(tbal[[#This Row],[DEBE]]+tbal[[#This Row],[HABER]]=0,"","X")</f>
        <v/>
      </c>
      <c r="E2081" s="16">
        <f>SUMIF(tdiario[CUENTA],tbal[[#This Row],[CUENTA]],tdiario[DEBE])</f>
        <v>0</v>
      </c>
      <c r="F2081" s="17">
        <f>SUMIF(tdiario[CUENTA],tbal[[#This Row],[CUENTA]],tdiario[HABER])</f>
        <v>0</v>
      </c>
      <c r="G2081" s="16">
        <f>IF(tbal[[#This Row],[DEBE]]-tbal[[#This Row],[HABER]]&gt;0,tbal[[#This Row],[DEBE]]-tbal[[#This Row],[HABER]],0)</f>
        <v>0</v>
      </c>
      <c r="H2081" s="18">
        <f>IF(tbal[[#This Row],[HABER]]-tbal[[#This Row],[DEBE]]&gt;0,tbal[[#This Row],[HABER]]-tbal[[#This Row],[DEBE]],0)</f>
        <v>0</v>
      </c>
      <c r="I2081" s="16">
        <f>IF((OR(tbal[[#This Row],[X]]=1,tbal[[#This Row],[X]]=2)),tbal[[#This Row],[DEUDOR]],0)</f>
        <v>0</v>
      </c>
      <c r="J2081" s="18">
        <f>IF((OR(tbal[[#This Row],[X]]=2,tbal[[#This Row],[X]]=3)),tbal[[#This Row],[ACREEDOR]],0)</f>
        <v>0</v>
      </c>
      <c r="K2081" s="16">
        <f>IF((OR(tbal[[#This Row],[X]]=3,tbal[[#This Row],[X]]=5)),tbal[[#This Row],[DEUDOR]],0)</f>
        <v>0</v>
      </c>
      <c r="L2081" s="18">
        <f>IF((OR(tbal[[#This Row],[X]]=3,tbal[[#This Row],[X]]=4)),tbal[[#This Row],[ACREEDOR]],0)</f>
        <v>0</v>
      </c>
      <c r="M2081" s="16">
        <f>IF((OR(tbal[[#This Row],[X]]=0,tbal[[#This Row],[X]]=6)),tbal[[#This Row],[DEUDOR]],0)</f>
        <v>0</v>
      </c>
      <c r="N2081" s="18">
        <f>IF((OR(tbal[[#This Row],[X]]=0,tbal[[#This Row],[X]]=5)),tbal[[#This Row],[ACREEDOR]],0)</f>
        <v>0</v>
      </c>
    </row>
    <row r="2082" spans="1:14" hidden="1" x14ac:dyDescent="0.3">
      <c r="A2082" s="14">
        <f>+'PLAN DE CUENTAS'!A2082</f>
        <v>0</v>
      </c>
      <c r="B2082" s="13">
        <f>+'PLAN DE CUENTAS'!B2082</f>
        <v>0</v>
      </c>
      <c r="C2082" s="13">
        <f>+'PLAN DE CUENTAS'!C2082</f>
        <v>0</v>
      </c>
      <c r="D2082" t="str">
        <f>IF(tbal[[#This Row],[DEBE]]+tbal[[#This Row],[HABER]]=0,"","X")</f>
        <v/>
      </c>
      <c r="E2082" s="16">
        <f>SUMIF(tdiario[CUENTA],tbal[[#This Row],[CUENTA]],tdiario[DEBE])</f>
        <v>0</v>
      </c>
      <c r="F2082" s="17">
        <f>SUMIF(tdiario[CUENTA],tbal[[#This Row],[CUENTA]],tdiario[HABER])</f>
        <v>0</v>
      </c>
      <c r="G2082" s="16">
        <f>IF(tbal[[#This Row],[DEBE]]-tbal[[#This Row],[HABER]]&gt;0,tbal[[#This Row],[DEBE]]-tbal[[#This Row],[HABER]],0)</f>
        <v>0</v>
      </c>
      <c r="H2082" s="18">
        <f>IF(tbal[[#This Row],[HABER]]-tbal[[#This Row],[DEBE]]&gt;0,tbal[[#This Row],[HABER]]-tbal[[#This Row],[DEBE]],0)</f>
        <v>0</v>
      </c>
      <c r="I2082" s="16">
        <f>IF((OR(tbal[[#This Row],[X]]=1,tbal[[#This Row],[X]]=2)),tbal[[#This Row],[DEUDOR]],0)</f>
        <v>0</v>
      </c>
      <c r="J2082" s="18">
        <f>IF((OR(tbal[[#This Row],[X]]=2,tbal[[#This Row],[X]]=3)),tbal[[#This Row],[ACREEDOR]],0)</f>
        <v>0</v>
      </c>
      <c r="K2082" s="16">
        <f>IF((OR(tbal[[#This Row],[X]]=3,tbal[[#This Row],[X]]=5)),tbal[[#This Row],[DEUDOR]],0)</f>
        <v>0</v>
      </c>
      <c r="L2082" s="18">
        <f>IF((OR(tbal[[#This Row],[X]]=3,tbal[[#This Row],[X]]=4)),tbal[[#This Row],[ACREEDOR]],0)</f>
        <v>0</v>
      </c>
      <c r="M2082" s="16">
        <f>IF((OR(tbal[[#This Row],[X]]=0,tbal[[#This Row],[X]]=6)),tbal[[#This Row],[DEUDOR]],0)</f>
        <v>0</v>
      </c>
      <c r="N2082" s="18">
        <f>IF((OR(tbal[[#This Row],[X]]=0,tbal[[#This Row],[X]]=5)),tbal[[#This Row],[ACREEDOR]],0)</f>
        <v>0</v>
      </c>
    </row>
    <row r="2083" spans="1:14" hidden="1" x14ac:dyDescent="0.3">
      <c r="A2083" s="14">
        <f>+'PLAN DE CUENTAS'!A2083</f>
        <v>0</v>
      </c>
      <c r="B2083" s="13">
        <f>+'PLAN DE CUENTAS'!B2083</f>
        <v>0</v>
      </c>
      <c r="C2083" s="13">
        <f>+'PLAN DE CUENTAS'!C2083</f>
        <v>0</v>
      </c>
      <c r="D2083" t="str">
        <f>IF(tbal[[#This Row],[DEBE]]+tbal[[#This Row],[HABER]]=0,"","X")</f>
        <v/>
      </c>
      <c r="E2083" s="16">
        <f>SUMIF(tdiario[CUENTA],tbal[[#This Row],[CUENTA]],tdiario[DEBE])</f>
        <v>0</v>
      </c>
      <c r="F2083" s="17">
        <f>SUMIF(tdiario[CUENTA],tbal[[#This Row],[CUENTA]],tdiario[HABER])</f>
        <v>0</v>
      </c>
      <c r="G2083" s="16">
        <f>IF(tbal[[#This Row],[DEBE]]-tbal[[#This Row],[HABER]]&gt;0,tbal[[#This Row],[DEBE]]-tbal[[#This Row],[HABER]],0)</f>
        <v>0</v>
      </c>
      <c r="H2083" s="18">
        <f>IF(tbal[[#This Row],[HABER]]-tbal[[#This Row],[DEBE]]&gt;0,tbal[[#This Row],[HABER]]-tbal[[#This Row],[DEBE]],0)</f>
        <v>0</v>
      </c>
      <c r="I2083" s="16">
        <f>IF((OR(tbal[[#This Row],[X]]=1,tbal[[#This Row],[X]]=2)),tbal[[#This Row],[DEUDOR]],0)</f>
        <v>0</v>
      </c>
      <c r="J2083" s="18">
        <f>IF((OR(tbal[[#This Row],[X]]=2,tbal[[#This Row],[X]]=3)),tbal[[#This Row],[ACREEDOR]],0)</f>
        <v>0</v>
      </c>
      <c r="K2083" s="16">
        <f>IF((OR(tbal[[#This Row],[X]]=3,tbal[[#This Row],[X]]=5)),tbal[[#This Row],[DEUDOR]],0)</f>
        <v>0</v>
      </c>
      <c r="L2083" s="18">
        <f>IF((OR(tbal[[#This Row],[X]]=3,tbal[[#This Row],[X]]=4)),tbal[[#This Row],[ACREEDOR]],0)</f>
        <v>0</v>
      </c>
      <c r="M2083" s="16">
        <f>IF((OR(tbal[[#This Row],[X]]=0,tbal[[#This Row],[X]]=6)),tbal[[#This Row],[DEUDOR]],0)</f>
        <v>0</v>
      </c>
      <c r="N2083" s="18">
        <f>IF((OR(tbal[[#This Row],[X]]=0,tbal[[#This Row],[X]]=5)),tbal[[#This Row],[ACREEDOR]],0)</f>
        <v>0</v>
      </c>
    </row>
    <row r="2084" spans="1:14" hidden="1" x14ac:dyDescent="0.3">
      <c r="A2084" s="14">
        <f>+'PLAN DE CUENTAS'!A2084</f>
        <v>0</v>
      </c>
      <c r="B2084" s="13">
        <f>+'PLAN DE CUENTAS'!B2084</f>
        <v>0</v>
      </c>
      <c r="C2084" s="13">
        <f>+'PLAN DE CUENTAS'!C2084</f>
        <v>0</v>
      </c>
      <c r="D2084" t="str">
        <f>IF(tbal[[#This Row],[DEBE]]+tbal[[#This Row],[HABER]]=0,"","X")</f>
        <v/>
      </c>
      <c r="E2084" s="16">
        <f>SUMIF(tdiario[CUENTA],tbal[[#This Row],[CUENTA]],tdiario[DEBE])</f>
        <v>0</v>
      </c>
      <c r="F2084" s="17">
        <f>SUMIF(tdiario[CUENTA],tbal[[#This Row],[CUENTA]],tdiario[HABER])</f>
        <v>0</v>
      </c>
      <c r="G2084" s="16">
        <f>IF(tbal[[#This Row],[DEBE]]-tbal[[#This Row],[HABER]]&gt;0,tbal[[#This Row],[DEBE]]-tbal[[#This Row],[HABER]],0)</f>
        <v>0</v>
      </c>
      <c r="H2084" s="18">
        <f>IF(tbal[[#This Row],[HABER]]-tbal[[#This Row],[DEBE]]&gt;0,tbal[[#This Row],[HABER]]-tbal[[#This Row],[DEBE]],0)</f>
        <v>0</v>
      </c>
      <c r="I2084" s="16">
        <f>IF((OR(tbal[[#This Row],[X]]=1,tbal[[#This Row],[X]]=2)),tbal[[#This Row],[DEUDOR]],0)</f>
        <v>0</v>
      </c>
      <c r="J2084" s="18">
        <f>IF((OR(tbal[[#This Row],[X]]=2,tbal[[#This Row],[X]]=3)),tbal[[#This Row],[ACREEDOR]],0)</f>
        <v>0</v>
      </c>
      <c r="K2084" s="16">
        <f>IF((OR(tbal[[#This Row],[X]]=3,tbal[[#This Row],[X]]=5)),tbal[[#This Row],[DEUDOR]],0)</f>
        <v>0</v>
      </c>
      <c r="L2084" s="18">
        <f>IF((OR(tbal[[#This Row],[X]]=3,tbal[[#This Row],[X]]=4)),tbal[[#This Row],[ACREEDOR]],0)</f>
        <v>0</v>
      </c>
      <c r="M2084" s="16">
        <f>IF((OR(tbal[[#This Row],[X]]=0,tbal[[#This Row],[X]]=6)),tbal[[#This Row],[DEUDOR]],0)</f>
        <v>0</v>
      </c>
      <c r="N2084" s="18">
        <f>IF((OR(tbal[[#This Row],[X]]=0,tbal[[#This Row],[X]]=5)),tbal[[#This Row],[ACREEDOR]],0)</f>
        <v>0</v>
      </c>
    </row>
    <row r="2085" spans="1:14" hidden="1" x14ac:dyDescent="0.3">
      <c r="A2085" s="14">
        <f>+'PLAN DE CUENTAS'!A2085</f>
        <v>0</v>
      </c>
      <c r="B2085" s="13">
        <f>+'PLAN DE CUENTAS'!B2085</f>
        <v>0</v>
      </c>
      <c r="C2085" s="13">
        <f>+'PLAN DE CUENTAS'!C2085</f>
        <v>0</v>
      </c>
      <c r="D2085" t="str">
        <f>IF(tbal[[#This Row],[DEBE]]+tbal[[#This Row],[HABER]]=0,"","X")</f>
        <v/>
      </c>
      <c r="E2085" s="16">
        <f>SUMIF(tdiario[CUENTA],tbal[[#This Row],[CUENTA]],tdiario[DEBE])</f>
        <v>0</v>
      </c>
      <c r="F2085" s="17">
        <f>SUMIF(tdiario[CUENTA],tbal[[#This Row],[CUENTA]],tdiario[HABER])</f>
        <v>0</v>
      </c>
      <c r="G2085" s="16">
        <f>IF(tbal[[#This Row],[DEBE]]-tbal[[#This Row],[HABER]]&gt;0,tbal[[#This Row],[DEBE]]-tbal[[#This Row],[HABER]],0)</f>
        <v>0</v>
      </c>
      <c r="H2085" s="18">
        <f>IF(tbal[[#This Row],[HABER]]-tbal[[#This Row],[DEBE]]&gt;0,tbal[[#This Row],[HABER]]-tbal[[#This Row],[DEBE]],0)</f>
        <v>0</v>
      </c>
      <c r="I2085" s="16">
        <f>IF((OR(tbal[[#This Row],[X]]=1,tbal[[#This Row],[X]]=2)),tbal[[#This Row],[DEUDOR]],0)</f>
        <v>0</v>
      </c>
      <c r="J2085" s="18">
        <f>IF((OR(tbal[[#This Row],[X]]=2,tbal[[#This Row],[X]]=3)),tbal[[#This Row],[ACREEDOR]],0)</f>
        <v>0</v>
      </c>
      <c r="K2085" s="16">
        <f>IF((OR(tbal[[#This Row],[X]]=3,tbal[[#This Row],[X]]=5)),tbal[[#This Row],[DEUDOR]],0)</f>
        <v>0</v>
      </c>
      <c r="L2085" s="18">
        <f>IF((OR(tbal[[#This Row],[X]]=3,tbal[[#This Row],[X]]=4)),tbal[[#This Row],[ACREEDOR]],0)</f>
        <v>0</v>
      </c>
      <c r="M2085" s="16">
        <f>IF((OR(tbal[[#This Row],[X]]=0,tbal[[#This Row],[X]]=6)),tbal[[#This Row],[DEUDOR]],0)</f>
        <v>0</v>
      </c>
      <c r="N2085" s="18">
        <f>IF((OR(tbal[[#This Row],[X]]=0,tbal[[#This Row],[X]]=5)),tbal[[#This Row],[ACREEDOR]],0)</f>
        <v>0</v>
      </c>
    </row>
    <row r="2086" spans="1:14" hidden="1" x14ac:dyDescent="0.3">
      <c r="A2086" s="14">
        <f>+'PLAN DE CUENTAS'!A2086</f>
        <v>0</v>
      </c>
      <c r="B2086" s="13">
        <f>+'PLAN DE CUENTAS'!B2086</f>
        <v>0</v>
      </c>
      <c r="C2086" s="13">
        <f>+'PLAN DE CUENTAS'!C2086</f>
        <v>0</v>
      </c>
      <c r="D2086" t="str">
        <f>IF(tbal[[#This Row],[DEBE]]+tbal[[#This Row],[HABER]]=0,"","X")</f>
        <v/>
      </c>
      <c r="E2086" s="16">
        <f>SUMIF(tdiario[CUENTA],tbal[[#This Row],[CUENTA]],tdiario[DEBE])</f>
        <v>0</v>
      </c>
      <c r="F2086" s="17">
        <f>SUMIF(tdiario[CUENTA],tbal[[#This Row],[CUENTA]],tdiario[HABER])</f>
        <v>0</v>
      </c>
      <c r="G2086" s="16">
        <f>IF(tbal[[#This Row],[DEBE]]-tbal[[#This Row],[HABER]]&gt;0,tbal[[#This Row],[DEBE]]-tbal[[#This Row],[HABER]],0)</f>
        <v>0</v>
      </c>
      <c r="H2086" s="18">
        <f>IF(tbal[[#This Row],[HABER]]-tbal[[#This Row],[DEBE]]&gt;0,tbal[[#This Row],[HABER]]-tbal[[#This Row],[DEBE]],0)</f>
        <v>0</v>
      </c>
      <c r="I2086" s="16">
        <f>IF((OR(tbal[[#This Row],[X]]=1,tbal[[#This Row],[X]]=2)),tbal[[#This Row],[DEUDOR]],0)</f>
        <v>0</v>
      </c>
      <c r="J2086" s="18">
        <f>IF((OR(tbal[[#This Row],[X]]=2,tbal[[#This Row],[X]]=3)),tbal[[#This Row],[ACREEDOR]],0)</f>
        <v>0</v>
      </c>
      <c r="K2086" s="16">
        <f>IF((OR(tbal[[#This Row],[X]]=3,tbal[[#This Row],[X]]=5)),tbal[[#This Row],[DEUDOR]],0)</f>
        <v>0</v>
      </c>
      <c r="L2086" s="18">
        <f>IF((OR(tbal[[#This Row],[X]]=3,tbal[[#This Row],[X]]=4)),tbal[[#This Row],[ACREEDOR]],0)</f>
        <v>0</v>
      </c>
      <c r="M2086" s="16">
        <f>IF((OR(tbal[[#This Row],[X]]=0,tbal[[#This Row],[X]]=6)),tbal[[#This Row],[DEUDOR]],0)</f>
        <v>0</v>
      </c>
      <c r="N2086" s="18">
        <f>IF((OR(tbal[[#This Row],[X]]=0,tbal[[#This Row],[X]]=5)),tbal[[#This Row],[ACREEDOR]],0)</f>
        <v>0</v>
      </c>
    </row>
    <row r="2087" spans="1:14" hidden="1" x14ac:dyDescent="0.3">
      <c r="A2087" s="14">
        <f>+'PLAN DE CUENTAS'!A2087</f>
        <v>0</v>
      </c>
      <c r="B2087" s="13">
        <f>+'PLAN DE CUENTAS'!B2087</f>
        <v>0</v>
      </c>
      <c r="C2087" s="13">
        <f>+'PLAN DE CUENTAS'!C2087</f>
        <v>0</v>
      </c>
      <c r="D2087" t="str">
        <f>IF(tbal[[#This Row],[DEBE]]+tbal[[#This Row],[HABER]]=0,"","X")</f>
        <v/>
      </c>
      <c r="E2087" s="16">
        <f>SUMIF(tdiario[CUENTA],tbal[[#This Row],[CUENTA]],tdiario[DEBE])</f>
        <v>0</v>
      </c>
      <c r="F2087" s="17">
        <f>SUMIF(tdiario[CUENTA],tbal[[#This Row],[CUENTA]],tdiario[HABER])</f>
        <v>0</v>
      </c>
      <c r="G2087" s="16">
        <f>IF(tbal[[#This Row],[DEBE]]-tbal[[#This Row],[HABER]]&gt;0,tbal[[#This Row],[DEBE]]-tbal[[#This Row],[HABER]],0)</f>
        <v>0</v>
      </c>
      <c r="H2087" s="18">
        <f>IF(tbal[[#This Row],[HABER]]-tbal[[#This Row],[DEBE]]&gt;0,tbal[[#This Row],[HABER]]-tbal[[#This Row],[DEBE]],0)</f>
        <v>0</v>
      </c>
      <c r="I2087" s="16">
        <f>IF((OR(tbal[[#This Row],[X]]=1,tbal[[#This Row],[X]]=2)),tbal[[#This Row],[DEUDOR]],0)</f>
        <v>0</v>
      </c>
      <c r="J2087" s="18">
        <f>IF((OR(tbal[[#This Row],[X]]=2,tbal[[#This Row],[X]]=3)),tbal[[#This Row],[ACREEDOR]],0)</f>
        <v>0</v>
      </c>
      <c r="K2087" s="16">
        <f>IF((OR(tbal[[#This Row],[X]]=3,tbal[[#This Row],[X]]=5)),tbal[[#This Row],[DEUDOR]],0)</f>
        <v>0</v>
      </c>
      <c r="L2087" s="18">
        <f>IF((OR(tbal[[#This Row],[X]]=3,tbal[[#This Row],[X]]=4)),tbal[[#This Row],[ACREEDOR]],0)</f>
        <v>0</v>
      </c>
      <c r="M2087" s="16">
        <f>IF((OR(tbal[[#This Row],[X]]=0,tbal[[#This Row],[X]]=6)),tbal[[#This Row],[DEUDOR]],0)</f>
        <v>0</v>
      </c>
      <c r="N2087" s="18">
        <f>IF((OR(tbal[[#This Row],[X]]=0,tbal[[#This Row],[X]]=5)),tbal[[#This Row],[ACREEDOR]],0)</f>
        <v>0</v>
      </c>
    </row>
    <row r="2088" spans="1:14" hidden="1" x14ac:dyDescent="0.3">
      <c r="A2088" s="14">
        <f>+'PLAN DE CUENTAS'!A2088</f>
        <v>0</v>
      </c>
      <c r="B2088" s="13">
        <f>+'PLAN DE CUENTAS'!B2088</f>
        <v>0</v>
      </c>
      <c r="C2088" s="13">
        <f>+'PLAN DE CUENTAS'!C2088</f>
        <v>0</v>
      </c>
      <c r="D2088" t="str">
        <f>IF(tbal[[#This Row],[DEBE]]+tbal[[#This Row],[HABER]]=0,"","X")</f>
        <v/>
      </c>
      <c r="E2088" s="16">
        <f>SUMIF(tdiario[CUENTA],tbal[[#This Row],[CUENTA]],tdiario[DEBE])</f>
        <v>0</v>
      </c>
      <c r="F2088" s="17">
        <f>SUMIF(tdiario[CUENTA],tbal[[#This Row],[CUENTA]],tdiario[HABER])</f>
        <v>0</v>
      </c>
      <c r="G2088" s="16">
        <f>IF(tbal[[#This Row],[DEBE]]-tbal[[#This Row],[HABER]]&gt;0,tbal[[#This Row],[DEBE]]-tbal[[#This Row],[HABER]],0)</f>
        <v>0</v>
      </c>
      <c r="H2088" s="18">
        <f>IF(tbal[[#This Row],[HABER]]-tbal[[#This Row],[DEBE]]&gt;0,tbal[[#This Row],[HABER]]-tbal[[#This Row],[DEBE]],0)</f>
        <v>0</v>
      </c>
      <c r="I2088" s="16">
        <f>IF((OR(tbal[[#This Row],[X]]=1,tbal[[#This Row],[X]]=2)),tbal[[#This Row],[DEUDOR]],0)</f>
        <v>0</v>
      </c>
      <c r="J2088" s="18">
        <f>IF((OR(tbal[[#This Row],[X]]=2,tbal[[#This Row],[X]]=3)),tbal[[#This Row],[ACREEDOR]],0)</f>
        <v>0</v>
      </c>
      <c r="K2088" s="16">
        <f>IF((OR(tbal[[#This Row],[X]]=3,tbal[[#This Row],[X]]=5)),tbal[[#This Row],[DEUDOR]],0)</f>
        <v>0</v>
      </c>
      <c r="L2088" s="18">
        <f>IF((OR(tbal[[#This Row],[X]]=3,tbal[[#This Row],[X]]=4)),tbal[[#This Row],[ACREEDOR]],0)</f>
        <v>0</v>
      </c>
      <c r="M2088" s="16">
        <f>IF((OR(tbal[[#This Row],[X]]=0,tbal[[#This Row],[X]]=6)),tbal[[#This Row],[DEUDOR]],0)</f>
        <v>0</v>
      </c>
      <c r="N2088" s="18">
        <f>IF((OR(tbal[[#This Row],[X]]=0,tbal[[#This Row],[X]]=5)),tbal[[#This Row],[ACREEDOR]],0)</f>
        <v>0</v>
      </c>
    </row>
    <row r="2089" spans="1:14" hidden="1" x14ac:dyDescent="0.3">
      <c r="A2089" s="14">
        <f>+'PLAN DE CUENTAS'!A2089</f>
        <v>0</v>
      </c>
      <c r="B2089" s="13">
        <f>+'PLAN DE CUENTAS'!B2089</f>
        <v>0</v>
      </c>
      <c r="C2089" s="13">
        <f>+'PLAN DE CUENTAS'!C2089</f>
        <v>0</v>
      </c>
      <c r="D2089" t="str">
        <f>IF(tbal[[#This Row],[DEBE]]+tbal[[#This Row],[HABER]]=0,"","X")</f>
        <v/>
      </c>
      <c r="E2089" s="16">
        <f>SUMIF(tdiario[CUENTA],tbal[[#This Row],[CUENTA]],tdiario[DEBE])</f>
        <v>0</v>
      </c>
      <c r="F2089" s="17">
        <f>SUMIF(tdiario[CUENTA],tbal[[#This Row],[CUENTA]],tdiario[HABER])</f>
        <v>0</v>
      </c>
      <c r="G2089" s="16">
        <f>IF(tbal[[#This Row],[DEBE]]-tbal[[#This Row],[HABER]]&gt;0,tbal[[#This Row],[DEBE]]-tbal[[#This Row],[HABER]],0)</f>
        <v>0</v>
      </c>
      <c r="H2089" s="18">
        <f>IF(tbal[[#This Row],[HABER]]-tbal[[#This Row],[DEBE]]&gt;0,tbal[[#This Row],[HABER]]-tbal[[#This Row],[DEBE]],0)</f>
        <v>0</v>
      </c>
      <c r="I2089" s="16">
        <f>IF((OR(tbal[[#This Row],[X]]=1,tbal[[#This Row],[X]]=2)),tbal[[#This Row],[DEUDOR]],0)</f>
        <v>0</v>
      </c>
      <c r="J2089" s="18">
        <f>IF((OR(tbal[[#This Row],[X]]=2,tbal[[#This Row],[X]]=3)),tbal[[#This Row],[ACREEDOR]],0)</f>
        <v>0</v>
      </c>
      <c r="K2089" s="16">
        <f>IF((OR(tbal[[#This Row],[X]]=3,tbal[[#This Row],[X]]=5)),tbal[[#This Row],[DEUDOR]],0)</f>
        <v>0</v>
      </c>
      <c r="L2089" s="18">
        <f>IF((OR(tbal[[#This Row],[X]]=3,tbal[[#This Row],[X]]=4)),tbal[[#This Row],[ACREEDOR]],0)</f>
        <v>0</v>
      </c>
      <c r="M2089" s="16">
        <f>IF((OR(tbal[[#This Row],[X]]=0,tbal[[#This Row],[X]]=6)),tbal[[#This Row],[DEUDOR]],0)</f>
        <v>0</v>
      </c>
      <c r="N2089" s="18">
        <f>IF((OR(tbal[[#This Row],[X]]=0,tbal[[#This Row],[X]]=5)),tbal[[#This Row],[ACREEDOR]],0)</f>
        <v>0</v>
      </c>
    </row>
    <row r="2090" spans="1:14" hidden="1" x14ac:dyDescent="0.3">
      <c r="A2090" s="14">
        <f>+'PLAN DE CUENTAS'!A2090</f>
        <v>0</v>
      </c>
      <c r="B2090" s="13">
        <f>+'PLAN DE CUENTAS'!B2090</f>
        <v>0</v>
      </c>
      <c r="C2090" s="13">
        <f>+'PLAN DE CUENTAS'!C2090</f>
        <v>0</v>
      </c>
      <c r="D2090" t="str">
        <f>IF(tbal[[#This Row],[DEBE]]+tbal[[#This Row],[HABER]]=0,"","X")</f>
        <v/>
      </c>
      <c r="E2090" s="16">
        <f>SUMIF(tdiario[CUENTA],tbal[[#This Row],[CUENTA]],tdiario[DEBE])</f>
        <v>0</v>
      </c>
      <c r="F2090" s="17">
        <f>SUMIF(tdiario[CUENTA],tbal[[#This Row],[CUENTA]],tdiario[HABER])</f>
        <v>0</v>
      </c>
      <c r="G2090" s="16">
        <f>IF(tbal[[#This Row],[DEBE]]-tbal[[#This Row],[HABER]]&gt;0,tbal[[#This Row],[DEBE]]-tbal[[#This Row],[HABER]],0)</f>
        <v>0</v>
      </c>
      <c r="H2090" s="18">
        <f>IF(tbal[[#This Row],[HABER]]-tbal[[#This Row],[DEBE]]&gt;0,tbal[[#This Row],[HABER]]-tbal[[#This Row],[DEBE]],0)</f>
        <v>0</v>
      </c>
      <c r="I2090" s="16">
        <f>IF((OR(tbal[[#This Row],[X]]=1,tbal[[#This Row],[X]]=2)),tbal[[#This Row],[DEUDOR]],0)</f>
        <v>0</v>
      </c>
      <c r="J2090" s="18">
        <f>IF((OR(tbal[[#This Row],[X]]=2,tbal[[#This Row],[X]]=3)),tbal[[#This Row],[ACREEDOR]],0)</f>
        <v>0</v>
      </c>
      <c r="K2090" s="16">
        <f>IF((OR(tbal[[#This Row],[X]]=3,tbal[[#This Row],[X]]=5)),tbal[[#This Row],[DEUDOR]],0)</f>
        <v>0</v>
      </c>
      <c r="L2090" s="18">
        <f>IF((OR(tbal[[#This Row],[X]]=3,tbal[[#This Row],[X]]=4)),tbal[[#This Row],[ACREEDOR]],0)</f>
        <v>0</v>
      </c>
      <c r="M2090" s="16">
        <f>IF((OR(tbal[[#This Row],[X]]=0,tbal[[#This Row],[X]]=6)),tbal[[#This Row],[DEUDOR]],0)</f>
        <v>0</v>
      </c>
      <c r="N2090" s="18">
        <f>IF((OR(tbal[[#This Row],[X]]=0,tbal[[#This Row],[X]]=5)),tbal[[#This Row],[ACREEDOR]],0)</f>
        <v>0</v>
      </c>
    </row>
    <row r="2091" spans="1:14" hidden="1" x14ac:dyDescent="0.3">
      <c r="A2091" s="14">
        <f>+'PLAN DE CUENTAS'!A2091</f>
        <v>0</v>
      </c>
      <c r="B2091" s="13">
        <f>+'PLAN DE CUENTAS'!B2091</f>
        <v>0</v>
      </c>
      <c r="C2091" s="13">
        <f>+'PLAN DE CUENTAS'!C2091</f>
        <v>0</v>
      </c>
      <c r="D2091" t="str">
        <f>IF(tbal[[#This Row],[DEBE]]+tbal[[#This Row],[HABER]]=0,"","X")</f>
        <v/>
      </c>
      <c r="E2091" s="16">
        <f>SUMIF(tdiario[CUENTA],tbal[[#This Row],[CUENTA]],tdiario[DEBE])</f>
        <v>0</v>
      </c>
      <c r="F2091" s="17">
        <f>SUMIF(tdiario[CUENTA],tbal[[#This Row],[CUENTA]],tdiario[HABER])</f>
        <v>0</v>
      </c>
      <c r="G2091" s="16">
        <f>IF(tbal[[#This Row],[DEBE]]-tbal[[#This Row],[HABER]]&gt;0,tbal[[#This Row],[DEBE]]-tbal[[#This Row],[HABER]],0)</f>
        <v>0</v>
      </c>
      <c r="H2091" s="18">
        <f>IF(tbal[[#This Row],[HABER]]-tbal[[#This Row],[DEBE]]&gt;0,tbal[[#This Row],[HABER]]-tbal[[#This Row],[DEBE]],0)</f>
        <v>0</v>
      </c>
      <c r="I2091" s="16">
        <f>IF((OR(tbal[[#This Row],[X]]=1,tbal[[#This Row],[X]]=2)),tbal[[#This Row],[DEUDOR]],0)</f>
        <v>0</v>
      </c>
      <c r="J2091" s="18">
        <f>IF((OR(tbal[[#This Row],[X]]=2,tbal[[#This Row],[X]]=3)),tbal[[#This Row],[ACREEDOR]],0)</f>
        <v>0</v>
      </c>
      <c r="K2091" s="16">
        <f>IF((OR(tbal[[#This Row],[X]]=3,tbal[[#This Row],[X]]=5)),tbal[[#This Row],[DEUDOR]],0)</f>
        <v>0</v>
      </c>
      <c r="L2091" s="18">
        <f>IF((OR(tbal[[#This Row],[X]]=3,tbal[[#This Row],[X]]=4)),tbal[[#This Row],[ACREEDOR]],0)</f>
        <v>0</v>
      </c>
      <c r="M2091" s="16">
        <f>IF((OR(tbal[[#This Row],[X]]=0,tbal[[#This Row],[X]]=6)),tbal[[#This Row],[DEUDOR]],0)</f>
        <v>0</v>
      </c>
      <c r="N2091" s="18">
        <f>IF((OR(tbal[[#This Row],[X]]=0,tbal[[#This Row],[X]]=5)),tbal[[#This Row],[ACREEDOR]],0)</f>
        <v>0</v>
      </c>
    </row>
    <row r="2092" spans="1:14" hidden="1" x14ac:dyDescent="0.3">
      <c r="A2092" s="14">
        <f>+'PLAN DE CUENTAS'!A2092</f>
        <v>0</v>
      </c>
      <c r="B2092" s="13">
        <f>+'PLAN DE CUENTAS'!B2092</f>
        <v>0</v>
      </c>
      <c r="C2092" s="13">
        <f>+'PLAN DE CUENTAS'!C2092</f>
        <v>0</v>
      </c>
      <c r="D2092" t="str">
        <f>IF(tbal[[#This Row],[DEBE]]+tbal[[#This Row],[HABER]]=0,"","X")</f>
        <v/>
      </c>
      <c r="E2092" s="16">
        <f>SUMIF(tdiario[CUENTA],tbal[[#This Row],[CUENTA]],tdiario[DEBE])</f>
        <v>0</v>
      </c>
      <c r="F2092" s="17">
        <f>SUMIF(tdiario[CUENTA],tbal[[#This Row],[CUENTA]],tdiario[HABER])</f>
        <v>0</v>
      </c>
      <c r="G2092" s="16">
        <f>IF(tbal[[#This Row],[DEBE]]-tbal[[#This Row],[HABER]]&gt;0,tbal[[#This Row],[DEBE]]-tbal[[#This Row],[HABER]],0)</f>
        <v>0</v>
      </c>
      <c r="H2092" s="18">
        <f>IF(tbal[[#This Row],[HABER]]-tbal[[#This Row],[DEBE]]&gt;0,tbal[[#This Row],[HABER]]-tbal[[#This Row],[DEBE]],0)</f>
        <v>0</v>
      </c>
      <c r="I2092" s="16">
        <f>IF((OR(tbal[[#This Row],[X]]=1,tbal[[#This Row],[X]]=2)),tbal[[#This Row],[DEUDOR]],0)</f>
        <v>0</v>
      </c>
      <c r="J2092" s="18">
        <f>IF((OR(tbal[[#This Row],[X]]=2,tbal[[#This Row],[X]]=3)),tbal[[#This Row],[ACREEDOR]],0)</f>
        <v>0</v>
      </c>
      <c r="K2092" s="16">
        <f>IF((OR(tbal[[#This Row],[X]]=3,tbal[[#This Row],[X]]=5)),tbal[[#This Row],[DEUDOR]],0)</f>
        <v>0</v>
      </c>
      <c r="L2092" s="18">
        <f>IF((OR(tbal[[#This Row],[X]]=3,tbal[[#This Row],[X]]=4)),tbal[[#This Row],[ACREEDOR]],0)</f>
        <v>0</v>
      </c>
      <c r="M2092" s="16">
        <f>IF((OR(tbal[[#This Row],[X]]=0,tbal[[#This Row],[X]]=6)),tbal[[#This Row],[DEUDOR]],0)</f>
        <v>0</v>
      </c>
      <c r="N2092" s="18">
        <f>IF((OR(tbal[[#This Row],[X]]=0,tbal[[#This Row],[X]]=5)),tbal[[#This Row],[ACREEDOR]],0)</f>
        <v>0</v>
      </c>
    </row>
    <row r="2093" spans="1:14" hidden="1" x14ac:dyDescent="0.3">
      <c r="A2093" s="14">
        <f>+'PLAN DE CUENTAS'!A2093</f>
        <v>0</v>
      </c>
      <c r="B2093" s="13">
        <f>+'PLAN DE CUENTAS'!B2093</f>
        <v>0</v>
      </c>
      <c r="C2093" s="13">
        <f>+'PLAN DE CUENTAS'!C2093</f>
        <v>0</v>
      </c>
      <c r="D2093" t="str">
        <f>IF(tbal[[#This Row],[DEBE]]+tbal[[#This Row],[HABER]]=0,"","X")</f>
        <v/>
      </c>
      <c r="E2093" s="16">
        <f>SUMIF(tdiario[CUENTA],tbal[[#This Row],[CUENTA]],tdiario[DEBE])</f>
        <v>0</v>
      </c>
      <c r="F2093" s="17">
        <f>SUMIF(tdiario[CUENTA],tbal[[#This Row],[CUENTA]],tdiario[HABER])</f>
        <v>0</v>
      </c>
      <c r="G2093" s="16">
        <f>IF(tbal[[#This Row],[DEBE]]-tbal[[#This Row],[HABER]]&gt;0,tbal[[#This Row],[DEBE]]-tbal[[#This Row],[HABER]],0)</f>
        <v>0</v>
      </c>
      <c r="H2093" s="18">
        <f>IF(tbal[[#This Row],[HABER]]-tbal[[#This Row],[DEBE]]&gt;0,tbal[[#This Row],[HABER]]-tbal[[#This Row],[DEBE]],0)</f>
        <v>0</v>
      </c>
      <c r="I2093" s="16">
        <f>IF((OR(tbal[[#This Row],[X]]=1,tbal[[#This Row],[X]]=2)),tbal[[#This Row],[DEUDOR]],0)</f>
        <v>0</v>
      </c>
      <c r="J2093" s="18">
        <f>IF((OR(tbal[[#This Row],[X]]=2,tbal[[#This Row],[X]]=3)),tbal[[#This Row],[ACREEDOR]],0)</f>
        <v>0</v>
      </c>
      <c r="K2093" s="16">
        <f>IF((OR(tbal[[#This Row],[X]]=3,tbal[[#This Row],[X]]=5)),tbal[[#This Row],[DEUDOR]],0)</f>
        <v>0</v>
      </c>
      <c r="L2093" s="18">
        <f>IF((OR(tbal[[#This Row],[X]]=3,tbal[[#This Row],[X]]=4)),tbal[[#This Row],[ACREEDOR]],0)</f>
        <v>0</v>
      </c>
      <c r="M2093" s="16">
        <f>IF((OR(tbal[[#This Row],[X]]=0,tbal[[#This Row],[X]]=6)),tbal[[#This Row],[DEUDOR]],0)</f>
        <v>0</v>
      </c>
      <c r="N2093" s="18">
        <f>IF((OR(tbal[[#This Row],[X]]=0,tbal[[#This Row],[X]]=5)),tbal[[#This Row],[ACREEDOR]],0)</f>
        <v>0</v>
      </c>
    </row>
    <row r="2094" spans="1:14" hidden="1" x14ac:dyDescent="0.3">
      <c r="A2094" s="14">
        <f>+'PLAN DE CUENTAS'!A2094</f>
        <v>0</v>
      </c>
      <c r="B2094" s="13">
        <f>+'PLAN DE CUENTAS'!B2094</f>
        <v>0</v>
      </c>
      <c r="C2094" s="13">
        <f>+'PLAN DE CUENTAS'!C2094</f>
        <v>0</v>
      </c>
      <c r="D2094" t="str">
        <f>IF(tbal[[#This Row],[DEBE]]+tbal[[#This Row],[HABER]]=0,"","X")</f>
        <v/>
      </c>
      <c r="E2094" s="16">
        <f>SUMIF(tdiario[CUENTA],tbal[[#This Row],[CUENTA]],tdiario[DEBE])</f>
        <v>0</v>
      </c>
      <c r="F2094" s="17">
        <f>SUMIF(tdiario[CUENTA],tbal[[#This Row],[CUENTA]],tdiario[HABER])</f>
        <v>0</v>
      </c>
      <c r="G2094" s="16">
        <f>IF(tbal[[#This Row],[DEBE]]-tbal[[#This Row],[HABER]]&gt;0,tbal[[#This Row],[DEBE]]-tbal[[#This Row],[HABER]],0)</f>
        <v>0</v>
      </c>
      <c r="H2094" s="18">
        <f>IF(tbal[[#This Row],[HABER]]-tbal[[#This Row],[DEBE]]&gt;0,tbal[[#This Row],[HABER]]-tbal[[#This Row],[DEBE]],0)</f>
        <v>0</v>
      </c>
      <c r="I2094" s="16">
        <f>IF((OR(tbal[[#This Row],[X]]=1,tbal[[#This Row],[X]]=2)),tbal[[#This Row],[DEUDOR]],0)</f>
        <v>0</v>
      </c>
      <c r="J2094" s="18">
        <f>IF((OR(tbal[[#This Row],[X]]=2,tbal[[#This Row],[X]]=3)),tbal[[#This Row],[ACREEDOR]],0)</f>
        <v>0</v>
      </c>
      <c r="K2094" s="16">
        <f>IF((OR(tbal[[#This Row],[X]]=3,tbal[[#This Row],[X]]=5)),tbal[[#This Row],[DEUDOR]],0)</f>
        <v>0</v>
      </c>
      <c r="L2094" s="18">
        <f>IF((OR(tbal[[#This Row],[X]]=3,tbal[[#This Row],[X]]=4)),tbal[[#This Row],[ACREEDOR]],0)</f>
        <v>0</v>
      </c>
      <c r="M2094" s="16">
        <f>IF((OR(tbal[[#This Row],[X]]=0,tbal[[#This Row],[X]]=6)),tbal[[#This Row],[DEUDOR]],0)</f>
        <v>0</v>
      </c>
      <c r="N2094" s="18">
        <f>IF((OR(tbal[[#This Row],[X]]=0,tbal[[#This Row],[X]]=5)),tbal[[#This Row],[ACREEDOR]],0)</f>
        <v>0</v>
      </c>
    </row>
    <row r="2095" spans="1:14" hidden="1" x14ac:dyDescent="0.3">
      <c r="A2095" s="14">
        <f>+'PLAN DE CUENTAS'!A2095</f>
        <v>0</v>
      </c>
      <c r="B2095" s="13">
        <f>+'PLAN DE CUENTAS'!B2095</f>
        <v>0</v>
      </c>
      <c r="C2095" s="13">
        <f>+'PLAN DE CUENTAS'!C2095</f>
        <v>0</v>
      </c>
      <c r="D2095" t="str">
        <f>IF(tbal[[#This Row],[DEBE]]+tbal[[#This Row],[HABER]]=0,"","X")</f>
        <v/>
      </c>
      <c r="E2095" s="16">
        <f>SUMIF(tdiario[CUENTA],tbal[[#This Row],[CUENTA]],tdiario[DEBE])</f>
        <v>0</v>
      </c>
      <c r="F2095" s="17">
        <f>SUMIF(tdiario[CUENTA],tbal[[#This Row],[CUENTA]],tdiario[HABER])</f>
        <v>0</v>
      </c>
      <c r="G2095" s="16">
        <f>IF(tbal[[#This Row],[DEBE]]-tbal[[#This Row],[HABER]]&gt;0,tbal[[#This Row],[DEBE]]-tbal[[#This Row],[HABER]],0)</f>
        <v>0</v>
      </c>
      <c r="H2095" s="18">
        <f>IF(tbal[[#This Row],[HABER]]-tbal[[#This Row],[DEBE]]&gt;0,tbal[[#This Row],[HABER]]-tbal[[#This Row],[DEBE]],0)</f>
        <v>0</v>
      </c>
      <c r="I2095" s="16">
        <f>IF((OR(tbal[[#This Row],[X]]=1,tbal[[#This Row],[X]]=2)),tbal[[#This Row],[DEUDOR]],0)</f>
        <v>0</v>
      </c>
      <c r="J2095" s="18">
        <f>IF((OR(tbal[[#This Row],[X]]=2,tbal[[#This Row],[X]]=3)),tbal[[#This Row],[ACREEDOR]],0)</f>
        <v>0</v>
      </c>
      <c r="K2095" s="16">
        <f>IF((OR(tbal[[#This Row],[X]]=3,tbal[[#This Row],[X]]=5)),tbal[[#This Row],[DEUDOR]],0)</f>
        <v>0</v>
      </c>
      <c r="L2095" s="18">
        <f>IF((OR(tbal[[#This Row],[X]]=3,tbal[[#This Row],[X]]=4)),tbal[[#This Row],[ACREEDOR]],0)</f>
        <v>0</v>
      </c>
      <c r="M2095" s="16">
        <f>IF((OR(tbal[[#This Row],[X]]=0,tbal[[#This Row],[X]]=6)),tbal[[#This Row],[DEUDOR]],0)</f>
        <v>0</v>
      </c>
      <c r="N2095" s="18">
        <f>IF((OR(tbal[[#This Row],[X]]=0,tbal[[#This Row],[X]]=5)),tbal[[#This Row],[ACREEDOR]],0)</f>
        <v>0</v>
      </c>
    </row>
    <row r="2096" spans="1:14" hidden="1" x14ac:dyDescent="0.3">
      <c r="A2096" s="14">
        <f>+'PLAN DE CUENTAS'!A2096</f>
        <v>0</v>
      </c>
      <c r="B2096" s="13">
        <f>+'PLAN DE CUENTAS'!B2096</f>
        <v>0</v>
      </c>
      <c r="C2096" s="13">
        <f>+'PLAN DE CUENTAS'!C2096</f>
        <v>0</v>
      </c>
      <c r="D2096" t="str">
        <f>IF(tbal[[#This Row],[DEBE]]+tbal[[#This Row],[HABER]]=0,"","X")</f>
        <v/>
      </c>
      <c r="E2096" s="16">
        <f>SUMIF(tdiario[CUENTA],tbal[[#This Row],[CUENTA]],tdiario[DEBE])</f>
        <v>0</v>
      </c>
      <c r="F2096" s="17">
        <f>SUMIF(tdiario[CUENTA],tbal[[#This Row],[CUENTA]],tdiario[HABER])</f>
        <v>0</v>
      </c>
      <c r="G2096" s="16">
        <f>IF(tbal[[#This Row],[DEBE]]-tbal[[#This Row],[HABER]]&gt;0,tbal[[#This Row],[DEBE]]-tbal[[#This Row],[HABER]],0)</f>
        <v>0</v>
      </c>
      <c r="H2096" s="18">
        <f>IF(tbal[[#This Row],[HABER]]-tbal[[#This Row],[DEBE]]&gt;0,tbal[[#This Row],[HABER]]-tbal[[#This Row],[DEBE]],0)</f>
        <v>0</v>
      </c>
      <c r="I2096" s="16">
        <f>IF((OR(tbal[[#This Row],[X]]=1,tbal[[#This Row],[X]]=2)),tbal[[#This Row],[DEUDOR]],0)</f>
        <v>0</v>
      </c>
      <c r="J2096" s="18">
        <f>IF((OR(tbal[[#This Row],[X]]=2,tbal[[#This Row],[X]]=3)),tbal[[#This Row],[ACREEDOR]],0)</f>
        <v>0</v>
      </c>
      <c r="K2096" s="16">
        <f>IF((OR(tbal[[#This Row],[X]]=3,tbal[[#This Row],[X]]=5)),tbal[[#This Row],[DEUDOR]],0)</f>
        <v>0</v>
      </c>
      <c r="L2096" s="18">
        <f>IF((OR(tbal[[#This Row],[X]]=3,tbal[[#This Row],[X]]=4)),tbal[[#This Row],[ACREEDOR]],0)</f>
        <v>0</v>
      </c>
      <c r="M2096" s="16">
        <f>IF((OR(tbal[[#This Row],[X]]=0,tbal[[#This Row],[X]]=6)),tbal[[#This Row],[DEUDOR]],0)</f>
        <v>0</v>
      </c>
      <c r="N2096" s="18">
        <f>IF((OR(tbal[[#This Row],[X]]=0,tbal[[#This Row],[X]]=5)),tbal[[#This Row],[ACREEDOR]],0)</f>
        <v>0</v>
      </c>
    </row>
    <row r="2097" spans="1:14" hidden="1" x14ac:dyDescent="0.3">
      <c r="A2097" s="14">
        <f>+'PLAN DE CUENTAS'!A2097</f>
        <v>0</v>
      </c>
      <c r="B2097" s="13">
        <f>+'PLAN DE CUENTAS'!B2097</f>
        <v>0</v>
      </c>
      <c r="C2097" s="13">
        <f>+'PLAN DE CUENTAS'!C2097</f>
        <v>0</v>
      </c>
      <c r="D2097" t="str">
        <f>IF(tbal[[#This Row],[DEBE]]+tbal[[#This Row],[HABER]]=0,"","X")</f>
        <v/>
      </c>
      <c r="E2097" s="16">
        <f>SUMIF(tdiario[CUENTA],tbal[[#This Row],[CUENTA]],tdiario[DEBE])</f>
        <v>0</v>
      </c>
      <c r="F2097" s="17">
        <f>SUMIF(tdiario[CUENTA],tbal[[#This Row],[CUENTA]],tdiario[HABER])</f>
        <v>0</v>
      </c>
      <c r="G2097" s="16">
        <f>IF(tbal[[#This Row],[DEBE]]-tbal[[#This Row],[HABER]]&gt;0,tbal[[#This Row],[DEBE]]-tbal[[#This Row],[HABER]],0)</f>
        <v>0</v>
      </c>
      <c r="H2097" s="18">
        <f>IF(tbal[[#This Row],[HABER]]-tbal[[#This Row],[DEBE]]&gt;0,tbal[[#This Row],[HABER]]-tbal[[#This Row],[DEBE]],0)</f>
        <v>0</v>
      </c>
      <c r="I2097" s="16">
        <f>IF((OR(tbal[[#This Row],[X]]=1,tbal[[#This Row],[X]]=2)),tbal[[#This Row],[DEUDOR]],0)</f>
        <v>0</v>
      </c>
      <c r="J2097" s="18">
        <f>IF((OR(tbal[[#This Row],[X]]=2,tbal[[#This Row],[X]]=3)),tbal[[#This Row],[ACREEDOR]],0)</f>
        <v>0</v>
      </c>
      <c r="K2097" s="16">
        <f>IF((OR(tbal[[#This Row],[X]]=3,tbal[[#This Row],[X]]=5)),tbal[[#This Row],[DEUDOR]],0)</f>
        <v>0</v>
      </c>
      <c r="L2097" s="18">
        <f>IF((OR(tbal[[#This Row],[X]]=3,tbal[[#This Row],[X]]=4)),tbal[[#This Row],[ACREEDOR]],0)</f>
        <v>0</v>
      </c>
      <c r="M2097" s="16">
        <f>IF((OR(tbal[[#This Row],[X]]=0,tbal[[#This Row],[X]]=6)),tbal[[#This Row],[DEUDOR]],0)</f>
        <v>0</v>
      </c>
      <c r="N2097" s="18">
        <f>IF((OR(tbal[[#This Row],[X]]=0,tbal[[#This Row],[X]]=5)),tbal[[#This Row],[ACREEDOR]],0)</f>
        <v>0</v>
      </c>
    </row>
    <row r="2098" spans="1:14" hidden="1" x14ac:dyDescent="0.3">
      <c r="A2098" s="14">
        <f>+'PLAN DE CUENTAS'!A2098</f>
        <v>0</v>
      </c>
      <c r="B2098" s="13">
        <f>+'PLAN DE CUENTAS'!B2098</f>
        <v>0</v>
      </c>
      <c r="C2098" s="13">
        <f>+'PLAN DE CUENTAS'!C2098</f>
        <v>0</v>
      </c>
      <c r="D2098" t="str">
        <f>IF(tbal[[#This Row],[DEBE]]+tbal[[#This Row],[HABER]]=0,"","X")</f>
        <v/>
      </c>
      <c r="E2098" s="16">
        <f>SUMIF(tdiario[CUENTA],tbal[[#This Row],[CUENTA]],tdiario[DEBE])</f>
        <v>0</v>
      </c>
      <c r="F2098" s="17">
        <f>SUMIF(tdiario[CUENTA],tbal[[#This Row],[CUENTA]],tdiario[HABER])</f>
        <v>0</v>
      </c>
      <c r="G2098" s="16">
        <f>IF(tbal[[#This Row],[DEBE]]-tbal[[#This Row],[HABER]]&gt;0,tbal[[#This Row],[DEBE]]-tbal[[#This Row],[HABER]],0)</f>
        <v>0</v>
      </c>
      <c r="H2098" s="18">
        <f>IF(tbal[[#This Row],[HABER]]-tbal[[#This Row],[DEBE]]&gt;0,tbal[[#This Row],[HABER]]-tbal[[#This Row],[DEBE]],0)</f>
        <v>0</v>
      </c>
      <c r="I2098" s="16">
        <f>IF((OR(tbal[[#This Row],[X]]=1,tbal[[#This Row],[X]]=2)),tbal[[#This Row],[DEUDOR]],0)</f>
        <v>0</v>
      </c>
      <c r="J2098" s="18">
        <f>IF((OR(tbal[[#This Row],[X]]=2,tbal[[#This Row],[X]]=3)),tbal[[#This Row],[ACREEDOR]],0)</f>
        <v>0</v>
      </c>
      <c r="K2098" s="16">
        <f>IF((OR(tbal[[#This Row],[X]]=3,tbal[[#This Row],[X]]=5)),tbal[[#This Row],[DEUDOR]],0)</f>
        <v>0</v>
      </c>
      <c r="L2098" s="18">
        <f>IF((OR(tbal[[#This Row],[X]]=3,tbal[[#This Row],[X]]=4)),tbal[[#This Row],[ACREEDOR]],0)</f>
        <v>0</v>
      </c>
      <c r="M2098" s="16">
        <f>IF((OR(tbal[[#This Row],[X]]=0,tbal[[#This Row],[X]]=6)),tbal[[#This Row],[DEUDOR]],0)</f>
        <v>0</v>
      </c>
      <c r="N2098" s="18">
        <f>IF((OR(tbal[[#This Row],[X]]=0,tbal[[#This Row],[X]]=5)),tbal[[#This Row],[ACREEDOR]],0)</f>
        <v>0</v>
      </c>
    </row>
    <row r="2099" spans="1:14" hidden="1" x14ac:dyDescent="0.3">
      <c r="A2099" s="14">
        <f>+'PLAN DE CUENTAS'!A2099</f>
        <v>0</v>
      </c>
      <c r="B2099" s="13">
        <f>+'PLAN DE CUENTAS'!B2099</f>
        <v>0</v>
      </c>
      <c r="C2099" s="13">
        <f>+'PLAN DE CUENTAS'!C2099</f>
        <v>0</v>
      </c>
      <c r="D2099" t="str">
        <f>IF(tbal[[#This Row],[DEBE]]+tbal[[#This Row],[HABER]]=0,"","X")</f>
        <v/>
      </c>
      <c r="E2099" s="16">
        <f>SUMIF(tdiario[CUENTA],tbal[[#This Row],[CUENTA]],tdiario[DEBE])</f>
        <v>0</v>
      </c>
      <c r="F2099" s="17">
        <f>SUMIF(tdiario[CUENTA],tbal[[#This Row],[CUENTA]],tdiario[HABER])</f>
        <v>0</v>
      </c>
      <c r="G2099" s="16">
        <f>IF(tbal[[#This Row],[DEBE]]-tbal[[#This Row],[HABER]]&gt;0,tbal[[#This Row],[DEBE]]-tbal[[#This Row],[HABER]],0)</f>
        <v>0</v>
      </c>
      <c r="H2099" s="18">
        <f>IF(tbal[[#This Row],[HABER]]-tbal[[#This Row],[DEBE]]&gt;0,tbal[[#This Row],[HABER]]-tbal[[#This Row],[DEBE]],0)</f>
        <v>0</v>
      </c>
      <c r="I2099" s="16">
        <f>IF((OR(tbal[[#This Row],[X]]=1,tbal[[#This Row],[X]]=2)),tbal[[#This Row],[DEUDOR]],0)</f>
        <v>0</v>
      </c>
      <c r="J2099" s="18">
        <f>IF((OR(tbal[[#This Row],[X]]=2,tbal[[#This Row],[X]]=3)),tbal[[#This Row],[ACREEDOR]],0)</f>
        <v>0</v>
      </c>
      <c r="K2099" s="16">
        <f>IF((OR(tbal[[#This Row],[X]]=3,tbal[[#This Row],[X]]=5)),tbal[[#This Row],[DEUDOR]],0)</f>
        <v>0</v>
      </c>
      <c r="L2099" s="18">
        <f>IF((OR(tbal[[#This Row],[X]]=3,tbal[[#This Row],[X]]=4)),tbal[[#This Row],[ACREEDOR]],0)</f>
        <v>0</v>
      </c>
      <c r="M2099" s="16">
        <f>IF((OR(tbal[[#This Row],[X]]=0,tbal[[#This Row],[X]]=6)),tbal[[#This Row],[DEUDOR]],0)</f>
        <v>0</v>
      </c>
      <c r="N2099" s="18">
        <f>IF((OR(tbal[[#This Row],[X]]=0,tbal[[#This Row],[X]]=5)),tbal[[#This Row],[ACREEDOR]],0)</f>
        <v>0</v>
      </c>
    </row>
    <row r="2100" spans="1:14" hidden="1" x14ac:dyDescent="0.3">
      <c r="A2100" s="14">
        <f>+'PLAN DE CUENTAS'!A2100</f>
        <v>0</v>
      </c>
      <c r="B2100" s="13">
        <f>+'PLAN DE CUENTAS'!B2100</f>
        <v>0</v>
      </c>
      <c r="C2100" s="13">
        <f>+'PLAN DE CUENTAS'!C2100</f>
        <v>0</v>
      </c>
      <c r="D2100" t="str">
        <f>IF(tbal[[#This Row],[DEBE]]+tbal[[#This Row],[HABER]]=0,"","X")</f>
        <v/>
      </c>
      <c r="E2100" s="16">
        <f>SUMIF(tdiario[CUENTA],tbal[[#This Row],[CUENTA]],tdiario[DEBE])</f>
        <v>0</v>
      </c>
      <c r="F2100" s="17">
        <f>SUMIF(tdiario[CUENTA],tbal[[#This Row],[CUENTA]],tdiario[HABER])</f>
        <v>0</v>
      </c>
      <c r="G2100" s="16">
        <f>IF(tbal[[#This Row],[DEBE]]-tbal[[#This Row],[HABER]]&gt;0,tbal[[#This Row],[DEBE]]-tbal[[#This Row],[HABER]],0)</f>
        <v>0</v>
      </c>
      <c r="H2100" s="18">
        <f>IF(tbal[[#This Row],[HABER]]-tbal[[#This Row],[DEBE]]&gt;0,tbal[[#This Row],[HABER]]-tbal[[#This Row],[DEBE]],0)</f>
        <v>0</v>
      </c>
      <c r="I2100" s="16">
        <f>IF((OR(tbal[[#This Row],[X]]=1,tbal[[#This Row],[X]]=2)),tbal[[#This Row],[DEUDOR]],0)</f>
        <v>0</v>
      </c>
      <c r="J2100" s="18">
        <f>IF((OR(tbal[[#This Row],[X]]=2,tbal[[#This Row],[X]]=3)),tbal[[#This Row],[ACREEDOR]],0)</f>
        <v>0</v>
      </c>
      <c r="K2100" s="16">
        <f>IF((OR(tbal[[#This Row],[X]]=3,tbal[[#This Row],[X]]=5)),tbal[[#This Row],[DEUDOR]],0)</f>
        <v>0</v>
      </c>
      <c r="L2100" s="18">
        <f>IF((OR(tbal[[#This Row],[X]]=3,tbal[[#This Row],[X]]=4)),tbal[[#This Row],[ACREEDOR]],0)</f>
        <v>0</v>
      </c>
      <c r="M2100" s="16">
        <f>IF((OR(tbal[[#This Row],[X]]=0,tbal[[#This Row],[X]]=6)),tbal[[#This Row],[DEUDOR]],0)</f>
        <v>0</v>
      </c>
      <c r="N2100" s="18">
        <f>IF((OR(tbal[[#This Row],[X]]=0,tbal[[#This Row],[X]]=5)),tbal[[#This Row],[ACREEDOR]],0)</f>
        <v>0</v>
      </c>
    </row>
    <row r="2101" spans="1:14" hidden="1" x14ac:dyDescent="0.3">
      <c r="A2101" s="14">
        <f>+'PLAN DE CUENTAS'!A2101</f>
        <v>0</v>
      </c>
      <c r="B2101" s="13">
        <f>+'PLAN DE CUENTAS'!B2101</f>
        <v>0</v>
      </c>
      <c r="C2101" s="13">
        <f>+'PLAN DE CUENTAS'!C2101</f>
        <v>0</v>
      </c>
      <c r="D2101" t="str">
        <f>IF(tbal[[#This Row],[DEBE]]+tbal[[#This Row],[HABER]]=0,"","X")</f>
        <v/>
      </c>
      <c r="E2101" s="16">
        <f>SUMIF(tdiario[CUENTA],tbal[[#This Row],[CUENTA]],tdiario[DEBE])</f>
        <v>0</v>
      </c>
      <c r="F2101" s="17">
        <f>SUMIF(tdiario[CUENTA],tbal[[#This Row],[CUENTA]],tdiario[HABER])</f>
        <v>0</v>
      </c>
      <c r="G2101" s="16">
        <f>IF(tbal[[#This Row],[DEBE]]-tbal[[#This Row],[HABER]]&gt;0,tbal[[#This Row],[DEBE]]-tbal[[#This Row],[HABER]],0)</f>
        <v>0</v>
      </c>
      <c r="H2101" s="18">
        <f>IF(tbal[[#This Row],[HABER]]-tbal[[#This Row],[DEBE]]&gt;0,tbal[[#This Row],[HABER]]-tbal[[#This Row],[DEBE]],0)</f>
        <v>0</v>
      </c>
      <c r="I2101" s="16">
        <f>IF((OR(tbal[[#This Row],[X]]=1,tbal[[#This Row],[X]]=2)),tbal[[#This Row],[DEUDOR]],0)</f>
        <v>0</v>
      </c>
      <c r="J2101" s="18">
        <f>IF((OR(tbal[[#This Row],[X]]=2,tbal[[#This Row],[X]]=3)),tbal[[#This Row],[ACREEDOR]],0)</f>
        <v>0</v>
      </c>
      <c r="K2101" s="16">
        <f>IF((OR(tbal[[#This Row],[X]]=3,tbal[[#This Row],[X]]=5)),tbal[[#This Row],[DEUDOR]],0)</f>
        <v>0</v>
      </c>
      <c r="L2101" s="18">
        <f>IF((OR(tbal[[#This Row],[X]]=3,tbal[[#This Row],[X]]=4)),tbal[[#This Row],[ACREEDOR]],0)</f>
        <v>0</v>
      </c>
      <c r="M2101" s="16">
        <f>IF((OR(tbal[[#This Row],[X]]=0,tbal[[#This Row],[X]]=6)),tbal[[#This Row],[DEUDOR]],0)</f>
        <v>0</v>
      </c>
      <c r="N2101" s="18">
        <f>IF((OR(tbal[[#This Row],[X]]=0,tbal[[#This Row],[X]]=5)),tbal[[#This Row],[ACREEDOR]],0)</f>
        <v>0</v>
      </c>
    </row>
    <row r="2102" spans="1:14" hidden="1" x14ac:dyDescent="0.3">
      <c r="A2102" s="14">
        <f>+'PLAN DE CUENTAS'!A2102</f>
        <v>0</v>
      </c>
      <c r="B2102" s="13">
        <f>+'PLAN DE CUENTAS'!B2102</f>
        <v>0</v>
      </c>
      <c r="C2102" s="13">
        <f>+'PLAN DE CUENTAS'!C2102</f>
        <v>0</v>
      </c>
      <c r="D2102" t="str">
        <f>IF(tbal[[#This Row],[DEBE]]+tbal[[#This Row],[HABER]]=0,"","X")</f>
        <v/>
      </c>
      <c r="E2102" s="16">
        <f>SUMIF(tdiario[CUENTA],tbal[[#This Row],[CUENTA]],tdiario[DEBE])</f>
        <v>0</v>
      </c>
      <c r="F2102" s="17">
        <f>SUMIF(tdiario[CUENTA],tbal[[#This Row],[CUENTA]],tdiario[HABER])</f>
        <v>0</v>
      </c>
      <c r="G2102" s="16">
        <f>IF(tbal[[#This Row],[DEBE]]-tbal[[#This Row],[HABER]]&gt;0,tbal[[#This Row],[DEBE]]-tbal[[#This Row],[HABER]],0)</f>
        <v>0</v>
      </c>
      <c r="H2102" s="18">
        <f>IF(tbal[[#This Row],[HABER]]-tbal[[#This Row],[DEBE]]&gt;0,tbal[[#This Row],[HABER]]-tbal[[#This Row],[DEBE]],0)</f>
        <v>0</v>
      </c>
      <c r="I2102" s="16">
        <f>IF((OR(tbal[[#This Row],[X]]=1,tbal[[#This Row],[X]]=2)),tbal[[#This Row],[DEUDOR]],0)</f>
        <v>0</v>
      </c>
      <c r="J2102" s="18">
        <f>IF((OR(tbal[[#This Row],[X]]=2,tbal[[#This Row],[X]]=3)),tbal[[#This Row],[ACREEDOR]],0)</f>
        <v>0</v>
      </c>
      <c r="K2102" s="16">
        <f>IF((OR(tbal[[#This Row],[X]]=3,tbal[[#This Row],[X]]=5)),tbal[[#This Row],[DEUDOR]],0)</f>
        <v>0</v>
      </c>
      <c r="L2102" s="18">
        <f>IF((OR(tbal[[#This Row],[X]]=3,tbal[[#This Row],[X]]=4)),tbal[[#This Row],[ACREEDOR]],0)</f>
        <v>0</v>
      </c>
      <c r="M2102" s="16">
        <f>IF((OR(tbal[[#This Row],[X]]=0,tbal[[#This Row],[X]]=6)),tbal[[#This Row],[DEUDOR]],0)</f>
        <v>0</v>
      </c>
      <c r="N2102" s="18">
        <f>IF((OR(tbal[[#This Row],[X]]=0,tbal[[#This Row],[X]]=5)),tbal[[#This Row],[ACREEDOR]],0)</f>
        <v>0</v>
      </c>
    </row>
    <row r="2103" spans="1:14" hidden="1" x14ac:dyDescent="0.3">
      <c r="A2103" s="14">
        <f>+'PLAN DE CUENTAS'!A2103</f>
        <v>0</v>
      </c>
      <c r="B2103" s="13">
        <f>+'PLAN DE CUENTAS'!B2103</f>
        <v>0</v>
      </c>
      <c r="C2103" s="13">
        <f>+'PLAN DE CUENTAS'!C2103</f>
        <v>0</v>
      </c>
      <c r="D2103" t="str">
        <f>IF(tbal[[#This Row],[DEBE]]+tbal[[#This Row],[HABER]]=0,"","X")</f>
        <v/>
      </c>
      <c r="E2103" s="16">
        <f>SUMIF(tdiario[CUENTA],tbal[[#This Row],[CUENTA]],tdiario[DEBE])</f>
        <v>0</v>
      </c>
      <c r="F2103" s="17">
        <f>SUMIF(tdiario[CUENTA],tbal[[#This Row],[CUENTA]],tdiario[HABER])</f>
        <v>0</v>
      </c>
      <c r="G2103" s="16">
        <f>IF(tbal[[#This Row],[DEBE]]-tbal[[#This Row],[HABER]]&gt;0,tbal[[#This Row],[DEBE]]-tbal[[#This Row],[HABER]],0)</f>
        <v>0</v>
      </c>
      <c r="H2103" s="18">
        <f>IF(tbal[[#This Row],[HABER]]-tbal[[#This Row],[DEBE]]&gt;0,tbal[[#This Row],[HABER]]-tbal[[#This Row],[DEBE]],0)</f>
        <v>0</v>
      </c>
      <c r="I2103" s="16">
        <f>IF((OR(tbal[[#This Row],[X]]=1,tbal[[#This Row],[X]]=2)),tbal[[#This Row],[DEUDOR]],0)</f>
        <v>0</v>
      </c>
      <c r="J2103" s="18">
        <f>IF((OR(tbal[[#This Row],[X]]=2,tbal[[#This Row],[X]]=3)),tbal[[#This Row],[ACREEDOR]],0)</f>
        <v>0</v>
      </c>
      <c r="K2103" s="16">
        <f>IF((OR(tbal[[#This Row],[X]]=3,tbal[[#This Row],[X]]=5)),tbal[[#This Row],[DEUDOR]],0)</f>
        <v>0</v>
      </c>
      <c r="L2103" s="18">
        <f>IF((OR(tbal[[#This Row],[X]]=3,tbal[[#This Row],[X]]=4)),tbal[[#This Row],[ACREEDOR]],0)</f>
        <v>0</v>
      </c>
      <c r="M2103" s="16">
        <f>IF((OR(tbal[[#This Row],[X]]=0,tbal[[#This Row],[X]]=6)),tbal[[#This Row],[DEUDOR]],0)</f>
        <v>0</v>
      </c>
      <c r="N2103" s="18">
        <f>IF((OR(tbal[[#This Row],[X]]=0,tbal[[#This Row],[X]]=5)),tbal[[#This Row],[ACREEDOR]],0)</f>
        <v>0</v>
      </c>
    </row>
    <row r="2104" spans="1:14" hidden="1" x14ac:dyDescent="0.3">
      <c r="A2104" s="14">
        <f>+'PLAN DE CUENTAS'!A2104</f>
        <v>0</v>
      </c>
      <c r="B2104" s="13">
        <f>+'PLAN DE CUENTAS'!B2104</f>
        <v>0</v>
      </c>
      <c r="C2104" s="13">
        <f>+'PLAN DE CUENTAS'!C2104</f>
        <v>0</v>
      </c>
      <c r="D2104" t="str">
        <f>IF(tbal[[#This Row],[DEBE]]+tbal[[#This Row],[HABER]]=0,"","X")</f>
        <v/>
      </c>
      <c r="E2104" s="16">
        <f>SUMIF(tdiario[CUENTA],tbal[[#This Row],[CUENTA]],tdiario[DEBE])</f>
        <v>0</v>
      </c>
      <c r="F2104" s="17">
        <f>SUMIF(tdiario[CUENTA],tbal[[#This Row],[CUENTA]],tdiario[HABER])</f>
        <v>0</v>
      </c>
      <c r="G2104" s="16">
        <f>IF(tbal[[#This Row],[DEBE]]-tbal[[#This Row],[HABER]]&gt;0,tbal[[#This Row],[DEBE]]-tbal[[#This Row],[HABER]],0)</f>
        <v>0</v>
      </c>
      <c r="H2104" s="18">
        <f>IF(tbal[[#This Row],[HABER]]-tbal[[#This Row],[DEBE]]&gt;0,tbal[[#This Row],[HABER]]-tbal[[#This Row],[DEBE]],0)</f>
        <v>0</v>
      </c>
      <c r="I2104" s="16">
        <f>IF((OR(tbal[[#This Row],[X]]=1,tbal[[#This Row],[X]]=2)),tbal[[#This Row],[DEUDOR]],0)</f>
        <v>0</v>
      </c>
      <c r="J2104" s="18">
        <f>IF((OR(tbal[[#This Row],[X]]=2,tbal[[#This Row],[X]]=3)),tbal[[#This Row],[ACREEDOR]],0)</f>
        <v>0</v>
      </c>
      <c r="K2104" s="16">
        <f>IF((OR(tbal[[#This Row],[X]]=3,tbal[[#This Row],[X]]=5)),tbal[[#This Row],[DEUDOR]],0)</f>
        <v>0</v>
      </c>
      <c r="L2104" s="18">
        <f>IF((OR(tbal[[#This Row],[X]]=3,tbal[[#This Row],[X]]=4)),tbal[[#This Row],[ACREEDOR]],0)</f>
        <v>0</v>
      </c>
      <c r="M2104" s="16">
        <f>IF((OR(tbal[[#This Row],[X]]=0,tbal[[#This Row],[X]]=6)),tbal[[#This Row],[DEUDOR]],0)</f>
        <v>0</v>
      </c>
      <c r="N2104" s="18">
        <f>IF((OR(tbal[[#This Row],[X]]=0,tbal[[#This Row],[X]]=5)),tbal[[#This Row],[ACREEDOR]],0)</f>
        <v>0</v>
      </c>
    </row>
    <row r="2105" spans="1:14" hidden="1" x14ac:dyDescent="0.3">
      <c r="A2105" s="14">
        <f>+'PLAN DE CUENTAS'!A2105</f>
        <v>0</v>
      </c>
      <c r="B2105" s="13">
        <f>+'PLAN DE CUENTAS'!B2105</f>
        <v>0</v>
      </c>
      <c r="C2105" s="13">
        <f>+'PLAN DE CUENTAS'!C2105</f>
        <v>0</v>
      </c>
      <c r="D2105" t="str">
        <f>IF(tbal[[#This Row],[DEBE]]+tbal[[#This Row],[HABER]]=0,"","X")</f>
        <v/>
      </c>
      <c r="E2105" s="16">
        <f>SUMIF(tdiario[CUENTA],tbal[[#This Row],[CUENTA]],tdiario[DEBE])</f>
        <v>0</v>
      </c>
      <c r="F2105" s="17">
        <f>SUMIF(tdiario[CUENTA],tbal[[#This Row],[CUENTA]],tdiario[HABER])</f>
        <v>0</v>
      </c>
      <c r="G2105" s="16">
        <f>IF(tbal[[#This Row],[DEBE]]-tbal[[#This Row],[HABER]]&gt;0,tbal[[#This Row],[DEBE]]-tbal[[#This Row],[HABER]],0)</f>
        <v>0</v>
      </c>
      <c r="H2105" s="18">
        <f>IF(tbal[[#This Row],[HABER]]-tbal[[#This Row],[DEBE]]&gt;0,tbal[[#This Row],[HABER]]-tbal[[#This Row],[DEBE]],0)</f>
        <v>0</v>
      </c>
      <c r="I2105" s="16">
        <f>IF((OR(tbal[[#This Row],[X]]=1,tbal[[#This Row],[X]]=2)),tbal[[#This Row],[DEUDOR]],0)</f>
        <v>0</v>
      </c>
      <c r="J2105" s="18">
        <f>IF((OR(tbal[[#This Row],[X]]=2,tbal[[#This Row],[X]]=3)),tbal[[#This Row],[ACREEDOR]],0)</f>
        <v>0</v>
      </c>
      <c r="K2105" s="16">
        <f>IF((OR(tbal[[#This Row],[X]]=3,tbal[[#This Row],[X]]=5)),tbal[[#This Row],[DEUDOR]],0)</f>
        <v>0</v>
      </c>
      <c r="L2105" s="18">
        <f>IF((OR(tbal[[#This Row],[X]]=3,tbal[[#This Row],[X]]=4)),tbal[[#This Row],[ACREEDOR]],0)</f>
        <v>0</v>
      </c>
      <c r="M2105" s="16">
        <f>IF((OR(tbal[[#This Row],[X]]=0,tbal[[#This Row],[X]]=6)),tbal[[#This Row],[DEUDOR]],0)</f>
        <v>0</v>
      </c>
      <c r="N2105" s="18">
        <f>IF((OR(tbal[[#This Row],[X]]=0,tbal[[#This Row],[X]]=5)),tbal[[#This Row],[ACREEDOR]],0)</f>
        <v>0</v>
      </c>
    </row>
    <row r="2106" spans="1:14" hidden="1" x14ac:dyDescent="0.3">
      <c r="A2106" s="14">
        <f>+'PLAN DE CUENTAS'!A2106</f>
        <v>0</v>
      </c>
      <c r="B2106" s="13">
        <f>+'PLAN DE CUENTAS'!B2106</f>
        <v>0</v>
      </c>
      <c r="C2106" s="13">
        <f>+'PLAN DE CUENTAS'!C2106</f>
        <v>0</v>
      </c>
      <c r="D2106" t="str">
        <f>IF(tbal[[#This Row],[DEBE]]+tbal[[#This Row],[HABER]]=0,"","X")</f>
        <v/>
      </c>
      <c r="E2106" s="16">
        <f>SUMIF(tdiario[CUENTA],tbal[[#This Row],[CUENTA]],tdiario[DEBE])</f>
        <v>0</v>
      </c>
      <c r="F2106" s="17">
        <f>SUMIF(tdiario[CUENTA],tbal[[#This Row],[CUENTA]],tdiario[HABER])</f>
        <v>0</v>
      </c>
      <c r="G2106" s="16">
        <f>IF(tbal[[#This Row],[DEBE]]-tbal[[#This Row],[HABER]]&gt;0,tbal[[#This Row],[DEBE]]-tbal[[#This Row],[HABER]],0)</f>
        <v>0</v>
      </c>
      <c r="H2106" s="18">
        <f>IF(tbal[[#This Row],[HABER]]-tbal[[#This Row],[DEBE]]&gt;0,tbal[[#This Row],[HABER]]-tbal[[#This Row],[DEBE]],0)</f>
        <v>0</v>
      </c>
      <c r="I2106" s="16">
        <f>IF((OR(tbal[[#This Row],[X]]=1,tbal[[#This Row],[X]]=2)),tbal[[#This Row],[DEUDOR]],0)</f>
        <v>0</v>
      </c>
      <c r="J2106" s="18">
        <f>IF((OR(tbal[[#This Row],[X]]=2,tbal[[#This Row],[X]]=3)),tbal[[#This Row],[ACREEDOR]],0)</f>
        <v>0</v>
      </c>
      <c r="K2106" s="16">
        <f>IF((OR(tbal[[#This Row],[X]]=3,tbal[[#This Row],[X]]=5)),tbal[[#This Row],[DEUDOR]],0)</f>
        <v>0</v>
      </c>
      <c r="L2106" s="18">
        <f>IF((OR(tbal[[#This Row],[X]]=3,tbal[[#This Row],[X]]=4)),tbal[[#This Row],[ACREEDOR]],0)</f>
        <v>0</v>
      </c>
      <c r="M2106" s="16">
        <f>IF((OR(tbal[[#This Row],[X]]=0,tbal[[#This Row],[X]]=6)),tbal[[#This Row],[DEUDOR]],0)</f>
        <v>0</v>
      </c>
      <c r="N2106" s="18">
        <f>IF((OR(tbal[[#This Row],[X]]=0,tbal[[#This Row],[X]]=5)),tbal[[#This Row],[ACREEDOR]],0)</f>
        <v>0</v>
      </c>
    </row>
    <row r="2107" spans="1:14" hidden="1" x14ac:dyDescent="0.3">
      <c r="A2107" s="14">
        <f>+'PLAN DE CUENTAS'!A2107</f>
        <v>0</v>
      </c>
      <c r="B2107" s="13">
        <f>+'PLAN DE CUENTAS'!B2107</f>
        <v>0</v>
      </c>
      <c r="C2107" s="13">
        <f>+'PLAN DE CUENTAS'!C2107</f>
        <v>0</v>
      </c>
      <c r="D2107" t="str">
        <f>IF(tbal[[#This Row],[DEBE]]+tbal[[#This Row],[HABER]]=0,"","X")</f>
        <v/>
      </c>
      <c r="E2107" s="16">
        <f>SUMIF(tdiario[CUENTA],tbal[[#This Row],[CUENTA]],tdiario[DEBE])</f>
        <v>0</v>
      </c>
      <c r="F2107" s="17">
        <f>SUMIF(tdiario[CUENTA],tbal[[#This Row],[CUENTA]],tdiario[HABER])</f>
        <v>0</v>
      </c>
      <c r="G2107" s="16">
        <f>IF(tbal[[#This Row],[DEBE]]-tbal[[#This Row],[HABER]]&gt;0,tbal[[#This Row],[DEBE]]-tbal[[#This Row],[HABER]],0)</f>
        <v>0</v>
      </c>
      <c r="H2107" s="18">
        <f>IF(tbal[[#This Row],[HABER]]-tbal[[#This Row],[DEBE]]&gt;0,tbal[[#This Row],[HABER]]-tbal[[#This Row],[DEBE]],0)</f>
        <v>0</v>
      </c>
      <c r="I2107" s="16">
        <f>IF((OR(tbal[[#This Row],[X]]=1,tbal[[#This Row],[X]]=2)),tbal[[#This Row],[DEUDOR]],0)</f>
        <v>0</v>
      </c>
      <c r="J2107" s="18">
        <f>IF((OR(tbal[[#This Row],[X]]=2,tbal[[#This Row],[X]]=3)),tbal[[#This Row],[ACREEDOR]],0)</f>
        <v>0</v>
      </c>
      <c r="K2107" s="16">
        <f>IF((OR(tbal[[#This Row],[X]]=3,tbal[[#This Row],[X]]=5)),tbal[[#This Row],[DEUDOR]],0)</f>
        <v>0</v>
      </c>
      <c r="L2107" s="18">
        <f>IF((OR(tbal[[#This Row],[X]]=3,tbal[[#This Row],[X]]=4)),tbal[[#This Row],[ACREEDOR]],0)</f>
        <v>0</v>
      </c>
      <c r="M2107" s="16">
        <f>IF((OR(tbal[[#This Row],[X]]=0,tbal[[#This Row],[X]]=6)),tbal[[#This Row],[DEUDOR]],0)</f>
        <v>0</v>
      </c>
      <c r="N2107" s="18">
        <f>IF((OR(tbal[[#This Row],[X]]=0,tbal[[#This Row],[X]]=5)),tbal[[#This Row],[ACREEDOR]],0)</f>
        <v>0</v>
      </c>
    </row>
    <row r="2108" spans="1:14" hidden="1" x14ac:dyDescent="0.3">
      <c r="A2108" s="14">
        <f>+'PLAN DE CUENTAS'!A2108</f>
        <v>0</v>
      </c>
      <c r="B2108" s="13">
        <f>+'PLAN DE CUENTAS'!B2108</f>
        <v>0</v>
      </c>
      <c r="C2108" s="13">
        <f>+'PLAN DE CUENTAS'!C2108</f>
        <v>0</v>
      </c>
      <c r="D2108" t="str">
        <f>IF(tbal[[#This Row],[DEBE]]+tbal[[#This Row],[HABER]]=0,"","X")</f>
        <v/>
      </c>
      <c r="E2108" s="16">
        <f>SUMIF(tdiario[CUENTA],tbal[[#This Row],[CUENTA]],tdiario[DEBE])</f>
        <v>0</v>
      </c>
      <c r="F2108" s="17">
        <f>SUMIF(tdiario[CUENTA],tbal[[#This Row],[CUENTA]],tdiario[HABER])</f>
        <v>0</v>
      </c>
      <c r="G2108" s="16">
        <f>IF(tbal[[#This Row],[DEBE]]-tbal[[#This Row],[HABER]]&gt;0,tbal[[#This Row],[DEBE]]-tbal[[#This Row],[HABER]],0)</f>
        <v>0</v>
      </c>
      <c r="H2108" s="18">
        <f>IF(tbal[[#This Row],[HABER]]-tbal[[#This Row],[DEBE]]&gt;0,tbal[[#This Row],[HABER]]-tbal[[#This Row],[DEBE]],0)</f>
        <v>0</v>
      </c>
      <c r="I2108" s="16">
        <f>IF((OR(tbal[[#This Row],[X]]=1,tbal[[#This Row],[X]]=2)),tbal[[#This Row],[DEUDOR]],0)</f>
        <v>0</v>
      </c>
      <c r="J2108" s="18">
        <f>IF((OR(tbal[[#This Row],[X]]=2,tbal[[#This Row],[X]]=3)),tbal[[#This Row],[ACREEDOR]],0)</f>
        <v>0</v>
      </c>
      <c r="K2108" s="16">
        <f>IF((OR(tbal[[#This Row],[X]]=3,tbal[[#This Row],[X]]=5)),tbal[[#This Row],[DEUDOR]],0)</f>
        <v>0</v>
      </c>
      <c r="L2108" s="18">
        <f>IF((OR(tbal[[#This Row],[X]]=3,tbal[[#This Row],[X]]=4)),tbal[[#This Row],[ACREEDOR]],0)</f>
        <v>0</v>
      </c>
      <c r="M2108" s="16">
        <f>IF((OR(tbal[[#This Row],[X]]=0,tbal[[#This Row],[X]]=6)),tbal[[#This Row],[DEUDOR]],0)</f>
        <v>0</v>
      </c>
      <c r="N2108" s="18">
        <f>IF((OR(tbal[[#This Row],[X]]=0,tbal[[#This Row],[X]]=5)),tbal[[#This Row],[ACREEDOR]],0)</f>
        <v>0</v>
      </c>
    </row>
    <row r="2109" spans="1:14" hidden="1" x14ac:dyDescent="0.3">
      <c r="A2109" s="14">
        <f>+'PLAN DE CUENTAS'!A2109</f>
        <v>0</v>
      </c>
      <c r="B2109" s="13">
        <f>+'PLAN DE CUENTAS'!B2109</f>
        <v>0</v>
      </c>
      <c r="C2109" s="13">
        <f>+'PLAN DE CUENTAS'!C2109</f>
        <v>0</v>
      </c>
      <c r="D2109" t="str">
        <f>IF(tbal[[#This Row],[DEBE]]+tbal[[#This Row],[HABER]]=0,"","X")</f>
        <v/>
      </c>
      <c r="E2109" s="16">
        <f>SUMIF(tdiario[CUENTA],tbal[[#This Row],[CUENTA]],tdiario[DEBE])</f>
        <v>0</v>
      </c>
      <c r="F2109" s="17">
        <f>SUMIF(tdiario[CUENTA],tbal[[#This Row],[CUENTA]],tdiario[HABER])</f>
        <v>0</v>
      </c>
      <c r="G2109" s="16">
        <f>IF(tbal[[#This Row],[DEBE]]-tbal[[#This Row],[HABER]]&gt;0,tbal[[#This Row],[DEBE]]-tbal[[#This Row],[HABER]],0)</f>
        <v>0</v>
      </c>
      <c r="H2109" s="18">
        <f>IF(tbal[[#This Row],[HABER]]-tbal[[#This Row],[DEBE]]&gt;0,tbal[[#This Row],[HABER]]-tbal[[#This Row],[DEBE]],0)</f>
        <v>0</v>
      </c>
      <c r="I2109" s="16">
        <f>IF((OR(tbal[[#This Row],[X]]=1,tbal[[#This Row],[X]]=2)),tbal[[#This Row],[DEUDOR]],0)</f>
        <v>0</v>
      </c>
      <c r="J2109" s="18">
        <f>IF((OR(tbal[[#This Row],[X]]=2,tbal[[#This Row],[X]]=3)),tbal[[#This Row],[ACREEDOR]],0)</f>
        <v>0</v>
      </c>
      <c r="K2109" s="16">
        <f>IF((OR(tbal[[#This Row],[X]]=3,tbal[[#This Row],[X]]=5)),tbal[[#This Row],[DEUDOR]],0)</f>
        <v>0</v>
      </c>
      <c r="L2109" s="18">
        <f>IF((OR(tbal[[#This Row],[X]]=3,tbal[[#This Row],[X]]=4)),tbal[[#This Row],[ACREEDOR]],0)</f>
        <v>0</v>
      </c>
      <c r="M2109" s="16">
        <f>IF((OR(tbal[[#This Row],[X]]=0,tbal[[#This Row],[X]]=6)),tbal[[#This Row],[DEUDOR]],0)</f>
        <v>0</v>
      </c>
      <c r="N2109" s="18">
        <f>IF((OR(tbal[[#This Row],[X]]=0,tbal[[#This Row],[X]]=5)),tbal[[#This Row],[ACREEDOR]],0)</f>
        <v>0</v>
      </c>
    </row>
    <row r="2110" spans="1:14" hidden="1" x14ac:dyDescent="0.3">
      <c r="A2110" s="14">
        <f>+'PLAN DE CUENTAS'!A2110</f>
        <v>0</v>
      </c>
      <c r="B2110" s="13">
        <f>+'PLAN DE CUENTAS'!B2110</f>
        <v>0</v>
      </c>
      <c r="C2110" s="13">
        <f>+'PLAN DE CUENTAS'!C2110</f>
        <v>0</v>
      </c>
      <c r="D2110" t="str">
        <f>IF(tbal[[#This Row],[DEBE]]+tbal[[#This Row],[HABER]]=0,"","X")</f>
        <v/>
      </c>
      <c r="E2110" s="16">
        <f>SUMIF(tdiario[CUENTA],tbal[[#This Row],[CUENTA]],tdiario[DEBE])</f>
        <v>0</v>
      </c>
      <c r="F2110" s="17">
        <f>SUMIF(tdiario[CUENTA],tbal[[#This Row],[CUENTA]],tdiario[HABER])</f>
        <v>0</v>
      </c>
      <c r="G2110" s="16">
        <f>IF(tbal[[#This Row],[DEBE]]-tbal[[#This Row],[HABER]]&gt;0,tbal[[#This Row],[DEBE]]-tbal[[#This Row],[HABER]],0)</f>
        <v>0</v>
      </c>
      <c r="H2110" s="18">
        <f>IF(tbal[[#This Row],[HABER]]-tbal[[#This Row],[DEBE]]&gt;0,tbal[[#This Row],[HABER]]-tbal[[#This Row],[DEBE]],0)</f>
        <v>0</v>
      </c>
      <c r="I2110" s="16">
        <f>IF((OR(tbal[[#This Row],[X]]=1,tbal[[#This Row],[X]]=2)),tbal[[#This Row],[DEUDOR]],0)</f>
        <v>0</v>
      </c>
      <c r="J2110" s="18">
        <f>IF((OR(tbal[[#This Row],[X]]=2,tbal[[#This Row],[X]]=3)),tbal[[#This Row],[ACREEDOR]],0)</f>
        <v>0</v>
      </c>
      <c r="K2110" s="16">
        <f>IF((OR(tbal[[#This Row],[X]]=3,tbal[[#This Row],[X]]=5)),tbal[[#This Row],[DEUDOR]],0)</f>
        <v>0</v>
      </c>
      <c r="L2110" s="18">
        <f>IF((OR(tbal[[#This Row],[X]]=3,tbal[[#This Row],[X]]=4)),tbal[[#This Row],[ACREEDOR]],0)</f>
        <v>0</v>
      </c>
      <c r="M2110" s="16">
        <f>IF((OR(tbal[[#This Row],[X]]=0,tbal[[#This Row],[X]]=6)),tbal[[#This Row],[DEUDOR]],0)</f>
        <v>0</v>
      </c>
      <c r="N2110" s="18">
        <f>IF((OR(tbal[[#This Row],[X]]=0,tbal[[#This Row],[X]]=5)),tbal[[#This Row],[ACREEDOR]],0)</f>
        <v>0</v>
      </c>
    </row>
    <row r="2111" spans="1:14" hidden="1" x14ac:dyDescent="0.3">
      <c r="A2111" s="14">
        <f>+'PLAN DE CUENTAS'!A2111</f>
        <v>0</v>
      </c>
      <c r="B2111" s="13">
        <f>+'PLAN DE CUENTAS'!B2111</f>
        <v>0</v>
      </c>
      <c r="C2111" s="13">
        <f>+'PLAN DE CUENTAS'!C2111</f>
        <v>0</v>
      </c>
      <c r="D2111" t="str">
        <f>IF(tbal[[#This Row],[DEBE]]+tbal[[#This Row],[HABER]]=0,"","X")</f>
        <v/>
      </c>
      <c r="E2111" s="16">
        <f>SUMIF(tdiario[CUENTA],tbal[[#This Row],[CUENTA]],tdiario[DEBE])</f>
        <v>0</v>
      </c>
      <c r="F2111" s="17">
        <f>SUMIF(tdiario[CUENTA],tbal[[#This Row],[CUENTA]],tdiario[HABER])</f>
        <v>0</v>
      </c>
      <c r="G2111" s="16">
        <f>IF(tbal[[#This Row],[DEBE]]-tbal[[#This Row],[HABER]]&gt;0,tbal[[#This Row],[DEBE]]-tbal[[#This Row],[HABER]],0)</f>
        <v>0</v>
      </c>
      <c r="H2111" s="18">
        <f>IF(tbal[[#This Row],[HABER]]-tbal[[#This Row],[DEBE]]&gt;0,tbal[[#This Row],[HABER]]-tbal[[#This Row],[DEBE]],0)</f>
        <v>0</v>
      </c>
      <c r="I2111" s="16">
        <f>IF((OR(tbal[[#This Row],[X]]=1,tbal[[#This Row],[X]]=2)),tbal[[#This Row],[DEUDOR]],0)</f>
        <v>0</v>
      </c>
      <c r="J2111" s="18">
        <f>IF((OR(tbal[[#This Row],[X]]=2,tbal[[#This Row],[X]]=3)),tbal[[#This Row],[ACREEDOR]],0)</f>
        <v>0</v>
      </c>
      <c r="K2111" s="16">
        <f>IF((OR(tbal[[#This Row],[X]]=3,tbal[[#This Row],[X]]=5)),tbal[[#This Row],[DEUDOR]],0)</f>
        <v>0</v>
      </c>
      <c r="L2111" s="18">
        <f>IF((OR(tbal[[#This Row],[X]]=3,tbal[[#This Row],[X]]=4)),tbal[[#This Row],[ACREEDOR]],0)</f>
        <v>0</v>
      </c>
      <c r="M2111" s="16">
        <f>IF((OR(tbal[[#This Row],[X]]=0,tbal[[#This Row],[X]]=6)),tbal[[#This Row],[DEUDOR]],0)</f>
        <v>0</v>
      </c>
      <c r="N2111" s="18">
        <f>IF((OR(tbal[[#This Row],[X]]=0,tbal[[#This Row],[X]]=5)),tbal[[#This Row],[ACREEDOR]],0)</f>
        <v>0</v>
      </c>
    </row>
    <row r="2112" spans="1:14" hidden="1" x14ac:dyDescent="0.3">
      <c r="A2112" s="14">
        <f>+'PLAN DE CUENTAS'!A2112</f>
        <v>0</v>
      </c>
      <c r="B2112" s="13">
        <f>+'PLAN DE CUENTAS'!B2112</f>
        <v>0</v>
      </c>
      <c r="C2112" s="13">
        <f>+'PLAN DE CUENTAS'!C2112</f>
        <v>0</v>
      </c>
      <c r="D2112" t="str">
        <f>IF(tbal[[#This Row],[DEBE]]+tbal[[#This Row],[HABER]]=0,"","X")</f>
        <v/>
      </c>
      <c r="E2112" s="16">
        <f>SUMIF(tdiario[CUENTA],tbal[[#This Row],[CUENTA]],tdiario[DEBE])</f>
        <v>0</v>
      </c>
      <c r="F2112" s="17">
        <f>SUMIF(tdiario[CUENTA],tbal[[#This Row],[CUENTA]],tdiario[HABER])</f>
        <v>0</v>
      </c>
      <c r="G2112" s="16">
        <f>IF(tbal[[#This Row],[DEBE]]-tbal[[#This Row],[HABER]]&gt;0,tbal[[#This Row],[DEBE]]-tbal[[#This Row],[HABER]],0)</f>
        <v>0</v>
      </c>
      <c r="H2112" s="18">
        <f>IF(tbal[[#This Row],[HABER]]-tbal[[#This Row],[DEBE]]&gt;0,tbal[[#This Row],[HABER]]-tbal[[#This Row],[DEBE]],0)</f>
        <v>0</v>
      </c>
      <c r="I2112" s="16">
        <f>IF((OR(tbal[[#This Row],[X]]=1,tbal[[#This Row],[X]]=2)),tbal[[#This Row],[DEUDOR]],0)</f>
        <v>0</v>
      </c>
      <c r="J2112" s="18">
        <f>IF((OR(tbal[[#This Row],[X]]=2,tbal[[#This Row],[X]]=3)),tbal[[#This Row],[ACREEDOR]],0)</f>
        <v>0</v>
      </c>
      <c r="K2112" s="16">
        <f>IF((OR(tbal[[#This Row],[X]]=3,tbal[[#This Row],[X]]=5)),tbal[[#This Row],[DEUDOR]],0)</f>
        <v>0</v>
      </c>
      <c r="L2112" s="18">
        <f>IF((OR(tbal[[#This Row],[X]]=3,tbal[[#This Row],[X]]=4)),tbal[[#This Row],[ACREEDOR]],0)</f>
        <v>0</v>
      </c>
      <c r="M2112" s="16">
        <f>IF((OR(tbal[[#This Row],[X]]=0,tbal[[#This Row],[X]]=6)),tbal[[#This Row],[DEUDOR]],0)</f>
        <v>0</v>
      </c>
      <c r="N2112" s="18">
        <f>IF((OR(tbal[[#This Row],[X]]=0,tbal[[#This Row],[X]]=5)),tbal[[#This Row],[ACREEDOR]],0)</f>
        <v>0</v>
      </c>
    </row>
    <row r="2113" spans="1:14" hidden="1" x14ac:dyDescent="0.3">
      <c r="A2113" s="14">
        <f>+'PLAN DE CUENTAS'!A2113</f>
        <v>0</v>
      </c>
      <c r="B2113" s="13">
        <f>+'PLAN DE CUENTAS'!B2113</f>
        <v>0</v>
      </c>
      <c r="C2113" s="13">
        <f>+'PLAN DE CUENTAS'!C2113</f>
        <v>0</v>
      </c>
      <c r="D2113" t="str">
        <f>IF(tbal[[#This Row],[DEBE]]+tbal[[#This Row],[HABER]]=0,"","X")</f>
        <v/>
      </c>
      <c r="E2113" s="16">
        <f>SUMIF(tdiario[CUENTA],tbal[[#This Row],[CUENTA]],tdiario[DEBE])</f>
        <v>0</v>
      </c>
      <c r="F2113" s="17">
        <f>SUMIF(tdiario[CUENTA],tbal[[#This Row],[CUENTA]],tdiario[HABER])</f>
        <v>0</v>
      </c>
      <c r="G2113" s="16">
        <f>IF(tbal[[#This Row],[DEBE]]-tbal[[#This Row],[HABER]]&gt;0,tbal[[#This Row],[DEBE]]-tbal[[#This Row],[HABER]],0)</f>
        <v>0</v>
      </c>
      <c r="H2113" s="18">
        <f>IF(tbal[[#This Row],[HABER]]-tbal[[#This Row],[DEBE]]&gt;0,tbal[[#This Row],[HABER]]-tbal[[#This Row],[DEBE]],0)</f>
        <v>0</v>
      </c>
      <c r="I2113" s="16">
        <f>IF((OR(tbal[[#This Row],[X]]=1,tbal[[#This Row],[X]]=2)),tbal[[#This Row],[DEUDOR]],0)</f>
        <v>0</v>
      </c>
      <c r="J2113" s="18">
        <f>IF((OR(tbal[[#This Row],[X]]=2,tbal[[#This Row],[X]]=3)),tbal[[#This Row],[ACREEDOR]],0)</f>
        <v>0</v>
      </c>
      <c r="K2113" s="16">
        <f>IF((OR(tbal[[#This Row],[X]]=3,tbal[[#This Row],[X]]=5)),tbal[[#This Row],[DEUDOR]],0)</f>
        <v>0</v>
      </c>
      <c r="L2113" s="18">
        <f>IF((OR(tbal[[#This Row],[X]]=3,tbal[[#This Row],[X]]=4)),tbal[[#This Row],[ACREEDOR]],0)</f>
        <v>0</v>
      </c>
      <c r="M2113" s="16">
        <f>IF((OR(tbal[[#This Row],[X]]=0,tbal[[#This Row],[X]]=6)),tbal[[#This Row],[DEUDOR]],0)</f>
        <v>0</v>
      </c>
      <c r="N2113" s="18">
        <f>IF((OR(tbal[[#This Row],[X]]=0,tbal[[#This Row],[X]]=5)),tbal[[#This Row],[ACREEDOR]],0)</f>
        <v>0</v>
      </c>
    </row>
    <row r="2114" spans="1:14" hidden="1" x14ac:dyDescent="0.3">
      <c r="A2114" s="14">
        <f>+'PLAN DE CUENTAS'!A2114</f>
        <v>0</v>
      </c>
      <c r="B2114" s="13">
        <f>+'PLAN DE CUENTAS'!B2114</f>
        <v>0</v>
      </c>
      <c r="C2114" s="13">
        <f>+'PLAN DE CUENTAS'!C2114</f>
        <v>0</v>
      </c>
      <c r="D2114" t="str">
        <f>IF(tbal[[#This Row],[DEBE]]+tbal[[#This Row],[HABER]]=0,"","X")</f>
        <v/>
      </c>
      <c r="E2114" s="16">
        <f>SUMIF(tdiario[CUENTA],tbal[[#This Row],[CUENTA]],tdiario[DEBE])</f>
        <v>0</v>
      </c>
      <c r="F2114" s="17">
        <f>SUMIF(tdiario[CUENTA],tbal[[#This Row],[CUENTA]],tdiario[HABER])</f>
        <v>0</v>
      </c>
      <c r="G2114" s="16">
        <f>IF(tbal[[#This Row],[DEBE]]-tbal[[#This Row],[HABER]]&gt;0,tbal[[#This Row],[DEBE]]-tbal[[#This Row],[HABER]],0)</f>
        <v>0</v>
      </c>
      <c r="H2114" s="18">
        <f>IF(tbal[[#This Row],[HABER]]-tbal[[#This Row],[DEBE]]&gt;0,tbal[[#This Row],[HABER]]-tbal[[#This Row],[DEBE]],0)</f>
        <v>0</v>
      </c>
      <c r="I2114" s="16">
        <f>IF((OR(tbal[[#This Row],[X]]=1,tbal[[#This Row],[X]]=2)),tbal[[#This Row],[DEUDOR]],0)</f>
        <v>0</v>
      </c>
      <c r="J2114" s="18">
        <f>IF((OR(tbal[[#This Row],[X]]=2,tbal[[#This Row],[X]]=3)),tbal[[#This Row],[ACREEDOR]],0)</f>
        <v>0</v>
      </c>
      <c r="K2114" s="16">
        <f>IF((OR(tbal[[#This Row],[X]]=3,tbal[[#This Row],[X]]=5)),tbal[[#This Row],[DEUDOR]],0)</f>
        <v>0</v>
      </c>
      <c r="L2114" s="18">
        <f>IF((OR(tbal[[#This Row],[X]]=3,tbal[[#This Row],[X]]=4)),tbal[[#This Row],[ACREEDOR]],0)</f>
        <v>0</v>
      </c>
      <c r="M2114" s="16">
        <f>IF((OR(tbal[[#This Row],[X]]=0,tbal[[#This Row],[X]]=6)),tbal[[#This Row],[DEUDOR]],0)</f>
        <v>0</v>
      </c>
      <c r="N2114" s="18">
        <f>IF((OR(tbal[[#This Row],[X]]=0,tbal[[#This Row],[X]]=5)),tbal[[#This Row],[ACREEDOR]],0)</f>
        <v>0</v>
      </c>
    </row>
    <row r="2115" spans="1:14" hidden="1" x14ac:dyDescent="0.3">
      <c r="A2115" s="14">
        <f>+'PLAN DE CUENTAS'!A2115</f>
        <v>0</v>
      </c>
      <c r="B2115" s="13">
        <f>+'PLAN DE CUENTAS'!B2115</f>
        <v>0</v>
      </c>
      <c r="C2115" s="13">
        <f>+'PLAN DE CUENTAS'!C2115</f>
        <v>0</v>
      </c>
      <c r="D2115" t="str">
        <f>IF(tbal[[#This Row],[DEBE]]+tbal[[#This Row],[HABER]]=0,"","X")</f>
        <v/>
      </c>
      <c r="E2115" s="16">
        <f>SUMIF(tdiario[CUENTA],tbal[[#This Row],[CUENTA]],tdiario[DEBE])</f>
        <v>0</v>
      </c>
      <c r="F2115" s="17">
        <f>SUMIF(tdiario[CUENTA],tbal[[#This Row],[CUENTA]],tdiario[HABER])</f>
        <v>0</v>
      </c>
      <c r="G2115" s="16">
        <f>IF(tbal[[#This Row],[DEBE]]-tbal[[#This Row],[HABER]]&gt;0,tbal[[#This Row],[DEBE]]-tbal[[#This Row],[HABER]],0)</f>
        <v>0</v>
      </c>
      <c r="H2115" s="18">
        <f>IF(tbal[[#This Row],[HABER]]-tbal[[#This Row],[DEBE]]&gt;0,tbal[[#This Row],[HABER]]-tbal[[#This Row],[DEBE]],0)</f>
        <v>0</v>
      </c>
      <c r="I2115" s="16">
        <f>IF((OR(tbal[[#This Row],[X]]=1,tbal[[#This Row],[X]]=2)),tbal[[#This Row],[DEUDOR]],0)</f>
        <v>0</v>
      </c>
      <c r="J2115" s="18">
        <f>IF((OR(tbal[[#This Row],[X]]=2,tbal[[#This Row],[X]]=3)),tbal[[#This Row],[ACREEDOR]],0)</f>
        <v>0</v>
      </c>
      <c r="K2115" s="16">
        <f>IF((OR(tbal[[#This Row],[X]]=3,tbal[[#This Row],[X]]=5)),tbal[[#This Row],[DEUDOR]],0)</f>
        <v>0</v>
      </c>
      <c r="L2115" s="18">
        <f>IF((OR(tbal[[#This Row],[X]]=3,tbal[[#This Row],[X]]=4)),tbal[[#This Row],[ACREEDOR]],0)</f>
        <v>0</v>
      </c>
      <c r="M2115" s="16">
        <f>IF((OR(tbal[[#This Row],[X]]=0,tbal[[#This Row],[X]]=6)),tbal[[#This Row],[DEUDOR]],0)</f>
        <v>0</v>
      </c>
      <c r="N2115" s="18">
        <f>IF((OR(tbal[[#This Row],[X]]=0,tbal[[#This Row],[X]]=5)),tbal[[#This Row],[ACREEDOR]],0)</f>
        <v>0</v>
      </c>
    </row>
    <row r="2116" spans="1:14" hidden="1" x14ac:dyDescent="0.3">
      <c r="A2116" s="14">
        <f>+'PLAN DE CUENTAS'!A2116</f>
        <v>0</v>
      </c>
      <c r="B2116" s="13">
        <f>+'PLAN DE CUENTAS'!B2116</f>
        <v>0</v>
      </c>
      <c r="C2116" s="13">
        <f>+'PLAN DE CUENTAS'!C2116</f>
        <v>0</v>
      </c>
      <c r="D2116" t="str">
        <f>IF(tbal[[#This Row],[DEBE]]+tbal[[#This Row],[HABER]]=0,"","X")</f>
        <v/>
      </c>
      <c r="E2116" s="16">
        <f>SUMIF(tdiario[CUENTA],tbal[[#This Row],[CUENTA]],tdiario[DEBE])</f>
        <v>0</v>
      </c>
      <c r="F2116" s="17">
        <f>SUMIF(tdiario[CUENTA],tbal[[#This Row],[CUENTA]],tdiario[HABER])</f>
        <v>0</v>
      </c>
      <c r="G2116" s="16">
        <f>IF(tbal[[#This Row],[DEBE]]-tbal[[#This Row],[HABER]]&gt;0,tbal[[#This Row],[DEBE]]-tbal[[#This Row],[HABER]],0)</f>
        <v>0</v>
      </c>
      <c r="H2116" s="18">
        <f>IF(tbal[[#This Row],[HABER]]-tbal[[#This Row],[DEBE]]&gt;0,tbal[[#This Row],[HABER]]-tbal[[#This Row],[DEBE]],0)</f>
        <v>0</v>
      </c>
      <c r="I2116" s="16">
        <f>IF((OR(tbal[[#This Row],[X]]=1,tbal[[#This Row],[X]]=2)),tbal[[#This Row],[DEUDOR]],0)</f>
        <v>0</v>
      </c>
      <c r="J2116" s="18">
        <f>IF((OR(tbal[[#This Row],[X]]=2,tbal[[#This Row],[X]]=3)),tbal[[#This Row],[ACREEDOR]],0)</f>
        <v>0</v>
      </c>
      <c r="K2116" s="16">
        <f>IF((OR(tbal[[#This Row],[X]]=3,tbal[[#This Row],[X]]=5)),tbal[[#This Row],[DEUDOR]],0)</f>
        <v>0</v>
      </c>
      <c r="L2116" s="18">
        <f>IF((OR(tbal[[#This Row],[X]]=3,tbal[[#This Row],[X]]=4)),tbal[[#This Row],[ACREEDOR]],0)</f>
        <v>0</v>
      </c>
      <c r="M2116" s="16">
        <f>IF((OR(tbal[[#This Row],[X]]=0,tbal[[#This Row],[X]]=6)),tbal[[#This Row],[DEUDOR]],0)</f>
        <v>0</v>
      </c>
      <c r="N2116" s="18">
        <f>IF((OR(tbal[[#This Row],[X]]=0,tbal[[#This Row],[X]]=5)),tbal[[#This Row],[ACREEDOR]],0)</f>
        <v>0</v>
      </c>
    </row>
    <row r="2117" spans="1:14" hidden="1" x14ac:dyDescent="0.3">
      <c r="A2117" s="14">
        <f>+'PLAN DE CUENTAS'!A2117</f>
        <v>0</v>
      </c>
      <c r="B2117" s="13">
        <f>+'PLAN DE CUENTAS'!B2117</f>
        <v>0</v>
      </c>
      <c r="C2117" s="13">
        <f>+'PLAN DE CUENTAS'!C2117</f>
        <v>0</v>
      </c>
      <c r="D2117" t="str">
        <f>IF(tbal[[#This Row],[DEBE]]+tbal[[#This Row],[HABER]]=0,"","X")</f>
        <v/>
      </c>
      <c r="E2117" s="16">
        <f>SUMIF(tdiario[CUENTA],tbal[[#This Row],[CUENTA]],tdiario[DEBE])</f>
        <v>0</v>
      </c>
      <c r="F2117" s="17">
        <f>SUMIF(tdiario[CUENTA],tbal[[#This Row],[CUENTA]],tdiario[HABER])</f>
        <v>0</v>
      </c>
      <c r="G2117" s="16">
        <f>IF(tbal[[#This Row],[DEBE]]-tbal[[#This Row],[HABER]]&gt;0,tbal[[#This Row],[DEBE]]-tbal[[#This Row],[HABER]],0)</f>
        <v>0</v>
      </c>
      <c r="H2117" s="18">
        <f>IF(tbal[[#This Row],[HABER]]-tbal[[#This Row],[DEBE]]&gt;0,tbal[[#This Row],[HABER]]-tbal[[#This Row],[DEBE]],0)</f>
        <v>0</v>
      </c>
      <c r="I2117" s="16">
        <f>IF((OR(tbal[[#This Row],[X]]=1,tbal[[#This Row],[X]]=2)),tbal[[#This Row],[DEUDOR]],0)</f>
        <v>0</v>
      </c>
      <c r="J2117" s="18">
        <f>IF((OR(tbal[[#This Row],[X]]=2,tbal[[#This Row],[X]]=3)),tbal[[#This Row],[ACREEDOR]],0)</f>
        <v>0</v>
      </c>
      <c r="K2117" s="16">
        <f>IF((OR(tbal[[#This Row],[X]]=3,tbal[[#This Row],[X]]=5)),tbal[[#This Row],[DEUDOR]],0)</f>
        <v>0</v>
      </c>
      <c r="L2117" s="18">
        <f>IF((OR(tbal[[#This Row],[X]]=3,tbal[[#This Row],[X]]=4)),tbal[[#This Row],[ACREEDOR]],0)</f>
        <v>0</v>
      </c>
      <c r="M2117" s="16">
        <f>IF((OR(tbal[[#This Row],[X]]=0,tbal[[#This Row],[X]]=6)),tbal[[#This Row],[DEUDOR]],0)</f>
        <v>0</v>
      </c>
      <c r="N2117" s="18">
        <f>IF((OR(tbal[[#This Row],[X]]=0,tbal[[#This Row],[X]]=5)),tbal[[#This Row],[ACREEDOR]],0)</f>
        <v>0</v>
      </c>
    </row>
    <row r="2118" spans="1:14" hidden="1" x14ac:dyDescent="0.3">
      <c r="A2118" s="14">
        <f>+'PLAN DE CUENTAS'!A2118</f>
        <v>0</v>
      </c>
      <c r="B2118" s="13">
        <f>+'PLAN DE CUENTAS'!B2118</f>
        <v>0</v>
      </c>
      <c r="C2118" s="13">
        <f>+'PLAN DE CUENTAS'!C2118</f>
        <v>0</v>
      </c>
      <c r="D2118" t="str">
        <f>IF(tbal[[#This Row],[DEBE]]+tbal[[#This Row],[HABER]]=0,"","X")</f>
        <v/>
      </c>
      <c r="E2118" s="16">
        <f>SUMIF(tdiario[CUENTA],tbal[[#This Row],[CUENTA]],tdiario[DEBE])</f>
        <v>0</v>
      </c>
      <c r="F2118" s="17">
        <f>SUMIF(tdiario[CUENTA],tbal[[#This Row],[CUENTA]],tdiario[HABER])</f>
        <v>0</v>
      </c>
      <c r="G2118" s="16">
        <f>IF(tbal[[#This Row],[DEBE]]-tbal[[#This Row],[HABER]]&gt;0,tbal[[#This Row],[DEBE]]-tbal[[#This Row],[HABER]],0)</f>
        <v>0</v>
      </c>
      <c r="H2118" s="18">
        <f>IF(tbal[[#This Row],[HABER]]-tbal[[#This Row],[DEBE]]&gt;0,tbal[[#This Row],[HABER]]-tbal[[#This Row],[DEBE]],0)</f>
        <v>0</v>
      </c>
      <c r="I2118" s="16">
        <f>IF((OR(tbal[[#This Row],[X]]=1,tbal[[#This Row],[X]]=2)),tbal[[#This Row],[DEUDOR]],0)</f>
        <v>0</v>
      </c>
      <c r="J2118" s="18">
        <f>IF((OR(tbal[[#This Row],[X]]=2,tbal[[#This Row],[X]]=3)),tbal[[#This Row],[ACREEDOR]],0)</f>
        <v>0</v>
      </c>
      <c r="K2118" s="16">
        <f>IF((OR(tbal[[#This Row],[X]]=3,tbal[[#This Row],[X]]=5)),tbal[[#This Row],[DEUDOR]],0)</f>
        <v>0</v>
      </c>
      <c r="L2118" s="18">
        <f>IF((OR(tbal[[#This Row],[X]]=3,tbal[[#This Row],[X]]=4)),tbal[[#This Row],[ACREEDOR]],0)</f>
        <v>0</v>
      </c>
      <c r="M2118" s="16">
        <f>IF((OR(tbal[[#This Row],[X]]=0,tbal[[#This Row],[X]]=6)),tbal[[#This Row],[DEUDOR]],0)</f>
        <v>0</v>
      </c>
      <c r="N2118" s="18">
        <f>IF((OR(tbal[[#This Row],[X]]=0,tbal[[#This Row],[X]]=5)),tbal[[#This Row],[ACREEDOR]],0)</f>
        <v>0</v>
      </c>
    </row>
    <row r="2119" spans="1:14" hidden="1" x14ac:dyDescent="0.3">
      <c r="A2119" s="14">
        <f>+'PLAN DE CUENTAS'!A2119</f>
        <v>0</v>
      </c>
      <c r="B2119" s="13">
        <f>+'PLAN DE CUENTAS'!B2119</f>
        <v>0</v>
      </c>
      <c r="C2119" s="13">
        <f>+'PLAN DE CUENTAS'!C2119</f>
        <v>0</v>
      </c>
      <c r="D2119" t="str">
        <f>IF(tbal[[#This Row],[DEBE]]+tbal[[#This Row],[HABER]]=0,"","X")</f>
        <v/>
      </c>
      <c r="E2119" s="16">
        <f>SUMIF(tdiario[CUENTA],tbal[[#This Row],[CUENTA]],tdiario[DEBE])</f>
        <v>0</v>
      </c>
      <c r="F2119" s="17">
        <f>SUMIF(tdiario[CUENTA],tbal[[#This Row],[CUENTA]],tdiario[HABER])</f>
        <v>0</v>
      </c>
      <c r="G2119" s="16">
        <f>IF(tbal[[#This Row],[DEBE]]-tbal[[#This Row],[HABER]]&gt;0,tbal[[#This Row],[DEBE]]-tbal[[#This Row],[HABER]],0)</f>
        <v>0</v>
      </c>
      <c r="H2119" s="18">
        <f>IF(tbal[[#This Row],[HABER]]-tbal[[#This Row],[DEBE]]&gt;0,tbal[[#This Row],[HABER]]-tbal[[#This Row],[DEBE]],0)</f>
        <v>0</v>
      </c>
      <c r="I2119" s="16">
        <f>IF((OR(tbal[[#This Row],[X]]=1,tbal[[#This Row],[X]]=2)),tbal[[#This Row],[DEUDOR]],0)</f>
        <v>0</v>
      </c>
      <c r="J2119" s="18">
        <f>IF((OR(tbal[[#This Row],[X]]=2,tbal[[#This Row],[X]]=3)),tbal[[#This Row],[ACREEDOR]],0)</f>
        <v>0</v>
      </c>
      <c r="K2119" s="16">
        <f>IF((OR(tbal[[#This Row],[X]]=3,tbal[[#This Row],[X]]=5)),tbal[[#This Row],[DEUDOR]],0)</f>
        <v>0</v>
      </c>
      <c r="L2119" s="18">
        <f>IF((OR(tbal[[#This Row],[X]]=3,tbal[[#This Row],[X]]=4)),tbal[[#This Row],[ACREEDOR]],0)</f>
        <v>0</v>
      </c>
      <c r="M2119" s="16">
        <f>IF((OR(tbal[[#This Row],[X]]=0,tbal[[#This Row],[X]]=6)),tbal[[#This Row],[DEUDOR]],0)</f>
        <v>0</v>
      </c>
      <c r="N2119" s="18">
        <f>IF((OR(tbal[[#This Row],[X]]=0,tbal[[#This Row],[X]]=5)),tbal[[#This Row],[ACREEDOR]],0)</f>
        <v>0</v>
      </c>
    </row>
    <row r="2120" spans="1:14" hidden="1" x14ac:dyDescent="0.3">
      <c r="A2120" s="14">
        <f>+'PLAN DE CUENTAS'!A2120</f>
        <v>0</v>
      </c>
      <c r="B2120" s="13">
        <f>+'PLAN DE CUENTAS'!B2120</f>
        <v>0</v>
      </c>
      <c r="C2120" s="13">
        <f>+'PLAN DE CUENTAS'!C2120</f>
        <v>0</v>
      </c>
      <c r="D2120" t="str">
        <f>IF(tbal[[#This Row],[DEBE]]+tbal[[#This Row],[HABER]]=0,"","X")</f>
        <v/>
      </c>
      <c r="E2120" s="16">
        <f>SUMIF(tdiario[CUENTA],tbal[[#This Row],[CUENTA]],tdiario[DEBE])</f>
        <v>0</v>
      </c>
      <c r="F2120" s="17">
        <f>SUMIF(tdiario[CUENTA],tbal[[#This Row],[CUENTA]],tdiario[HABER])</f>
        <v>0</v>
      </c>
      <c r="G2120" s="16">
        <f>IF(tbal[[#This Row],[DEBE]]-tbal[[#This Row],[HABER]]&gt;0,tbal[[#This Row],[DEBE]]-tbal[[#This Row],[HABER]],0)</f>
        <v>0</v>
      </c>
      <c r="H2120" s="18">
        <f>IF(tbal[[#This Row],[HABER]]-tbal[[#This Row],[DEBE]]&gt;0,tbal[[#This Row],[HABER]]-tbal[[#This Row],[DEBE]],0)</f>
        <v>0</v>
      </c>
      <c r="I2120" s="16">
        <f>IF((OR(tbal[[#This Row],[X]]=1,tbal[[#This Row],[X]]=2)),tbal[[#This Row],[DEUDOR]],0)</f>
        <v>0</v>
      </c>
      <c r="J2120" s="18">
        <f>IF((OR(tbal[[#This Row],[X]]=2,tbal[[#This Row],[X]]=3)),tbal[[#This Row],[ACREEDOR]],0)</f>
        <v>0</v>
      </c>
      <c r="K2120" s="16">
        <f>IF((OR(tbal[[#This Row],[X]]=3,tbal[[#This Row],[X]]=5)),tbal[[#This Row],[DEUDOR]],0)</f>
        <v>0</v>
      </c>
      <c r="L2120" s="18">
        <f>IF((OR(tbal[[#This Row],[X]]=3,tbal[[#This Row],[X]]=4)),tbal[[#This Row],[ACREEDOR]],0)</f>
        <v>0</v>
      </c>
      <c r="M2120" s="16">
        <f>IF((OR(tbal[[#This Row],[X]]=0,tbal[[#This Row],[X]]=6)),tbal[[#This Row],[DEUDOR]],0)</f>
        <v>0</v>
      </c>
      <c r="N2120" s="18">
        <f>IF((OR(tbal[[#This Row],[X]]=0,tbal[[#This Row],[X]]=5)),tbal[[#This Row],[ACREEDOR]],0)</f>
        <v>0</v>
      </c>
    </row>
    <row r="2121" spans="1:14" hidden="1" x14ac:dyDescent="0.3">
      <c r="A2121" s="14">
        <f>+'PLAN DE CUENTAS'!A2121</f>
        <v>0</v>
      </c>
      <c r="B2121" s="13">
        <f>+'PLAN DE CUENTAS'!B2121</f>
        <v>0</v>
      </c>
      <c r="C2121" s="13">
        <f>+'PLAN DE CUENTAS'!C2121</f>
        <v>0</v>
      </c>
      <c r="D2121" t="str">
        <f>IF(tbal[[#This Row],[DEBE]]+tbal[[#This Row],[HABER]]=0,"","X")</f>
        <v/>
      </c>
      <c r="E2121" s="16">
        <f>SUMIF(tdiario[CUENTA],tbal[[#This Row],[CUENTA]],tdiario[DEBE])</f>
        <v>0</v>
      </c>
      <c r="F2121" s="17">
        <f>SUMIF(tdiario[CUENTA],tbal[[#This Row],[CUENTA]],tdiario[HABER])</f>
        <v>0</v>
      </c>
      <c r="G2121" s="16">
        <f>IF(tbal[[#This Row],[DEBE]]-tbal[[#This Row],[HABER]]&gt;0,tbal[[#This Row],[DEBE]]-tbal[[#This Row],[HABER]],0)</f>
        <v>0</v>
      </c>
      <c r="H2121" s="18">
        <f>IF(tbal[[#This Row],[HABER]]-tbal[[#This Row],[DEBE]]&gt;0,tbal[[#This Row],[HABER]]-tbal[[#This Row],[DEBE]],0)</f>
        <v>0</v>
      </c>
      <c r="I2121" s="16">
        <f>IF((OR(tbal[[#This Row],[X]]=1,tbal[[#This Row],[X]]=2)),tbal[[#This Row],[DEUDOR]],0)</f>
        <v>0</v>
      </c>
      <c r="J2121" s="18">
        <f>IF((OR(tbal[[#This Row],[X]]=2,tbal[[#This Row],[X]]=3)),tbal[[#This Row],[ACREEDOR]],0)</f>
        <v>0</v>
      </c>
      <c r="K2121" s="16">
        <f>IF((OR(tbal[[#This Row],[X]]=3,tbal[[#This Row],[X]]=5)),tbal[[#This Row],[DEUDOR]],0)</f>
        <v>0</v>
      </c>
      <c r="L2121" s="18">
        <f>IF((OR(tbal[[#This Row],[X]]=3,tbal[[#This Row],[X]]=4)),tbal[[#This Row],[ACREEDOR]],0)</f>
        <v>0</v>
      </c>
      <c r="M2121" s="16">
        <f>IF((OR(tbal[[#This Row],[X]]=0,tbal[[#This Row],[X]]=6)),tbal[[#This Row],[DEUDOR]],0)</f>
        <v>0</v>
      </c>
      <c r="N2121" s="18">
        <f>IF((OR(tbal[[#This Row],[X]]=0,tbal[[#This Row],[X]]=5)),tbal[[#This Row],[ACREEDOR]],0)</f>
        <v>0</v>
      </c>
    </row>
    <row r="2122" spans="1:14" hidden="1" x14ac:dyDescent="0.3">
      <c r="A2122" s="14">
        <f>+'PLAN DE CUENTAS'!A2122</f>
        <v>0</v>
      </c>
      <c r="B2122" s="13">
        <f>+'PLAN DE CUENTAS'!B2122</f>
        <v>0</v>
      </c>
      <c r="C2122" s="13">
        <f>+'PLAN DE CUENTAS'!C2122</f>
        <v>0</v>
      </c>
      <c r="D2122" t="str">
        <f>IF(tbal[[#This Row],[DEBE]]+tbal[[#This Row],[HABER]]=0,"","X")</f>
        <v/>
      </c>
      <c r="E2122" s="16">
        <f>SUMIF(tdiario[CUENTA],tbal[[#This Row],[CUENTA]],tdiario[DEBE])</f>
        <v>0</v>
      </c>
      <c r="F2122" s="17">
        <f>SUMIF(tdiario[CUENTA],tbal[[#This Row],[CUENTA]],tdiario[HABER])</f>
        <v>0</v>
      </c>
      <c r="G2122" s="16">
        <f>IF(tbal[[#This Row],[DEBE]]-tbal[[#This Row],[HABER]]&gt;0,tbal[[#This Row],[DEBE]]-tbal[[#This Row],[HABER]],0)</f>
        <v>0</v>
      </c>
      <c r="H2122" s="18">
        <f>IF(tbal[[#This Row],[HABER]]-tbal[[#This Row],[DEBE]]&gt;0,tbal[[#This Row],[HABER]]-tbal[[#This Row],[DEBE]],0)</f>
        <v>0</v>
      </c>
      <c r="I2122" s="16">
        <f>IF((OR(tbal[[#This Row],[X]]=1,tbal[[#This Row],[X]]=2)),tbal[[#This Row],[DEUDOR]],0)</f>
        <v>0</v>
      </c>
      <c r="J2122" s="18">
        <f>IF((OR(tbal[[#This Row],[X]]=2,tbal[[#This Row],[X]]=3)),tbal[[#This Row],[ACREEDOR]],0)</f>
        <v>0</v>
      </c>
      <c r="K2122" s="16">
        <f>IF((OR(tbal[[#This Row],[X]]=3,tbal[[#This Row],[X]]=5)),tbal[[#This Row],[DEUDOR]],0)</f>
        <v>0</v>
      </c>
      <c r="L2122" s="18">
        <f>IF((OR(tbal[[#This Row],[X]]=3,tbal[[#This Row],[X]]=4)),tbal[[#This Row],[ACREEDOR]],0)</f>
        <v>0</v>
      </c>
      <c r="M2122" s="16">
        <f>IF((OR(tbal[[#This Row],[X]]=0,tbal[[#This Row],[X]]=6)),tbal[[#This Row],[DEUDOR]],0)</f>
        <v>0</v>
      </c>
      <c r="N2122" s="18">
        <f>IF((OR(tbal[[#This Row],[X]]=0,tbal[[#This Row],[X]]=5)),tbal[[#This Row],[ACREEDOR]],0)</f>
        <v>0</v>
      </c>
    </row>
    <row r="2123" spans="1:14" hidden="1" x14ac:dyDescent="0.3">
      <c r="A2123" s="14">
        <f>+'PLAN DE CUENTAS'!A2123</f>
        <v>0</v>
      </c>
      <c r="B2123" s="13">
        <f>+'PLAN DE CUENTAS'!B2123</f>
        <v>0</v>
      </c>
      <c r="C2123" s="13">
        <f>+'PLAN DE CUENTAS'!C2123</f>
        <v>0</v>
      </c>
      <c r="D2123" t="str">
        <f>IF(tbal[[#This Row],[DEBE]]+tbal[[#This Row],[HABER]]=0,"","X")</f>
        <v/>
      </c>
      <c r="E2123" s="16">
        <f>SUMIF(tdiario[CUENTA],tbal[[#This Row],[CUENTA]],tdiario[DEBE])</f>
        <v>0</v>
      </c>
      <c r="F2123" s="17">
        <f>SUMIF(tdiario[CUENTA],tbal[[#This Row],[CUENTA]],tdiario[HABER])</f>
        <v>0</v>
      </c>
      <c r="G2123" s="16">
        <f>IF(tbal[[#This Row],[DEBE]]-tbal[[#This Row],[HABER]]&gt;0,tbal[[#This Row],[DEBE]]-tbal[[#This Row],[HABER]],0)</f>
        <v>0</v>
      </c>
      <c r="H2123" s="18">
        <f>IF(tbal[[#This Row],[HABER]]-tbal[[#This Row],[DEBE]]&gt;0,tbal[[#This Row],[HABER]]-tbal[[#This Row],[DEBE]],0)</f>
        <v>0</v>
      </c>
      <c r="I2123" s="16">
        <f>IF((OR(tbal[[#This Row],[X]]=1,tbal[[#This Row],[X]]=2)),tbal[[#This Row],[DEUDOR]],0)</f>
        <v>0</v>
      </c>
      <c r="J2123" s="18">
        <f>IF((OR(tbal[[#This Row],[X]]=2,tbal[[#This Row],[X]]=3)),tbal[[#This Row],[ACREEDOR]],0)</f>
        <v>0</v>
      </c>
      <c r="K2123" s="16">
        <f>IF((OR(tbal[[#This Row],[X]]=3,tbal[[#This Row],[X]]=5)),tbal[[#This Row],[DEUDOR]],0)</f>
        <v>0</v>
      </c>
      <c r="L2123" s="18">
        <f>IF((OR(tbal[[#This Row],[X]]=3,tbal[[#This Row],[X]]=4)),tbal[[#This Row],[ACREEDOR]],0)</f>
        <v>0</v>
      </c>
      <c r="M2123" s="16">
        <f>IF((OR(tbal[[#This Row],[X]]=0,tbal[[#This Row],[X]]=6)),tbal[[#This Row],[DEUDOR]],0)</f>
        <v>0</v>
      </c>
      <c r="N2123" s="18">
        <f>IF((OR(tbal[[#This Row],[X]]=0,tbal[[#This Row],[X]]=5)),tbal[[#This Row],[ACREEDOR]],0)</f>
        <v>0</v>
      </c>
    </row>
    <row r="2124" spans="1:14" hidden="1" x14ac:dyDescent="0.3">
      <c r="A2124" s="14">
        <f>+'PLAN DE CUENTAS'!A2124</f>
        <v>0</v>
      </c>
      <c r="B2124" s="13">
        <f>+'PLAN DE CUENTAS'!B2124</f>
        <v>0</v>
      </c>
      <c r="C2124" s="13">
        <f>+'PLAN DE CUENTAS'!C2124</f>
        <v>0</v>
      </c>
      <c r="D2124" t="str">
        <f>IF(tbal[[#This Row],[DEBE]]+tbal[[#This Row],[HABER]]=0,"","X")</f>
        <v/>
      </c>
      <c r="E2124" s="16">
        <f>SUMIF(tdiario[CUENTA],tbal[[#This Row],[CUENTA]],tdiario[DEBE])</f>
        <v>0</v>
      </c>
      <c r="F2124" s="17">
        <f>SUMIF(tdiario[CUENTA],tbal[[#This Row],[CUENTA]],tdiario[HABER])</f>
        <v>0</v>
      </c>
      <c r="G2124" s="16">
        <f>IF(tbal[[#This Row],[DEBE]]-tbal[[#This Row],[HABER]]&gt;0,tbal[[#This Row],[DEBE]]-tbal[[#This Row],[HABER]],0)</f>
        <v>0</v>
      </c>
      <c r="H2124" s="18">
        <f>IF(tbal[[#This Row],[HABER]]-tbal[[#This Row],[DEBE]]&gt;0,tbal[[#This Row],[HABER]]-tbal[[#This Row],[DEBE]],0)</f>
        <v>0</v>
      </c>
      <c r="I2124" s="16">
        <f>IF((OR(tbal[[#This Row],[X]]=1,tbal[[#This Row],[X]]=2)),tbal[[#This Row],[DEUDOR]],0)</f>
        <v>0</v>
      </c>
      <c r="J2124" s="18">
        <f>IF((OR(tbal[[#This Row],[X]]=2,tbal[[#This Row],[X]]=3)),tbal[[#This Row],[ACREEDOR]],0)</f>
        <v>0</v>
      </c>
      <c r="K2124" s="16">
        <f>IF((OR(tbal[[#This Row],[X]]=3,tbal[[#This Row],[X]]=5)),tbal[[#This Row],[DEUDOR]],0)</f>
        <v>0</v>
      </c>
      <c r="L2124" s="18">
        <f>IF((OR(tbal[[#This Row],[X]]=3,tbal[[#This Row],[X]]=4)),tbal[[#This Row],[ACREEDOR]],0)</f>
        <v>0</v>
      </c>
      <c r="M2124" s="16">
        <f>IF((OR(tbal[[#This Row],[X]]=0,tbal[[#This Row],[X]]=6)),tbal[[#This Row],[DEUDOR]],0)</f>
        <v>0</v>
      </c>
      <c r="N2124" s="18">
        <f>IF((OR(tbal[[#This Row],[X]]=0,tbal[[#This Row],[X]]=5)),tbal[[#This Row],[ACREEDOR]],0)</f>
        <v>0</v>
      </c>
    </row>
    <row r="2125" spans="1:14" hidden="1" x14ac:dyDescent="0.3">
      <c r="A2125" s="14">
        <f>+'PLAN DE CUENTAS'!A2125</f>
        <v>0</v>
      </c>
      <c r="B2125" s="13">
        <f>+'PLAN DE CUENTAS'!B2125</f>
        <v>0</v>
      </c>
      <c r="C2125" s="13">
        <f>+'PLAN DE CUENTAS'!C2125</f>
        <v>0</v>
      </c>
      <c r="D2125" t="str">
        <f>IF(tbal[[#This Row],[DEBE]]+tbal[[#This Row],[HABER]]=0,"","X")</f>
        <v/>
      </c>
      <c r="E2125" s="16">
        <f>SUMIF(tdiario[CUENTA],tbal[[#This Row],[CUENTA]],tdiario[DEBE])</f>
        <v>0</v>
      </c>
      <c r="F2125" s="17">
        <f>SUMIF(tdiario[CUENTA],tbal[[#This Row],[CUENTA]],tdiario[HABER])</f>
        <v>0</v>
      </c>
      <c r="G2125" s="16">
        <f>IF(tbal[[#This Row],[DEBE]]-tbal[[#This Row],[HABER]]&gt;0,tbal[[#This Row],[DEBE]]-tbal[[#This Row],[HABER]],0)</f>
        <v>0</v>
      </c>
      <c r="H2125" s="18">
        <f>IF(tbal[[#This Row],[HABER]]-tbal[[#This Row],[DEBE]]&gt;0,tbal[[#This Row],[HABER]]-tbal[[#This Row],[DEBE]],0)</f>
        <v>0</v>
      </c>
      <c r="I2125" s="16">
        <f>IF((OR(tbal[[#This Row],[X]]=1,tbal[[#This Row],[X]]=2)),tbal[[#This Row],[DEUDOR]],0)</f>
        <v>0</v>
      </c>
      <c r="J2125" s="18">
        <f>IF((OR(tbal[[#This Row],[X]]=2,tbal[[#This Row],[X]]=3)),tbal[[#This Row],[ACREEDOR]],0)</f>
        <v>0</v>
      </c>
      <c r="K2125" s="16">
        <f>IF((OR(tbal[[#This Row],[X]]=3,tbal[[#This Row],[X]]=5)),tbal[[#This Row],[DEUDOR]],0)</f>
        <v>0</v>
      </c>
      <c r="L2125" s="18">
        <f>IF((OR(tbal[[#This Row],[X]]=3,tbal[[#This Row],[X]]=4)),tbal[[#This Row],[ACREEDOR]],0)</f>
        <v>0</v>
      </c>
      <c r="M2125" s="16">
        <f>IF((OR(tbal[[#This Row],[X]]=0,tbal[[#This Row],[X]]=6)),tbal[[#This Row],[DEUDOR]],0)</f>
        <v>0</v>
      </c>
      <c r="N2125" s="18">
        <f>IF((OR(tbal[[#This Row],[X]]=0,tbal[[#This Row],[X]]=5)),tbal[[#This Row],[ACREEDOR]],0)</f>
        <v>0</v>
      </c>
    </row>
    <row r="2126" spans="1:14" hidden="1" x14ac:dyDescent="0.3">
      <c r="A2126" s="14">
        <f>+'PLAN DE CUENTAS'!A2126</f>
        <v>0</v>
      </c>
      <c r="B2126" s="13">
        <f>+'PLAN DE CUENTAS'!B2126</f>
        <v>0</v>
      </c>
      <c r="C2126" s="13">
        <f>+'PLAN DE CUENTAS'!C2126</f>
        <v>0</v>
      </c>
      <c r="D2126" t="str">
        <f>IF(tbal[[#This Row],[DEBE]]+tbal[[#This Row],[HABER]]=0,"","X")</f>
        <v/>
      </c>
      <c r="E2126" s="16">
        <f>SUMIF(tdiario[CUENTA],tbal[[#This Row],[CUENTA]],tdiario[DEBE])</f>
        <v>0</v>
      </c>
      <c r="F2126" s="17">
        <f>SUMIF(tdiario[CUENTA],tbal[[#This Row],[CUENTA]],tdiario[HABER])</f>
        <v>0</v>
      </c>
      <c r="G2126" s="16">
        <f>IF(tbal[[#This Row],[DEBE]]-tbal[[#This Row],[HABER]]&gt;0,tbal[[#This Row],[DEBE]]-tbal[[#This Row],[HABER]],0)</f>
        <v>0</v>
      </c>
      <c r="H2126" s="18">
        <f>IF(tbal[[#This Row],[HABER]]-tbal[[#This Row],[DEBE]]&gt;0,tbal[[#This Row],[HABER]]-tbal[[#This Row],[DEBE]],0)</f>
        <v>0</v>
      </c>
      <c r="I2126" s="16">
        <f>IF((OR(tbal[[#This Row],[X]]=1,tbal[[#This Row],[X]]=2)),tbal[[#This Row],[DEUDOR]],0)</f>
        <v>0</v>
      </c>
      <c r="J2126" s="18">
        <f>IF((OR(tbal[[#This Row],[X]]=2,tbal[[#This Row],[X]]=3)),tbal[[#This Row],[ACREEDOR]],0)</f>
        <v>0</v>
      </c>
      <c r="K2126" s="16">
        <f>IF((OR(tbal[[#This Row],[X]]=3,tbal[[#This Row],[X]]=5)),tbal[[#This Row],[DEUDOR]],0)</f>
        <v>0</v>
      </c>
      <c r="L2126" s="18">
        <f>IF((OR(tbal[[#This Row],[X]]=3,tbal[[#This Row],[X]]=4)),tbal[[#This Row],[ACREEDOR]],0)</f>
        <v>0</v>
      </c>
      <c r="M2126" s="16">
        <f>IF((OR(tbal[[#This Row],[X]]=0,tbal[[#This Row],[X]]=6)),tbal[[#This Row],[DEUDOR]],0)</f>
        <v>0</v>
      </c>
      <c r="N2126" s="18">
        <f>IF((OR(tbal[[#This Row],[X]]=0,tbal[[#This Row],[X]]=5)),tbal[[#This Row],[ACREEDOR]],0)</f>
        <v>0</v>
      </c>
    </row>
    <row r="2127" spans="1:14" hidden="1" x14ac:dyDescent="0.3">
      <c r="A2127" s="14">
        <f>+'PLAN DE CUENTAS'!A2127</f>
        <v>0</v>
      </c>
      <c r="B2127" s="13">
        <f>+'PLAN DE CUENTAS'!B2127</f>
        <v>0</v>
      </c>
      <c r="C2127" s="13">
        <f>+'PLAN DE CUENTAS'!C2127</f>
        <v>0</v>
      </c>
      <c r="D2127" t="str">
        <f>IF(tbal[[#This Row],[DEBE]]+tbal[[#This Row],[HABER]]=0,"","X")</f>
        <v/>
      </c>
      <c r="E2127" s="16">
        <f>SUMIF(tdiario[CUENTA],tbal[[#This Row],[CUENTA]],tdiario[DEBE])</f>
        <v>0</v>
      </c>
      <c r="F2127" s="17">
        <f>SUMIF(tdiario[CUENTA],tbal[[#This Row],[CUENTA]],tdiario[HABER])</f>
        <v>0</v>
      </c>
      <c r="G2127" s="16">
        <f>IF(tbal[[#This Row],[DEBE]]-tbal[[#This Row],[HABER]]&gt;0,tbal[[#This Row],[DEBE]]-tbal[[#This Row],[HABER]],0)</f>
        <v>0</v>
      </c>
      <c r="H2127" s="18">
        <f>IF(tbal[[#This Row],[HABER]]-tbal[[#This Row],[DEBE]]&gt;0,tbal[[#This Row],[HABER]]-tbal[[#This Row],[DEBE]],0)</f>
        <v>0</v>
      </c>
      <c r="I2127" s="16">
        <f>IF((OR(tbal[[#This Row],[X]]=1,tbal[[#This Row],[X]]=2)),tbal[[#This Row],[DEUDOR]],0)</f>
        <v>0</v>
      </c>
      <c r="J2127" s="18">
        <f>IF((OR(tbal[[#This Row],[X]]=2,tbal[[#This Row],[X]]=3)),tbal[[#This Row],[ACREEDOR]],0)</f>
        <v>0</v>
      </c>
      <c r="K2127" s="16">
        <f>IF((OR(tbal[[#This Row],[X]]=3,tbal[[#This Row],[X]]=5)),tbal[[#This Row],[DEUDOR]],0)</f>
        <v>0</v>
      </c>
      <c r="L2127" s="18">
        <f>IF((OR(tbal[[#This Row],[X]]=3,tbal[[#This Row],[X]]=4)),tbal[[#This Row],[ACREEDOR]],0)</f>
        <v>0</v>
      </c>
      <c r="M2127" s="16">
        <f>IF((OR(tbal[[#This Row],[X]]=0,tbal[[#This Row],[X]]=6)),tbal[[#This Row],[DEUDOR]],0)</f>
        <v>0</v>
      </c>
      <c r="N2127" s="18">
        <f>IF((OR(tbal[[#This Row],[X]]=0,tbal[[#This Row],[X]]=5)),tbal[[#This Row],[ACREEDOR]],0)</f>
        <v>0</v>
      </c>
    </row>
    <row r="2128" spans="1:14" hidden="1" x14ac:dyDescent="0.3">
      <c r="A2128" s="14">
        <f>+'PLAN DE CUENTAS'!A2128</f>
        <v>0</v>
      </c>
      <c r="B2128" s="13">
        <f>+'PLAN DE CUENTAS'!B2128</f>
        <v>0</v>
      </c>
      <c r="C2128" s="13">
        <f>+'PLAN DE CUENTAS'!C2128</f>
        <v>0</v>
      </c>
      <c r="D2128" t="str">
        <f>IF(tbal[[#This Row],[DEBE]]+tbal[[#This Row],[HABER]]=0,"","X")</f>
        <v/>
      </c>
      <c r="E2128" s="16">
        <f>SUMIF(tdiario[CUENTA],tbal[[#This Row],[CUENTA]],tdiario[DEBE])</f>
        <v>0</v>
      </c>
      <c r="F2128" s="17">
        <f>SUMIF(tdiario[CUENTA],tbal[[#This Row],[CUENTA]],tdiario[HABER])</f>
        <v>0</v>
      </c>
      <c r="G2128" s="16">
        <f>IF(tbal[[#This Row],[DEBE]]-tbal[[#This Row],[HABER]]&gt;0,tbal[[#This Row],[DEBE]]-tbal[[#This Row],[HABER]],0)</f>
        <v>0</v>
      </c>
      <c r="H2128" s="18">
        <f>IF(tbal[[#This Row],[HABER]]-tbal[[#This Row],[DEBE]]&gt;0,tbal[[#This Row],[HABER]]-tbal[[#This Row],[DEBE]],0)</f>
        <v>0</v>
      </c>
      <c r="I2128" s="16">
        <f>IF((OR(tbal[[#This Row],[X]]=1,tbal[[#This Row],[X]]=2)),tbal[[#This Row],[DEUDOR]],0)</f>
        <v>0</v>
      </c>
      <c r="J2128" s="18">
        <f>IF((OR(tbal[[#This Row],[X]]=2,tbal[[#This Row],[X]]=3)),tbal[[#This Row],[ACREEDOR]],0)</f>
        <v>0</v>
      </c>
      <c r="K2128" s="16">
        <f>IF((OR(tbal[[#This Row],[X]]=3,tbal[[#This Row],[X]]=5)),tbal[[#This Row],[DEUDOR]],0)</f>
        <v>0</v>
      </c>
      <c r="L2128" s="18">
        <f>IF((OR(tbal[[#This Row],[X]]=3,tbal[[#This Row],[X]]=4)),tbal[[#This Row],[ACREEDOR]],0)</f>
        <v>0</v>
      </c>
      <c r="M2128" s="16">
        <f>IF((OR(tbal[[#This Row],[X]]=0,tbal[[#This Row],[X]]=6)),tbal[[#This Row],[DEUDOR]],0)</f>
        <v>0</v>
      </c>
      <c r="N2128" s="18">
        <f>IF((OR(tbal[[#This Row],[X]]=0,tbal[[#This Row],[X]]=5)),tbal[[#This Row],[ACREEDOR]],0)</f>
        <v>0</v>
      </c>
    </row>
    <row r="2129" spans="1:14" hidden="1" x14ac:dyDescent="0.3">
      <c r="A2129" s="14">
        <f>+'PLAN DE CUENTAS'!A2129</f>
        <v>0</v>
      </c>
      <c r="B2129" s="13">
        <f>+'PLAN DE CUENTAS'!B2129</f>
        <v>0</v>
      </c>
      <c r="C2129" s="13">
        <f>+'PLAN DE CUENTAS'!C2129</f>
        <v>0</v>
      </c>
      <c r="D2129" t="str">
        <f>IF(tbal[[#This Row],[DEBE]]+tbal[[#This Row],[HABER]]=0,"","X")</f>
        <v/>
      </c>
      <c r="E2129" s="16">
        <f>SUMIF(tdiario[CUENTA],tbal[[#This Row],[CUENTA]],tdiario[DEBE])</f>
        <v>0</v>
      </c>
      <c r="F2129" s="17">
        <f>SUMIF(tdiario[CUENTA],tbal[[#This Row],[CUENTA]],tdiario[HABER])</f>
        <v>0</v>
      </c>
      <c r="G2129" s="16">
        <f>IF(tbal[[#This Row],[DEBE]]-tbal[[#This Row],[HABER]]&gt;0,tbal[[#This Row],[DEBE]]-tbal[[#This Row],[HABER]],0)</f>
        <v>0</v>
      </c>
      <c r="H2129" s="18">
        <f>IF(tbal[[#This Row],[HABER]]-tbal[[#This Row],[DEBE]]&gt;0,tbal[[#This Row],[HABER]]-tbal[[#This Row],[DEBE]],0)</f>
        <v>0</v>
      </c>
      <c r="I2129" s="16">
        <f>IF((OR(tbal[[#This Row],[X]]=1,tbal[[#This Row],[X]]=2)),tbal[[#This Row],[DEUDOR]],0)</f>
        <v>0</v>
      </c>
      <c r="J2129" s="18">
        <f>IF((OR(tbal[[#This Row],[X]]=2,tbal[[#This Row],[X]]=3)),tbal[[#This Row],[ACREEDOR]],0)</f>
        <v>0</v>
      </c>
      <c r="K2129" s="16">
        <f>IF((OR(tbal[[#This Row],[X]]=3,tbal[[#This Row],[X]]=5)),tbal[[#This Row],[DEUDOR]],0)</f>
        <v>0</v>
      </c>
      <c r="L2129" s="18">
        <f>IF((OR(tbal[[#This Row],[X]]=3,tbal[[#This Row],[X]]=4)),tbal[[#This Row],[ACREEDOR]],0)</f>
        <v>0</v>
      </c>
      <c r="M2129" s="16">
        <f>IF((OR(tbal[[#This Row],[X]]=0,tbal[[#This Row],[X]]=6)),tbal[[#This Row],[DEUDOR]],0)</f>
        <v>0</v>
      </c>
      <c r="N2129" s="18">
        <f>IF((OR(tbal[[#This Row],[X]]=0,tbal[[#This Row],[X]]=5)),tbal[[#This Row],[ACREEDOR]],0)</f>
        <v>0</v>
      </c>
    </row>
    <row r="2130" spans="1:14" hidden="1" x14ac:dyDescent="0.3">
      <c r="A2130" s="14">
        <f>+'PLAN DE CUENTAS'!A2130</f>
        <v>0</v>
      </c>
      <c r="B2130" s="13">
        <f>+'PLAN DE CUENTAS'!B2130</f>
        <v>0</v>
      </c>
      <c r="C2130" s="13">
        <f>+'PLAN DE CUENTAS'!C2130</f>
        <v>0</v>
      </c>
      <c r="D2130" t="str">
        <f>IF(tbal[[#This Row],[DEBE]]+tbal[[#This Row],[HABER]]=0,"","X")</f>
        <v/>
      </c>
      <c r="E2130" s="16">
        <f>SUMIF(tdiario[CUENTA],tbal[[#This Row],[CUENTA]],tdiario[DEBE])</f>
        <v>0</v>
      </c>
      <c r="F2130" s="17">
        <f>SUMIF(tdiario[CUENTA],tbal[[#This Row],[CUENTA]],tdiario[HABER])</f>
        <v>0</v>
      </c>
      <c r="G2130" s="16">
        <f>IF(tbal[[#This Row],[DEBE]]-tbal[[#This Row],[HABER]]&gt;0,tbal[[#This Row],[DEBE]]-tbal[[#This Row],[HABER]],0)</f>
        <v>0</v>
      </c>
      <c r="H2130" s="18">
        <f>IF(tbal[[#This Row],[HABER]]-tbal[[#This Row],[DEBE]]&gt;0,tbal[[#This Row],[HABER]]-tbal[[#This Row],[DEBE]],0)</f>
        <v>0</v>
      </c>
      <c r="I2130" s="16">
        <f>IF((OR(tbal[[#This Row],[X]]=1,tbal[[#This Row],[X]]=2)),tbal[[#This Row],[DEUDOR]],0)</f>
        <v>0</v>
      </c>
      <c r="J2130" s="18">
        <f>IF((OR(tbal[[#This Row],[X]]=2,tbal[[#This Row],[X]]=3)),tbal[[#This Row],[ACREEDOR]],0)</f>
        <v>0</v>
      </c>
      <c r="K2130" s="16">
        <f>IF((OR(tbal[[#This Row],[X]]=3,tbal[[#This Row],[X]]=5)),tbal[[#This Row],[DEUDOR]],0)</f>
        <v>0</v>
      </c>
      <c r="L2130" s="18">
        <f>IF((OR(tbal[[#This Row],[X]]=3,tbal[[#This Row],[X]]=4)),tbal[[#This Row],[ACREEDOR]],0)</f>
        <v>0</v>
      </c>
      <c r="M2130" s="16">
        <f>IF((OR(tbal[[#This Row],[X]]=0,tbal[[#This Row],[X]]=6)),tbal[[#This Row],[DEUDOR]],0)</f>
        <v>0</v>
      </c>
      <c r="N2130" s="18">
        <f>IF((OR(tbal[[#This Row],[X]]=0,tbal[[#This Row],[X]]=5)),tbal[[#This Row],[ACREEDOR]],0)</f>
        <v>0</v>
      </c>
    </row>
    <row r="2131" spans="1:14" hidden="1" x14ac:dyDescent="0.3">
      <c r="A2131" s="14">
        <f>+'PLAN DE CUENTAS'!A2131</f>
        <v>0</v>
      </c>
      <c r="B2131" s="13">
        <f>+'PLAN DE CUENTAS'!B2131</f>
        <v>0</v>
      </c>
      <c r="C2131" s="13">
        <f>+'PLAN DE CUENTAS'!C2131</f>
        <v>0</v>
      </c>
      <c r="D2131" t="str">
        <f>IF(tbal[[#This Row],[DEBE]]+tbal[[#This Row],[HABER]]=0,"","X")</f>
        <v/>
      </c>
      <c r="E2131" s="16">
        <f>SUMIF(tdiario[CUENTA],tbal[[#This Row],[CUENTA]],tdiario[DEBE])</f>
        <v>0</v>
      </c>
      <c r="F2131" s="17">
        <f>SUMIF(tdiario[CUENTA],tbal[[#This Row],[CUENTA]],tdiario[HABER])</f>
        <v>0</v>
      </c>
      <c r="G2131" s="16">
        <f>IF(tbal[[#This Row],[DEBE]]-tbal[[#This Row],[HABER]]&gt;0,tbal[[#This Row],[DEBE]]-tbal[[#This Row],[HABER]],0)</f>
        <v>0</v>
      </c>
      <c r="H2131" s="18">
        <f>IF(tbal[[#This Row],[HABER]]-tbal[[#This Row],[DEBE]]&gt;0,tbal[[#This Row],[HABER]]-tbal[[#This Row],[DEBE]],0)</f>
        <v>0</v>
      </c>
      <c r="I2131" s="16">
        <f>IF((OR(tbal[[#This Row],[X]]=1,tbal[[#This Row],[X]]=2)),tbal[[#This Row],[DEUDOR]],0)</f>
        <v>0</v>
      </c>
      <c r="J2131" s="18">
        <f>IF((OR(tbal[[#This Row],[X]]=2,tbal[[#This Row],[X]]=3)),tbal[[#This Row],[ACREEDOR]],0)</f>
        <v>0</v>
      </c>
      <c r="K2131" s="16">
        <f>IF((OR(tbal[[#This Row],[X]]=3,tbal[[#This Row],[X]]=5)),tbal[[#This Row],[DEUDOR]],0)</f>
        <v>0</v>
      </c>
      <c r="L2131" s="18">
        <f>IF((OR(tbal[[#This Row],[X]]=3,tbal[[#This Row],[X]]=4)),tbal[[#This Row],[ACREEDOR]],0)</f>
        <v>0</v>
      </c>
      <c r="M2131" s="16">
        <f>IF((OR(tbal[[#This Row],[X]]=0,tbal[[#This Row],[X]]=6)),tbal[[#This Row],[DEUDOR]],0)</f>
        <v>0</v>
      </c>
      <c r="N2131" s="18">
        <f>IF((OR(tbal[[#This Row],[X]]=0,tbal[[#This Row],[X]]=5)),tbal[[#This Row],[ACREEDOR]],0)</f>
        <v>0</v>
      </c>
    </row>
    <row r="2132" spans="1:14" hidden="1" x14ac:dyDescent="0.3">
      <c r="A2132" s="14">
        <f>+'PLAN DE CUENTAS'!A2132</f>
        <v>0</v>
      </c>
      <c r="B2132" s="13">
        <f>+'PLAN DE CUENTAS'!B2132</f>
        <v>0</v>
      </c>
      <c r="C2132" s="13">
        <f>+'PLAN DE CUENTAS'!C2132</f>
        <v>0</v>
      </c>
      <c r="D2132" t="str">
        <f>IF(tbal[[#This Row],[DEBE]]+tbal[[#This Row],[HABER]]=0,"","X")</f>
        <v/>
      </c>
      <c r="E2132" s="16">
        <f>SUMIF(tdiario[CUENTA],tbal[[#This Row],[CUENTA]],tdiario[DEBE])</f>
        <v>0</v>
      </c>
      <c r="F2132" s="17">
        <f>SUMIF(tdiario[CUENTA],tbal[[#This Row],[CUENTA]],tdiario[HABER])</f>
        <v>0</v>
      </c>
      <c r="G2132" s="16">
        <f>IF(tbal[[#This Row],[DEBE]]-tbal[[#This Row],[HABER]]&gt;0,tbal[[#This Row],[DEBE]]-tbal[[#This Row],[HABER]],0)</f>
        <v>0</v>
      </c>
      <c r="H2132" s="18">
        <f>IF(tbal[[#This Row],[HABER]]-tbal[[#This Row],[DEBE]]&gt;0,tbal[[#This Row],[HABER]]-tbal[[#This Row],[DEBE]],0)</f>
        <v>0</v>
      </c>
      <c r="I2132" s="16">
        <f>IF((OR(tbal[[#This Row],[X]]=1,tbal[[#This Row],[X]]=2)),tbal[[#This Row],[DEUDOR]],0)</f>
        <v>0</v>
      </c>
      <c r="J2132" s="18">
        <f>IF((OR(tbal[[#This Row],[X]]=2,tbal[[#This Row],[X]]=3)),tbal[[#This Row],[ACREEDOR]],0)</f>
        <v>0</v>
      </c>
      <c r="K2132" s="16">
        <f>IF((OR(tbal[[#This Row],[X]]=3,tbal[[#This Row],[X]]=5)),tbal[[#This Row],[DEUDOR]],0)</f>
        <v>0</v>
      </c>
      <c r="L2132" s="18">
        <f>IF((OR(tbal[[#This Row],[X]]=3,tbal[[#This Row],[X]]=4)),tbal[[#This Row],[ACREEDOR]],0)</f>
        <v>0</v>
      </c>
      <c r="M2132" s="16">
        <f>IF((OR(tbal[[#This Row],[X]]=0,tbal[[#This Row],[X]]=6)),tbal[[#This Row],[DEUDOR]],0)</f>
        <v>0</v>
      </c>
      <c r="N2132" s="18">
        <f>IF((OR(tbal[[#This Row],[X]]=0,tbal[[#This Row],[X]]=5)),tbal[[#This Row],[ACREEDOR]],0)</f>
        <v>0</v>
      </c>
    </row>
    <row r="2133" spans="1:14" hidden="1" x14ac:dyDescent="0.3">
      <c r="A2133" s="14">
        <f>+'PLAN DE CUENTAS'!A2133</f>
        <v>0</v>
      </c>
      <c r="B2133" s="13">
        <f>+'PLAN DE CUENTAS'!B2133</f>
        <v>0</v>
      </c>
      <c r="C2133" s="13">
        <f>+'PLAN DE CUENTAS'!C2133</f>
        <v>0</v>
      </c>
      <c r="D2133" t="str">
        <f>IF(tbal[[#This Row],[DEBE]]+tbal[[#This Row],[HABER]]=0,"","X")</f>
        <v/>
      </c>
      <c r="E2133" s="16">
        <f>SUMIF(tdiario[CUENTA],tbal[[#This Row],[CUENTA]],tdiario[DEBE])</f>
        <v>0</v>
      </c>
      <c r="F2133" s="17">
        <f>SUMIF(tdiario[CUENTA],tbal[[#This Row],[CUENTA]],tdiario[HABER])</f>
        <v>0</v>
      </c>
      <c r="G2133" s="16">
        <f>IF(tbal[[#This Row],[DEBE]]-tbal[[#This Row],[HABER]]&gt;0,tbal[[#This Row],[DEBE]]-tbal[[#This Row],[HABER]],0)</f>
        <v>0</v>
      </c>
      <c r="H2133" s="18">
        <f>IF(tbal[[#This Row],[HABER]]-tbal[[#This Row],[DEBE]]&gt;0,tbal[[#This Row],[HABER]]-tbal[[#This Row],[DEBE]],0)</f>
        <v>0</v>
      </c>
      <c r="I2133" s="16">
        <f>IF((OR(tbal[[#This Row],[X]]=1,tbal[[#This Row],[X]]=2)),tbal[[#This Row],[DEUDOR]],0)</f>
        <v>0</v>
      </c>
      <c r="J2133" s="18">
        <f>IF((OR(tbal[[#This Row],[X]]=2,tbal[[#This Row],[X]]=3)),tbal[[#This Row],[ACREEDOR]],0)</f>
        <v>0</v>
      </c>
      <c r="K2133" s="16">
        <f>IF((OR(tbal[[#This Row],[X]]=3,tbal[[#This Row],[X]]=5)),tbal[[#This Row],[DEUDOR]],0)</f>
        <v>0</v>
      </c>
      <c r="L2133" s="18">
        <f>IF((OR(tbal[[#This Row],[X]]=3,tbal[[#This Row],[X]]=4)),tbal[[#This Row],[ACREEDOR]],0)</f>
        <v>0</v>
      </c>
      <c r="M2133" s="16">
        <f>IF((OR(tbal[[#This Row],[X]]=0,tbal[[#This Row],[X]]=6)),tbal[[#This Row],[DEUDOR]],0)</f>
        <v>0</v>
      </c>
      <c r="N2133" s="18">
        <f>IF((OR(tbal[[#This Row],[X]]=0,tbal[[#This Row],[X]]=5)),tbal[[#This Row],[ACREEDOR]],0)</f>
        <v>0</v>
      </c>
    </row>
    <row r="2134" spans="1:14" hidden="1" x14ac:dyDescent="0.3">
      <c r="A2134" s="14">
        <f>+'PLAN DE CUENTAS'!A2134</f>
        <v>0</v>
      </c>
      <c r="B2134" s="13">
        <f>+'PLAN DE CUENTAS'!B2134</f>
        <v>0</v>
      </c>
      <c r="C2134" s="13">
        <f>+'PLAN DE CUENTAS'!C2134</f>
        <v>0</v>
      </c>
      <c r="D2134" t="str">
        <f>IF(tbal[[#This Row],[DEBE]]+tbal[[#This Row],[HABER]]=0,"","X")</f>
        <v/>
      </c>
      <c r="E2134" s="16">
        <f>SUMIF(tdiario[CUENTA],tbal[[#This Row],[CUENTA]],tdiario[DEBE])</f>
        <v>0</v>
      </c>
      <c r="F2134" s="17">
        <f>SUMIF(tdiario[CUENTA],tbal[[#This Row],[CUENTA]],tdiario[HABER])</f>
        <v>0</v>
      </c>
      <c r="G2134" s="16">
        <f>IF(tbal[[#This Row],[DEBE]]-tbal[[#This Row],[HABER]]&gt;0,tbal[[#This Row],[DEBE]]-tbal[[#This Row],[HABER]],0)</f>
        <v>0</v>
      </c>
      <c r="H2134" s="18">
        <f>IF(tbal[[#This Row],[HABER]]-tbal[[#This Row],[DEBE]]&gt;0,tbal[[#This Row],[HABER]]-tbal[[#This Row],[DEBE]],0)</f>
        <v>0</v>
      </c>
      <c r="I2134" s="16">
        <f>IF((OR(tbal[[#This Row],[X]]=1,tbal[[#This Row],[X]]=2)),tbal[[#This Row],[DEUDOR]],0)</f>
        <v>0</v>
      </c>
      <c r="J2134" s="18">
        <f>IF((OR(tbal[[#This Row],[X]]=2,tbal[[#This Row],[X]]=3)),tbal[[#This Row],[ACREEDOR]],0)</f>
        <v>0</v>
      </c>
      <c r="K2134" s="16">
        <f>IF((OR(tbal[[#This Row],[X]]=3,tbal[[#This Row],[X]]=5)),tbal[[#This Row],[DEUDOR]],0)</f>
        <v>0</v>
      </c>
      <c r="L2134" s="18">
        <f>IF((OR(tbal[[#This Row],[X]]=3,tbal[[#This Row],[X]]=4)),tbal[[#This Row],[ACREEDOR]],0)</f>
        <v>0</v>
      </c>
      <c r="M2134" s="16">
        <f>IF((OR(tbal[[#This Row],[X]]=0,tbal[[#This Row],[X]]=6)),tbal[[#This Row],[DEUDOR]],0)</f>
        <v>0</v>
      </c>
      <c r="N2134" s="18">
        <f>IF((OR(tbal[[#This Row],[X]]=0,tbal[[#This Row],[X]]=5)),tbal[[#This Row],[ACREEDOR]],0)</f>
        <v>0</v>
      </c>
    </row>
    <row r="2135" spans="1:14" hidden="1" x14ac:dyDescent="0.3">
      <c r="A2135" s="14">
        <f>+'PLAN DE CUENTAS'!A2135</f>
        <v>0</v>
      </c>
      <c r="B2135" s="13">
        <f>+'PLAN DE CUENTAS'!B2135</f>
        <v>0</v>
      </c>
      <c r="C2135" s="13">
        <f>+'PLAN DE CUENTAS'!C2135</f>
        <v>0</v>
      </c>
      <c r="D2135" t="str">
        <f>IF(tbal[[#This Row],[DEBE]]+tbal[[#This Row],[HABER]]=0,"","X")</f>
        <v/>
      </c>
      <c r="E2135" s="16">
        <f>SUMIF(tdiario[CUENTA],tbal[[#This Row],[CUENTA]],tdiario[DEBE])</f>
        <v>0</v>
      </c>
      <c r="F2135" s="17">
        <f>SUMIF(tdiario[CUENTA],tbal[[#This Row],[CUENTA]],tdiario[HABER])</f>
        <v>0</v>
      </c>
      <c r="G2135" s="16">
        <f>IF(tbal[[#This Row],[DEBE]]-tbal[[#This Row],[HABER]]&gt;0,tbal[[#This Row],[DEBE]]-tbal[[#This Row],[HABER]],0)</f>
        <v>0</v>
      </c>
      <c r="H2135" s="18">
        <f>IF(tbal[[#This Row],[HABER]]-tbal[[#This Row],[DEBE]]&gt;0,tbal[[#This Row],[HABER]]-tbal[[#This Row],[DEBE]],0)</f>
        <v>0</v>
      </c>
      <c r="I2135" s="16">
        <f>IF((OR(tbal[[#This Row],[X]]=1,tbal[[#This Row],[X]]=2)),tbal[[#This Row],[DEUDOR]],0)</f>
        <v>0</v>
      </c>
      <c r="J2135" s="18">
        <f>IF((OR(tbal[[#This Row],[X]]=2,tbal[[#This Row],[X]]=3)),tbal[[#This Row],[ACREEDOR]],0)</f>
        <v>0</v>
      </c>
      <c r="K2135" s="16">
        <f>IF((OR(tbal[[#This Row],[X]]=3,tbal[[#This Row],[X]]=5)),tbal[[#This Row],[DEUDOR]],0)</f>
        <v>0</v>
      </c>
      <c r="L2135" s="18">
        <f>IF((OR(tbal[[#This Row],[X]]=3,tbal[[#This Row],[X]]=4)),tbal[[#This Row],[ACREEDOR]],0)</f>
        <v>0</v>
      </c>
      <c r="M2135" s="16">
        <f>IF((OR(tbal[[#This Row],[X]]=0,tbal[[#This Row],[X]]=6)),tbal[[#This Row],[DEUDOR]],0)</f>
        <v>0</v>
      </c>
      <c r="N2135" s="18">
        <f>IF((OR(tbal[[#This Row],[X]]=0,tbal[[#This Row],[X]]=5)),tbal[[#This Row],[ACREEDOR]],0)</f>
        <v>0</v>
      </c>
    </row>
    <row r="2136" spans="1:14" hidden="1" x14ac:dyDescent="0.3">
      <c r="A2136" s="14">
        <f>+'PLAN DE CUENTAS'!A2136</f>
        <v>0</v>
      </c>
      <c r="B2136" s="13">
        <f>+'PLAN DE CUENTAS'!B2136</f>
        <v>0</v>
      </c>
      <c r="C2136" s="13">
        <f>+'PLAN DE CUENTAS'!C2136</f>
        <v>0</v>
      </c>
      <c r="D2136" t="str">
        <f>IF(tbal[[#This Row],[DEBE]]+tbal[[#This Row],[HABER]]=0,"","X")</f>
        <v/>
      </c>
      <c r="E2136" s="16">
        <f>SUMIF(tdiario[CUENTA],tbal[[#This Row],[CUENTA]],tdiario[DEBE])</f>
        <v>0</v>
      </c>
      <c r="F2136" s="17">
        <f>SUMIF(tdiario[CUENTA],tbal[[#This Row],[CUENTA]],tdiario[HABER])</f>
        <v>0</v>
      </c>
      <c r="G2136" s="16">
        <f>IF(tbal[[#This Row],[DEBE]]-tbal[[#This Row],[HABER]]&gt;0,tbal[[#This Row],[DEBE]]-tbal[[#This Row],[HABER]],0)</f>
        <v>0</v>
      </c>
      <c r="H2136" s="18">
        <f>IF(tbal[[#This Row],[HABER]]-tbal[[#This Row],[DEBE]]&gt;0,tbal[[#This Row],[HABER]]-tbal[[#This Row],[DEBE]],0)</f>
        <v>0</v>
      </c>
      <c r="I2136" s="16">
        <f>IF((OR(tbal[[#This Row],[X]]=1,tbal[[#This Row],[X]]=2)),tbal[[#This Row],[DEUDOR]],0)</f>
        <v>0</v>
      </c>
      <c r="J2136" s="18">
        <f>IF((OR(tbal[[#This Row],[X]]=2,tbal[[#This Row],[X]]=3)),tbal[[#This Row],[ACREEDOR]],0)</f>
        <v>0</v>
      </c>
      <c r="K2136" s="16">
        <f>IF((OR(tbal[[#This Row],[X]]=3,tbal[[#This Row],[X]]=5)),tbal[[#This Row],[DEUDOR]],0)</f>
        <v>0</v>
      </c>
      <c r="L2136" s="18">
        <f>IF((OR(tbal[[#This Row],[X]]=3,tbal[[#This Row],[X]]=4)),tbal[[#This Row],[ACREEDOR]],0)</f>
        <v>0</v>
      </c>
      <c r="M2136" s="16">
        <f>IF((OR(tbal[[#This Row],[X]]=0,tbal[[#This Row],[X]]=6)),tbal[[#This Row],[DEUDOR]],0)</f>
        <v>0</v>
      </c>
      <c r="N2136" s="18">
        <f>IF((OR(tbal[[#This Row],[X]]=0,tbal[[#This Row],[X]]=5)),tbal[[#This Row],[ACREEDOR]],0)</f>
        <v>0</v>
      </c>
    </row>
    <row r="2137" spans="1:14" hidden="1" x14ac:dyDescent="0.3">
      <c r="A2137" s="14">
        <f>+'PLAN DE CUENTAS'!A2137</f>
        <v>0</v>
      </c>
      <c r="B2137" s="13">
        <f>+'PLAN DE CUENTAS'!B2137</f>
        <v>0</v>
      </c>
      <c r="C2137" s="13">
        <f>+'PLAN DE CUENTAS'!C2137</f>
        <v>0</v>
      </c>
      <c r="D2137" t="str">
        <f>IF(tbal[[#This Row],[DEBE]]+tbal[[#This Row],[HABER]]=0,"","X")</f>
        <v/>
      </c>
      <c r="E2137" s="16">
        <f>SUMIF(tdiario[CUENTA],tbal[[#This Row],[CUENTA]],tdiario[DEBE])</f>
        <v>0</v>
      </c>
      <c r="F2137" s="17">
        <f>SUMIF(tdiario[CUENTA],tbal[[#This Row],[CUENTA]],tdiario[HABER])</f>
        <v>0</v>
      </c>
      <c r="G2137" s="16">
        <f>IF(tbal[[#This Row],[DEBE]]-tbal[[#This Row],[HABER]]&gt;0,tbal[[#This Row],[DEBE]]-tbal[[#This Row],[HABER]],0)</f>
        <v>0</v>
      </c>
      <c r="H2137" s="18">
        <f>IF(tbal[[#This Row],[HABER]]-tbal[[#This Row],[DEBE]]&gt;0,tbal[[#This Row],[HABER]]-tbal[[#This Row],[DEBE]],0)</f>
        <v>0</v>
      </c>
      <c r="I2137" s="16">
        <f>IF((OR(tbal[[#This Row],[X]]=1,tbal[[#This Row],[X]]=2)),tbal[[#This Row],[DEUDOR]],0)</f>
        <v>0</v>
      </c>
      <c r="J2137" s="18">
        <f>IF((OR(tbal[[#This Row],[X]]=2,tbal[[#This Row],[X]]=3)),tbal[[#This Row],[ACREEDOR]],0)</f>
        <v>0</v>
      </c>
      <c r="K2137" s="16">
        <f>IF((OR(tbal[[#This Row],[X]]=3,tbal[[#This Row],[X]]=5)),tbal[[#This Row],[DEUDOR]],0)</f>
        <v>0</v>
      </c>
      <c r="L2137" s="18">
        <f>IF((OR(tbal[[#This Row],[X]]=3,tbal[[#This Row],[X]]=4)),tbal[[#This Row],[ACREEDOR]],0)</f>
        <v>0</v>
      </c>
      <c r="M2137" s="16">
        <f>IF((OR(tbal[[#This Row],[X]]=0,tbal[[#This Row],[X]]=6)),tbal[[#This Row],[DEUDOR]],0)</f>
        <v>0</v>
      </c>
      <c r="N2137" s="18">
        <f>IF((OR(tbal[[#This Row],[X]]=0,tbal[[#This Row],[X]]=5)),tbal[[#This Row],[ACREEDOR]],0)</f>
        <v>0</v>
      </c>
    </row>
    <row r="2138" spans="1:14" hidden="1" x14ac:dyDescent="0.3">
      <c r="A2138" s="14">
        <f>+'PLAN DE CUENTAS'!A2138</f>
        <v>0</v>
      </c>
      <c r="B2138" s="13">
        <f>+'PLAN DE CUENTAS'!B2138</f>
        <v>0</v>
      </c>
      <c r="C2138" s="13">
        <f>+'PLAN DE CUENTAS'!C2138</f>
        <v>0</v>
      </c>
      <c r="D2138" t="str">
        <f>IF(tbal[[#This Row],[DEBE]]+tbal[[#This Row],[HABER]]=0,"","X")</f>
        <v/>
      </c>
      <c r="E2138" s="16">
        <f>SUMIF(tdiario[CUENTA],tbal[[#This Row],[CUENTA]],tdiario[DEBE])</f>
        <v>0</v>
      </c>
      <c r="F2138" s="17">
        <f>SUMIF(tdiario[CUENTA],tbal[[#This Row],[CUENTA]],tdiario[HABER])</f>
        <v>0</v>
      </c>
      <c r="G2138" s="16">
        <f>IF(tbal[[#This Row],[DEBE]]-tbal[[#This Row],[HABER]]&gt;0,tbal[[#This Row],[DEBE]]-tbal[[#This Row],[HABER]],0)</f>
        <v>0</v>
      </c>
      <c r="H2138" s="18">
        <f>IF(tbal[[#This Row],[HABER]]-tbal[[#This Row],[DEBE]]&gt;0,tbal[[#This Row],[HABER]]-tbal[[#This Row],[DEBE]],0)</f>
        <v>0</v>
      </c>
      <c r="I2138" s="16">
        <f>IF((OR(tbal[[#This Row],[X]]=1,tbal[[#This Row],[X]]=2)),tbal[[#This Row],[DEUDOR]],0)</f>
        <v>0</v>
      </c>
      <c r="J2138" s="18">
        <f>IF((OR(tbal[[#This Row],[X]]=2,tbal[[#This Row],[X]]=3)),tbal[[#This Row],[ACREEDOR]],0)</f>
        <v>0</v>
      </c>
      <c r="K2138" s="16">
        <f>IF((OR(tbal[[#This Row],[X]]=3,tbal[[#This Row],[X]]=5)),tbal[[#This Row],[DEUDOR]],0)</f>
        <v>0</v>
      </c>
      <c r="L2138" s="18">
        <f>IF((OR(tbal[[#This Row],[X]]=3,tbal[[#This Row],[X]]=4)),tbal[[#This Row],[ACREEDOR]],0)</f>
        <v>0</v>
      </c>
      <c r="M2138" s="16">
        <f>IF((OR(tbal[[#This Row],[X]]=0,tbal[[#This Row],[X]]=6)),tbal[[#This Row],[DEUDOR]],0)</f>
        <v>0</v>
      </c>
      <c r="N2138" s="18">
        <f>IF((OR(tbal[[#This Row],[X]]=0,tbal[[#This Row],[X]]=5)),tbal[[#This Row],[ACREEDOR]],0)</f>
        <v>0</v>
      </c>
    </row>
    <row r="2139" spans="1:14" hidden="1" x14ac:dyDescent="0.3">
      <c r="A2139" s="14">
        <f>+'PLAN DE CUENTAS'!A2139</f>
        <v>0</v>
      </c>
      <c r="B2139" s="13">
        <f>+'PLAN DE CUENTAS'!B2139</f>
        <v>0</v>
      </c>
      <c r="C2139" s="13">
        <f>+'PLAN DE CUENTAS'!C2139</f>
        <v>0</v>
      </c>
      <c r="D2139" t="str">
        <f>IF(tbal[[#This Row],[DEBE]]+tbal[[#This Row],[HABER]]=0,"","X")</f>
        <v/>
      </c>
      <c r="E2139" s="16">
        <f>SUMIF(tdiario[CUENTA],tbal[[#This Row],[CUENTA]],tdiario[DEBE])</f>
        <v>0</v>
      </c>
      <c r="F2139" s="17">
        <f>SUMIF(tdiario[CUENTA],tbal[[#This Row],[CUENTA]],tdiario[HABER])</f>
        <v>0</v>
      </c>
      <c r="G2139" s="16">
        <f>IF(tbal[[#This Row],[DEBE]]-tbal[[#This Row],[HABER]]&gt;0,tbal[[#This Row],[DEBE]]-tbal[[#This Row],[HABER]],0)</f>
        <v>0</v>
      </c>
      <c r="H2139" s="18">
        <f>IF(tbal[[#This Row],[HABER]]-tbal[[#This Row],[DEBE]]&gt;0,tbal[[#This Row],[HABER]]-tbal[[#This Row],[DEBE]],0)</f>
        <v>0</v>
      </c>
      <c r="I2139" s="16">
        <f>IF((OR(tbal[[#This Row],[X]]=1,tbal[[#This Row],[X]]=2)),tbal[[#This Row],[DEUDOR]],0)</f>
        <v>0</v>
      </c>
      <c r="J2139" s="18">
        <f>IF((OR(tbal[[#This Row],[X]]=2,tbal[[#This Row],[X]]=3)),tbal[[#This Row],[ACREEDOR]],0)</f>
        <v>0</v>
      </c>
      <c r="K2139" s="16">
        <f>IF((OR(tbal[[#This Row],[X]]=3,tbal[[#This Row],[X]]=5)),tbal[[#This Row],[DEUDOR]],0)</f>
        <v>0</v>
      </c>
      <c r="L2139" s="18">
        <f>IF((OR(tbal[[#This Row],[X]]=3,tbal[[#This Row],[X]]=4)),tbal[[#This Row],[ACREEDOR]],0)</f>
        <v>0</v>
      </c>
      <c r="M2139" s="16">
        <f>IF((OR(tbal[[#This Row],[X]]=0,tbal[[#This Row],[X]]=6)),tbal[[#This Row],[DEUDOR]],0)</f>
        <v>0</v>
      </c>
      <c r="N2139" s="18">
        <f>IF((OR(tbal[[#This Row],[X]]=0,tbal[[#This Row],[X]]=5)),tbal[[#This Row],[ACREEDOR]],0)</f>
        <v>0</v>
      </c>
    </row>
    <row r="2140" spans="1:14" hidden="1" x14ac:dyDescent="0.3">
      <c r="A2140" s="14">
        <f>+'PLAN DE CUENTAS'!A2140</f>
        <v>0</v>
      </c>
      <c r="B2140" s="13">
        <f>+'PLAN DE CUENTAS'!B2140</f>
        <v>0</v>
      </c>
      <c r="C2140" s="13">
        <f>+'PLAN DE CUENTAS'!C2140</f>
        <v>0</v>
      </c>
      <c r="D2140" t="str">
        <f>IF(tbal[[#This Row],[DEBE]]+tbal[[#This Row],[HABER]]=0,"","X")</f>
        <v/>
      </c>
      <c r="E2140" s="16">
        <f>SUMIF(tdiario[CUENTA],tbal[[#This Row],[CUENTA]],tdiario[DEBE])</f>
        <v>0</v>
      </c>
      <c r="F2140" s="17">
        <f>SUMIF(tdiario[CUENTA],tbal[[#This Row],[CUENTA]],tdiario[HABER])</f>
        <v>0</v>
      </c>
      <c r="G2140" s="16">
        <f>IF(tbal[[#This Row],[DEBE]]-tbal[[#This Row],[HABER]]&gt;0,tbal[[#This Row],[DEBE]]-tbal[[#This Row],[HABER]],0)</f>
        <v>0</v>
      </c>
      <c r="H2140" s="18">
        <f>IF(tbal[[#This Row],[HABER]]-tbal[[#This Row],[DEBE]]&gt;0,tbal[[#This Row],[HABER]]-tbal[[#This Row],[DEBE]],0)</f>
        <v>0</v>
      </c>
      <c r="I2140" s="16">
        <f>IF((OR(tbal[[#This Row],[X]]=1,tbal[[#This Row],[X]]=2)),tbal[[#This Row],[DEUDOR]],0)</f>
        <v>0</v>
      </c>
      <c r="J2140" s="18">
        <f>IF((OR(tbal[[#This Row],[X]]=2,tbal[[#This Row],[X]]=3)),tbal[[#This Row],[ACREEDOR]],0)</f>
        <v>0</v>
      </c>
      <c r="K2140" s="16">
        <f>IF((OR(tbal[[#This Row],[X]]=3,tbal[[#This Row],[X]]=5)),tbal[[#This Row],[DEUDOR]],0)</f>
        <v>0</v>
      </c>
      <c r="L2140" s="18">
        <f>IF((OR(tbal[[#This Row],[X]]=3,tbal[[#This Row],[X]]=4)),tbal[[#This Row],[ACREEDOR]],0)</f>
        <v>0</v>
      </c>
      <c r="M2140" s="16">
        <f>IF((OR(tbal[[#This Row],[X]]=0,tbal[[#This Row],[X]]=6)),tbal[[#This Row],[DEUDOR]],0)</f>
        <v>0</v>
      </c>
      <c r="N2140" s="18">
        <f>IF((OR(tbal[[#This Row],[X]]=0,tbal[[#This Row],[X]]=5)),tbal[[#This Row],[ACREEDOR]],0)</f>
        <v>0</v>
      </c>
    </row>
    <row r="2141" spans="1:14" hidden="1" x14ac:dyDescent="0.3">
      <c r="A2141" s="14">
        <f>+'PLAN DE CUENTAS'!A2141</f>
        <v>0</v>
      </c>
      <c r="B2141" s="13">
        <f>+'PLAN DE CUENTAS'!B2141</f>
        <v>0</v>
      </c>
      <c r="C2141" s="13">
        <f>+'PLAN DE CUENTAS'!C2141</f>
        <v>0</v>
      </c>
      <c r="D2141" t="str">
        <f>IF(tbal[[#This Row],[DEBE]]+tbal[[#This Row],[HABER]]=0,"","X")</f>
        <v/>
      </c>
      <c r="E2141" s="16">
        <f>SUMIF(tdiario[CUENTA],tbal[[#This Row],[CUENTA]],tdiario[DEBE])</f>
        <v>0</v>
      </c>
      <c r="F2141" s="17">
        <f>SUMIF(tdiario[CUENTA],tbal[[#This Row],[CUENTA]],tdiario[HABER])</f>
        <v>0</v>
      </c>
      <c r="G2141" s="16">
        <f>IF(tbal[[#This Row],[DEBE]]-tbal[[#This Row],[HABER]]&gt;0,tbal[[#This Row],[DEBE]]-tbal[[#This Row],[HABER]],0)</f>
        <v>0</v>
      </c>
      <c r="H2141" s="18">
        <f>IF(tbal[[#This Row],[HABER]]-tbal[[#This Row],[DEBE]]&gt;0,tbal[[#This Row],[HABER]]-tbal[[#This Row],[DEBE]],0)</f>
        <v>0</v>
      </c>
      <c r="I2141" s="16">
        <f>IF((OR(tbal[[#This Row],[X]]=1,tbal[[#This Row],[X]]=2)),tbal[[#This Row],[DEUDOR]],0)</f>
        <v>0</v>
      </c>
      <c r="J2141" s="18">
        <f>IF((OR(tbal[[#This Row],[X]]=2,tbal[[#This Row],[X]]=3)),tbal[[#This Row],[ACREEDOR]],0)</f>
        <v>0</v>
      </c>
      <c r="K2141" s="16">
        <f>IF((OR(tbal[[#This Row],[X]]=3,tbal[[#This Row],[X]]=5)),tbal[[#This Row],[DEUDOR]],0)</f>
        <v>0</v>
      </c>
      <c r="L2141" s="18">
        <f>IF((OR(tbal[[#This Row],[X]]=3,tbal[[#This Row],[X]]=4)),tbal[[#This Row],[ACREEDOR]],0)</f>
        <v>0</v>
      </c>
      <c r="M2141" s="16">
        <f>IF((OR(tbal[[#This Row],[X]]=0,tbal[[#This Row],[X]]=6)),tbal[[#This Row],[DEUDOR]],0)</f>
        <v>0</v>
      </c>
      <c r="N2141" s="18">
        <f>IF((OR(tbal[[#This Row],[X]]=0,tbal[[#This Row],[X]]=5)),tbal[[#This Row],[ACREEDOR]],0)</f>
        <v>0</v>
      </c>
    </row>
    <row r="2142" spans="1:14" hidden="1" x14ac:dyDescent="0.3">
      <c r="A2142" s="14">
        <f>+'PLAN DE CUENTAS'!A2142</f>
        <v>0</v>
      </c>
      <c r="B2142" s="13">
        <f>+'PLAN DE CUENTAS'!B2142</f>
        <v>0</v>
      </c>
      <c r="C2142" s="13">
        <f>+'PLAN DE CUENTAS'!C2142</f>
        <v>0</v>
      </c>
      <c r="D2142" t="str">
        <f>IF(tbal[[#This Row],[DEBE]]+tbal[[#This Row],[HABER]]=0,"","X")</f>
        <v/>
      </c>
      <c r="E2142" s="16">
        <f>SUMIF(tdiario[CUENTA],tbal[[#This Row],[CUENTA]],tdiario[DEBE])</f>
        <v>0</v>
      </c>
      <c r="F2142" s="17">
        <f>SUMIF(tdiario[CUENTA],tbal[[#This Row],[CUENTA]],tdiario[HABER])</f>
        <v>0</v>
      </c>
      <c r="G2142" s="16">
        <f>IF(tbal[[#This Row],[DEBE]]-tbal[[#This Row],[HABER]]&gt;0,tbal[[#This Row],[DEBE]]-tbal[[#This Row],[HABER]],0)</f>
        <v>0</v>
      </c>
      <c r="H2142" s="18">
        <f>IF(tbal[[#This Row],[HABER]]-tbal[[#This Row],[DEBE]]&gt;0,tbal[[#This Row],[HABER]]-tbal[[#This Row],[DEBE]],0)</f>
        <v>0</v>
      </c>
      <c r="I2142" s="16">
        <f>IF((OR(tbal[[#This Row],[X]]=1,tbal[[#This Row],[X]]=2)),tbal[[#This Row],[DEUDOR]],0)</f>
        <v>0</v>
      </c>
      <c r="J2142" s="18">
        <f>IF((OR(tbal[[#This Row],[X]]=2,tbal[[#This Row],[X]]=3)),tbal[[#This Row],[ACREEDOR]],0)</f>
        <v>0</v>
      </c>
      <c r="K2142" s="16">
        <f>IF((OR(tbal[[#This Row],[X]]=3,tbal[[#This Row],[X]]=5)),tbal[[#This Row],[DEUDOR]],0)</f>
        <v>0</v>
      </c>
      <c r="L2142" s="18">
        <f>IF((OR(tbal[[#This Row],[X]]=3,tbal[[#This Row],[X]]=4)),tbal[[#This Row],[ACREEDOR]],0)</f>
        <v>0</v>
      </c>
      <c r="M2142" s="16">
        <f>IF((OR(tbal[[#This Row],[X]]=0,tbal[[#This Row],[X]]=6)),tbal[[#This Row],[DEUDOR]],0)</f>
        <v>0</v>
      </c>
      <c r="N2142" s="18">
        <f>IF((OR(tbal[[#This Row],[X]]=0,tbal[[#This Row],[X]]=5)),tbal[[#This Row],[ACREEDOR]],0)</f>
        <v>0</v>
      </c>
    </row>
    <row r="2143" spans="1:14" hidden="1" x14ac:dyDescent="0.3">
      <c r="A2143" s="14">
        <f>+'PLAN DE CUENTAS'!A2143</f>
        <v>0</v>
      </c>
      <c r="B2143" s="13">
        <f>+'PLAN DE CUENTAS'!B2143</f>
        <v>0</v>
      </c>
      <c r="C2143" s="13">
        <f>+'PLAN DE CUENTAS'!C2143</f>
        <v>0</v>
      </c>
      <c r="D2143" t="str">
        <f>IF(tbal[[#This Row],[DEBE]]+tbal[[#This Row],[HABER]]=0,"","X")</f>
        <v/>
      </c>
      <c r="E2143" s="16">
        <f>SUMIF(tdiario[CUENTA],tbal[[#This Row],[CUENTA]],tdiario[DEBE])</f>
        <v>0</v>
      </c>
      <c r="F2143" s="17">
        <f>SUMIF(tdiario[CUENTA],tbal[[#This Row],[CUENTA]],tdiario[HABER])</f>
        <v>0</v>
      </c>
      <c r="G2143" s="16">
        <f>IF(tbal[[#This Row],[DEBE]]-tbal[[#This Row],[HABER]]&gt;0,tbal[[#This Row],[DEBE]]-tbal[[#This Row],[HABER]],0)</f>
        <v>0</v>
      </c>
      <c r="H2143" s="18">
        <f>IF(tbal[[#This Row],[HABER]]-tbal[[#This Row],[DEBE]]&gt;0,tbal[[#This Row],[HABER]]-tbal[[#This Row],[DEBE]],0)</f>
        <v>0</v>
      </c>
      <c r="I2143" s="16">
        <f>IF((OR(tbal[[#This Row],[X]]=1,tbal[[#This Row],[X]]=2)),tbal[[#This Row],[DEUDOR]],0)</f>
        <v>0</v>
      </c>
      <c r="J2143" s="18">
        <f>IF((OR(tbal[[#This Row],[X]]=2,tbal[[#This Row],[X]]=3)),tbal[[#This Row],[ACREEDOR]],0)</f>
        <v>0</v>
      </c>
      <c r="K2143" s="16">
        <f>IF((OR(tbal[[#This Row],[X]]=3,tbal[[#This Row],[X]]=5)),tbal[[#This Row],[DEUDOR]],0)</f>
        <v>0</v>
      </c>
      <c r="L2143" s="18">
        <f>IF((OR(tbal[[#This Row],[X]]=3,tbal[[#This Row],[X]]=4)),tbal[[#This Row],[ACREEDOR]],0)</f>
        <v>0</v>
      </c>
      <c r="M2143" s="16">
        <f>IF((OR(tbal[[#This Row],[X]]=0,tbal[[#This Row],[X]]=6)),tbal[[#This Row],[DEUDOR]],0)</f>
        <v>0</v>
      </c>
      <c r="N2143" s="18">
        <f>IF((OR(tbal[[#This Row],[X]]=0,tbal[[#This Row],[X]]=5)),tbal[[#This Row],[ACREEDOR]],0)</f>
        <v>0</v>
      </c>
    </row>
    <row r="2144" spans="1:14" hidden="1" x14ac:dyDescent="0.3">
      <c r="A2144" s="14">
        <f>+'PLAN DE CUENTAS'!A2144</f>
        <v>0</v>
      </c>
      <c r="B2144" s="13">
        <f>+'PLAN DE CUENTAS'!B2144</f>
        <v>0</v>
      </c>
      <c r="C2144" s="13">
        <f>+'PLAN DE CUENTAS'!C2144</f>
        <v>0</v>
      </c>
      <c r="D2144" t="str">
        <f>IF(tbal[[#This Row],[DEBE]]+tbal[[#This Row],[HABER]]=0,"","X")</f>
        <v/>
      </c>
      <c r="E2144" s="16">
        <f>SUMIF(tdiario[CUENTA],tbal[[#This Row],[CUENTA]],tdiario[DEBE])</f>
        <v>0</v>
      </c>
      <c r="F2144" s="17">
        <f>SUMIF(tdiario[CUENTA],tbal[[#This Row],[CUENTA]],tdiario[HABER])</f>
        <v>0</v>
      </c>
      <c r="G2144" s="16">
        <f>IF(tbal[[#This Row],[DEBE]]-tbal[[#This Row],[HABER]]&gt;0,tbal[[#This Row],[DEBE]]-tbal[[#This Row],[HABER]],0)</f>
        <v>0</v>
      </c>
      <c r="H2144" s="18">
        <f>IF(tbal[[#This Row],[HABER]]-tbal[[#This Row],[DEBE]]&gt;0,tbal[[#This Row],[HABER]]-tbal[[#This Row],[DEBE]],0)</f>
        <v>0</v>
      </c>
      <c r="I2144" s="16">
        <f>IF((OR(tbal[[#This Row],[X]]=1,tbal[[#This Row],[X]]=2)),tbal[[#This Row],[DEUDOR]],0)</f>
        <v>0</v>
      </c>
      <c r="J2144" s="18">
        <f>IF((OR(tbal[[#This Row],[X]]=2,tbal[[#This Row],[X]]=3)),tbal[[#This Row],[ACREEDOR]],0)</f>
        <v>0</v>
      </c>
      <c r="K2144" s="16">
        <f>IF((OR(tbal[[#This Row],[X]]=3,tbal[[#This Row],[X]]=5)),tbal[[#This Row],[DEUDOR]],0)</f>
        <v>0</v>
      </c>
      <c r="L2144" s="18">
        <f>IF((OR(tbal[[#This Row],[X]]=3,tbal[[#This Row],[X]]=4)),tbal[[#This Row],[ACREEDOR]],0)</f>
        <v>0</v>
      </c>
      <c r="M2144" s="16">
        <f>IF((OR(tbal[[#This Row],[X]]=0,tbal[[#This Row],[X]]=6)),tbal[[#This Row],[DEUDOR]],0)</f>
        <v>0</v>
      </c>
      <c r="N2144" s="18">
        <f>IF((OR(tbal[[#This Row],[X]]=0,tbal[[#This Row],[X]]=5)),tbal[[#This Row],[ACREEDOR]],0)</f>
        <v>0</v>
      </c>
    </row>
    <row r="2145" spans="1:14" hidden="1" x14ac:dyDescent="0.3">
      <c r="A2145" s="14">
        <f>+'PLAN DE CUENTAS'!A2145</f>
        <v>0</v>
      </c>
      <c r="B2145" s="13">
        <f>+'PLAN DE CUENTAS'!B2145</f>
        <v>0</v>
      </c>
      <c r="C2145" s="13">
        <f>+'PLAN DE CUENTAS'!C2145</f>
        <v>0</v>
      </c>
      <c r="D2145" t="str">
        <f>IF(tbal[[#This Row],[DEBE]]+tbal[[#This Row],[HABER]]=0,"","X")</f>
        <v/>
      </c>
      <c r="E2145" s="16">
        <f>SUMIF(tdiario[CUENTA],tbal[[#This Row],[CUENTA]],tdiario[DEBE])</f>
        <v>0</v>
      </c>
      <c r="F2145" s="17">
        <f>SUMIF(tdiario[CUENTA],tbal[[#This Row],[CUENTA]],tdiario[HABER])</f>
        <v>0</v>
      </c>
      <c r="G2145" s="16">
        <f>IF(tbal[[#This Row],[DEBE]]-tbal[[#This Row],[HABER]]&gt;0,tbal[[#This Row],[DEBE]]-tbal[[#This Row],[HABER]],0)</f>
        <v>0</v>
      </c>
      <c r="H2145" s="18">
        <f>IF(tbal[[#This Row],[HABER]]-tbal[[#This Row],[DEBE]]&gt;0,tbal[[#This Row],[HABER]]-tbal[[#This Row],[DEBE]],0)</f>
        <v>0</v>
      </c>
      <c r="I2145" s="16">
        <f>IF((OR(tbal[[#This Row],[X]]=1,tbal[[#This Row],[X]]=2)),tbal[[#This Row],[DEUDOR]],0)</f>
        <v>0</v>
      </c>
      <c r="J2145" s="18">
        <f>IF((OR(tbal[[#This Row],[X]]=2,tbal[[#This Row],[X]]=3)),tbal[[#This Row],[ACREEDOR]],0)</f>
        <v>0</v>
      </c>
      <c r="K2145" s="16">
        <f>IF((OR(tbal[[#This Row],[X]]=3,tbal[[#This Row],[X]]=5)),tbal[[#This Row],[DEUDOR]],0)</f>
        <v>0</v>
      </c>
      <c r="L2145" s="18">
        <f>IF((OR(tbal[[#This Row],[X]]=3,tbal[[#This Row],[X]]=4)),tbal[[#This Row],[ACREEDOR]],0)</f>
        <v>0</v>
      </c>
      <c r="M2145" s="16">
        <f>IF((OR(tbal[[#This Row],[X]]=0,tbal[[#This Row],[X]]=6)),tbal[[#This Row],[DEUDOR]],0)</f>
        <v>0</v>
      </c>
      <c r="N2145" s="18">
        <f>IF((OR(tbal[[#This Row],[X]]=0,tbal[[#This Row],[X]]=5)),tbal[[#This Row],[ACREEDOR]],0)</f>
        <v>0</v>
      </c>
    </row>
    <row r="2146" spans="1:14" hidden="1" x14ac:dyDescent="0.3">
      <c r="A2146" s="14">
        <f>+'PLAN DE CUENTAS'!A2146</f>
        <v>0</v>
      </c>
      <c r="B2146" s="13">
        <f>+'PLAN DE CUENTAS'!B2146</f>
        <v>0</v>
      </c>
      <c r="C2146" s="13">
        <f>+'PLAN DE CUENTAS'!C2146</f>
        <v>0</v>
      </c>
      <c r="D2146" t="str">
        <f>IF(tbal[[#This Row],[DEBE]]+tbal[[#This Row],[HABER]]=0,"","X")</f>
        <v/>
      </c>
      <c r="E2146" s="16">
        <f>SUMIF(tdiario[CUENTA],tbal[[#This Row],[CUENTA]],tdiario[DEBE])</f>
        <v>0</v>
      </c>
      <c r="F2146" s="17">
        <f>SUMIF(tdiario[CUENTA],tbal[[#This Row],[CUENTA]],tdiario[HABER])</f>
        <v>0</v>
      </c>
      <c r="G2146" s="16">
        <f>IF(tbal[[#This Row],[DEBE]]-tbal[[#This Row],[HABER]]&gt;0,tbal[[#This Row],[DEBE]]-tbal[[#This Row],[HABER]],0)</f>
        <v>0</v>
      </c>
      <c r="H2146" s="18">
        <f>IF(tbal[[#This Row],[HABER]]-tbal[[#This Row],[DEBE]]&gt;0,tbal[[#This Row],[HABER]]-tbal[[#This Row],[DEBE]],0)</f>
        <v>0</v>
      </c>
      <c r="I2146" s="16">
        <f>IF((OR(tbal[[#This Row],[X]]=1,tbal[[#This Row],[X]]=2)),tbal[[#This Row],[DEUDOR]],0)</f>
        <v>0</v>
      </c>
      <c r="J2146" s="18">
        <f>IF((OR(tbal[[#This Row],[X]]=2,tbal[[#This Row],[X]]=3)),tbal[[#This Row],[ACREEDOR]],0)</f>
        <v>0</v>
      </c>
      <c r="K2146" s="16">
        <f>IF((OR(tbal[[#This Row],[X]]=3,tbal[[#This Row],[X]]=5)),tbal[[#This Row],[DEUDOR]],0)</f>
        <v>0</v>
      </c>
      <c r="L2146" s="18">
        <f>IF((OR(tbal[[#This Row],[X]]=3,tbal[[#This Row],[X]]=4)),tbal[[#This Row],[ACREEDOR]],0)</f>
        <v>0</v>
      </c>
      <c r="M2146" s="16">
        <f>IF((OR(tbal[[#This Row],[X]]=0,tbal[[#This Row],[X]]=6)),tbal[[#This Row],[DEUDOR]],0)</f>
        <v>0</v>
      </c>
      <c r="N2146" s="18">
        <f>IF((OR(tbal[[#This Row],[X]]=0,tbal[[#This Row],[X]]=5)),tbal[[#This Row],[ACREEDOR]],0)</f>
        <v>0</v>
      </c>
    </row>
    <row r="2147" spans="1:14" hidden="1" x14ac:dyDescent="0.3">
      <c r="A2147" s="14">
        <f>+'PLAN DE CUENTAS'!A2147</f>
        <v>0</v>
      </c>
      <c r="B2147" s="13">
        <f>+'PLAN DE CUENTAS'!B2147</f>
        <v>0</v>
      </c>
      <c r="C2147" s="13">
        <f>+'PLAN DE CUENTAS'!C2147</f>
        <v>0</v>
      </c>
      <c r="D2147" t="str">
        <f>IF(tbal[[#This Row],[DEBE]]+tbal[[#This Row],[HABER]]=0,"","X")</f>
        <v/>
      </c>
      <c r="E2147" s="16">
        <f>SUMIF(tdiario[CUENTA],tbal[[#This Row],[CUENTA]],tdiario[DEBE])</f>
        <v>0</v>
      </c>
      <c r="F2147" s="17">
        <f>SUMIF(tdiario[CUENTA],tbal[[#This Row],[CUENTA]],tdiario[HABER])</f>
        <v>0</v>
      </c>
      <c r="G2147" s="16">
        <f>IF(tbal[[#This Row],[DEBE]]-tbal[[#This Row],[HABER]]&gt;0,tbal[[#This Row],[DEBE]]-tbal[[#This Row],[HABER]],0)</f>
        <v>0</v>
      </c>
      <c r="H2147" s="18">
        <f>IF(tbal[[#This Row],[HABER]]-tbal[[#This Row],[DEBE]]&gt;0,tbal[[#This Row],[HABER]]-tbal[[#This Row],[DEBE]],0)</f>
        <v>0</v>
      </c>
      <c r="I2147" s="16">
        <f>IF((OR(tbal[[#This Row],[X]]=1,tbal[[#This Row],[X]]=2)),tbal[[#This Row],[DEUDOR]],0)</f>
        <v>0</v>
      </c>
      <c r="J2147" s="18">
        <f>IF((OR(tbal[[#This Row],[X]]=2,tbal[[#This Row],[X]]=3)),tbal[[#This Row],[ACREEDOR]],0)</f>
        <v>0</v>
      </c>
      <c r="K2147" s="16">
        <f>IF((OR(tbal[[#This Row],[X]]=3,tbal[[#This Row],[X]]=5)),tbal[[#This Row],[DEUDOR]],0)</f>
        <v>0</v>
      </c>
      <c r="L2147" s="18">
        <f>IF((OR(tbal[[#This Row],[X]]=3,tbal[[#This Row],[X]]=4)),tbal[[#This Row],[ACREEDOR]],0)</f>
        <v>0</v>
      </c>
      <c r="M2147" s="16">
        <f>IF((OR(tbal[[#This Row],[X]]=0,tbal[[#This Row],[X]]=6)),tbal[[#This Row],[DEUDOR]],0)</f>
        <v>0</v>
      </c>
      <c r="N2147" s="18">
        <f>IF((OR(tbal[[#This Row],[X]]=0,tbal[[#This Row],[X]]=5)),tbal[[#This Row],[ACREEDOR]],0)</f>
        <v>0</v>
      </c>
    </row>
    <row r="2148" spans="1:14" hidden="1" x14ac:dyDescent="0.3">
      <c r="A2148" s="14">
        <f>+'PLAN DE CUENTAS'!A2148</f>
        <v>0</v>
      </c>
      <c r="B2148" s="13">
        <f>+'PLAN DE CUENTAS'!B2148</f>
        <v>0</v>
      </c>
      <c r="C2148" s="13">
        <f>+'PLAN DE CUENTAS'!C2148</f>
        <v>0</v>
      </c>
      <c r="D2148" t="str">
        <f>IF(tbal[[#This Row],[DEBE]]+tbal[[#This Row],[HABER]]=0,"","X")</f>
        <v/>
      </c>
      <c r="E2148" s="16">
        <f>SUMIF(tdiario[CUENTA],tbal[[#This Row],[CUENTA]],tdiario[DEBE])</f>
        <v>0</v>
      </c>
      <c r="F2148" s="17">
        <f>SUMIF(tdiario[CUENTA],tbal[[#This Row],[CUENTA]],tdiario[HABER])</f>
        <v>0</v>
      </c>
      <c r="G2148" s="16">
        <f>IF(tbal[[#This Row],[DEBE]]-tbal[[#This Row],[HABER]]&gt;0,tbal[[#This Row],[DEBE]]-tbal[[#This Row],[HABER]],0)</f>
        <v>0</v>
      </c>
      <c r="H2148" s="18">
        <f>IF(tbal[[#This Row],[HABER]]-tbal[[#This Row],[DEBE]]&gt;0,tbal[[#This Row],[HABER]]-tbal[[#This Row],[DEBE]],0)</f>
        <v>0</v>
      </c>
      <c r="I2148" s="16">
        <f>IF((OR(tbal[[#This Row],[X]]=1,tbal[[#This Row],[X]]=2)),tbal[[#This Row],[DEUDOR]],0)</f>
        <v>0</v>
      </c>
      <c r="J2148" s="18">
        <f>IF((OR(tbal[[#This Row],[X]]=2,tbal[[#This Row],[X]]=3)),tbal[[#This Row],[ACREEDOR]],0)</f>
        <v>0</v>
      </c>
      <c r="K2148" s="16">
        <f>IF((OR(tbal[[#This Row],[X]]=3,tbal[[#This Row],[X]]=5)),tbal[[#This Row],[DEUDOR]],0)</f>
        <v>0</v>
      </c>
      <c r="L2148" s="18">
        <f>IF((OR(tbal[[#This Row],[X]]=3,tbal[[#This Row],[X]]=4)),tbal[[#This Row],[ACREEDOR]],0)</f>
        <v>0</v>
      </c>
      <c r="M2148" s="16">
        <f>IF((OR(tbal[[#This Row],[X]]=0,tbal[[#This Row],[X]]=6)),tbal[[#This Row],[DEUDOR]],0)</f>
        <v>0</v>
      </c>
      <c r="N2148" s="18">
        <f>IF((OR(tbal[[#This Row],[X]]=0,tbal[[#This Row],[X]]=5)),tbal[[#This Row],[ACREEDOR]],0)</f>
        <v>0</v>
      </c>
    </row>
    <row r="2149" spans="1:14" hidden="1" x14ac:dyDescent="0.3">
      <c r="A2149" s="14">
        <f>+'PLAN DE CUENTAS'!A2149</f>
        <v>0</v>
      </c>
      <c r="B2149" s="13">
        <f>+'PLAN DE CUENTAS'!B2149</f>
        <v>0</v>
      </c>
      <c r="C2149" s="13">
        <f>+'PLAN DE CUENTAS'!C2149</f>
        <v>0</v>
      </c>
      <c r="D2149" t="str">
        <f>IF(tbal[[#This Row],[DEBE]]+tbal[[#This Row],[HABER]]=0,"","X")</f>
        <v/>
      </c>
      <c r="E2149" s="16">
        <f>SUMIF(tdiario[CUENTA],tbal[[#This Row],[CUENTA]],tdiario[DEBE])</f>
        <v>0</v>
      </c>
      <c r="F2149" s="17">
        <f>SUMIF(tdiario[CUENTA],tbal[[#This Row],[CUENTA]],tdiario[HABER])</f>
        <v>0</v>
      </c>
      <c r="G2149" s="16">
        <f>IF(tbal[[#This Row],[DEBE]]-tbal[[#This Row],[HABER]]&gt;0,tbal[[#This Row],[DEBE]]-tbal[[#This Row],[HABER]],0)</f>
        <v>0</v>
      </c>
      <c r="H2149" s="18">
        <f>IF(tbal[[#This Row],[HABER]]-tbal[[#This Row],[DEBE]]&gt;0,tbal[[#This Row],[HABER]]-tbal[[#This Row],[DEBE]],0)</f>
        <v>0</v>
      </c>
      <c r="I2149" s="16">
        <f>IF((OR(tbal[[#This Row],[X]]=1,tbal[[#This Row],[X]]=2)),tbal[[#This Row],[DEUDOR]],0)</f>
        <v>0</v>
      </c>
      <c r="J2149" s="18">
        <f>IF((OR(tbal[[#This Row],[X]]=2,tbal[[#This Row],[X]]=3)),tbal[[#This Row],[ACREEDOR]],0)</f>
        <v>0</v>
      </c>
      <c r="K2149" s="16">
        <f>IF((OR(tbal[[#This Row],[X]]=3,tbal[[#This Row],[X]]=5)),tbal[[#This Row],[DEUDOR]],0)</f>
        <v>0</v>
      </c>
      <c r="L2149" s="18">
        <f>IF((OR(tbal[[#This Row],[X]]=3,tbal[[#This Row],[X]]=4)),tbal[[#This Row],[ACREEDOR]],0)</f>
        <v>0</v>
      </c>
      <c r="M2149" s="16">
        <f>IF((OR(tbal[[#This Row],[X]]=0,tbal[[#This Row],[X]]=6)),tbal[[#This Row],[DEUDOR]],0)</f>
        <v>0</v>
      </c>
      <c r="N2149" s="18">
        <f>IF((OR(tbal[[#This Row],[X]]=0,tbal[[#This Row],[X]]=5)),tbal[[#This Row],[ACREEDOR]],0)</f>
        <v>0</v>
      </c>
    </row>
    <row r="2150" spans="1:14" hidden="1" x14ac:dyDescent="0.3">
      <c r="A2150" s="14">
        <f>+'PLAN DE CUENTAS'!A2150</f>
        <v>0</v>
      </c>
      <c r="B2150" s="13">
        <f>+'PLAN DE CUENTAS'!B2150</f>
        <v>0</v>
      </c>
      <c r="C2150" s="13">
        <f>+'PLAN DE CUENTAS'!C2150</f>
        <v>0</v>
      </c>
      <c r="D2150" t="str">
        <f>IF(tbal[[#This Row],[DEBE]]+tbal[[#This Row],[HABER]]=0,"","X")</f>
        <v/>
      </c>
      <c r="E2150" s="16">
        <f>SUMIF(tdiario[CUENTA],tbal[[#This Row],[CUENTA]],tdiario[DEBE])</f>
        <v>0</v>
      </c>
      <c r="F2150" s="17">
        <f>SUMIF(tdiario[CUENTA],tbal[[#This Row],[CUENTA]],tdiario[HABER])</f>
        <v>0</v>
      </c>
      <c r="G2150" s="16">
        <f>IF(tbal[[#This Row],[DEBE]]-tbal[[#This Row],[HABER]]&gt;0,tbal[[#This Row],[DEBE]]-tbal[[#This Row],[HABER]],0)</f>
        <v>0</v>
      </c>
      <c r="H2150" s="18">
        <f>IF(tbal[[#This Row],[HABER]]-tbal[[#This Row],[DEBE]]&gt;0,tbal[[#This Row],[HABER]]-tbal[[#This Row],[DEBE]],0)</f>
        <v>0</v>
      </c>
      <c r="I2150" s="16">
        <f>IF((OR(tbal[[#This Row],[X]]=1,tbal[[#This Row],[X]]=2)),tbal[[#This Row],[DEUDOR]],0)</f>
        <v>0</v>
      </c>
      <c r="J2150" s="18">
        <f>IF((OR(tbal[[#This Row],[X]]=2,tbal[[#This Row],[X]]=3)),tbal[[#This Row],[ACREEDOR]],0)</f>
        <v>0</v>
      </c>
      <c r="K2150" s="16">
        <f>IF((OR(tbal[[#This Row],[X]]=3,tbal[[#This Row],[X]]=5)),tbal[[#This Row],[DEUDOR]],0)</f>
        <v>0</v>
      </c>
      <c r="L2150" s="18">
        <f>IF((OR(tbal[[#This Row],[X]]=3,tbal[[#This Row],[X]]=4)),tbal[[#This Row],[ACREEDOR]],0)</f>
        <v>0</v>
      </c>
      <c r="M2150" s="16">
        <f>IF((OR(tbal[[#This Row],[X]]=0,tbal[[#This Row],[X]]=6)),tbal[[#This Row],[DEUDOR]],0)</f>
        <v>0</v>
      </c>
      <c r="N2150" s="18">
        <f>IF((OR(tbal[[#This Row],[X]]=0,tbal[[#This Row],[X]]=5)),tbal[[#This Row],[ACREEDOR]],0)</f>
        <v>0</v>
      </c>
    </row>
    <row r="2151" spans="1:14" hidden="1" x14ac:dyDescent="0.3">
      <c r="A2151" s="14">
        <f>+'PLAN DE CUENTAS'!A2151</f>
        <v>0</v>
      </c>
      <c r="B2151" s="13">
        <f>+'PLAN DE CUENTAS'!B2151</f>
        <v>0</v>
      </c>
      <c r="C2151" s="13">
        <f>+'PLAN DE CUENTAS'!C2151</f>
        <v>0</v>
      </c>
      <c r="D2151" t="str">
        <f>IF(tbal[[#This Row],[DEBE]]+tbal[[#This Row],[HABER]]=0,"","X")</f>
        <v/>
      </c>
      <c r="E2151" s="16">
        <f>SUMIF(tdiario[CUENTA],tbal[[#This Row],[CUENTA]],tdiario[DEBE])</f>
        <v>0</v>
      </c>
      <c r="F2151" s="17">
        <f>SUMIF(tdiario[CUENTA],tbal[[#This Row],[CUENTA]],tdiario[HABER])</f>
        <v>0</v>
      </c>
      <c r="G2151" s="16">
        <f>IF(tbal[[#This Row],[DEBE]]-tbal[[#This Row],[HABER]]&gt;0,tbal[[#This Row],[DEBE]]-tbal[[#This Row],[HABER]],0)</f>
        <v>0</v>
      </c>
      <c r="H2151" s="18">
        <f>IF(tbal[[#This Row],[HABER]]-tbal[[#This Row],[DEBE]]&gt;0,tbal[[#This Row],[HABER]]-tbal[[#This Row],[DEBE]],0)</f>
        <v>0</v>
      </c>
      <c r="I2151" s="16">
        <f>IF((OR(tbal[[#This Row],[X]]=1,tbal[[#This Row],[X]]=2)),tbal[[#This Row],[DEUDOR]],0)</f>
        <v>0</v>
      </c>
      <c r="J2151" s="18">
        <f>IF((OR(tbal[[#This Row],[X]]=2,tbal[[#This Row],[X]]=3)),tbal[[#This Row],[ACREEDOR]],0)</f>
        <v>0</v>
      </c>
      <c r="K2151" s="16">
        <f>IF((OR(tbal[[#This Row],[X]]=3,tbal[[#This Row],[X]]=5)),tbal[[#This Row],[DEUDOR]],0)</f>
        <v>0</v>
      </c>
      <c r="L2151" s="18">
        <f>IF((OR(tbal[[#This Row],[X]]=3,tbal[[#This Row],[X]]=4)),tbal[[#This Row],[ACREEDOR]],0)</f>
        <v>0</v>
      </c>
      <c r="M2151" s="16">
        <f>IF((OR(tbal[[#This Row],[X]]=0,tbal[[#This Row],[X]]=6)),tbal[[#This Row],[DEUDOR]],0)</f>
        <v>0</v>
      </c>
      <c r="N2151" s="18">
        <f>IF((OR(tbal[[#This Row],[X]]=0,tbal[[#This Row],[X]]=5)),tbal[[#This Row],[ACREEDOR]],0)</f>
        <v>0</v>
      </c>
    </row>
    <row r="2152" spans="1:14" hidden="1" x14ac:dyDescent="0.3">
      <c r="A2152" s="14">
        <f>+'PLAN DE CUENTAS'!A2152</f>
        <v>0</v>
      </c>
      <c r="B2152" s="13">
        <f>+'PLAN DE CUENTAS'!B2152</f>
        <v>0</v>
      </c>
      <c r="C2152" s="13">
        <f>+'PLAN DE CUENTAS'!C2152</f>
        <v>0</v>
      </c>
      <c r="D2152" t="str">
        <f>IF(tbal[[#This Row],[DEBE]]+tbal[[#This Row],[HABER]]=0,"","X")</f>
        <v/>
      </c>
      <c r="E2152" s="16">
        <f>SUMIF(tdiario[CUENTA],tbal[[#This Row],[CUENTA]],tdiario[DEBE])</f>
        <v>0</v>
      </c>
      <c r="F2152" s="17">
        <f>SUMIF(tdiario[CUENTA],tbal[[#This Row],[CUENTA]],tdiario[HABER])</f>
        <v>0</v>
      </c>
      <c r="G2152" s="16">
        <f>IF(tbal[[#This Row],[DEBE]]-tbal[[#This Row],[HABER]]&gt;0,tbal[[#This Row],[DEBE]]-tbal[[#This Row],[HABER]],0)</f>
        <v>0</v>
      </c>
      <c r="H2152" s="18">
        <f>IF(tbal[[#This Row],[HABER]]-tbal[[#This Row],[DEBE]]&gt;0,tbal[[#This Row],[HABER]]-tbal[[#This Row],[DEBE]],0)</f>
        <v>0</v>
      </c>
      <c r="I2152" s="16">
        <f>IF((OR(tbal[[#This Row],[X]]=1,tbal[[#This Row],[X]]=2)),tbal[[#This Row],[DEUDOR]],0)</f>
        <v>0</v>
      </c>
      <c r="J2152" s="18">
        <f>IF((OR(tbal[[#This Row],[X]]=2,tbal[[#This Row],[X]]=3)),tbal[[#This Row],[ACREEDOR]],0)</f>
        <v>0</v>
      </c>
      <c r="K2152" s="16">
        <f>IF((OR(tbal[[#This Row],[X]]=3,tbal[[#This Row],[X]]=5)),tbal[[#This Row],[DEUDOR]],0)</f>
        <v>0</v>
      </c>
      <c r="L2152" s="18">
        <f>IF((OR(tbal[[#This Row],[X]]=3,tbal[[#This Row],[X]]=4)),tbal[[#This Row],[ACREEDOR]],0)</f>
        <v>0</v>
      </c>
      <c r="M2152" s="16">
        <f>IF((OR(tbal[[#This Row],[X]]=0,tbal[[#This Row],[X]]=6)),tbal[[#This Row],[DEUDOR]],0)</f>
        <v>0</v>
      </c>
      <c r="N2152" s="18">
        <f>IF((OR(tbal[[#This Row],[X]]=0,tbal[[#This Row],[X]]=5)),tbal[[#This Row],[ACREEDOR]],0)</f>
        <v>0</v>
      </c>
    </row>
    <row r="2153" spans="1:14" hidden="1" x14ac:dyDescent="0.3">
      <c r="A2153" s="14">
        <f>+'PLAN DE CUENTAS'!A2153</f>
        <v>0</v>
      </c>
      <c r="B2153" s="13">
        <f>+'PLAN DE CUENTAS'!B2153</f>
        <v>0</v>
      </c>
      <c r="C2153" s="13">
        <f>+'PLAN DE CUENTAS'!C2153</f>
        <v>0</v>
      </c>
      <c r="D2153" t="str">
        <f>IF(tbal[[#This Row],[DEBE]]+tbal[[#This Row],[HABER]]=0,"","X")</f>
        <v/>
      </c>
      <c r="E2153" s="16">
        <f>SUMIF(tdiario[CUENTA],tbal[[#This Row],[CUENTA]],tdiario[DEBE])</f>
        <v>0</v>
      </c>
      <c r="F2153" s="17">
        <f>SUMIF(tdiario[CUENTA],tbal[[#This Row],[CUENTA]],tdiario[HABER])</f>
        <v>0</v>
      </c>
      <c r="G2153" s="16">
        <f>IF(tbal[[#This Row],[DEBE]]-tbal[[#This Row],[HABER]]&gt;0,tbal[[#This Row],[DEBE]]-tbal[[#This Row],[HABER]],0)</f>
        <v>0</v>
      </c>
      <c r="H2153" s="18">
        <f>IF(tbal[[#This Row],[HABER]]-tbal[[#This Row],[DEBE]]&gt;0,tbal[[#This Row],[HABER]]-tbal[[#This Row],[DEBE]],0)</f>
        <v>0</v>
      </c>
      <c r="I2153" s="16">
        <f>IF((OR(tbal[[#This Row],[X]]=1,tbal[[#This Row],[X]]=2)),tbal[[#This Row],[DEUDOR]],0)</f>
        <v>0</v>
      </c>
      <c r="J2153" s="18">
        <f>IF((OR(tbal[[#This Row],[X]]=2,tbal[[#This Row],[X]]=3)),tbal[[#This Row],[ACREEDOR]],0)</f>
        <v>0</v>
      </c>
      <c r="K2153" s="16">
        <f>IF((OR(tbal[[#This Row],[X]]=3,tbal[[#This Row],[X]]=5)),tbal[[#This Row],[DEUDOR]],0)</f>
        <v>0</v>
      </c>
      <c r="L2153" s="18">
        <f>IF((OR(tbal[[#This Row],[X]]=3,tbal[[#This Row],[X]]=4)),tbal[[#This Row],[ACREEDOR]],0)</f>
        <v>0</v>
      </c>
      <c r="M2153" s="16">
        <f>IF((OR(tbal[[#This Row],[X]]=0,tbal[[#This Row],[X]]=6)),tbal[[#This Row],[DEUDOR]],0)</f>
        <v>0</v>
      </c>
      <c r="N2153" s="18">
        <f>IF((OR(tbal[[#This Row],[X]]=0,tbal[[#This Row],[X]]=5)),tbal[[#This Row],[ACREEDOR]],0)</f>
        <v>0</v>
      </c>
    </row>
    <row r="2154" spans="1:14" hidden="1" x14ac:dyDescent="0.3">
      <c r="A2154" s="14">
        <f>+'PLAN DE CUENTAS'!A2154</f>
        <v>0</v>
      </c>
      <c r="B2154" s="13">
        <f>+'PLAN DE CUENTAS'!B2154</f>
        <v>0</v>
      </c>
      <c r="C2154" s="13">
        <f>+'PLAN DE CUENTAS'!C2154</f>
        <v>0</v>
      </c>
      <c r="D2154" t="str">
        <f>IF(tbal[[#This Row],[DEBE]]+tbal[[#This Row],[HABER]]=0,"","X")</f>
        <v/>
      </c>
      <c r="E2154" s="16">
        <f>SUMIF(tdiario[CUENTA],tbal[[#This Row],[CUENTA]],tdiario[DEBE])</f>
        <v>0</v>
      </c>
      <c r="F2154" s="17">
        <f>SUMIF(tdiario[CUENTA],tbal[[#This Row],[CUENTA]],tdiario[HABER])</f>
        <v>0</v>
      </c>
      <c r="G2154" s="16">
        <f>IF(tbal[[#This Row],[DEBE]]-tbal[[#This Row],[HABER]]&gt;0,tbal[[#This Row],[DEBE]]-tbal[[#This Row],[HABER]],0)</f>
        <v>0</v>
      </c>
      <c r="H2154" s="18">
        <f>IF(tbal[[#This Row],[HABER]]-tbal[[#This Row],[DEBE]]&gt;0,tbal[[#This Row],[HABER]]-tbal[[#This Row],[DEBE]],0)</f>
        <v>0</v>
      </c>
      <c r="I2154" s="16">
        <f>IF((OR(tbal[[#This Row],[X]]=1,tbal[[#This Row],[X]]=2)),tbal[[#This Row],[DEUDOR]],0)</f>
        <v>0</v>
      </c>
      <c r="J2154" s="18">
        <f>IF((OR(tbal[[#This Row],[X]]=2,tbal[[#This Row],[X]]=3)),tbal[[#This Row],[ACREEDOR]],0)</f>
        <v>0</v>
      </c>
      <c r="K2154" s="16">
        <f>IF((OR(tbal[[#This Row],[X]]=3,tbal[[#This Row],[X]]=5)),tbal[[#This Row],[DEUDOR]],0)</f>
        <v>0</v>
      </c>
      <c r="L2154" s="18">
        <f>IF((OR(tbal[[#This Row],[X]]=3,tbal[[#This Row],[X]]=4)),tbal[[#This Row],[ACREEDOR]],0)</f>
        <v>0</v>
      </c>
      <c r="M2154" s="16">
        <f>IF((OR(tbal[[#This Row],[X]]=0,tbal[[#This Row],[X]]=6)),tbal[[#This Row],[DEUDOR]],0)</f>
        <v>0</v>
      </c>
      <c r="N2154" s="18">
        <f>IF((OR(tbal[[#This Row],[X]]=0,tbal[[#This Row],[X]]=5)),tbal[[#This Row],[ACREEDOR]],0)</f>
        <v>0</v>
      </c>
    </row>
    <row r="2155" spans="1:14" hidden="1" x14ac:dyDescent="0.3">
      <c r="A2155" s="14">
        <f>+'PLAN DE CUENTAS'!A2155</f>
        <v>0</v>
      </c>
      <c r="B2155" s="13">
        <f>+'PLAN DE CUENTAS'!B2155</f>
        <v>0</v>
      </c>
      <c r="C2155" s="13">
        <f>+'PLAN DE CUENTAS'!C2155</f>
        <v>0</v>
      </c>
      <c r="D2155" t="str">
        <f>IF(tbal[[#This Row],[DEBE]]+tbal[[#This Row],[HABER]]=0,"","X")</f>
        <v/>
      </c>
      <c r="E2155" s="16">
        <f>SUMIF(tdiario[CUENTA],tbal[[#This Row],[CUENTA]],tdiario[DEBE])</f>
        <v>0</v>
      </c>
      <c r="F2155" s="17">
        <f>SUMIF(tdiario[CUENTA],tbal[[#This Row],[CUENTA]],tdiario[HABER])</f>
        <v>0</v>
      </c>
      <c r="G2155" s="16">
        <f>IF(tbal[[#This Row],[DEBE]]-tbal[[#This Row],[HABER]]&gt;0,tbal[[#This Row],[DEBE]]-tbal[[#This Row],[HABER]],0)</f>
        <v>0</v>
      </c>
      <c r="H2155" s="18">
        <f>IF(tbal[[#This Row],[HABER]]-tbal[[#This Row],[DEBE]]&gt;0,tbal[[#This Row],[HABER]]-tbal[[#This Row],[DEBE]],0)</f>
        <v>0</v>
      </c>
      <c r="I2155" s="16">
        <f>IF((OR(tbal[[#This Row],[X]]=1,tbal[[#This Row],[X]]=2)),tbal[[#This Row],[DEUDOR]],0)</f>
        <v>0</v>
      </c>
      <c r="J2155" s="18">
        <f>IF((OR(tbal[[#This Row],[X]]=2,tbal[[#This Row],[X]]=3)),tbal[[#This Row],[ACREEDOR]],0)</f>
        <v>0</v>
      </c>
      <c r="K2155" s="16">
        <f>IF((OR(tbal[[#This Row],[X]]=3,tbal[[#This Row],[X]]=5)),tbal[[#This Row],[DEUDOR]],0)</f>
        <v>0</v>
      </c>
      <c r="L2155" s="18">
        <f>IF((OR(tbal[[#This Row],[X]]=3,tbal[[#This Row],[X]]=4)),tbal[[#This Row],[ACREEDOR]],0)</f>
        <v>0</v>
      </c>
      <c r="M2155" s="16">
        <f>IF((OR(tbal[[#This Row],[X]]=0,tbal[[#This Row],[X]]=6)),tbal[[#This Row],[DEUDOR]],0)</f>
        <v>0</v>
      </c>
      <c r="N2155" s="18">
        <f>IF((OR(tbal[[#This Row],[X]]=0,tbal[[#This Row],[X]]=5)),tbal[[#This Row],[ACREEDOR]],0)</f>
        <v>0</v>
      </c>
    </row>
    <row r="2156" spans="1:14" hidden="1" x14ac:dyDescent="0.3">
      <c r="A2156" s="14">
        <f>+'PLAN DE CUENTAS'!A2156</f>
        <v>0</v>
      </c>
      <c r="B2156" s="13">
        <f>+'PLAN DE CUENTAS'!B2156</f>
        <v>0</v>
      </c>
      <c r="C2156" s="13">
        <f>+'PLAN DE CUENTAS'!C2156</f>
        <v>0</v>
      </c>
      <c r="D2156" t="str">
        <f>IF(tbal[[#This Row],[DEBE]]+tbal[[#This Row],[HABER]]=0,"","X")</f>
        <v/>
      </c>
      <c r="E2156" s="16">
        <f>SUMIF(tdiario[CUENTA],tbal[[#This Row],[CUENTA]],tdiario[DEBE])</f>
        <v>0</v>
      </c>
      <c r="F2156" s="17">
        <f>SUMIF(tdiario[CUENTA],tbal[[#This Row],[CUENTA]],tdiario[HABER])</f>
        <v>0</v>
      </c>
      <c r="G2156" s="16">
        <f>IF(tbal[[#This Row],[DEBE]]-tbal[[#This Row],[HABER]]&gt;0,tbal[[#This Row],[DEBE]]-tbal[[#This Row],[HABER]],0)</f>
        <v>0</v>
      </c>
      <c r="H2156" s="18">
        <f>IF(tbal[[#This Row],[HABER]]-tbal[[#This Row],[DEBE]]&gt;0,tbal[[#This Row],[HABER]]-tbal[[#This Row],[DEBE]],0)</f>
        <v>0</v>
      </c>
      <c r="I2156" s="16">
        <f>IF((OR(tbal[[#This Row],[X]]=1,tbal[[#This Row],[X]]=2)),tbal[[#This Row],[DEUDOR]],0)</f>
        <v>0</v>
      </c>
      <c r="J2156" s="18">
        <f>IF((OR(tbal[[#This Row],[X]]=2,tbal[[#This Row],[X]]=3)),tbal[[#This Row],[ACREEDOR]],0)</f>
        <v>0</v>
      </c>
      <c r="K2156" s="16">
        <f>IF((OR(tbal[[#This Row],[X]]=3,tbal[[#This Row],[X]]=5)),tbal[[#This Row],[DEUDOR]],0)</f>
        <v>0</v>
      </c>
      <c r="L2156" s="18">
        <f>IF((OR(tbal[[#This Row],[X]]=3,tbal[[#This Row],[X]]=4)),tbal[[#This Row],[ACREEDOR]],0)</f>
        <v>0</v>
      </c>
      <c r="M2156" s="16">
        <f>IF((OR(tbal[[#This Row],[X]]=0,tbal[[#This Row],[X]]=6)),tbal[[#This Row],[DEUDOR]],0)</f>
        <v>0</v>
      </c>
      <c r="N2156" s="18">
        <f>IF((OR(tbal[[#This Row],[X]]=0,tbal[[#This Row],[X]]=5)),tbal[[#This Row],[ACREEDOR]],0)</f>
        <v>0</v>
      </c>
    </row>
    <row r="2157" spans="1:14" hidden="1" x14ac:dyDescent="0.3">
      <c r="A2157" s="14">
        <f>+'PLAN DE CUENTAS'!A2157</f>
        <v>0</v>
      </c>
      <c r="B2157" s="13">
        <f>+'PLAN DE CUENTAS'!B2157</f>
        <v>0</v>
      </c>
      <c r="C2157" s="13">
        <f>+'PLAN DE CUENTAS'!C2157</f>
        <v>0</v>
      </c>
      <c r="D2157" t="str">
        <f>IF(tbal[[#This Row],[DEBE]]+tbal[[#This Row],[HABER]]=0,"","X")</f>
        <v/>
      </c>
      <c r="E2157" s="16">
        <f>SUMIF(tdiario[CUENTA],tbal[[#This Row],[CUENTA]],tdiario[DEBE])</f>
        <v>0</v>
      </c>
      <c r="F2157" s="17">
        <f>SUMIF(tdiario[CUENTA],tbal[[#This Row],[CUENTA]],tdiario[HABER])</f>
        <v>0</v>
      </c>
      <c r="G2157" s="16">
        <f>IF(tbal[[#This Row],[DEBE]]-tbal[[#This Row],[HABER]]&gt;0,tbal[[#This Row],[DEBE]]-tbal[[#This Row],[HABER]],0)</f>
        <v>0</v>
      </c>
      <c r="H2157" s="18">
        <f>IF(tbal[[#This Row],[HABER]]-tbal[[#This Row],[DEBE]]&gt;0,tbal[[#This Row],[HABER]]-tbal[[#This Row],[DEBE]],0)</f>
        <v>0</v>
      </c>
      <c r="I2157" s="16">
        <f>IF((OR(tbal[[#This Row],[X]]=1,tbal[[#This Row],[X]]=2)),tbal[[#This Row],[DEUDOR]],0)</f>
        <v>0</v>
      </c>
      <c r="J2157" s="18">
        <f>IF((OR(tbal[[#This Row],[X]]=2,tbal[[#This Row],[X]]=3)),tbal[[#This Row],[ACREEDOR]],0)</f>
        <v>0</v>
      </c>
      <c r="K2157" s="16">
        <f>IF((OR(tbal[[#This Row],[X]]=3,tbal[[#This Row],[X]]=5)),tbal[[#This Row],[DEUDOR]],0)</f>
        <v>0</v>
      </c>
      <c r="L2157" s="18">
        <f>IF((OR(tbal[[#This Row],[X]]=3,tbal[[#This Row],[X]]=4)),tbal[[#This Row],[ACREEDOR]],0)</f>
        <v>0</v>
      </c>
      <c r="M2157" s="16">
        <f>IF((OR(tbal[[#This Row],[X]]=0,tbal[[#This Row],[X]]=6)),tbal[[#This Row],[DEUDOR]],0)</f>
        <v>0</v>
      </c>
      <c r="N2157" s="18">
        <f>IF((OR(tbal[[#This Row],[X]]=0,tbal[[#This Row],[X]]=5)),tbal[[#This Row],[ACREEDOR]],0)</f>
        <v>0</v>
      </c>
    </row>
    <row r="2158" spans="1:14" hidden="1" x14ac:dyDescent="0.3">
      <c r="A2158" s="14">
        <f>+'PLAN DE CUENTAS'!A2158</f>
        <v>0</v>
      </c>
      <c r="B2158" s="13">
        <f>+'PLAN DE CUENTAS'!B2158</f>
        <v>0</v>
      </c>
      <c r="C2158" s="13">
        <f>+'PLAN DE CUENTAS'!C2158</f>
        <v>0</v>
      </c>
      <c r="D2158" t="str">
        <f>IF(tbal[[#This Row],[DEBE]]+tbal[[#This Row],[HABER]]=0,"","X")</f>
        <v/>
      </c>
      <c r="E2158" s="16">
        <f>SUMIF(tdiario[CUENTA],tbal[[#This Row],[CUENTA]],tdiario[DEBE])</f>
        <v>0</v>
      </c>
      <c r="F2158" s="17">
        <f>SUMIF(tdiario[CUENTA],tbal[[#This Row],[CUENTA]],tdiario[HABER])</f>
        <v>0</v>
      </c>
      <c r="G2158" s="16">
        <f>IF(tbal[[#This Row],[DEBE]]-tbal[[#This Row],[HABER]]&gt;0,tbal[[#This Row],[DEBE]]-tbal[[#This Row],[HABER]],0)</f>
        <v>0</v>
      </c>
      <c r="H2158" s="18">
        <f>IF(tbal[[#This Row],[HABER]]-tbal[[#This Row],[DEBE]]&gt;0,tbal[[#This Row],[HABER]]-tbal[[#This Row],[DEBE]],0)</f>
        <v>0</v>
      </c>
      <c r="I2158" s="16">
        <f>IF((OR(tbal[[#This Row],[X]]=1,tbal[[#This Row],[X]]=2)),tbal[[#This Row],[DEUDOR]],0)</f>
        <v>0</v>
      </c>
      <c r="J2158" s="18">
        <f>IF((OR(tbal[[#This Row],[X]]=2,tbal[[#This Row],[X]]=3)),tbal[[#This Row],[ACREEDOR]],0)</f>
        <v>0</v>
      </c>
      <c r="K2158" s="16">
        <f>IF((OR(tbal[[#This Row],[X]]=3,tbal[[#This Row],[X]]=5)),tbal[[#This Row],[DEUDOR]],0)</f>
        <v>0</v>
      </c>
      <c r="L2158" s="18">
        <f>IF((OR(tbal[[#This Row],[X]]=3,tbal[[#This Row],[X]]=4)),tbal[[#This Row],[ACREEDOR]],0)</f>
        <v>0</v>
      </c>
      <c r="M2158" s="16">
        <f>IF((OR(tbal[[#This Row],[X]]=0,tbal[[#This Row],[X]]=6)),tbal[[#This Row],[DEUDOR]],0)</f>
        <v>0</v>
      </c>
      <c r="N2158" s="18">
        <f>IF((OR(tbal[[#This Row],[X]]=0,tbal[[#This Row],[X]]=5)),tbal[[#This Row],[ACREEDOR]],0)</f>
        <v>0</v>
      </c>
    </row>
    <row r="2159" spans="1:14" hidden="1" x14ac:dyDescent="0.3">
      <c r="A2159" s="14">
        <f>+'PLAN DE CUENTAS'!A2159</f>
        <v>0</v>
      </c>
      <c r="B2159" s="13">
        <f>+'PLAN DE CUENTAS'!B2159</f>
        <v>0</v>
      </c>
      <c r="C2159" s="13">
        <f>+'PLAN DE CUENTAS'!C2159</f>
        <v>0</v>
      </c>
      <c r="D2159" t="str">
        <f>IF(tbal[[#This Row],[DEBE]]+tbal[[#This Row],[HABER]]=0,"","X")</f>
        <v/>
      </c>
      <c r="E2159" s="16">
        <f>SUMIF(tdiario[CUENTA],tbal[[#This Row],[CUENTA]],tdiario[DEBE])</f>
        <v>0</v>
      </c>
      <c r="F2159" s="17">
        <f>SUMIF(tdiario[CUENTA],tbal[[#This Row],[CUENTA]],tdiario[HABER])</f>
        <v>0</v>
      </c>
      <c r="G2159" s="16">
        <f>IF(tbal[[#This Row],[DEBE]]-tbal[[#This Row],[HABER]]&gt;0,tbal[[#This Row],[DEBE]]-tbal[[#This Row],[HABER]],0)</f>
        <v>0</v>
      </c>
      <c r="H2159" s="18">
        <f>IF(tbal[[#This Row],[HABER]]-tbal[[#This Row],[DEBE]]&gt;0,tbal[[#This Row],[HABER]]-tbal[[#This Row],[DEBE]],0)</f>
        <v>0</v>
      </c>
      <c r="I2159" s="16">
        <f>IF((OR(tbal[[#This Row],[X]]=1,tbal[[#This Row],[X]]=2)),tbal[[#This Row],[DEUDOR]],0)</f>
        <v>0</v>
      </c>
      <c r="J2159" s="18">
        <f>IF((OR(tbal[[#This Row],[X]]=2,tbal[[#This Row],[X]]=3)),tbal[[#This Row],[ACREEDOR]],0)</f>
        <v>0</v>
      </c>
      <c r="K2159" s="16">
        <f>IF((OR(tbal[[#This Row],[X]]=3,tbal[[#This Row],[X]]=5)),tbal[[#This Row],[DEUDOR]],0)</f>
        <v>0</v>
      </c>
      <c r="L2159" s="18">
        <f>IF((OR(tbal[[#This Row],[X]]=3,tbal[[#This Row],[X]]=4)),tbal[[#This Row],[ACREEDOR]],0)</f>
        <v>0</v>
      </c>
      <c r="M2159" s="16">
        <f>IF((OR(tbal[[#This Row],[X]]=0,tbal[[#This Row],[X]]=6)),tbal[[#This Row],[DEUDOR]],0)</f>
        <v>0</v>
      </c>
      <c r="N2159" s="18">
        <f>IF((OR(tbal[[#This Row],[X]]=0,tbal[[#This Row],[X]]=5)),tbal[[#This Row],[ACREEDOR]],0)</f>
        <v>0</v>
      </c>
    </row>
    <row r="2160" spans="1:14" hidden="1" x14ac:dyDescent="0.3">
      <c r="A2160" s="14">
        <f>+'PLAN DE CUENTAS'!A2160</f>
        <v>0</v>
      </c>
      <c r="B2160" s="13">
        <f>+'PLAN DE CUENTAS'!B2160</f>
        <v>0</v>
      </c>
      <c r="C2160" s="13">
        <f>+'PLAN DE CUENTAS'!C2160</f>
        <v>0</v>
      </c>
      <c r="D2160" t="str">
        <f>IF(tbal[[#This Row],[DEBE]]+tbal[[#This Row],[HABER]]=0,"","X")</f>
        <v/>
      </c>
      <c r="E2160" s="16">
        <f>SUMIF(tdiario[CUENTA],tbal[[#This Row],[CUENTA]],tdiario[DEBE])</f>
        <v>0</v>
      </c>
      <c r="F2160" s="17">
        <f>SUMIF(tdiario[CUENTA],tbal[[#This Row],[CUENTA]],tdiario[HABER])</f>
        <v>0</v>
      </c>
      <c r="G2160" s="16">
        <f>IF(tbal[[#This Row],[DEBE]]-tbal[[#This Row],[HABER]]&gt;0,tbal[[#This Row],[DEBE]]-tbal[[#This Row],[HABER]],0)</f>
        <v>0</v>
      </c>
      <c r="H2160" s="18">
        <f>IF(tbal[[#This Row],[HABER]]-tbal[[#This Row],[DEBE]]&gt;0,tbal[[#This Row],[HABER]]-tbal[[#This Row],[DEBE]],0)</f>
        <v>0</v>
      </c>
      <c r="I2160" s="16">
        <f>IF((OR(tbal[[#This Row],[X]]=1,tbal[[#This Row],[X]]=2)),tbal[[#This Row],[DEUDOR]],0)</f>
        <v>0</v>
      </c>
      <c r="J2160" s="18">
        <f>IF((OR(tbal[[#This Row],[X]]=2,tbal[[#This Row],[X]]=3)),tbal[[#This Row],[ACREEDOR]],0)</f>
        <v>0</v>
      </c>
      <c r="K2160" s="16">
        <f>IF((OR(tbal[[#This Row],[X]]=3,tbal[[#This Row],[X]]=5)),tbal[[#This Row],[DEUDOR]],0)</f>
        <v>0</v>
      </c>
      <c r="L2160" s="18">
        <f>IF((OR(tbal[[#This Row],[X]]=3,tbal[[#This Row],[X]]=4)),tbal[[#This Row],[ACREEDOR]],0)</f>
        <v>0</v>
      </c>
      <c r="M2160" s="16">
        <f>IF((OR(tbal[[#This Row],[X]]=0,tbal[[#This Row],[X]]=6)),tbal[[#This Row],[DEUDOR]],0)</f>
        <v>0</v>
      </c>
      <c r="N2160" s="18">
        <f>IF((OR(tbal[[#This Row],[X]]=0,tbal[[#This Row],[X]]=5)),tbal[[#This Row],[ACREEDOR]],0)</f>
        <v>0</v>
      </c>
    </row>
    <row r="2161" spans="1:14" hidden="1" x14ac:dyDescent="0.3">
      <c r="A2161" s="14">
        <f>+'PLAN DE CUENTAS'!A2161</f>
        <v>0</v>
      </c>
      <c r="B2161" s="13">
        <f>+'PLAN DE CUENTAS'!B2161</f>
        <v>0</v>
      </c>
      <c r="C2161" s="13">
        <f>+'PLAN DE CUENTAS'!C2161</f>
        <v>0</v>
      </c>
      <c r="D2161" t="str">
        <f>IF(tbal[[#This Row],[DEBE]]+tbal[[#This Row],[HABER]]=0,"","X")</f>
        <v/>
      </c>
      <c r="E2161" s="16">
        <f>SUMIF(tdiario[CUENTA],tbal[[#This Row],[CUENTA]],tdiario[DEBE])</f>
        <v>0</v>
      </c>
      <c r="F2161" s="17">
        <f>SUMIF(tdiario[CUENTA],tbal[[#This Row],[CUENTA]],tdiario[HABER])</f>
        <v>0</v>
      </c>
      <c r="G2161" s="16">
        <f>IF(tbal[[#This Row],[DEBE]]-tbal[[#This Row],[HABER]]&gt;0,tbal[[#This Row],[DEBE]]-tbal[[#This Row],[HABER]],0)</f>
        <v>0</v>
      </c>
      <c r="H2161" s="18">
        <f>IF(tbal[[#This Row],[HABER]]-tbal[[#This Row],[DEBE]]&gt;0,tbal[[#This Row],[HABER]]-tbal[[#This Row],[DEBE]],0)</f>
        <v>0</v>
      </c>
      <c r="I2161" s="16">
        <f>IF((OR(tbal[[#This Row],[X]]=1,tbal[[#This Row],[X]]=2)),tbal[[#This Row],[DEUDOR]],0)</f>
        <v>0</v>
      </c>
      <c r="J2161" s="18">
        <f>IF((OR(tbal[[#This Row],[X]]=2,tbal[[#This Row],[X]]=3)),tbal[[#This Row],[ACREEDOR]],0)</f>
        <v>0</v>
      </c>
      <c r="K2161" s="16">
        <f>IF((OR(tbal[[#This Row],[X]]=3,tbal[[#This Row],[X]]=5)),tbal[[#This Row],[DEUDOR]],0)</f>
        <v>0</v>
      </c>
      <c r="L2161" s="18">
        <f>IF((OR(tbal[[#This Row],[X]]=3,tbal[[#This Row],[X]]=4)),tbal[[#This Row],[ACREEDOR]],0)</f>
        <v>0</v>
      </c>
      <c r="M2161" s="16">
        <f>IF((OR(tbal[[#This Row],[X]]=0,tbal[[#This Row],[X]]=6)),tbal[[#This Row],[DEUDOR]],0)</f>
        <v>0</v>
      </c>
      <c r="N2161" s="18">
        <f>IF((OR(tbal[[#This Row],[X]]=0,tbal[[#This Row],[X]]=5)),tbal[[#This Row],[ACREEDOR]],0)</f>
        <v>0</v>
      </c>
    </row>
    <row r="2162" spans="1:14" hidden="1" x14ac:dyDescent="0.3">
      <c r="A2162" s="14">
        <f>+'PLAN DE CUENTAS'!A2162</f>
        <v>0</v>
      </c>
      <c r="B2162" s="13">
        <f>+'PLAN DE CUENTAS'!B2162</f>
        <v>0</v>
      </c>
      <c r="C2162" s="13">
        <f>+'PLAN DE CUENTAS'!C2162</f>
        <v>0</v>
      </c>
      <c r="D2162" t="str">
        <f>IF(tbal[[#This Row],[DEBE]]+tbal[[#This Row],[HABER]]=0,"","X")</f>
        <v/>
      </c>
      <c r="E2162" s="16">
        <f>SUMIF(tdiario[CUENTA],tbal[[#This Row],[CUENTA]],tdiario[DEBE])</f>
        <v>0</v>
      </c>
      <c r="F2162" s="17">
        <f>SUMIF(tdiario[CUENTA],tbal[[#This Row],[CUENTA]],tdiario[HABER])</f>
        <v>0</v>
      </c>
      <c r="G2162" s="16">
        <f>IF(tbal[[#This Row],[DEBE]]-tbal[[#This Row],[HABER]]&gt;0,tbal[[#This Row],[DEBE]]-tbal[[#This Row],[HABER]],0)</f>
        <v>0</v>
      </c>
      <c r="H2162" s="18">
        <f>IF(tbal[[#This Row],[HABER]]-tbal[[#This Row],[DEBE]]&gt;0,tbal[[#This Row],[HABER]]-tbal[[#This Row],[DEBE]],0)</f>
        <v>0</v>
      </c>
      <c r="I2162" s="16">
        <f>IF((OR(tbal[[#This Row],[X]]=1,tbal[[#This Row],[X]]=2)),tbal[[#This Row],[DEUDOR]],0)</f>
        <v>0</v>
      </c>
      <c r="J2162" s="18">
        <f>IF((OR(tbal[[#This Row],[X]]=2,tbal[[#This Row],[X]]=3)),tbal[[#This Row],[ACREEDOR]],0)</f>
        <v>0</v>
      </c>
      <c r="K2162" s="16">
        <f>IF((OR(tbal[[#This Row],[X]]=3,tbal[[#This Row],[X]]=5)),tbal[[#This Row],[DEUDOR]],0)</f>
        <v>0</v>
      </c>
      <c r="L2162" s="18">
        <f>IF((OR(tbal[[#This Row],[X]]=3,tbal[[#This Row],[X]]=4)),tbal[[#This Row],[ACREEDOR]],0)</f>
        <v>0</v>
      </c>
      <c r="M2162" s="16">
        <f>IF((OR(tbal[[#This Row],[X]]=0,tbal[[#This Row],[X]]=6)),tbal[[#This Row],[DEUDOR]],0)</f>
        <v>0</v>
      </c>
      <c r="N2162" s="18">
        <f>IF((OR(tbal[[#This Row],[X]]=0,tbal[[#This Row],[X]]=5)),tbal[[#This Row],[ACREEDOR]],0)</f>
        <v>0</v>
      </c>
    </row>
    <row r="2163" spans="1:14" hidden="1" x14ac:dyDescent="0.3">
      <c r="A2163" s="14">
        <f>+'PLAN DE CUENTAS'!A2163</f>
        <v>0</v>
      </c>
      <c r="B2163" s="13">
        <f>+'PLAN DE CUENTAS'!B2163</f>
        <v>0</v>
      </c>
      <c r="C2163" s="13">
        <f>+'PLAN DE CUENTAS'!C2163</f>
        <v>0</v>
      </c>
      <c r="D2163" t="str">
        <f>IF(tbal[[#This Row],[DEBE]]+tbal[[#This Row],[HABER]]=0,"","X")</f>
        <v/>
      </c>
      <c r="E2163" s="16">
        <f>SUMIF(tdiario[CUENTA],tbal[[#This Row],[CUENTA]],tdiario[DEBE])</f>
        <v>0</v>
      </c>
      <c r="F2163" s="17">
        <f>SUMIF(tdiario[CUENTA],tbal[[#This Row],[CUENTA]],tdiario[HABER])</f>
        <v>0</v>
      </c>
      <c r="G2163" s="16">
        <f>IF(tbal[[#This Row],[DEBE]]-tbal[[#This Row],[HABER]]&gt;0,tbal[[#This Row],[DEBE]]-tbal[[#This Row],[HABER]],0)</f>
        <v>0</v>
      </c>
      <c r="H2163" s="18">
        <f>IF(tbal[[#This Row],[HABER]]-tbal[[#This Row],[DEBE]]&gt;0,tbal[[#This Row],[HABER]]-tbal[[#This Row],[DEBE]],0)</f>
        <v>0</v>
      </c>
      <c r="I2163" s="16">
        <f>IF((OR(tbal[[#This Row],[X]]=1,tbal[[#This Row],[X]]=2)),tbal[[#This Row],[DEUDOR]],0)</f>
        <v>0</v>
      </c>
      <c r="J2163" s="18">
        <f>IF((OR(tbal[[#This Row],[X]]=2,tbal[[#This Row],[X]]=3)),tbal[[#This Row],[ACREEDOR]],0)</f>
        <v>0</v>
      </c>
      <c r="K2163" s="16">
        <f>IF((OR(tbal[[#This Row],[X]]=3,tbal[[#This Row],[X]]=5)),tbal[[#This Row],[DEUDOR]],0)</f>
        <v>0</v>
      </c>
      <c r="L2163" s="18">
        <f>IF((OR(tbal[[#This Row],[X]]=3,tbal[[#This Row],[X]]=4)),tbal[[#This Row],[ACREEDOR]],0)</f>
        <v>0</v>
      </c>
      <c r="M2163" s="16">
        <f>IF((OR(tbal[[#This Row],[X]]=0,tbal[[#This Row],[X]]=6)),tbal[[#This Row],[DEUDOR]],0)</f>
        <v>0</v>
      </c>
      <c r="N2163" s="18">
        <f>IF((OR(tbal[[#This Row],[X]]=0,tbal[[#This Row],[X]]=5)),tbal[[#This Row],[ACREEDOR]],0)</f>
        <v>0</v>
      </c>
    </row>
    <row r="2164" spans="1:14" hidden="1" x14ac:dyDescent="0.3">
      <c r="A2164" s="14">
        <f>+'PLAN DE CUENTAS'!A2164</f>
        <v>0</v>
      </c>
      <c r="B2164" s="13">
        <f>+'PLAN DE CUENTAS'!B2164</f>
        <v>0</v>
      </c>
      <c r="C2164" s="13">
        <f>+'PLAN DE CUENTAS'!C2164</f>
        <v>0</v>
      </c>
      <c r="D2164" t="str">
        <f>IF(tbal[[#This Row],[DEBE]]+tbal[[#This Row],[HABER]]=0,"","X")</f>
        <v/>
      </c>
      <c r="E2164" s="16">
        <f>SUMIF(tdiario[CUENTA],tbal[[#This Row],[CUENTA]],tdiario[DEBE])</f>
        <v>0</v>
      </c>
      <c r="F2164" s="17">
        <f>SUMIF(tdiario[CUENTA],tbal[[#This Row],[CUENTA]],tdiario[HABER])</f>
        <v>0</v>
      </c>
      <c r="G2164" s="16">
        <f>IF(tbal[[#This Row],[DEBE]]-tbal[[#This Row],[HABER]]&gt;0,tbal[[#This Row],[DEBE]]-tbal[[#This Row],[HABER]],0)</f>
        <v>0</v>
      </c>
      <c r="H2164" s="18">
        <f>IF(tbal[[#This Row],[HABER]]-tbal[[#This Row],[DEBE]]&gt;0,tbal[[#This Row],[HABER]]-tbal[[#This Row],[DEBE]],0)</f>
        <v>0</v>
      </c>
      <c r="I2164" s="16">
        <f>IF((OR(tbal[[#This Row],[X]]=1,tbal[[#This Row],[X]]=2)),tbal[[#This Row],[DEUDOR]],0)</f>
        <v>0</v>
      </c>
      <c r="J2164" s="18">
        <f>IF((OR(tbal[[#This Row],[X]]=2,tbal[[#This Row],[X]]=3)),tbal[[#This Row],[ACREEDOR]],0)</f>
        <v>0</v>
      </c>
      <c r="K2164" s="16">
        <f>IF((OR(tbal[[#This Row],[X]]=3,tbal[[#This Row],[X]]=5)),tbal[[#This Row],[DEUDOR]],0)</f>
        <v>0</v>
      </c>
      <c r="L2164" s="18">
        <f>IF((OR(tbal[[#This Row],[X]]=3,tbal[[#This Row],[X]]=4)),tbal[[#This Row],[ACREEDOR]],0)</f>
        <v>0</v>
      </c>
      <c r="M2164" s="16">
        <f>IF((OR(tbal[[#This Row],[X]]=0,tbal[[#This Row],[X]]=6)),tbal[[#This Row],[DEUDOR]],0)</f>
        <v>0</v>
      </c>
      <c r="N2164" s="18">
        <f>IF((OR(tbal[[#This Row],[X]]=0,tbal[[#This Row],[X]]=5)),tbal[[#This Row],[ACREEDOR]],0)</f>
        <v>0</v>
      </c>
    </row>
    <row r="2165" spans="1:14" hidden="1" x14ac:dyDescent="0.3">
      <c r="A2165" s="14">
        <f>+'PLAN DE CUENTAS'!A2165</f>
        <v>0</v>
      </c>
      <c r="B2165" s="13">
        <f>+'PLAN DE CUENTAS'!B2165</f>
        <v>0</v>
      </c>
      <c r="C2165" s="13">
        <f>+'PLAN DE CUENTAS'!C2165</f>
        <v>0</v>
      </c>
      <c r="D2165" t="str">
        <f>IF(tbal[[#This Row],[DEBE]]+tbal[[#This Row],[HABER]]=0,"","X")</f>
        <v/>
      </c>
      <c r="E2165" s="16">
        <f>SUMIF(tdiario[CUENTA],tbal[[#This Row],[CUENTA]],tdiario[DEBE])</f>
        <v>0</v>
      </c>
      <c r="F2165" s="17">
        <f>SUMIF(tdiario[CUENTA],tbal[[#This Row],[CUENTA]],tdiario[HABER])</f>
        <v>0</v>
      </c>
      <c r="G2165" s="16">
        <f>IF(tbal[[#This Row],[DEBE]]-tbal[[#This Row],[HABER]]&gt;0,tbal[[#This Row],[DEBE]]-tbal[[#This Row],[HABER]],0)</f>
        <v>0</v>
      </c>
      <c r="H2165" s="18">
        <f>IF(tbal[[#This Row],[HABER]]-tbal[[#This Row],[DEBE]]&gt;0,tbal[[#This Row],[HABER]]-tbal[[#This Row],[DEBE]],0)</f>
        <v>0</v>
      </c>
      <c r="I2165" s="16">
        <f>IF((OR(tbal[[#This Row],[X]]=1,tbal[[#This Row],[X]]=2)),tbal[[#This Row],[DEUDOR]],0)</f>
        <v>0</v>
      </c>
      <c r="J2165" s="18">
        <f>IF((OR(tbal[[#This Row],[X]]=2,tbal[[#This Row],[X]]=3)),tbal[[#This Row],[ACREEDOR]],0)</f>
        <v>0</v>
      </c>
      <c r="K2165" s="16">
        <f>IF((OR(tbal[[#This Row],[X]]=3,tbal[[#This Row],[X]]=5)),tbal[[#This Row],[DEUDOR]],0)</f>
        <v>0</v>
      </c>
      <c r="L2165" s="18">
        <f>IF((OR(tbal[[#This Row],[X]]=3,tbal[[#This Row],[X]]=4)),tbal[[#This Row],[ACREEDOR]],0)</f>
        <v>0</v>
      </c>
      <c r="M2165" s="16">
        <f>IF((OR(tbal[[#This Row],[X]]=0,tbal[[#This Row],[X]]=6)),tbal[[#This Row],[DEUDOR]],0)</f>
        <v>0</v>
      </c>
      <c r="N2165" s="18">
        <f>IF((OR(tbal[[#This Row],[X]]=0,tbal[[#This Row],[X]]=5)),tbal[[#This Row],[ACREEDOR]],0)</f>
        <v>0</v>
      </c>
    </row>
    <row r="2166" spans="1:14" hidden="1" x14ac:dyDescent="0.3">
      <c r="A2166" s="14">
        <f>+'PLAN DE CUENTAS'!A2166</f>
        <v>0</v>
      </c>
      <c r="B2166" s="13">
        <f>+'PLAN DE CUENTAS'!B2166</f>
        <v>0</v>
      </c>
      <c r="C2166" s="13">
        <f>+'PLAN DE CUENTAS'!C2166</f>
        <v>0</v>
      </c>
      <c r="D2166" t="str">
        <f>IF(tbal[[#This Row],[DEBE]]+tbal[[#This Row],[HABER]]=0,"","X")</f>
        <v/>
      </c>
      <c r="E2166" s="16">
        <f>SUMIF(tdiario[CUENTA],tbal[[#This Row],[CUENTA]],tdiario[DEBE])</f>
        <v>0</v>
      </c>
      <c r="F2166" s="17">
        <f>SUMIF(tdiario[CUENTA],tbal[[#This Row],[CUENTA]],tdiario[HABER])</f>
        <v>0</v>
      </c>
      <c r="G2166" s="16">
        <f>IF(tbal[[#This Row],[DEBE]]-tbal[[#This Row],[HABER]]&gt;0,tbal[[#This Row],[DEBE]]-tbal[[#This Row],[HABER]],0)</f>
        <v>0</v>
      </c>
      <c r="H2166" s="18">
        <f>IF(tbal[[#This Row],[HABER]]-tbal[[#This Row],[DEBE]]&gt;0,tbal[[#This Row],[HABER]]-tbal[[#This Row],[DEBE]],0)</f>
        <v>0</v>
      </c>
      <c r="I2166" s="16">
        <f>IF((OR(tbal[[#This Row],[X]]=1,tbal[[#This Row],[X]]=2)),tbal[[#This Row],[DEUDOR]],0)</f>
        <v>0</v>
      </c>
      <c r="J2166" s="18">
        <f>IF((OR(tbal[[#This Row],[X]]=2,tbal[[#This Row],[X]]=3)),tbal[[#This Row],[ACREEDOR]],0)</f>
        <v>0</v>
      </c>
      <c r="K2166" s="16">
        <f>IF((OR(tbal[[#This Row],[X]]=3,tbal[[#This Row],[X]]=5)),tbal[[#This Row],[DEUDOR]],0)</f>
        <v>0</v>
      </c>
      <c r="L2166" s="18">
        <f>IF((OR(tbal[[#This Row],[X]]=3,tbal[[#This Row],[X]]=4)),tbal[[#This Row],[ACREEDOR]],0)</f>
        <v>0</v>
      </c>
      <c r="M2166" s="16">
        <f>IF((OR(tbal[[#This Row],[X]]=0,tbal[[#This Row],[X]]=6)),tbal[[#This Row],[DEUDOR]],0)</f>
        <v>0</v>
      </c>
      <c r="N2166" s="18">
        <f>IF((OR(tbal[[#This Row],[X]]=0,tbal[[#This Row],[X]]=5)),tbal[[#This Row],[ACREEDOR]],0)</f>
        <v>0</v>
      </c>
    </row>
    <row r="2167" spans="1:14" hidden="1" x14ac:dyDescent="0.3">
      <c r="A2167" s="14">
        <f>+'PLAN DE CUENTAS'!A2167</f>
        <v>0</v>
      </c>
      <c r="B2167" s="13">
        <f>+'PLAN DE CUENTAS'!B2167</f>
        <v>0</v>
      </c>
      <c r="C2167" s="13">
        <f>+'PLAN DE CUENTAS'!C2167</f>
        <v>0</v>
      </c>
      <c r="D2167" t="str">
        <f>IF(tbal[[#This Row],[DEBE]]+tbal[[#This Row],[HABER]]=0,"","X")</f>
        <v/>
      </c>
      <c r="E2167" s="16">
        <f>SUMIF(tdiario[CUENTA],tbal[[#This Row],[CUENTA]],tdiario[DEBE])</f>
        <v>0</v>
      </c>
      <c r="F2167" s="17">
        <f>SUMIF(tdiario[CUENTA],tbal[[#This Row],[CUENTA]],tdiario[HABER])</f>
        <v>0</v>
      </c>
      <c r="G2167" s="16">
        <f>IF(tbal[[#This Row],[DEBE]]-tbal[[#This Row],[HABER]]&gt;0,tbal[[#This Row],[DEBE]]-tbal[[#This Row],[HABER]],0)</f>
        <v>0</v>
      </c>
      <c r="H2167" s="18">
        <f>IF(tbal[[#This Row],[HABER]]-tbal[[#This Row],[DEBE]]&gt;0,tbal[[#This Row],[HABER]]-tbal[[#This Row],[DEBE]],0)</f>
        <v>0</v>
      </c>
      <c r="I2167" s="16">
        <f>IF((OR(tbal[[#This Row],[X]]=1,tbal[[#This Row],[X]]=2)),tbal[[#This Row],[DEUDOR]],0)</f>
        <v>0</v>
      </c>
      <c r="J2167" s="18">
        <f>IF((OR(tbal[[#This Row],[X]]=2,tbal[[#This Row],[X]]=3)),tbal[[#This Row],[ACREEDOR]],0)</f>
        <v>0</v>
      </c>
      <c r="K2167" s="16">
        <f>IF((OR(tbal[[#This Row],[X]]=3,tbal[[#This Row],[X]]=5)),tbal[[#This Row],[DEUDOR]],0)</f>
        <v>0</v>
      </c>
      <c r="L2167" s="18">
        <f>IF((OR(tbal[[#This Row],[X]]=3,tbal[[#This Row],[X]]=4)),tbal[[#This Row],[ACREEDOR]],0)</f>
        <v>0</v>
      </c>
      <c r="M2167" s="16">
        <f>IF((OR(tbal[[#This Row],[X]]=0,tbal[[#This Row],[X]]=6)),tbal[[#This Row],[DEUDOR]],0)</f>
        <v>0</v>
      </c>
      <c r="N2167" s="18">
        <f>IF((OR(tbal[[#This Row],[X]]=0,tbal[[#This Row],[X]]=5)),tbal[[#This Row],[ACREEDOR]],0)</f>
        <v>0</v>
      </c>
    </row>
    <row r="2168" spans="1:14" hidden="1" x14ac:dyDescent="0.3">
      <c r="A2168" s="14">
        <f>+'PLAN DE CUENTAS'!A2168</f>
        <v>0</v>
      </c>
      <c r="B2168" s="13">
        <f>+'PLAN DE CUENTAS'!B2168</f>
        <v>0</v>
      </c>
      <c r="C2168" s="13">
        <f>+'PLAN DE CUENTAS'!C2168</f>
        <v>0</v>
      </c>
      <c r="D2168" t="str">
        <f>IF(tbal[[#This Row],[DEBE]]+tbal[[#This Row],[HABER]]=0,"","X")</f>
        <v/>
      </c>
      <c r="E2168" s="16">
        <f>SUMIF(tdiario[CUENTA],tbal[[#This Row],[CUENTA]],tdiario[DEBE])</f>
        <v>0</v>
      </c>
      <c r="F2168" s="17">
        <f>SUMIF(tdiario[CUENTA],tbal[[#This Row],[CUENTA]],tdiario[HABER])</f>
        <v>0</v>
      </c>
      <c r="G2168" s="16">
        <f>IF(tbal[[#This Row],[DEBE]]-tbal[[#This Row],[HABER]]&gt;0,tbal[[#This Row],[DEBE]]-tbal[[#This Row],[HABER]],0)</f>
        <v>0</v>
      </c>
      <c r="H2168" s="18">
        <f>IF(tbal[[#This Row],[HABER]]-tbal[[#This Row],[DEBE]]&gt;0,tbal[[#This Row],[HABER]]-tbal[[#This Row],[DEBE]],0)</f>
        <v>0</v>
      </c>
      <c r="I2168" s="16">
        <f>IF((OR(tbal[[#This Row],[X]]=1,tbal[[#This Row],[X]]=2)),tbal[[#This Row],[DEUDOR]],0)</f>
        <v>0</v>
      </c>
      <c r="J2168" s="18">
        <f>IF((OR(tbal[[#This Row],[X]]=2,tbal[[#This Row],[X]]=3)),tbal[[#This Row],[ACREEDOR]],0)</f>
        <v>0</v>
      </c>
      <c r="K2168" s="16">
        <f>IF((OR(tbal[[#This Row],[X]]=3,tbal[[#This Row],[X]]=5)),tbal[[#This Row],[DEUDOR]],0)</f>
        <v>0</v>
      </c>
      <c r="L2168" s="18">
        <f>IF((OR(tbal[[#This Row],[X]]=3,tbal[[#This Row],[X]]=4)),tbal[[#This Row],[ACREEDOR]],0)</f>
        <v>0</v>
      </c>
      <c r="M2168" s="16">
        <f>IF((OR(tbal[[#This Row],[X]]=0,tbal[[#This Row],[X]]=6)),tbal[[#This Row],[DEUDOR]],0)</f>
        <v>0</v>
      </c>
      <c r="N2168" s="18">
        <f>IF((OR(tbal[[#This Row],[X]]=0,tbal[[#This Row],[X]]=5)),tbal[[#This Row],[ACREEDOR]],0)</f>
        <v>0</v>
      </c>
    </row>
    <row r="2169" spans="1:14" hidden="1" x14ac:dyDescent="0.3">
      <c r="A2169" s="14">
        <f>+'PLAN DE CUENTAS'!A2169</f>
        <v>0</v>
      </c>
      <c r="B2169" s="13">
        <f>+'PLAN DE CUENTAS'!B2169</f>
        <v>0</v>
      </c>
      <c r="C2169" s="13">
        <f>+'PLAN DE CUENTAS'!C2169</f>
        <v>0</v>
      </c>
      <c r="D2169" t="str">
        <f>IF(tbal[[#This Row],[DEBE]]+tbal[[#This Row],[HABER]]=0,"","X")</f>
        <v/>
      </c>
      <c r="E2169" s="16">
        <f>SUMIF(tdiario[CUENTA],tbal[[#This Row],[CUENTA]],tdiario[DEBE])</f>
        <v>0</v>
      </c>
      <c r="F2169" s="17">
        <f>SUMIF(tdiario[CUENTA],tbal[[#This Row],[CUENTA]],tdiario[HABER])</f>
        <v>0</v>
      </c>
      <c r="G2169" s="16">
        <f>IF(tbal[[#This Row],[DEBE]]-tbal[[#This Row],[HABER]]&gt;0,tbal[[#This Row],[DEBE]]-tbal[[#This Row],[HABER]],0)</f>
        <v>0</v>
      </c>
      <c r="H2169" s="18">
        <f>IF(tbal[[#This Row],[HABER]]-tbal[[#This Row],[DEBE]]&gt;0,tbal[[#This Row],[HABER]]-tbal[[#This Row],[DEBE]],0)</f>
        <v>0</v>
      </c>
      <c r="I2169" s="16">
        <f>IF((OR(tbal[[#This Row],[X]]=1,tbal[[#This Row],[X]]=2)),tbal[[#This Row],[DEUDOR]],0)</f>
        <v>0</v>
      </c>
      <c r="J2169" s="18">
        <f>IF((OR(tbal[[#This Row],[X]]=2,tbal[[#This Row],[X]]=3)),tbal[[#This Row],[ACREEDOR]],0)</f>
        <v>0</v>
      </c>
      <c r="K2169" s="16">
        <f>IF((OR(tbal[[#This Row],[X]]=3,tbal[[#This Row],[X]]=5)),tbal[[#This Row],[DEUDOR]],0)</f>
        <v>0</v>
      </c>
      <c r="L2169" s="18">
        <f>IF((OR(tbal[[#This Row],[X]]=3,tbal[[#This Row],[X]]=4)),tbal[[#This Row],[ACREEDOR]],0)</f>
        <v>0</v>
      </c>
      <c r="M2169" s="16">
        <f>IF((OR(tbal[[#This Row],[X]]=0,tbal[[#This Row],[X]]=6)),tbal[[#This Row],[DEUDOR]],0)</f>
        <v>0</v>
      </c>
      <c r="N2169" s="18">
        <f>IF((OR(tbal[[#This Row],[X]]=0,tbal[[#This Row],[X]]=5)),tbal[[#This Row],[ACREEDOR]],0)</f>
        <v>0</v>
      </c>
    </row>
    <row r="2170" spans="1:14" hidden="1" x14ac:dyDescent="0.3">
      <c r="A2170" s="14">
        <f>+'PLAN DE CUENTAS'!A2170</f>
        <v>0</v>
      </c>
      <c r="B2170" s="13">
        <f>+'PLAN DE CUENTAS'!B2170</f>
        <v>0</v>
      </c>
      <c r="C2170" s="13">
        <f>+'PLAN DE CUENTAS'!C2170</f>
        <v>0</v>
      </c>
      <c r="D2170" t="str">
        <f>IF(tbal[[#This Row],[DEBE]]+tbal[[#This Row],[HABER]]=0,"","X")</f>
        <v/>
      </c>
      <c r="E2170" s="16">
        <f>SUMIF(tdiario[CUENTA],tbal[[#This Row],[CUENTA]],tdiario[DEBE])</f>
        <v>0</v>
      </c>
      <c r="F2170" s="17">
        <f>SUMIF(tdiario[CUENTA],tbal[[#This Row],[CUENTA]],tdiario[HABER])</f>
        <v>0</v>
      </c>
      <c r="G2170" s="16">
        <f>IF(tbal[[#This Row],[DEBE]]-tbal[[#This Row],[HABER]]&gt;0,tbal[[#This Row],[DEBE]]-tbal[[#This Row],[HABER]],0)</f>
        <v>0</v>
      </c>
      <c r="H2170" s="18">
        <f>IF(tbal[[#This Row],[HABER]]-tbal[[#This Row],[DEBE]]&gt;0,tbal[[#This Row],[HABER]]-tbal[[#This Row],[DEBE]],0)</f>
        <v>0</v>
      </c>
      <c r="I2170" s="16">
        <f>IF((OR(tbal[[#This Row],[X]]=1,tbal[[#This Row],[X]]=2)),tbal[[#This Row],[DEUDOR]],0)</f>
        <v>0</v>
      </c>
      <c r="J2170" s="18">
        <f>IF((OR(tbal[[#This Row],[X]]=2,tbal[[#This Row],[X]]=3)),tbal[[#This Row],[ACREEDOR]],0)</f>
        <v>0</v>
      </c>
      <c r="K2170" s="16">
        <f>IF((OR(tbal[[#This Row],[X]]=3,tbal[[#This Row],[X]]=5)),tbal[[#This Row],[DEUDOR]],0)</f>
        <v>0</v>
      </c>
      <c r="L2170" s="18">
        <f>IF((OR(tbal[[#This Row],[X]]=3,tbal[[#This Row],[X]]=4)),tbal[[#This Row],[ACREEDOR]],0)</f>
        <v>0</v>
      </c>
      <c r="M2170" s="16">
        <f>IF((OR(tbal[[#This Row],[X]]=0,tbal[[#This Row],[X]]=6)),tbal[[#This Row],[DEUDOR]],0)</f>
        <v>0</v>
      </c>
      <c r="N2170" s="18">
        <f>IF((OR(tbal[[#This Row],[X]]=0,tbal[[#This Row],[X]]=5)),tbal[[#This Row],[ACREEDOR]],0)</f>
        <v>0</v>
      </c>
    </row>
    <row r="2171" spans="1:14" hidden="1" x14ac:dyDescent="0.3">
      <c r="A2171" s="14">
        <f>+'PLAN DE CUENTAS'!A2171</f>
        <v>0</v>
      </c>
      <c r="B2171" s="13">
        <f>+'PLAN DE CUENTAS'!B2171</f>
        <v>0</v>
      </c>
      <c r="C2171" s="13">
        <f>+'PLAN DE CUENTAS'!C2171</f>
        <v>0</v>
      </c>
      <c r="D2171" t="str">
        <f>IF(tbal[[#This Row],[DEBE]]+tbal[[#This Row],[HABER]]=0,"","X")</f>
        <v/>
      </c>
      <c r="E2171" s="16">
        <f>SUMIF(tdiario[CUENTA],tbal[[#This Row],[CUENTA]],tdiario[DEBE])</f>
        <v>0</v>
      </c>
      <c r="F2171" s="17">
        <f>SUMIF(tdiario[CUENTA],tbal[[#This Row],[CUENTA]],tdiario[HABER])</f>
        <v>0</v>
      </c>
      <c r="G2171" s="16">
        <f>IF(tbal[[#This Row],[DEBE]]-tbal[[#This Row],[HABER]]&gt;0,tbal[[#This Row],[DEBE]]-tbal[[#This Row],[HABER]],0)</f>
        <v>0</v>
      </c>
      <c r="H2171" s="18">
        <f>IF(tbal[[#This Row],[HABER]]-tbal[[#This Row],[DEBE]]&gt;0,tbal[[#This Row],[HABER]]-tbal[[#This Row],[DEBE]],0)</f>
        <v>0</v>
      </c>
      <c r="I2171" s="16">
        <f>IF((OR(tbal[[#This Row],[X]]=1,tbal[[#This Row],[X]]=2)),tbal[[#This Row],[DEUDOR]],0)</f>
        <v>0</v>
      </c>
      <c r="J2171" s="18">
        <f>IF((OR(tbal[[#This Row],[X]]=2,tbal[[#This Row],[X]]=3)),tbal[[#This Row],[ACREEDOR]],0)</f>
        <v>0</v>
      </c>
      <c r="K2171" s="16">
        <f>IF((OR(tbal[[#This Row],[X]]=3,tbal[[#This Row],[X]]=5)),tbal[[#This Row],[DEUDOR]],0)</f>
        <v>0</v>
      </c>
      <c r="L2171" s="18">
        <f>IF((OR(tbal[[#This Row],[X]]=3,tbal[[#This Row],[X]]=4)),tbal[[#This Row],[ACREEDOR]],0)</f>
        <v>0</v>
      </c>
      <c r="M2171" s="16">
        <f>IF((OR(tbal[[#This Row],[X]]=0,tbal[[#This Row],[X]]=6)),tbal[[#This Row],[DEUDOR]],0)</f>
        <v>0</v>
      </c>
      <c r="N2171" s="18">
        <f>IF((OR(tbal[[#This Row],[X]]=0,tbal[[#This Row],[X]]=5)),tbal[[#This Row],[ACREEDOR]],0)</f>
        <v>0</v>
      </c>
    </row>
    <row r="2172" spans="1:14" hidden="1" x14ac:dyDescent="0.3">
      <c r="A2172" s="14">
        <f>+'PLAN DE CUENTAS'!A2172</f>
        <v>0</v>
      </c>
      <c r="B2172" s="13">
        <f>+'PLAN DE CUENTAS'!B2172</f>
        <v>0</v>
      </c>
      <c r="C2172" s="13">
        <f>+'PLAN DE CUENTAS'!C2172</f>
        <v>0</v>
      </c>
      <c r="D2172" t="str">
        <f>IF(tbal[[#This Row],[DEBE]]+tbal[[#This Row],[HABER]]=0,"","X")</f>
        <v/>
      </c>
      <c r="E2172" s="16">
        <f>SUMIF(tdiario[CUENTA],tbal[[#This Row],[CUENTA]],tdiario[DEBE])</f>
        <v>0</v>
      </c>
      <c r="F2172" s="17">
        <f>SUMIF(tdiario[CUENTA],tbal[[#This Row],[CUENTA]],tdiario[HABER])</f>
        <v>0</v>
      </c>
      <c r="G2172" s="16">
        <f>IF(tbal[[#This Row],[DEBE]]-tbal[[#This Row],[HABER]]&gt;0,tbal[[#This Row],[DEBE]]-tbal[[#This Row],[HABER]],0)</f>
        <v>0</v>
      </c>
      <c r="H2172" s="18">
        <f>IF(tbal[[#This Row],[HABER]]-tbal[[#This Row],[DEBE]]&gt;0,tbal[[#This Row],[HABER]]-tbal[[#This Row],[DEBE]],0)</f>
        <v>0</v>
      </c>
      <c r="I2172" s="16">
        <f>IF((OR(tbal[[#This Row],[X]]=1,tbal[[#This Row],[X]]=2)),tbal[[#This Row],[DEUDOR]],0)</f>
        <v>0</v>
      </c>
      <c r="J2172" s="18">
        <f>IF((OR(tbal[[#This Row],[X]]=2,tbal[[#This Row],[X]]=3)),tbal[[#This Row],[ACREEDOR]],0)</f>
        <v>0</v>
      </c>
      <c r="K2172" s="16">
        <f>IF((OR(tbal[[#This Row],[X]]=3,tbal[[#This Row],[X]]=5)),tbal[[#This Row],[DEUDOR]],0)</f>
        <v>0</v>
      </c>
      <c r="L2172" s="18">
        <f>IF((OR(tbal[[#This Row],[X]]=3,tbal[[#This Row],[X]]=4)),tbal[[#This Row],[ACREEDOR]],0)</f>
        <v>0</v>
      </c>
      <c r="M2172" s="16">
        <f>IF((OR(tbal[[#This Row],[X]]=0,tbal[[#This Row],[X]]=6)),tbal[[#This Row],[DEUDOR]],0)</f>
        <v>0</v>
      </c>
      <c r="N2172" s="18">
        <f>IF((OR(tbal[[#This Row],[X]]=0,tbal[[#This Row],[X]]=5)),tbal[[#This Row],[ACREEDOR]],0)</f>
        <v>0</v>
      </c>
    </row>
    <row r="2173" spans="1:14" hidden="1" x14ac:dyDescent="0.3">
      <c r="A2173" s="14">
        <f>+'PLAN DE CUENTAS'!A2173</f>
        <v>0</v>
      </c>
      <c r="B2173" s="13">
        <f>+'PLAN DE CUENTAS'!B2173</f>
        <v>0</v>
      </c>
      <c r="C2173" s="13">
        <f>+'PLAN DE CUENTAS'!C2173</f>
        <v>0</v>
      </c>
      <c r="D2173" t="str">
        <f>IF(tbal[[#This Row],[DEBE]]+tbal[[#This Row],[HABER]]=0,"","X")</f>
        <v/>
      </c>
      <c r="E2173" s="16">
        <f>SUMIF(tdiario[CUENTA],tbal[[#This Row],[CUENTA]],tdiario[DEBE])</f>
        <v>0</v>
      </c>
      <c r="F2173" s="17">
        <f>SUMIF(tdiario[CUENTA],tbal[[#This Row],[CUENTA]],tdiario[HABER])</f>
        <v>0</v>
      </c>
      <c r="G2173" s="16">
        <f>IF(tbal[[#This Row],[DEBE]]-tbal[[#This Row],[HABER]]&gt;0,tbal[[#This Row],[DEBE]]-tbal[[#This Row],[HABER]],0)</f>
        <v>0</v>
      </c>
      <c r="H2173" s="18">
        <f>IF(tbal[[#This Row],[HABER]]-tbal[[#This Row],[DEBE]]&gt;0,tbal[[#This Row],[HABER]]-tbal[[#This Row],[DEBE]],0)</f>
        <v>0</v>
      </c>
      <c r="I2173" s="16">
        <f>IF((OR(tbal[[#This Row],[X]]=1,tbal[[#This Row],[X]]=2)),tbal[[#This Row],[DEUDOR]],0)</f>
        <v>0</v>
      </c>
      <c r="J2173" s="18">
        <f>IF((OR(tbal[[#This Row],[X]]=2,tbal[[#This Row],[X]]=3)),tbal[[#This Row],[ACREEDOR]],0)</f>
        <v>0</v>
      </c>
      <c r="K2173" s="16">
        <f>IF((OR(tbal[[#This Row],[X]]=3,tbal[[#This Row],[X]]=5)),tbal[[#This Row],[DEUDOR]],0)</f>
        <v>0</v>
      </c>
      <c r="L2173" s="18">
        <f>IF((OR(tbal[[#This Row],[X]]=3,tbal[[#This Row],[X]]=4)),tbal[[#This Row],[ACREEDOR]],0)</f>
        <v>0</v>
      </c>
      <c r="M2173" s="16">
        <f>IF((OR(tbal[[#This Row],[X]]=0,tbal[[#This Row],[X]]=6)),tbal[[#This Row],[DEUDOR]],0)</f>
        <v>0</v>
      </c>
      <c r="N2173" s="18">
        <f>IF((OR(tbal[[#This Row],[X]]=0,tbal[[#This Row],[X]]=5)),tbal[[#This Row],[ACREEDOR]],0)</f>
        <v>0</v>
      </c>
    </row>
    <row r="2174" spans="1:14" hidden="1" x14ac:dyDescent="0.3">
      <c r="A2174" s="14">
        <f>+'PLAN DE CUENTAS'!A2174</f>
        <v>0</v>
      </c>
      <c r="B2174" s="13">
        <f>+'PLAN DE CUENTAS'!B2174</f>
        <v>0</v>
      </c>
      <c r="C2174" s="13">
        <f>+'PLAN DE CUENTAS'!C2174</f>
        <v>0</v>
      </c>
      <c r="D2174" t="str">
        <f>IF(tbal[[#This Row],[DEBE]]+tbal[[#This Row],[HABER]]=0,"","X")</f>
        <v/>
      </c>
      <c r="E2174" s="16">
        <f>SUMIF(tdiario[CUENTA],tbal[[#This Row],[CUENTA]],tdiario[DEBE])</f>
        <v>0</v>
      </c>
      <c r="F2174" s="17">
        <f>SUMIF(tdiario[CUENTA],tbal[[#This Row],[CUENTA]],tdiario[HABER])</f>
        <v>0</v>
      </c>
      <c r="G2174" s="16">
        <f>IF(tbal[[#This Row],[DEBE]]-tbal[[#This Row],[HABER]]&gt;0,tbal[[#This Row],[DEBE]]-tbal[[#This Row],[HABER]],0)</f>
        <v>0</v>
      </c>
      <c r="H2174" s="18">
        <f>IF(tbal[[#This Row],[HABER]]-tbal[[#This Row],[DEBE]]&gt;0,tbal[[#This Row],[HABER]]-tbal[[#This Row],[DEBE]],0)</f>
        <v>0</v>
      </c>
      <c r="I2174" s="16">
        <f>IF((OR(tbal[[#This Row],[X]]=1,tbal[[#This Row],[X]]=2)),tbal[[#This Row],[DEUDOR]],0)</f>
        <v>0</v>
      </c>
      <c r="J2174" s="18">
        <f>IF((OR(tbal[[#This Row],[X]]=2,tbal[[#This Row],[X]]=3)),tbal[[#This Row],[ACREEDOR]],0)</f>
        <v>0</v>
      </c>
      <c r="K2174" s="16">
        <f>IF((OR(tbal[[#This Row],[X]]=3,tbal[[#This Row],[X]]=5)),tbal[[#This Row],[DEUDOR]],0)</f>
        <v>0</v>
      </c>
      <c r="L2174" s="18">
        <f>IF((OR(tbal[[#This Row],[X]]=3,tbal[[#This Row],[X]]=4)),tbal[[#This Row],[ACREEDOR]],0)</f>
        <v>0</v>
      </c>
      <c r="M2174" s="16">
        <f>IF((OR(tbal[[#This Row],[X]]=0,tbal[[#This Row],[X]]=6)),tbal[[#This Row],[DEUDOR]],0)</f>
        <v>0</v>
      </c>
      <c r="N2174" s="18">
        <f>IF((OR(tbal[[#This Row],[X]]=0,tbal[[#This Row],[X]]=5)),tbal[[#This Row],[ACREEDOR]],0)</f>
        <v>0</v>
      </c>
    </row>
    <row r="2175" spans="1:14" hidden="1" x14ac:dyDescent="0.3">
      <c r="A2175" s="14">
        <f>+'PLAN DE CUENTAS'!A2175</f>
        <v>0</v>
      </c>
      <c r="B2175" s="13">
        <f>+'PLAN DE CUENTAS'!B2175</f>
        <v>0</v>
      </c>
      <c r="C2175" s="13">
        <f>+'PLAN DE CUENTAS'!C2175</f>
        <v>0</v>
      </c>
      <c r="D2175" t="str">
        <f>IF(tbal[[#This Row],[DEBE]]+tbal[[#This Row],[HABER]]=0,"","X")</f>
        <v/>
      </c>
      <c r="E2175" s="16">
        <f>SUMIF(tdiario[CUENTA],tbal[[#This Row],[CUENTA]],tdiario[DEBE])</f>
        <v>0</v>
      </c>
      <c r="F2175" s="17">
        <f>SUMIF(tdiario[CUENTA],tbal[[#This Row],[CUENTA]],tdiario[HABER])</f>
        <v>0</v>
      </c>
      <c r="G2175" s="16">
        <f>IF(tbal[[#This Row],[DEBE]]-tbal[[#This Row],[HABER]]&gt;0,tbal[[#This Row],[DEBE]]-tbal[[#This Row],[HABER]],0)</f>
        <v>0</v>
      </c>
      <c r="H2175" s="18">
        <f>IF(tbal[[#This Row],[HABER]]-tbal[[#This Row],[DEBE]]&gt;0,tbal[[#This Row],[HABER]]-tbal[[#This Row],[DEBE]],0)</f>
        <v>0</v>
      </c>
      <c r="I2175" s="16">
        <f>IF((OR(tbal[[#This Row],[X]]=1,tbal[[#This Row],[X]]=2)),tbal[[#This Row],[DEUDOR]],0)</f>
        <v>0</v>
      </c>
      <c r="J2175" s="18">
        <f>IF((OR(tbal[[#This Row],[X]]=2,tbal[[#This Row],[X]]=3)),tbal[[#This Row],[ACREEDOR]],0)</f>
        <v>0</v>
      </c>
      <c r="K2175" s="16">
        <f>IF((OR(tbal[[#This Row],[X]]=3,tbal[[#This Row],[X]]=5)),tbal[[#This Row],[DEUDOR]],0)</f>
        <v>0</v>
      </c>
      <c r="L2175" s="18">
        <f>IF((OR(tbal[[#This Row],[X]]=3,tbal[[#This Row],[X]]=4)),tbal[[#This Row],[ACREEDOR]],0)</f>
        <v>0</v>
      </c>
      <c r="M2175" s="16">
        <f>IF((OR(tbal[[#This Row],[X]]=0,tbal[[#This Row],[X]]=6)),tbal[[#This Row],[DEUDOR]],0)</f>
        <v>0</v>
      </c>
      <c r="N2175" s="18">
        <f>IF((OR(tbal[[#This Row],[X]]=0,tbal[[#This Row],[X]]=5)),tbal[[#This Row],[ACREEDOR]],0)</f>
        <v>0</v>
      </c>
    </row>
    <row r="2176" spans="1:14" hidden="1" x14ac:dyDescent="0.3">
      <c r="A2176" s="14">
        <f>+'PLAN DE CUENTAS'!A2176</f>
        <v>0</v>
      </c>
      <c r="B2176" s="13">
        <f>+'PLAN DE CUENTAS'!B2176</f>
        <v>0</v>
      </c>
      <c r="C2176" s="13">
        <f>+'PLAN DE CUENTAS'!C2176</f>
        <v>0</v>
      </c>
      <c r="D2176" t="str">
        <f>IF(tbal[[#This Row],[DEBE]]+tbal[[#This Row],[HABER]]=0,"","X")</f>
        <v/>
      </c>
      <c r="E2176" s="16">
        <f>SUMIF(tdiario[CUENTA],tbal[[#This Row],[CUENTA]],tdiario[DEBE])</f>
        <v>0</v>
      </c>
      <c r="F2176" s="17">
        <f>SUMIF(tdiario[CUENTA],tbal[[#This Row],[CUENTA]],tdiario[HABER])</f>
        <v>0</v>
      </c>
      <c r="G2176" s="16">
        <f>IF(tbal[[#This Row],[DEBE]]-tbal[[#This Row],[HABER]]&gt;0,tbal[[#This Row],[DEBE]]-tbal[[#This Row],[HABER]],0)</f>
        <v>0</v>
      </c>
      <c r="H2176" s="18">
        <f>IF(tbal[[#This Row],[HABER]]-tbal[[#This Row],[DEBE]]&gt;0,tbal[[#This Row],[HABER]]-tbal[[#This Row],[DEBE]],0)</f>
        <v>0</v>
      </c>
      <c r="I2176" s="16">
        <f>IF((OR(tbal[[#This Row],[X]]=1,tbal[[#This Row],[X]]=2)),tbal[[#This Row],[DEUDOR]],0)</f>
        <v>0</v>
      </c>
      <c r="J2176" s="18">
        <f>IF((OR(tbal[[#This Row],[X]]=2,tbal[[#This Row],[X]]=3)),tbal[[#This Row],[ACREEDOR]],0)</f>
        <v>0</v>
      </c>
      <c r="K2176" s="16">
        <f>IF((OR(tbal[[#This Row],[X]]=3,tbal[[#This Row],[X]]=5)),tbal[[#This Row],[DEUDOR]],0)</f>
        <v>0</v>
      </c>
      <c r="L2176" s="18">
        <f>IF((OR(tbal[[#This Row],[X]]=3,tbal[[#This Row],[X]]=4)),tbal[[#This Row],[ACREEDOR]],0)</f>
        <v>0</v>
      </c>
      <c r="M2176" s="16">
        <f>IF((OR(tbal[[#This Row],[X]]=0,tbal[[#This Row],[X]]=6)),tbal[[#This Row],[DEUDOR]],0)</f>
        <v>0</v>
      </c>
      <c r="N2176" s="18">
        <f>IF((OR(tbal[[#This Row],[X]]=0,tbal[[#This Row],[X]]=5)),tbal[[#This Row],[ACREEDOR]],0)</f>
        <v>0</v>
      </c>
    </row>
    <row r="2177" spans="1:14" hidden="1" x14ac:dyDescent="0.3">
      <c r="A2177" s="14">
        <f>+'PLAN DE CUENTAS'!A2177</f>
        <v>0</v>
      </c>
      <c r="B2177" s="13">
        <f>+'PLAN DE CUENTAS'!B2177</f>
        <v>0</v>
      </c>
      <c r="C2177" s="13">
        <f>+'PLAN DE CUENTAS'!C2177</f>
        <v>0</v>
      </c>
      <c r="D2177" t="str">
        <f>IF(tbal[[#This Row],[DEBE]]+tbal[[#This Row],[HABER]]=0,"","X")</f>
        <v/>
      </c>
      <c r="E2177" s="16">
        <f>SUMIF(tdiario[CUENTA],tbal[[#This Row],[CUENTA]],tdiario[DEBE])</f>
        <v>0</v>
      </c>
      <c r="F2177" s="17">
        <f>SUMIF(tdiario[CUENTA],tbal[[#This Row],[CUENTA]],tdiario[HABER])</f>
        <v>0</v>
      </c>
      <c r="G2177" s="16">
        <f>IF(tbal[[#This Row],[DEBE]]-tbal[[#This Row],[HABER]]&gt;0,tbal[[#This Row],[DEBE]]-tbal[[#This Row],[HABER]],0)</f>
        <v>0</v>
      </c>
      <c r="H2177" s="18">
        <f>IF(tbal[[#This Row],[HABER]]-tbal[[#This Row],[DEBE]]&gt;0,tbal[[#This Row],[HABER]]-tbal[[#This Row],[DEBE]],0)</f>
        <v>0</v>
      </c>
      <c r="I2177" s="16">
        <f>IF((OR(tbal[[#This Row],[X]]=1,tbal[[#This Row],[X]]=2)),tbal[[#This Row],[DEUDOR]],0)</f>
        <v>0</v>
      </c>
      <c r="J2177" s="18">
        <f>IF((OR(tbal[[#This Row],[X]]=2,tbal[[#This Row],[X]]=3)),tbal[[#This Row],[ACREEDOR]],0)</f>
        <v>0</v>
      </c>
      <c r="K2177" s="16">
        <f>IF((OR(tbal[[#This Row],[X]]=3,tbal[[#This Row],[X]]=5)),tbal[[#This Row],[DEUDOR]],0)</f>
        <v>0</v>
      </c>
      <c r="L2177" s="18">
        <f>IF((OR(tbal[[#This Row],[X]]=3,tbal[[#This Row],[X]]=4)),tbal[[#This Row],[ACREEDOR]],0)</f>
        <v>0</v>
      </c>
      <c r="M2177" s="16">
        <f>IF((OR(tbal[[#This Row],[X]]=0,tbal[[#This Row],[X]]=6)),tbal[[#This Row],[DEUDOR]],0)</f>
        <v>0</v>
      </c>
      <c r="N2177" s="18">
        <f>IF((OR(tbal[[#This Row],[X]]=0,tbal[[#This Row],[X]]=5)),tbal[[#This Row],[ACREEDOR]],0)</f>
        <v>0</v>
      </c>
    </row>
    <row r="2178" spans="1:14" hidden="1" x14ac:dyDescent="0.3">
      <c r="A2178" s="14">
        <f>+'PLAN DE CUENTAS'!A2178</f>
        <v>0</v>
      </c>
      <c r="B2178" s="13">
        <f>+'PLAN DE CUENTAS'!B2178</f>
        <v>0</v>
      </c>
      <c r="C2178" s="13">
        <f>+'PLAN DE CUENTAS'!C2178</f>
        <v>0</v>
      </c>
      <c r="D2178" t="str">
        <f>IF(tbal[[#This Row],[DEBE]]+tbal[[#This Row],[HABER]]=0,"","X")</f>
        <v/>
      </c>
      <c r="E2178" s="16">
        <f>SUMIF(tdiario[CUENTA],tbal[[#This Row],[CUENTA]],tdiario[DEBE])</f>
        <v>0</v>
      </c>
      <c r="F2178" s="17">
        <f>SUMIF(tdiario[CUENTA],tbal[[#This Row],[CUENTA]],tdiario[HABER])</f>
        <v>0</v>
      </c>
      <c r="G2178" s="16">
        <f>IF(tbal[[#This Row],[DEBE]]-tbal[[#This Row],[HABER]]&gt;0,tbal[[#This Row],[DEBE]]-tbal[[#This Row],[HABER]],0)</f>
        <v>0</v>
      </c>
      <c r="H2178" s="18">
        <f>IF(tbal[[#This Row],[HABER]]-tbal[[#This Row],[DEBE]]&gt;0,tbal[[#This Row],[HABER]]-tbal[[#This Row],[DEBE]],0)</f>
        <v>0</v>
      </c>
      <c r="I2178" s="16">
        <f>IF((OR(tbal[[#This Row],[X]]=1,tbal[[#This Row],[X]]=2)),tbal[[#This Row],[DEUDOR]],0)</f>
        <v>0</v>
      </c>
      <c r="J2178" s="18">
        <f>IF((OR(tbal[[#This Row],[X]]=2,tbal[[#This Row],[X]]=3)),tbal[[#This Row],[ACREEDOR]],0)</f>
        <v>0</v>
      </c>
      <c r="K2178" s="16">
        <f>IF((OR(tbal[[#This Row],[X]]=3,tbal[[#This Row],[X]]=5)),tbal[[#This Row],[DEUDOR]],0)</f>
        <v>0</v>
      </c>
      <c r="L2178" s="18">
        <f>IF((OR(tbal[[#This Row],[X]]=3,tbal[[#This Row],[X]]=4)),tbal[[#This Row],[ACREEDOR]],0)</f>
        <v>0</v>
      </c>
      <c r="M2178" s="16">
        <f>IF((OR(tbal[[#This Row],[X]]=0,tbal[[#This Row],[X]]=6)),tbal[[#This Row],[DEUDOR]],0)</f>
        <v>0</v>
      </c>
      <c r="N2178" s="18">
        <f>IF((OR(tbal[[#This Row],[X]]=0,tbal[[#This Row],[X]]=5)),tbal[[#This Row],[ACREEDOR]],0)</f>
        <v>0</v>
      </c>
    </row>
    <row r="2179" spans="1:14" hidden="1" x14ac:dyDescent="0.3">
      <c r="A2179" s="14">
        <f>+'PLAN DE CUENTAS'!A2179</f>
        <v>0</v>
      </c>
      <c r="B2179" s="13">
        <f>+'PLAN DE CUENTAS'!B2179</f>
        <v>0</v>
      </c>
      <c r="C2179" s="13">
        <f>+'PLAN DE CUENTAS'!C2179</f>
        <v>0</v>
      </c>
      <c r="D2179" t="str">
        <f>IF(tbal[[#This Row],[DEBE]]+tbal[[#This Row],[HABER]]=0,"","X")</f>
        <v/>
      </c>
      <c r="E2179" s="16">
        <f>SUMIF(tdiario[CUENTA],tbal[[#This Row],[CUENTA]],tdiario[DEBE])</f>
        <v>0</v>
      </c>
      <c r="F2179" s="17">
        <f>SUMIF(tdiario[CUENTA],tbal[[#This Row],[CUENTA]],tdiario[HABER])</f>
        <v>0</v>
      </c>
      <c r="G2179" s="16">
        <f>IF(tbal[[#This Row],[DEBE]]-tbal[[#This Row],[HABER]]&gt;0,tbal[[#This Row],[DEBE]]-tbal[[#This Row],[HABER]],0)</f>
        <v>0</v>
      </c>
      <c r="H2179" s="18">
        <f>IF(tbal[[#This Row],[HABER]]-tbal[[#This Row],[DEBE]]&gt;0,tbal[[#This Row],[HABER]]-tbal[[#This Row],[DEBE]],0)</f>
        <v>0</v>
      </c>
      <c r="I2179" s="16">
        <f>IF((OR(tbal[[#This Row],[X]]=1,tbal[[#This Row],[X]]=2)),tbal[[#This Row],[DEUDOR]],0)</f>
        <v>0</v>
      </c>
      <c r="J2179" s="18">
        <f>IF((OR(tbal[[#This Row],[X]]=2,tbal[[#This Row],[X]]=3)),tbal[[#This Row],[ACREEDOR]],0)</f>
        <v>0</v>
      </c>
      <c r="K2179" s="16">
        <f>IF((OR(tbal[[#This Row],[X]]=3,tbal[[#This Row],[X]]=5)),tbal[[#This Row],[DEUDOR]],0)</f>
        <v>0</v>
      </c>
      <c r="L2179" s="18">
        <f>IF((OR(tbal[[#This Row],[X]]=3,tbal[[#This Row],[X]]=4)),tbal[[#This Row],[ACREEDOR]],0)</f>
        <v>0</v>
      </c>
      <c r="M2179" s="16">
        <f>IF((OR(tbal[[#This Row],[X]]=0,tbal[[#This Row],[X]]=6)),tbal[[#This Row],[DEUDOR]],0)</f>
        <v>0</v>
      </c>
      <c r="N2179" s="18">
        <f>IF((OR(tbal[[#This Row],[X]]=0,tbal[[#This Row],[X]]=5)),tbal[[#This Row],[ACREEDOR]],0)</f>
        <v>0</v>
      </c>
    </row>
    <row r="2180" spans="1:14" hidden="1" x14ac:dyDescent="0.3">
      <c r="A2180" s="14">
        <f>+'PLAN DE CUENTAS'!A2180</f>
        <v>0</v>
      </c>
      <c r="B2180" s="13">
        <f>+'PLAN DE CUENTAS'!B2180</f>
        <v>0</v>
      </c>
      <c r="C2180" s="13">
        <f>+'PLAN DE CUENTAS'!C2180</f>
        <v>0</v>
      </c>
      <c r="D2180" t="str">
        <f>IF(tbal[[#This Row],[DEBE]]+tbal[[#This Row],[HABER]]=0,"","X")</f>
        <v/>
      </c>
      <c r="E2180" s="16">
        <f>SUMIF(tdiario[CUENTA],tbal[[#This Row],[CUENTA]],tdiario[DEBE])</f>
        <v>0</v>
      </c>
      <c r="F2180" s="17">
        <f>SUMIF(tdiario[CUENTA],tbal[[#This Row],[CUENTA]],tdiario[HABER])</f>
        <v>0</v>
      </c>
      <c r="G2180" s="16">
        <f>IF(tbal[[#This Row],[DEBE]]-tbal[[#This Row],[HABER]]&gt;0,tbal[[#This Row],[DEBE]]-tbal[[#This Row],[HABER]],0)</f>
        <v>0</v>
      </c>
      <c r="H2180" s="18">
        <f>IF(tbal[[#This Row],[HABER]]-tbal[[#This Row],[DEBE]]&gt;0,tbal[[#This Row],[HABER]]-tbal[[#This Row],[DEBE]],0)</f>
        <v>0</v>
      </c>
      <c r="I2180" s="16">
        <f>IF((OR(tbal[[#This Row],[X]]=1,tbal[[#This Row],[X]]=2)),tbal[[#This Row],[DEUDOR]],0)</f>
        <v>0</v>
      </c>
      <c r="J2180" s="18">
        <f>IF((OR(tbal[[#This Row],[X]]=2,tbal[[#This Row],[X]]=3)),tbal[[#This Row],[ACREEDOR]],0)</f>
        <v>0</v>
      </c>
      <c r="K2180" s="16">
        <f>IF((OR(tbal[[#This Row],[X]]=3,tbal[[#This Row],[X]]=5)),tbal[[#This Row],[DEUDOR]],0)</f>
        <v>0</v>
      </c>
      <c r="L2180" s="18">
        <f>IF((OR(tbal[[#This Row],[X]]=3,tbal[[#This Row],[X]]=4)),tbal[[#This Row],[ACREEDOR]],0)</f>
        <v>0</v>
      </c>
      <c r="M2180" s="16">
        <f>IF((OR(tbal[[#This Row],[X]]=0,tbal[[#This Row],[X]]=6)),tbal[[#This Row],[DEUDOR]],0)</f>
        <v>0</v>
      </c>
      <c r="N2180" s="18">
        <f>IF((OR(tbal[[#This Row],[X]]=0,tbal[[#This Row],[X]]=5)),tbal[[#This Row],[ACREEDOR]],0)</f>
        <v>0</v>
      </c>
    </row>
    <row r="2181" spans="1:14" hidden="1" x14ac:dyDescent="0.3">
      <c r="A2181" s="14">
        <f>+'PLAN DE CUENTAS'!A2181</f>
        <v>0</v>
      </c>
      <c r="B2181" s="13">
        <f>+'PLAN DE CUENTAS'!B2181</f>
        <v>0</v>
      </c>
      <c r="C2181" s="13">
        <f>+'PLAN DE CUENTAS'!C2181</f>
        <v>0</v>
      </c>
      <c r="D2181" t="str">
        <f>IF(tbal[[#This Row],[DEBE]]+tbal[[#This Row],[HABER]]=0,"","X")</f>
        <v/>
      </c>
      <c r="E2181" s="16">
        <f>SUMIF(tdiario[CUENTA],tbal[[#This Row],[CUENTA]],tdiario[DEBE])</f>
        <v>0</v>
      </c>
      <c r="F2181" s="17">
        <f>SUMIF(tdiario[CUENTA],tbal[[#This Row],[CUENTA]],tdiario[HABER])</f>
        <v>0</v>
      </c>
      <c r="G2181" s="16">
        <f>IF(tbal[[#This Row],[DEBE]]-tbal[[#This Row],[HABER]]&gt;0,tbal[[#This Row],[DEBE]]-tbal[[#This Row],[HABER]],0)</f>
        <v>0</v>
      </c>
      <c r="H2181" s="18">
        <f>IF(tbal[[#This Row],[HABER]]-tbal[[#This Row],[DEBE]]&gt;0,tbal[[#This Row],[HABER]]-tbal[[#This Row],[DEBE]],0)</f>
        <v>0</v>
      </c>
      <c r="I2181" s="16">
        <f>IF((OR(tbal[[#This Row],[X]]=1,tbal[[#This Row],[X]]=2)),tbal[[#This Row],[DEUDOR]],0)</f>
        <v>0</v>
      </c>
      <c r="J2181" s="18">
        <f>IF((OR(tbal[[#This Row],[X]]=2,tbal[[#This Row],[X]]=3)),tbal[[#This Row],[ACREEDOR]],0)</f>
        <v>0</v>
      </c>
      <c r="K2181" s="16">
        <f>IF((OR(tbal[[#This Row],[X]]=3,tbal[[#This Row],[X]]=5)),tbal[[#This Row],[DEUDOR]],0)</f>
        <v>0</v>
      </c>
      <c r="L2181" s="18">
        <f>IF((OR(tbal[[#This Row],[X]]=3,tbal[[#This Row],[X]]=4)),tbal[[#This Row],[ACREEDOR]],0)</f>
        <v>0</v>
      </c>
      <c r="M2181" s="16">
        <f>IF((OR(tbal[[#This Row],[X]]=0,tbal[[#This Row],[X]]=6)),tbal[[#This Row],[DEUDOR]],0)</f>
        <v>0</v>
      </c>
      <c r="N2181" s="18">
        <f>IF((OR(tbal[[#This Row],[X]]=0,tbal[[#This Row],[X]]=5)),tbal[[#This Row],[ACREEDOR]],0)</f>
        <v>0</v>
      </c>
    </row>
    <row r="2182" spans="1:14" hidden="1" x14ac:dyDescent="0.3">
      <c r="A2182" s="14">
        <f>+'PLAN DE CUENTAS'!A2182</f>
        <v>0</v>
      </c>
      <c r="B2182" s="13">
        <f>+'PLAN DE CUENTAS'!B2182</f>
        <v>0</v>
      </c>
      <c r="C2182" s="13">
        <f>+'PLAN DE CUENTAS'!C2182</f>
        <v>0</v>
      </c>
      <c r="D2182" t="str">
        <f>IF(tbal[[#This Row],[DEBE]]+tbal[[#This Row],[HABER]]=0,"","X")</f>
        <v/>
      </c>
      <c r="E2182" s="16">
        <f>SUMIF(tdiario[CUENTA],tbal[[#This Row],[CUENTA]],tdiario[DEBE])</f>
        <v>0</v>
      </c>
      <c r="F2182" s="17">
        <f>SUMIF(tdiario[CUENTA],tbal[[#This Row],[CUENTA]],tdiario[HABER])</f>
        <v>0</v>
      </c>
      <c r="G2182" s="16">
        <f>IF(tbal[[#This Row],[DEBE]]-tbal[[#This Row],[HABER]]&gt;0,tbal[[#This Row],[DEBE]]-tbal[[#This Row],[HABER]],0)</f>
        <v>0</v>
      </c>
      <c r="H2182" s="18">
        <f>IF(tbal[[#This Row],[HABER]]-tbal[[#This Row],[DEBE]]&gt;0,tbal[[#This Row],[HABER]]-tbal[[#This Row],[DEBE]],0)</f>
        <v>0</v>
      </c>
      <c r="I2182" s="16">
        <f>IF((OR(tbal[[#This Row],[X]]=1,tbal[[#This Row],[X]]=2)),tbal[[#This Row],[DEUDOR]],0)</f>
        <v>0</v>
      </c>
      <c r="J2182" s="18">
        <f>IF((OR(tbal[[#This Row],[X]]=2,tbal[[#This Row],[X]]=3)),tbal[[#This Row],[ACREEDOR]],0)</f>
        <v>0</v>
      </c>
      <c r="K2182" s="16">
        <f>IF((OR(tbal[[#This Row],[X]]=3,tbal[[#This Row],[X]]=5)),tbal[[#This Row],[DEUDOR]],0)</f>
        <v>0</v>
      </c>
      <c r="L2182" s="18">
        <f>IF((OR(tbal[[#This Row],[X]]=3,tbal[[#This Row],[X]]=4)),tbal[[#This Row],[ACREEDOR]],0)</f>
        <v>0</v>
      </c>
      <c r="M2182" s="16">
        <f>IF((OR(tbal[[#This Row],[X]]=0,tbal[[#This Row],[X]]=6)),tbal[[#This Row],[DEUDOR]],0)</f>
        <v>0</v>
      </c>
      <c r="N2182" s="18">
        <f>IF((OR(tbal[[#This Row],[X]]=0,tbal[[#This Row],[X]]=5)),tbal[[#This Row],[ACREEDOR]],0)</f>
        <v>0</v>
      </c>
    </row>
    <row r="2183" spans="1:14" hidden="1" x14ac:dyDescent="0.3">
      <c r="A2183" s="14">
        <f>+'PLAN DE CUENTAS'!A2183</f>
        <v>0</v>
      </c>
      <c r="B2183" s="13">
        <f>+'PLAN DE CUENTAS'!B2183</f>
        <v>0</v>
      </c>
      <c r="C2183" s="13">
        <f>+'PLAN DE CUENTAS'!C2183</f>
        <v>0</v>
      </c>
      <c r="D2183" t="str">
        <f>IF(tbal[[#This Row],[DEBE]]+tbal[[#This Row],[HABER]]=0,"","X")</f>
        <v/>
      </c>
      <c r="E2183" s="16">
        <f>SUMIF(tdiario[CUENTA],tbal[[#This Row],[CUENTA]],tdiario[DEBE])</f>
        <v>0</v>
      </c>
      <c r="F2183" s="17">
        <f>SUMIF(tdiario[CUENTA],tbal[[#This Row],[CUENTA]],tdiario[HABER])</f>
        <v>0</v>
      </c>
      <c r="G2183" s="16">
        <f>IF(tbal[[#This Row],[DEBE]]-tbal[[#This Row],[HABER]]&gt;0,tbal[[#This Row],[DEBE]]-tbal[[#This Row],[HABER]],0)</f>
        <v>0</v>
      </c>
      <c r="H2183" s="18">
        <f>IF(tbal[[#This Row],[HABER]]-tbal[[#This Row],[DEBE]]&gt;0,tbal[[#This Row],[HABER]]-tbal[[#This Row],[DEBE]],0)</f>
        <v>0</v>
      </c>
      <c r="I2183" s="16">
        <f>IF((OR(tbal[[#This Row],[X]]=1,tbal[[#This Row],[X]]=2)),tbal[[#This Row],[DEUDOR]],0)</f>
        <v>0</v>
      </c>
      <c r="J2183" s="18">
        <f>IF((OR(tbal[[#This Row],[X]]=2,tbal[[#This Row],[X]]=3)),tbal[[#This Row],[ACREEDOR]],0)</f>
        <v>0</v>
      </c>
      <c r="K2183" s="16">
        <f>IF((OR(tbal[[#This Row],[X]]=3,tbal[[#This Row],[X]]=5)),tbal[[#This Row],[DEUDOR]],0)</f>
        <v>0</v>
      </c>
      <c r="L2183" s="18">
        <f>IF((OR(tbal[[#This Row],[X]]=3,tbal[[#This Row],[X]]=4)),tbal[[#This Row],[ACREEDOR]],0)</f>
        <v>0</v>
      </c>
      <c r="M2183" s="16">
        <f>IF((OR(tbal[[#This Row],[X]]=0,tbal[[#This Row],[X]]=6)),tbal[[#This Row],[DEUDOR]],0)</f>
        <v>0</v>
      </c>
      <c r="N2183" s="18">
        <f>IF((OR(tbal[[#This Row],[X]]=0,tbal[[#This Row],[X]]=5)),tbal[[#This Row],[ACREEDOR]],0)</f>
        <v>0</v>
      </c>
    </row>
    <row r="2184" spans="1:14" hidden="1" x14ac:dyDescent="0.3">
      <c r="A2184" s="14">
        <f>+'PLAN DE CUENTAS'!A2184</f>
        <v>0</v>
      </c>
      <c r="B2184" s="13">
        <f>+'PLAN DE CUENTAS'!B2184</f>
        <v>0</v>
      </c>
      <c r="C2184" s="13">
        <f>+'PLAN DE CUENTAS'!C2184</f>
        <v>0</v>
      </c>
      <c r="D2184" t="str">
        <f>IF(tbal[[#This Row],[DEBE]]+tbal[[#This Row],[HABER]]=0,"","X")</f>
        <v/>
      </c>
      <c r="E2184" s="16">
        <f>SUMIF(tdiario[CUENTA],tbal[[#This Row],[CUENTA]],tdiario[DEBE])</f>
        <v>0</v>
      </c>
      <c r="F2184" s="17">
        <f>SUMIF(tdiario[CUENTA],tbal[[#This Row],[CUENTA]],tdiario[HABER])</f>
        <v>0</v>
      </c>
      <c r="G2184" s="16">
        <f>IF(tbal[[#This Row],[DEBE]]-tbal[[#This Row],[HABER]]&gt;0,tbal[[#This Row],[DEBE]]-tbal[[#This Row],[HABER]],0)</f>
        <v>0</v>
      </c>
      <c r="H2184" s="18">
        <f>IF(tbal[[#This Row],[HABER]]-tbal[[#This Row],[DEBE]]&gt;0,tbal[[#This Row],[HABER]]-tbal[[#This Row],[DEBE]],0)</f>
        <v>0</v>
      </c>
      <c r="I2184" s="16">
        <f>IF((OR(tbal[[#This Row],[X]]=1,tbal[[#This Row],[X]]=2)),tbal[[#This Row],[DEUDOR]],0)</f>
        <v>0</v>
      </c>
      <c r="J2184" s="18">
        <f>IF((OR(tbal[[#This Row],[X]]=2,tbal[[#This Row],[X]]=3)),tbal[[#This Row],[ACREEDOR]],0)</f>
        <v>0</v>
      </c>
      <c r="K2184" s="16">
        <f>IF((OR(tbal[[#This Row],[X]]=3,tbal[[#This Row],[X]]=5)),tbal[[#This Row],[DEUDOR]],0)</f>
        <v>0</v>
      </c>
      <c r="L2184" s="18">
        <f>IF((OR(tbal[[#This Row],[X]]=3,tbal[[#This Row],[X]]=4)),tbal[[#This Row],[ACREEDOR]],0)</f>
        <v>0</v>
      </c>
      <c r="M2184" s="16">
        <f>IF((OR(tbal[[#This Row],[X]]=0,tbal[[#This Row],[X]]=6)),tbal[[#This Row],[DEUDOR]],0)</f>
        <v>0</v>
      </c>
      <c r="N2184" s="18">
        <f>IF((OR(tbal[[#This Row],[X]]=0,tbal[[#This Row],[X]]=5)),tbal[[#This Row],[ACREEDOR]],0)</f>
        <v>0</v>
      </c>
    </row>
    <row r="2185" spans="1:14" hidden="1" x14ac:dyDescent="0.3">
      <c r="A2185" s="14">
        <f>+'PLAN DE CUENTAS'!A2185</f>
        <v>0</v>
      </c>
      <c r="B2185" s="13">
        <f>+'PLAN DE CUENTAS'!B2185</f>
        <v>0</v>
      </c>
      <c r="C2185" s="13">
        <f>+'PLAN DE CUENTAS'!C2185</f>
        <v>0</v>
      </c>
      <c r="D2185" t="str">
        <f>IF(tbal[[#This Row],[DEBE]]+tbal[[#This Row],[HABER]]=0,"","X")</f>
        <v/>
      </c>
      <c r="E2185" s="16">
        <f>SUMIF(tdiario[CUENTA],tbal[[#This Row],[CUENTA]],tdiario[DEBE])</f>
        <v>0</v>
      </c>
      <c r="F2185" s="17">
        <f>SUMIF(tdiario[CUENTA],tbal[[#This Row],[CUENTA]],tdiario[HABER])</f>
        <v>0</v>
      </c>
      <c r="G2185" s="16">
        <f>IF(tbal[[#This Row],[DEBE]]-tbal[[#This Row],[HABER]]&gt;0,tbal[[#This Row],[DEBE]]-tbal[[#This Row],[HABER]],0)</f>
        <v>0</v>
      </c>
      <c r="H2185" s="18">
        <f>IF(tbal[[#This Row],[HABER]]-tbal[[#This Row],[DEBE]]&gt;0,tbal[[#This Row],[HABER]]-tbal[[#This Row],[DEBE]],0)</f>
        <v>0</v>
      </c>
      <c r="I2185" s="16">
        <f>IF((OR(tbal[[#This Row],[X]]=1,tbal[[#This Row],[X]]=2)),tbal[[#This Row],[DEUDOR]],0)</f>
        <v>0</v>
      </c>
      <c r="J2185" s="18">
        <f>IF((OR(tbal[[#This Row],[X]]=2,tbal[[#This Row],[X]]=3)),tbal[[#This Row],[ACREEDOR]],0)</f>
        <v>0</v>
      </c>
      <c r="K2185" s="16">
        <f>IF((OR(tbal[[#This Row],[X]]=3,tbal[[#This Row],[X]]=5)),tbal[[#This Row],[DEUDOR]],0)</f>
        <v>0</v>
      </c>
      <c r="L2185" s="18">
        <f>IF((OR(tbal[[#This Row],[X]]=3,tbal[[#This Row],[X]]=4)),tbal[[#This Row],[ACREEDOR]],0)</f>
        <v>0</v>
      </c>
      <c r="M2185" s="16">
        <f>IF((OR(tbal[[#This Row],[X]]=0,tbal[[#This Row],[X]]=6)),tbal[[#This Row],[DEUDOR]],0)</f>
        <v>0</v>
      </c>
      <c r="N2185" s="18">
        <f>IF((OR(tbal[[#This Row],[X]]=0,tbal[[#This Row],[X]]=5)),tbal[[#This Row],[ACREEDOR]],0)</f>
        <v>0</v>
      </c>
    </row>
    <row r="2186" spans="1:14" hidden="1" x14ac:dyDescent="0.3">
      <c r="A2186" s="14">
        <f>+'PLAN DE CUENTAS'!A2186</f>
        <v>0</v>
      </c>
      <c r="B2186" s="13">
        <f>+'PLAN DE CUENTAS'!B2186</f>
        <v>0</v>
      </c>
      <c r="C2186" s="13">
        <f>+'PLAN DE CUENTAS'!C2186</f>
        <v>0</v>
      </c>
      <c r="D2186" t="str">
        <f>IF(tbal[[#This Row],[DEBE]]+tbal[[#This Row],[HABER]]=0,"","X")</f>
        <v/>
      </c>
      <c r="E2186" s="16">
        <f>SUMIF(tdiario[CUENTA],tbal[[#This Row],[CUENTA]],tdiario[DEBE])</f>
        <v>0</v>
      </c>
      <c r="F2186" s="17">
        <f>SUMIF(tdiario[CUENTA],tbal[[#This Row],[CUENTA]],tdiario[HABER])</f>
        <v>0</v>
      </c>
      <c r="G2186" s="16">
        <f>IF(tbal[[#This Row],[DEBE]]-tbal[[#This Row],[HABER]]&gt;0,tbal[[#This Row],[DEBE]]-tbal[[#This Row],[HABER]],0)</f>
        <v>0</v>
      </c>
      <c r="H2186" s="18">
        <f>IF(tbal[[#This Row],[HABER]]-tbal[[#This Row],[DEBE]]&gt;0,tbal[[#This Row],[HABER]]-tbal[[#This Row],[DEBE]],0)</f>
        <v>0</v>
      </c>
      <c r="I2186" s="16">
        <f>IF((OR(tbal[[#This Row],[X]]=1,tbal[[#This Row],[X]]=2)),tbal[[#This Row],[DEUDOR]],0)</f>
        <v>0</v>
      </c>
      <c r="J2186" s="18">
        <f>IF((OR(tbal[[#This Row],[X]]=2,tbal[[#This Row],[X]]=3)),tbal[[#This Row],[ACREEDOR]],0)</f>
        <v>0</v>
      </c>
      <c r="K2186" s="16">
        <f>IF((OR(tbal[[#This Row],[X]]=3,tbal[[#This Row],[X]]=5)),tbal[[#This Row],[DEUDOR]],0)</f>
        <v>0</v>
      </c>
      <c r="L2186" s="18">
        <f>IF((OR(tbal[[#This Row],[X]]=3,tbal[[#This Row],[X]]=4)),tbal[[#This Row],[ACREEDOR]],0)</f>
        <v>0</v>
      </c>
      <c r="M2186" s="16">
        <f>IF((OR(tbal[[#This Row],[X]]=0,tbal[[#This Row],[X]]=6)),tbal[[#This Row],[DEUDOR]],0)</f>
        <v>0</v>
      </c>
      <c r="N2186" s="18">
        <f>IF((OR(tbal[[#This Row],[X]]=0,tbal[[#This Row],[X]]=5)),tbal[[#This Row],[ACREEDOR]],0)</f>
        <v>0</v>
      </c>
    </row>
    <row r="2187" spans="1:14" hidden="1" x14ac:dyDescent="0.3">
      <c r="A2187" s="14">
        <f>+'PLAN DE CUENTAS'!A2187</f>
        <v>0</v>
      </c>
      <c r="B2187" s="13">
        <f>+'PLAN DE CUENTAS'!B2187</f>
        <v>0</v>
      </c>
      <c r="C2187" s="13">
        <f>+'PLAN DE CUENTAS'!C2187</f>
        <v>0</v>
      </c>
      <c r="D2187" t="str">
        <f>IF(tbal[[#This Row],[DEBE]]+tbal[[#This Row],[HABER]]=0,"","X")</f>
        <v/>
      </c>
      <c r="E2187" s="16">
        <f>SUMIF(tdiario[CUENTA],tbal[[#This Row],[CUENTA]],tdiario[DEBE])</f>
        <v>0</v>
      </c>
      <c r="F2187" s="17">
        <f>SUMIF(tdiario[CUENTA],tbal[[#This Row],[CUENTA]],tdiario[HABER])</f>
        <v>0</v>
      </c>
      <c r="G2187" s="16">
        <f>IF(tbal[[#This Row],[DEBE]]-tbal[[#This Row],[HABER]]&gt;0,tbal[[#This Row],[DEBE]]-tbal[[#This Row],[HABER]],0)</f>
        <v>0</v>
      </c>
      <c r="H2187" s="18">
        <f>IF(tbal[[#This Row],[HABER]]-tbal[[#This Row],[DEBE]]&gt;0,tbal[[#This Row],[HABER]]-tbal[[#This Row],[DEBE]],0)</f>
        <v>0</v>
      </c>
      <c r="I2187" s="16">
        <f>IF((OR(tbal[[#This Row],[X]]=1,tbal[[#This Row],[X]]=2)),tbal[[#This Row],[DEUDOR]],0)</f>
        <v>0</v>
      </c>
      <c r="J2187" s="18">
        <f>IF((OR(tbal[[#This Row],[X]]=2,tbal[[#This Row],[X]]=3)),tbal[[#This Row],[ACREEDOR]],0)</f>
        <v>0</v>
      </c>
      <c r="K2187" s="16">
        <f>IF((OR(tbal[[#This Row],[X]]=3,tbal[[#This Row],[X]]=5)),tbal[[#This Row],[DEUDOR]],0)</f>
        <v>0</v>
      </c>
      <c r="L2187" s="18">
        <f>IF((OR(tbal[[#This Row],[X]]=3,tbal[[#This Row],[X]]=4)),tbal[[#This Row],[ACREEDOR]],0)</f>
        <v>0</v>
      </c>
      <c r="M2187" s="16">
        <f>IF((OR(tbal[[#This Row],[X]]=0,tbal[[#This Row],[X]]=6)),tbal[[#This Row],[DEUDOR]],0)</f>
        <v>0</v>
      </c>
      <c r="N2187" s="18">
        <f>IF((OR(tbal[[#This Row],[X]]=0,tbal[[#This Row],[X]]=5)),tbal[[#This Row],[ACREEDOR]],0)</f>
        <v>0</v>
      </c>
    </row>
    <row r="2188" spans="1:14" hidden="1" x14ac:dyDescent="0.3">
      <c r="A2188" s="14">
        <f>+'PLAN DE CUENTAS'!A2188</f>
        <v>0</v>
      </c>
      <c r="B2188" s="13">
        <f>+'PLAN DE CUENTAS'!B2188</f>
        <v>0</v>
      </c>
      <c r="C2188" s="13">
        <f>+'PLAN DE CUENTAS'!C2188</f>
        <v>0</v>
      </c>
      <c r="D2188" t="str">
        <f>IF(tbal[[#This Row],[DEBE]]+tbal[[#This Row],[HABER]]=0,"","X")</f>
        <v/>
      </c>
      <c r="E2188" s="16">
        <f>SUMIF(tdiario[CUENTA],tbal[[#This Row],[CUENTA]],tdiario[DEBE])</f>
        <v>0</v>
      </c>
      <c r="F2188" s="17">
        <f>SUMIF(tdiario[CUENTA],tbal[[#This Row],[CUENTA]],tdiario[HABER])</f>
        <v>0</v>
      </c>
      <c r="G2188" s="16">
        <f>IF(tbal[[#This Row],[DEBE]]-tbal[[#This Row],[HABER]]&gt;0,tbal[[#This Row],[DEBE]]-tbal[[#This Row],[HABER]],0)</f>
        <v>0</v>
      </c>
      <c r="H2188" s="18">
        <f>IF(tbal[[#This Row],[HABER]]-tbal[[#This Row],[DEBE]]&gt;0,tbal[[#This Row],[HABER]]-tbal[[#This Row],[DEBE]],0)</f>
        <v>0</v>
      </c>
      <c r="I2188" s="16">
        <f>IF((OR(tbal[[#This Row],[X]]=1,tbal[[#This Row],[X]]=2)),tbal[[#This Row],[DEUDOR]],0)</f>
        <v>0</v>
      </c>
      <c r="J2188" s="18">
        <f>IF((OR(tbal[[#This Row],[X]]=2,tbal[[#This Row],[X]]=3)),tbal[[#This Row],[ACREEDOR]],0)</f>
        <v>0</v>
      </c>
      <c r="K2188" s="16">
        <f>IF((OR(tbal[[#This Row],[X]]=3,tbal[[#This Row],[X]]=5)),tbal[[#This Row],[DEUDOR]],0)</f>
        <v>0</v>
      </c>
      <c r="L2188" s="18">
        <f>IF((OR(tbal[[#This Row],[X]]=3,tbal[[#This Row],[X]]=4)),tbal[[#This Row],[ACREEDOR]],0)</f>
        <v>0</v>
      </c>
      <c r="M2188" s="16">
        <f>IF((OR(tbal[[#This Row],[X]]=0,tbal[[#This Row],[X]]=6)),tbal[[#This Row],[DEUDOR]],0)</f>
        <v>0</v>
      </c>
      <c r="N2188" s="18">
        <f>IF((OR(tbal[[#This Row],[X]]=0,tbal[[#This Row],[X]]=5)),tbal[[#This Row],[ACREEDOR]],0)</f>
        <v>0</v>
      </c>
    </row>
    <row r="2189" spans="1:14" hidden="1" x14ac:dyDescent="0.3">
      <c r="A2189" s="14">
        <f>+'PLAN DE CUENTAS'!A2189</f>
        <v>0</v>
      </c>
      <c r="B2189" s="13">
        <f>+'PLAN DE CUENTAS'!B2189</f>
        <v>0</v>
      </c>
      <c r="C2189" s="13">
        <f>+'PLAN DE CUENTAS'!C2189</f>
        <v>0</v>
      </c>
      <c r="D2189" t="str">
        <f>IF(tbal[[#This Row],[DEBE]]+tbal[[#This Row],[HABER]]=0,"","X")</f>
        <v/>
      </c>
      <c r="E2189" s="16">
        <f>SUMIF(tdiario[CUENTA],tbal[[#This Row],[CUENTA]],tdiario[DEBE])</f>
        <v>0</v>
      </c>
      <c r="F2189" s="17">
        <f>SUMIF(tdiario[CUENTA],tbal[[#This Row],[CUENTA]],tdiario[HABER])</f>
        <v>0</v>
      </c>
      <c r="G2189" s="16">
        <f>IF(tbal[[#This Row],[DEBE]]-tbal[[#This Row],[HABER]]&gt;0,tbal[[#This Row],[DEBE]]-tbal[[#This Row],[HABER]],0)</f>
        <v>0</v>
      </c>
      <c r="H2189" s="18">
        <f>IF(tbal[[#This Row],[HABER]]-tbal[[#This Row],[DEBE]]&gt;0,tbal[[#This Row],[HABER]]-tbal[[#This Row],[DEBE]],0)</f>
        <v>0</v>
      </c>
      <c r="I2189" s="16">
        <f>IF((OR(tbal[[#This Row],[X]]=1,tbal[[#This Row],[X]]=2)),tbal[[#This Row],[DEUDOR]],0)</f>
        <v>0</v>
      </c>
      <c r="J2189" s="18">
        <f>IF((OR(tbal[[#This Row],[X]]=2,tbal[[#This Row],[X]]=3)),tbal[[#This Row],[ACREEDOR]],0)</f>
        <v>0</v>
      </c>
      <c r="K2189" s="16">
        <f>IF((OR(tbal[[#This Row],[X]]=3,tbal[[#This Row],[X]]=5)),tbal[[#This Row],[DEUDOR]],0)</f>
        <v>0</v>
      </c>
      <c r="L2189" s="18">
        <f>IF((OR(tbal[[#This Row],[X]]=3,tbal[[#This Row],[X]]=4)),tbal[[#This Row],[ACREEDOR]],0)</f>
        <v>0</v>
      </c>
      <c r="M2189" s="16">
        <f>IF((OR(tbal[[#This Row],[X]]=0,tbal[[#This Row],[X]]=6)),tbal[[#This Row],[DEUDOR]],0)</f>
        <v>0</v>
      </c>
      <c r="N2189" s="18">
        <f>IF((OR(tbal[[#This Row],[X]]=0,tbal[[#This Row],[X]]=5)),tbal[[#This Row],[ACREEDOR]],0)</f>
        <v>0</v>
      </c>
    </row>
    <row r="2190" spans="1:14" hidden="1" x14ac:dyDescent="0.3">
      <c r="A2190" s="14">
        <f>+'PLAN DE CUENTAS'!A2190</f>
        <v>0</v>
      </c>
      <c r="B2190" s="13">
        <f>+'PLAN DE CUENTAS'!B2190</f>
        <v>0</v>
      </c>
      <c r="C2190" s="13">
        <f>+'PLAN DE CUENTAS'!C2190</f>
        <v>0</v>
      </c>
      <c r="D2190" t="str">
        <f>IF(tbal[[#This Row],[DEBE]]+tbal[[#This Row],[HABER]]=0,"","X")</f>
        <v/>
      </c>
      <c r="E2190" s="16">
        <f>SUMIF(tdiario[CUENTA],tbal[[#This Row],[CUENTA]],tdiario[DEBE])</f>
        <v>0</v>
      </c>
      <c r="F2190" s="17">
        <f>SUMIF(tdiario[CUENTA],tbal[[#This Row],[CUENTA]],tdiario[HABER])</f>
        <v>0</v>
      </c>
      <c r="G2190" s="16">
        <f>IF(tbal[[#This Row],[DEBE]]-tbal[[#This Row],[HABER]]&gt;0,tbal[[#This Row],[DEBE]]-tbal[[#This Row],[HABER]],0)</f>
        <v>0</v>
      </c>
      <c r="H2190" s="18">
        <f>IF(tbal[[#This Row],[HABER]]-tbal[[#This Row],[DEBE]]&gt;0,tbal[[#This Row],[HABER]]-tbal[[#This Row],[DEBE]],0)</f>
        <v>0</v>
      </c>
      <c r="I2190" s="16">
        <f>IF((OR(tbal[[#This Row],[X]]=1,tbal[[#This Row],[X]]=2)),tbal[[#This Row],[DEUDOR]],0)</f>
        <v>0</v>
      </c>
      <c r="J2190" s="18">
        <f>IF((OR(tbal[[#This Row],[X]]=2,tbal[[#This Row],[X]]=3)),tbal[[#This Row],[ACREEDOR]],0)</f>
        <v>0</v>
      </c>
      <c r="K2190" s="16">
        <f>IF((OR(tbal[[#This Row],[X]]=3,tbal[[#This Row],[X]]=5)),tbal[[#This Row],[DEUDOR]],0)</f>
        <v>0</v>
      </c>
      <c r="L2190" s="18">
        <f>IF((OR(tbal[[#This Row],[X]]=3,tbal[[#This Row],[X]]=4)),tbal[[#This Row],[ACREEDOR]],0)</f>
        <v>0</v>
      </c>
      <c r="M2190" s="16">
        <f>IF((OR(tbal[[#This Row],[X]]=0,tbal[[#This Row],[X]]=6)),tbal[[#This Row],[DEUDOR]],0)</f>
        <v>0</v>
      </c>
      <c r="N2190" s="18">
        <f>IF((OR(tbal[[#This Row],[X]]=0,tbal[[#This Row],[X]]=5)),tbal[[#This Row],[ACREEDOR]],0)</f>
        <v>0</v>
      </c>
    </row>
    <row r="2191" spans="1:14" hidden="1" x14ac:dyDescent="0.3">
      <c r="A2191" s="14">
        <f>+'PLAN DE CUENTAS'!A2191</f>
        <v>0</v>
      </c>
      <c r="B2191" s="13">
        <f>+'PLAN DE CUENTAS'!B2191</f>
        <v>0</v>
      </c>
      <c r="C2191" s="13">
        <f>+'PLAN DE CUENTAS'!C2191</f>
        <v>0</v>
      </c>
      <c r="D2191" t="str">
        <f>IF(tbal[[#This Row],[DEBE]]+tbal[[#This Row],[HABER]]=0,"","X")</f>
        <v/>
      </c>
      <c r="E2191" s="16">
        <f>SUMIF(tdiario[CUENTA],tbal[[#This Row],[CUENTA]],tdiario[DEBE])</f>
        <v>0</v>
      </c>
      <c r="F2191" s="17">
        <f>SUMIF(tdiario[CUENTA],tbal[[#This Row],[CUENTA]],tdiario[HABER])</f>
        <v>0</v>
      </c>
      <c r="G2191" s="16">
        <f>IF(tbal[[#This Row],[DEBE]]-tbal[[#This Row],[HABER]]&gt;0,tbal[[#This Row],[DEBE]]-tbal[[#This Row],[HABER]],0)</f>
        <v>0</v>
      </c>
      <c r="H2191" s="18">
        <f>IF(tbal[[#This Row],[HABER]]-tbal[[#This Row],[DEBE]]&gt;0,tbal[[#This Row],[HABER]]-tbal[[#This Row],[DEBE]],0)</f>
        <v>0</v>
      </c>
      <c r="I2191" s="16">
        <f>IF((OR(tbal[[#This Row],[X]]=1,tbal[[#This Row],[X]]=2)),tbal[[#This Row],[DEUDOR]],0)</f>
        <v>0</v>
      </c>
      <c r="J2191" s="18">
        <f>IF((OR(tbal[[#This Row],[X]]=2,tbal[[#This Row],[X]]=3)),tbal[[#This Row],[ACREEDOR]],0)</f>
        <v>0</v>
      </c>
      <c r="K2191" s="16">
        <f>IF((OR(tbal[[#This Row],[X]]=3,tbal[[#This Row],[X]]=5)),tbal[[#This Row],[DEUDOR]],0)</f>
        <v>0</v>
      </c>
      <c r="L2191" s="18">
        <f>IF((OR(tbal[[#This Row],[X]]=3,tbal[[#This Row],[X]]=4)),tbal[[#This Row],[ACREEDOR]],0)</f>
        <v>0</v>
      </c>
      <c r="M2191" s="16">
        <f>IF((OR(tbal[[#This Row],[X]]=0,tbal[[#This Row],[X]]=6)),tbal[[#This Row],[DEUDOR]],0)</f>
        <v>0</v>
      </c>
      <c r="N2191" s="18">
        <f>IF((OR(tbal[[#This Row],[X]]=0,tbal[[#This Row],[X]]=5)),tbal[[#This Row],[ACREEDOR]],0)</f>
        <v>0</v>
      </c>
    </row>
    <row r="2192" spans="1:14" hidden="1" x14ac:dyDescent="0.3">
      <c r="A2192" s="14">
        <f>+'PLAN DE CUENTAS'!A2192</f>
        <v>0</v>
      </c>
      <c r="B2192" s="13">
        <f>+'PLAN DE CUENTAS'!B2192</f>
        <v>0</v>
      </c>
      <c r="C2192" s="13">
        <f>+'PLAN DE CUENTAS'!C2192</f>
        <v>0</v>
      </c>
      <c r="D2192" t="str">
        <f>IF(tbal[[#This Row],[DEBE]]+tbal[[#This Row],[HABER]]=0,"","X")</f>
        <v/>
      </c>
      <c r="E2192" s="16">
        <f>SUMIF(tdiario[CUENTA],tbal[[#This Row],[CUENTA]],tdiario[DEBE])</f>
        <v>0</v>
      </c>
      <c r="F2192" s="17">
        <f>SUMIF(tdiario[CUENTA],tbal[[#This Row],[CUENTA]],tdiario[HABER])</f>
        <v>0</v>
      </c>
      <c r="G2192" s="16">
        <f>IF(tbal[[#This Row],[DEBE]]-tbal[[#This Row],[HABER]]&gt;0,tbal[[#This Row],[DEBE]]-tbal[[#This Row],[HABER]],0)</f>
        <v>0</v>
      </c>
      <c r="H2192" s="18">
        <f>IF(tbal[[#This Row],[HABER]]-tbal[[#This Row],[DEBE]]&gt;0,tbal[[#This Row],[HABER]]-tbal[[#This Row],[DEBE]],0)</f>
        <v>0</v>
      </c>
      <c r="I2192" s="16">
        <f>IF((OR(tbal[[#This Row],[X]]=1,tbal[[#This Row],[X]]=2)),tbal[[#This Row],[DEUDOR]],0)</f>
        <v>0</v>
      </c>
      <c r="J2192" s="18">
        <f>IF((OR(tbal[[#This Row],[X]]=2,tbal[[#This Row],[X]]=3)),tbal[[#This Row],[ACREEDOR]],0)</f>
        <v>0</v>
      </c>
      <c r="K2192" s="16">
        <f>IF((OR(tbal[[#This Row],[X]]=3,tbal[[#This Row],[X]]=5)),tbal[[#This Row],[DEUDOR]],0)</f>
        <v>0</v>
      </c>
      <c r="L2192" s="18">
        <f>IF((OR(tbal[[#This Row],[X]]=3,tbal[[#This Row],[X]]=4)),tbal[[#This Row],[ACREEDOR]],0)</f>
        <v>0</v>
      </c>
      <c r="M2192" s="16">
        <f>IF((OR(tbal[[#This Row],[X]]=0,tbal[[#This Row],[X]]=6)),tbal[[#This Row],[DEUDOR]],0)</f>
        <v>0</v>
      </c>
      <c r="N2192" s="18">
        <f>IF((OR(tbal[[#This Row],[X]]=0,tbal[[#This Row],[X]]=5)),tbal[[#This Row],[ACREEDOR]],0)</f>
        <v>0</v>
      </c>
    </row>
    <row r="2193" spans="1:14" hidden="1" x14ac:dyDescent="0.3">
      <c r="A2193" s="14">
        <f>+'PLAN DE CUENTAS'!A2193</f>
        <v>0</v>
      </c>
      <c r="B2193" s="13">
        <f>+'PLAN DE CUENTAS'!B2193</f>
        <v>0</v>
      </c>
      <c r="C2193" s="13">
        <f>+'PLAN DE CUENTAS'!C2193</f>
        <v>0</v>
      </c>
      <c r="D2193" t="str">
        <f>IF(tbal[[#This Row],[DEBE]]+tbal[[#This Row],[HABER]]=0,"","X")</f>
        <v/>
      </c>
      <c r="E2193" s="16">
        <f>SUMIF(tdiario[CUENTA],tbal[[#This Row],[CUENTA]],tdiario[DEBE])</f>
        <v>0</v>
      </c>
      <c r="F2193" s="17">
        <f>SUMIF(tdiario[CUENTA],tbal[[#This Row],[CUENTA]],tdiario[HABER])</f>
        <v>0</v>
      </c>
      <c r="G2193" s="16">
        <f>IF(tbal[[#This Row],[DEBE]]-tbal[[#This Row],[HABER]]&gt;0,tbal[[#This Row],[DEBE]]-tbal[[#This Row],[HABER]],0)</f>
        <v>0</v>
      </c>
      <c r="H2193" s="18">
        <f>IF(tbal[[#This Row],[HABER]]-tbal[[#This Row],[DEBE]]&gt;0,tbal[[#This Row],[HABER]]-tbal[[#This Row],[DEBE]],0)</f>
        <v>0</v>
      </c>
      <c r="I2193" s="16">
        <f>IF((OR(tbal[[#This Row],[X]]=1,tbal[[#This Row],[X]]=2)),tbal[[#This Row],[DEUDOR]],0)</f>
        <v>0</v>
      </c>
      <c r="J2193" s="18">
        <f>IF((OR(tbal[[#This Row],[X]]=2,tbal[[#This Row],[X]]=3)),tbal[[#This Row],[ACREEDOR]],0)</f>
        <v>0</v>
      </c>
      <c r="K2193" s="16">
        <f>IF((OR(tbal[[#This Row],[X]]=3,tbal[[#This Row],[X]]=5)),tbal[[#This Row],[DEUDOR]],0)</f>
        <v>0</v>
      </c>
      <c r="L2193" s="18">
        <f>IF((OR(tbal[[#This Row],[X]]=3,tbal[[#This Row],[X]]=4)),tbal[[#This Row],[ACREEDOR]],0)</f>
        <v>0</v>
      </c>
      <c r="M2193" s="16">
        <f>IF((OR(tbal[[#This Row],[X]]=0,tbal[[#This Row],[X]]=6)),tbal[[#This Row],[DEUDOR]],0)</f>
        <v>0</v>
      </c>
      <c r="N2193" s="18">
        <f>IF((OR(tbal[[#This Row],[X]]=0,tbal[[#This Row],[X]]=5)),tbal[[#This Row],[ACREEDOR]],0)</f>
        <v>0</v>
      </c>
    </row>
    <row r="2194" spans="1:14" hidden="1" x14ac:dyDescent="0.3">
      <c r="A2194" s="14">
        <f>+'PLAN DE CUENTAS'!A2194</f>
        <v>0</v>
      </c>
      <c r="B2194" s="13">
        <f>+'PLAN DE CUENTAS'!B2194</f>
        <v>0</v>
      </c>
      <c r="C2194" s="13">
        <f>+'PLAN DE CUENTAS'!C2194</f>
        <v>0</v>
      </c>
      <c r="D2194" t="str">
        <f>IF(tbal[[#This Row],[DEBE]]+tbal[[#This Row],[HABER]]=0,"","X")</f>
        <v/>
      </c>
      <c r="E2194" s="16">
        <f>SUMIF(tdiario[CUENTA],tbal[[#This Row],[CUENTA]],tdiario[DEBE])</f>
        <v>0</v>
      </c>
      <c r="F2194" s="17">
        <f>SUMIF(tdiario[CUENTA],tbal[[#This Row],[CUENTA]],tdiario[HABER])</f>
        <v>0</v>
      </c>
      <c r="G2194" s="16">
        <f>IF(tbal[[#This Row],[DEBE]]-tbal[[#This Row],[HABER]]&gt;0,tbal[[#This Row],[DEBE]]-tbal[[#This Row],[HABER]],0)</f>
        <v>0</v>
      </c>
      <c r="H2194" s="18">
        <f>IF(tbal[[#This Row],[HABER]]-tbal[[#This Row],[DEBE]]&gt;0,tbal[[#This Row],[HABER]]-tbal[[#This Row],[DEBE]],0)</f>
        <v>0</v>
      </c>
      <c r="I2194" s="16">
        <f>IF((OR(tbal[[#This Row],[X]]=1,tbal[[#This Row],[X]]=2)),tbal[[#This Row],[DEUDOR]],0)</f>
        <v>0</v>
      </c>
      <c r="J2194" s="18">
        <f>IF((OR(tbal[[#This Row],[X]]=2,tbal[[#This Row],[X]]=3)),tbal[[#This Row],[ACREEDOR]],0)</f>
        <v>0</v>
      </c>
      <c r="K2194" s="16">
        <f>IF((OR(tbal[[#This Row],[X]]=3,tbal[[#This Row],[X]]=5)),tbal[[#This Row],[DEUDOR]],0)</f>
        <v>0</v>
      </c>
      <c r="L2194" s="18">
        <f>IF((OR(tbal[[#This Row],[X]]=3,tbal[[#This Row],[X]]=4)),tbal[[#This Row],[ACREEDOR]],0)</f>
        <v>0</v>
      </c>
      <c r="M2194" s="16">
        <f>IF((OR(tbal[[#This Row],[X]]=0,tbal[[#This Row],[X]]=6)),tbal[[#This Row],[DEUDOR]],0)</f>
        <v>0</v>
      </c>
      <c r="N2194" s="18">
        <f>IF((OR(tbal[[#This Row],[X]]=0,tbal[[#This Row],[X]]=5)),tbal[[#This Row],[ACREEDOR]],0)</f>
        <v>0</v>
      </c>
    </row>
    <row r="2195" spans="1:14" hidden="1" x14ac:dyDescent="0.3">
      <c r="A2195" s="14">
        <f>+'PLAN DE CUENTAS'!A2195</f>
        <v>0</v>
      </c>
      <c r="B2195" s="13">
        <f>+'PLAN DE CUENTAS'!B2195</f>
        <v>0</v>
      </c>
      <c r="C2195" s="13">
        <f>+'PLAN DE CUENTAS'!C2195</f>
        <v>0</v>
      </c>
      <c r="D2195" t="str">
        <f>IF(tbal[[#This Row],[DEBE]]+tbal[[#This Row],[HABER]]=0,"","X")</f>
        <v/>
      </c>
      <c r="E2195" s="16">
        <f>SUMIF(tdiario[CUENTA],tbal[[#This Row],[CUENTA]],tdiario[DEBE])</f>
        <v>0</v>
      </c>
      <c r="F2195" s="17">
        <f>SUMIF(tdiario[CUENTA],tbal[[#This Row],[CUENTA]],tdiario[HABER])</f>
        <v>0</v>
      </c>
      <c r="G2195" s="16">
        <f>IF(tbal[[#This Row],[DEBE]]-tbal[[#This Row],[HABER]]&gt;0,tbal[[#This Row],[DEBE]]-tbal[[#This Row],[HABER]],0)</f>
        <v>0</v>
      </c>
      <c r="H2195" s="18">
        <f>IF(tbal[[#This Row],[HABER]]-tbal[[#This Row],[DEBE]]&gt;0,tbal[[#This Row],[HABER]]-tbal[[#This Row],[DEBE]],0)</f>
        <v>0</v>
      </c>
      <c r="I2195" s="16">
        <f>IF((OR(tbal[[#This Row],[X]]=1,tbal[[#This Row],[X]]=2)),tbal[[#This Row],[DEUDOR]],0)</f>
        <v>0</v>
      </c>
      <c r="J2195" s="18">
        <f>IF((OR(tbal[[#This Row],[X]]=2,tbal[[#This Row],[X]]=3)),tbal[[#This Row],[ACREEDOR]],0)</f>
        <v>0</v>
      </c>
      <c r="K2195" s="16">
        <f>IF((OR(tbal[[#This Row],[X]]=3,tbal[[#This Row],[X]]=5)),tbal[[#This Row],[DEUDOR]],0)</f>
        <v>0</v>
      </c>
      <c r="L2195" s="18">
        <f>IF((OR(tbal[[#This Row],[X]]=3,tbal[[#This Row],[X]]=4)),tbal[[#This Row],[ACREEDOR]],0)</f>
        <v>0</v>
      </c>
      <c r="M2195" s="16">
        <f>IF((OR(tbal[[#This Row],[X]]=0,tbal[[#This Row],[X]]=6)),tbal[[#This Row],[DEUDOR]],0)</f>
        <v>0</v>
      </c>
      <c r="N2195" s="18">
        <f>IF((OR(tbal[[#This Row],[X]]=0,tbal[[#This Row],[X]]=5)),tbal[[#This Row],[ACREEDOR]],0)</f>
        <v>0</v>
      </c>
    </row>
    <row r="2196" spans="1:14" hidden="1" x14ac:dyDescent="0.3">
      <c r="A2196" s="14">
        <f>+'PLAN DE CUENTAS'!A2196</f>
        <v>0</v>
      </c>
      <c r="B2196" s="13">
        <f>+'PLAN DE CUENTAS'!B2196</f>
        <v>0</v>
      </c>
      <c r="C2196" s="13">
        <f>+'PLAN DE CUENTAS'!C2196</f>
        <v>0</v>
      </c>
      <c r="D2196" t="str">
        <f>IF(tbal[[#This Row],[DEBE]]+tbal[[#This Row],[HABER]]=0,"","X")</f>
        <v/>
      </c>
      <c r="E2196" s="16">
        <f>SUMIF(tdiario[CUENTA],tbal[[#This Row],[CUENTA]],tdiario[DEBE])</f>
        <v>0</v>
      </c>
      <c r="F2196" s="17">
        <f>SUMIF(tdiario[CUENTA],tbal[[#This Row],[CUENTA]],tdiario[HABER])</f>
        <v>0</v>
      </c>
      <c r="G2196" s="16">
        <f>IF(tbal[[#This Row],[DEBE]]-tbal[[#This Row],[HABER]]&gt;0,tbal[[#This Row],[DEBE]]-tbal[[#This Row],[HABER]],0)</f>
        <v>0</v>
      </c>
      <c r="H2196" s="18">
        <f>IF(tbal[[#This Row],[HABER]]-tbal[[#This Row],[DEBE]]&gt;0,tbal[[#This Row],[HABER]]-tbal[[#This Row],[DEBE]],0)</f>
        <v>0</v>
      </c>
      <c r="I2196" s="16">
        <f>IF((OR(tbal[[#This Row],[X]]=1,tbal[[#This Row],[X]]=2)),tbal[[#This Row],[DEUDOR]],0)</f>
        <v>0</v>
      </c>
      <c r="J2196" s="18">
        <f>IF((OR(tbal[[#This Row],[X]]=2,tbal[[#This Row],[X]]=3)),tbal[[#This Row],[ACREEDOR]],0)</f>
        <v>0</v>
      </c>
      <c r="K2196" s="16">
        <f>IF((OR(tbal[[#This Row],[X]]=3,tbal[[#This Row],[X]]=5)),tbal[[#This Row],[DEUDOR]],0)</f>
        <v>0</v>
      </c>
      <c r="L2196" s="18">
        <f>IF((OR(tbal[[#This Row],[X]]=3,tbal[[#This Row],[X]]=4)),tbal[[#This Row],[ACREEDOR]],0)</f>
        <v>0</v>
      </c>
      <c r="M2196" s="16">
        <f>IF((OR(tbal[[#This Row],[X]]=0,tbal[[#This Row],[X]]=6)),tbal[[#This Row],[DEUDOR]],0)</f>
        <v>0</v>
      </c>
      <c r="N2196" s="18">
        <f>IF((OR(tbal[[#This Row],[X]]=0,tbal[[#This Row],[X]]=5)),tbal[[#This Row],[ACREEDOR]],0)</f>
        <v>0</v>
      </c>
    </row>
    <row r="2197" spans="1:14" hidden="1" x14ac:dyDescent="0.3">
      <c r="A2197" s="14">
        <f>+'PLAN DE CUENTAS'!A2197</f>
        <v>0</v>
      </c>
      <c r="B2197" s="13">
        <f>+'PLAN DE CUENTAS'!B2197</f>
        <v>0</v>
      </c>
      <c r="C2197" s="13">
        <f>+'PLAN DE CUENTAS'!C2197</f>
        <v>0</v>
      </c>
      <c r="D2197" t="str">
        <f>IF(tbal[[#This Row],[DEBE]]+tbal[[#This Row],[HABER]]=0,"","X")</f>
        <v/>
      </c>
      <c r="E2197" s="16">
        <f>SUMIF(tdiario[CUENTA],tbal[[#This Row],[CUENTA]],tdiario[DEBE])</f>
        <v>0</v>
      </c>
      <c r="F2197" s="17">
        <f>SUMIF(tdiario[CUENTA],tbal[[#This Row],[CUENTA]],tdiario[HABER])</f>
        <v>0</v>
      </c>
      <c r="G2197" s="16">
        <f>IF(tbal[[#This Row],[DEBE]]-tbal[[#This Row],[HABER]]&gt;0,tbal[[#This Row],[DEBE]]-tbal[[#This Row],[HABER]],0)</f>
        <v>0</v>
      </c>
      <c r="H2197" s="18">
        <f>IF(tbal[[#This Row],[HABER]]-tbal[[#This Row],[DEBE]]&gt;0,tbal[[#This Row],[HABER]]-tbal[[#This Row],[DEBE]],0)</f>
        <v>0</v>
      </c>
      <c r="I2197" s="16">
        <f>IF((OR(tbal[[#This Row],[X]]=1,tbal[[#This Row],[X]]=2)),tbal[[#This Row],[DEUDOR]],0)</f>
        <v>0</v>
      </c>
      <c r="J2197" s="18">
        <f>IF((OR(tbal[[#This Row],[X]]=2,tbal[[#This Row],[X]]=3)),tbal[[#This Row],[ACREEDOR]],0)</f>
        <v>0</v>
      </c>
      <c r="K2197" s="16">
        <f>IF((OR(tbal[[#This Row],[X]]=3,tbal[[#This Row],[X]]=5)),tbal[[#This Row],[DEUDOR]],0)</f>
        <v>0</v>
      </c>
      <c r="L2197" s="18">
        <f>IF((OR(tbal[[#This Row],[X]]=3,tbal[[#This Row],[X]]=4)),tbal[[#This Row],[ACREEDOR]],0)</f>
        <v>0</v>
      </c>
      <c r="M2197" s="16">
        <f>IF((OR(tbal[[#This Row],[X]]=0,tbal[[#This Row],[X]]=6)),tbal[[#This Row],[DEUDOR]],0)</f>
        <v>0</v>
      </c>
      <c r="N2197" s="18">
        <f>IF((OR(tbal[[#This Row],[X]]=0,tbal[[#This Row],[X]]=5)),tbal[[#This Row],[ACREEDOR]],0)</f>
        <v>0</v>
      </c>
    </row>
    <row r="2198" spans="1:14" hidden="1" x14ac:dyDescent="0.3">
      <c r="A2198" s="14">
        <f>+'PLAN DE CUENTAS'!A2198</f>
        <v>0</v>
      </c>
      <c r="B2198" s="13">
        <f>+'PLAN DE CUENTAS'!B2198</f>
        <v>0</v>
      </c>
      <c r="C2198" s="13">
        <f>+'PLAN DE CUENTAS'!C2198</f>
        <v>0</v>
      </c>
      <c r="D2198" t="str">
        <f>IF(tbal[[#This Row],[DEBE]]+tbal[[#This Row],[HABER]]=0,"","X")</f>
        <v/>
      </c>
      <c r="E2198" s="16">
        <f>SUMIF(tdiario[CUENTA],tbal[[#This Row],[CUENTA]],tdiario[DEBE])</f>
        <v>0</v>
      </c>
      <c r="F2198" s="17">
        <f>SUMIF(tdiario[CUENTA],tbal[[#This Row],[CUENTA]],tdiario[HABER])</f>
        <v>0</v>
      </c>
      <c r="G2198" s="16">
        <f>IF(tbal[[#This Row],[DEBE]]-tbal[[#This Row],[HABER]]&gt;0,tbal[[#This Row],[DEBE]]-tbal[[#This Row],[HABER]],0)</f>
        <v>0</v>
      </c>
      <c r="H2198" s="18">
        <f>IF(tbal[[#This Row],[HABER]]-tbal[[#This Row],[DEBE]]&gt;0,tbal[[#This Row],[HABER]]-tbal[[#This Row],[DEBE]],0)</f>
        <v>0</v>
      </c>
      <c r="I2198" s="16">
        <f>IF((OR(tbal[[#This Row],[X]]=1,tbal[[#This Row],[X]]=2)),tbal[[#This Row],[DEUDOR]],0)</f>
        <v>0</v>
      </c>
      <c r="J2198" s="18">
        <f>IF((OR(tbal[[#This Row],[X]]=2,tbal[[#This Row],[X]]=3)),tbal[[#This Row],[ACREEDOR]],0)</f>
        <v>0</v>
      </c>
      <c r="K2198" s="16">
        <f>IF((OR(tbal[[#This Row],[X]]=3,tbal[[#This Row],[X]]=5)),tbal[[#This Row],[DEUDOR]],0)</f>
        <v>0</v>
      </c>
      <c r="L2198" s="18">
        <f>IF((OR(tbal[[#This Row],[X]]=3,tbal[[#This Row],[X]]=4)),tbal[[#This Row],[ACREEDOR]],0)</f>
        <v>0</v>
      </c>
      <c r="M2198" s="16">
        <f>IF((OR(tbal[[#This Row],[X]]=0,tbal[[#This Row],[X]]=6)),tbal[[#This Row],[DEUDOR]],0)</f>
        <v>0</v>
      </c>
      <c r="N2198" s="18">
        <f>IF((OR(tbal[[#This Row],[X]]=0,tbal[[#This Row],[X]]=5)),tbal[[#This Row],[ACREEDOR]],0)</f>
        <v>0</v>
      </c>
    </row>
    <row r="2199" spans="1:14" hidden="1" x14ac:dyDescent="0.3">
      <c r="A2199" s="14">
        <f>+'PLAN DE CUENTAS'!A2199</f>
        <v>0</v>
      </c>
      <c r="B2199" s="13">
        <f>+'PLAN DE CUENTAS'!B2199</f>
        <v>0</v>
      </c>
      <c r="C2199" s="13">
        <f>+'PLAN DE CUENTAS'!C2199</f>
        <v>0</v>
      </c>
      <c r="D2199" t="str">
        <f>IF(tbal[[#This Row],[DEBE]]+tbal[[#This Row],[HABER]]=0,"","X")</f>
        <v/>
      </c>
      <c r="E2199" s="16">
        <f>SUMIF(tdiario[CUENTA],tbal[[#This Row],[CUENTA]],tdiario[DEBE])</f>
        <v>0</v>
      </c>
      <c r="F2199" s="17">
        <f>SUMIF(tdiario[CUENTA],tbal[[#This Row],[CUENTA]],tdiario[HABER])</f>
        <v>0</v>
      </c>
      <c r="G2199" s="16">
        <f>IF(tbal[[#This Row],[DEBE]]-tbal[[#This Row],[HABER]]&gt;0,tbal[[#This Row],[DEBE]]-tbal[[#This Row],[HABER]],0)</f>
        <v>0</v>
      </c>
      <c r="H2199" s="18">
        <f>IF(tbal[[#This Row],[HABER]]-tbal[[#This Row],[DEBE]]&gt;0,tbal[[#This Row],[HABER]]-tbal[[#This Row],[DEBE]],0)</f>
        <v>0</v>
      </c>
      <c r="I2199" s="16">
        <f>IF((OR(tbal[[#This Row],[X]]=1,tbal[[#This Row],[X]]=2)),tbal[[#This Row],[DEUDOR]],0)</f>
        <v>0</v>
      </c>
      <c r="J2199" s="18">
        <f>IF((OR(tbal[[#This Row],[X]]=2,tbal[[#This Row],[X]]=3)),tbal[[#This Row],[ACREEDOR]],0)</f>
        <v>0</v>
      </c>
      <c r="K2199" s="16">
        <f>IF((OR(tbal[[#This Row],[X]]=3,tbal[[#This Row],[X]]=5)),tbal[[#This Row],[DEUDOR]],0)</f>
        <v>0</v>
      </c>
      <c r="L2199" s="18">
        <f>IF((OR(tbal[[#This Row],[X]]=3,tbal[[#This Row],[X]]=4)),tbal[[#This Row],[ACREEDOR]],0)</f>
        <v>0</v>
      </c>
      <c r="M2199" s="16">
        <f>IF((OR(tbal[[#This Row],[X]]=0,tbal[[#This Row],[X]]=6)),tbal[[#This Row],[DEUDOR]],0)</f>
        <v>0</v>
      </c>
      <c r="N2199" s="18">
        <f>IF((OR(tbal[[#This Row],[X]]=0,tbal[[#This Row],[X]]=5)),tbal[[#This Row],[ACREEDOR]],0)</f>
        <v>0</v>
      </c>
    </row>
    <row r="2200" spans="1:14" hidden="1" x14ac:dyDescent="0.3">
      <c r="A2200" s="14">
        <f>+'PLAN DE CUENTAS'!A2200</f>
        <v>0</v>
      </c>
      <c r="B2200" s="13">
        <f>+'PLAN DE CUENTAS'!B2200</f>
        <v>0</v>
      </c>
      <c r="C2200" s="13">
        <f>+'PLAN DE CUENTAS'!C2200</f>
        <v>0</v>
      </c>
      <c r="D2200" t="str">
        <f>IF(tbal[[#This Row],[DEBE]]+tbal[[#This Row],[HABER]]=0,"","X")</f>
        <v/>
      </c>
      <c r="E2200" s="16">
        <f>SUMIF(tdiario[CUENTA],tbal[[#This Row],[CUENTA]],tdiario[DEBE])</f>
        <v>0</v>
      </c>
      <c r="F2200" s="17">
        <f>SUMIF(tdiario[CUENTA],tbal[[#This Row],[CUENTA]],tdiario[HABER])</f>
        <v>0</v>
      </c>
      <c r="G2200" s="16">
        <f>IF(tbal[[#This Row],[DEBE]]-tbal[[#This Row],[HABER]]&gt;0,tbal[[#This Row],[DEBE]]-tbal[[#This Row],[HABER]],0)</f>
        <v>0</v>
      </c>
      <c r="H2200" s="18">
        <f>IF(tbal[[#This Row],[HABER]]-tbal[[#This Row],[DEBE]]&gt;0,tbal[[#This Row],[HABER]]-tbal[[#This Row],[DEBE]],0)</f>
        <v>0</v>
      </c>
      <c r="I2200" s="16">
        <f>IF((OR(tbal[[#This Row],[X]]=1,tbal[[#This Row],[X]]=2)),tbal[[#This Row],[DEUDOR]],0)</f>
        <v>0</v>
      </c>
      <c r="J2200" s="18">
        <f>IF((OR(tbal[[#This Row],[X]]=2,tbal[[#This Row],[X]]=3)),tbal[[#This Row],[ACREEDOR]],0)</f>
        <v>0</v>
      </c>
      <c r="K2200" s="16">
        <f>IF((OR(tbal[[#This Row],[X]]=3,tbal[[#This Row],[X]]=5)),tbal[[#This Row],[DEUDOR]],0)</f>
        <v>0</v>
      </c>
      <c r="L2200" s="18">
        <f>IF((OR(tbal[[#This Row],[X]]=3,tbal[[#This Row],[X]]=4)),tbal[[#This Row],[ACREEDOR]],0)</f>
        <v>0</v>
      </c>
      <c r="M2200" s="16">
        <f>IF((OR(tbal[[#This Row],[X]]=0,tbal[[#This Row],[X]]=6)),tbal[[#This Row],[DEUDOR]],0)</f>
        <v>0</v>
      </c>
      <c r="N2200" s="18">
        <f>IF((OR(tbal[[#This Row],[X]]=0,tbal[[#This Row],[X]]=5)),tbal[[#This Row],[ACREEDOR]],0)</f>
        <v>0</v>
      </c>
    </row>
    <row r="2201" spans="1:14" hidden="1" x14ac:dyDescent="0.3">
      <c r="A2201" s="14">
        <f>+'PLAN DE CUENTAS'!A2201</f>
        <v>0</v>
      </c>
      <c r="B2201" s="13">
        <f>+'PLAN DE CUENTAS'!B2201</f>
        <v>0</v>
      </c>
      <c r="C2201" s="13">
        <f>+'PLAN DE CUENTAS'!C2201</f>
        <v>0</v>
      </c>
      <c r="D2201" t="str">
        <f>IF(tbal[[#This Row],[DEBE]]+tbal[[#This Row],[HABER]]=0,"","X")</f>
        <v/>
      </c>
      <c r="E2201" s="16">
        <f>SUMIF(tdiario[CUENTA],tbal[[#This Row],[CUENTA]],tdiario[DEBE])</f>
        <v>0</v>
      </c>
      <c r="F2201" s="17">
        <f>SUMIF(tdiario[CUENTA],tbal[[#This Row],[CUENTA]],tdiario[HABER])</f>
        <v>0</v>
      </c>
      <c r="G2201" s="16">
        <f>IF(tbal[[#This Row],[DEBE]]-tbal[[#This Row],[HABER]]&gt;0,tbal[[#This Row],[DEBE]]-tbal[[#This Row],[HABER]],0)</f>
        <v>0</v>
      </c>
      <c r="H2201" s="18">
        <f>IF(tbal[[#This Row],[HABER]]-tbal[[#This Row],[DEBE]]&gt;0,tbal[[#This Row],[HABER]]-tbal[[#This Row],[DEBE]],0)</f>
        <v>0</v>
      </c>
      <c r="I2201" s="16">
        <f>IF((OR(tbal[[#This Row],[X]]=1,tbal[[#This Row],[X]]=2)),tbal[[#This Row],[DEUDOR]],0)</f>
        <v>0</v>
      </c>
      <c r="J2201" s="18">
        <f>IF((OR(tbal[[#This Row],[X]]=2,tbal[[#This Row],[X]]=3)),tbal[[#This Row],[ACREEDOR]],0)</f>
        <v>0</v>
      </c>
      <c r="K2201" s="16">
        <f>IF((OR(tbal[[#This Row],[X]]=3,tbal[[#This Row],[X]]=5)),tbal[[#This Row],[DEUDOR]],0)</f>
        <v>0</v>
      </c>
      <c r="L2201" s="18">
        <f>IF((OR(tbal[[#This Row],[X]]=3,tbal[[#This Row],[X]]=4)),tbal[[#This Row],[ACREEDOR]],0)</f>
        <v>0</v>
      </c>
      <c r="M2201" s="16">
        <f>IF((OR(tbal[[#This Row],[X]]=0,tbal[[#This Row],[X]]=6)),tbal[[#This Row],[DEUDOR]],0)</f>
        <v>0</v>
      </c>
      <c r="N2201" s="18">
        <f>IF((OR(tbal[[#This Row],[X]]=0,tbal[[#This Row],[X]]=5)),tbal[[#This Row],[ACREEDOR]],0)</f>
        <v>0</v>
      </c>
    </row>
    <row r="2202" spans="1:14" hidden="1" x14ac:dyDescent="0.3">
      <c r="A2202" s="14">
        <f>+'PLAN DE CUENTAS'!A2202</f>
        <v>0</v>
      </c>
      <c r="B2202" s="13">
        <f>+'PLAN DE CUENTAS'!B2202</f>
        <v>0</v>
      </c>
      <c r="C2202" s="13">
        <f>+'PLAN DE CUENTAS'!C2202</f>
        <v>0</v>
      </c>
      <c r="D2202" t="str">
        <f>IF(tbal[[#This Row],[DEBE]]+tbal[[#This Row],[HABER]]=0,"","X")</f>
        <v/>
      </c>
      <c r="E2202" s="16">
        <f>SUMIF(tdiario[CUENTA],tbal[[#This Row],[CUENTA]],tdiario[DEBE])</f>
        <v>0</v>
      </c>
      <c r="F2202" s="17">
        <f>SUMIF(tdiario[CUENTA],tbal[[#This Row],[CUENTA]],tdiario[HABER])</f>
        <v>0</v>
      </c>
      <c r="G2202" s="16">
        <f>IF(tbal[[#This Row],[DEBE]]-tbal[[#This Row],[HABER]]&gt;0,tbal[[#This Row],[DEBE]]-tbal[[#This Row],[HABER]],0)</f>
        <v>0</v>
      </c>
      <c r="H2202" s="18">
        <f>IF(tbal[[#This Row],[HABER]]-tbal[[#This Row],[DEBE]]&gt;0,tbal[[#This Row],[HABER]]-tbal[[#This Row],[DEBE]],0)</f>
        <v>0</v>
      </c>
      <c r="I2202" s="16">
        <f>IF((OR(tbal[[#This Row],[X]]=1,tbal[[#This Row],[X]]=2)),tbal[[#This Row],[DEUDOR]],0)</f>
        <v>0</v>
      </c>
      <c r="J2202" s="18">
        <f>IF((OR(tbal[[#This Row],[X]]=2,tbal[[#This Row],[X]]=3)),tbal[[#This Row],[ACREEDOR]],0)</f>
        <v>0</v>
      </c>
      <c r="K2202" s="16">
        <f>IF((OR(tbal[[#This Row],[X]]=3,tbal[[#This Row],[X]]=5)),tbal[[#This Row],[DEUDOR]],0)</f>
        <v>0</v>
      </c>
      <c r="L2202" s="18">
        <f>IF((OR(tbal[[#This Row],[X]]=3,tbal[[#This Row],[X]]=4)),tbal[[#This Row],[ACREEDOR]],0)</f>
        <v>0</v>
      </c>
      <c r="M2202" s="16">
        <f>IF((OR(tbal[[#This Row],[X]]=0,tbal[[#This Row],[X]]=6)),tbal[[#This Row],[DEUDOR]],0)</f>
        <v>0</v>
      </c>
      <c r="N2202" s="18">
        <f>IF((OR(tbal[[#This Row],[X]]=0,tbal[[#This Row],[X]]=5)),tbal[[#This Row],[ACREEDOR]],0)</f>
        <v>0</v>
      </c>
    </row>
    <row r="2203" spans="1:14" hidden="1" x14ac:dyDescent="0.3">
      <c r="A2203" s="14">
        <f>+'PLAN DE CUENTAS'!A2203</f>
        <v>0</v>
      </c>
      <c r="B2203" s="13">
        <f>+'PLAN DE CUENTAS'!B2203</f>
        <v>0</v>
      </c>
      <c r="C2203" s="13">
        <f>+'PLAN DE CUENTAS'!C2203</f>
        <v>0</v>
      </c>
      <c r="D2203" t="str">
        <f>IF(tbal[[#This Row],[DEBE]]+tbal[[#This Row],[HABER]]=0,"","X")</f>
        <v/>
      </c>
      <c r="E2203" s="16">
        <f>SUMIF(tdiario[CUENTA],tbal[[#This Row],[CUENTA]],tdiario[DEBE])</f>
        <v>0</v>
      </c>
      <c r="F2203" s="17">
        <f>SUMIF(tdiario[CUENTA],tbal[[#This Row],[CUENTA]],tdiario[HABER])</f>
        <v>0</v>
      </c>
      <c r="G2203" s="16">
        <f>IF(tbal[[#This Row],[DEBE]]-tbal[[#This Row],[HABER]]&gt;0,tbal[[#This Row],[DEBE]]-tbal[[#This Row],[HABER]],0)</f>
        <v>0</v>
      </c>
      <c r="H2203" s="18">
        <f>IF(tbal[[#This Row],[HABER]]-tbal[[#This Row],[DEBE]]&gt;0,tbal[[#This Row],[HABER]]-tbal[[#This Row],[DEBE]],0)</f>
        <v>0</v>
      </c>
      <c r="I2203" s="16">
        <f>IF((OR(tbal[[#This Row],[X]]=1,tbal[[#This Row],[X]]=2)),tbal[[#This Row],[DEUDOR]],0)</f>
        <v>0</v>
      </c>
      <c r="J2203" s="18">
        <f>IF((OR(tbal[[#This Row],[X]]=2,tbal[[#This Row],[X]]=3)),tbal[[#This Row],[ACREEDOR]],0)</f>
        <v>0</v>
      </c>
      <c r="K2203" s="16">
        <f>IF((OR(tbal[[#This Row],[X]]=3,tbal[[#This Row],[X]]=5)),tbal[[#This Row],[DEUDOR]],0)</f>
        <v>0</v>
      </c>
      <c r="L2203" s="18">
        <f>IF((OR(tbal[[#This Row],[X]]=3,tbal[[#This Row],[X]]=4)),tbal[[#This Row],[ACREEDOR]],0)</f>
        <v>0</v>
      </c>
      <c r="M2203" s="16">
        <f>IF((OR(tbal[[#This Row],[X]]=0,tbal[[#This Row],[X]]=6)),tbal[[#This Row],[DEUDOR]],0)</f>
        <v>0</v>
      </c>
      <c r="N2203" s="18">
        <f>IF((OR(tbal[[#This Row],[X]]=0,tbal[[#This Row],[X]]=5)),tbal[[#This Row],[ACREEDOR]],0)</f>
        <v>0</v>
      </c>
    </row>
    <row r="2204" spans="1:14" hidden="1" x14ac:dyDescent="0.3">
      <c r="A2204" s="14">
        <f>+'PLAN DE CUENTAS'!A2204</f>
        <v>0</v>
      </c>
      <c r="B2204" s="13">
        <f>+'PLAN DE CUENTAS'!B2204</f>
        <v>0</v>
      </c>
      <c r="C2204" s="13">
        <f>+'PLAN DE CUENTAS'!C2204</f>
        <v>0</v>
      </c>
      <c r="D2204" t="str">
        <f>IF(tbal[[#This Row],[DEBE]]+tbal[[#This Row],[HABER]]=0,"","X")</f>
        <v/>
      </c>
      <c r="E2204" s="16">
        <f>SUMIF(tdiario[CUENTA],tbal[[#This Row],[CUENTA]],tdiario[DEBE])</f>
        <v>0</v>
      </c>
      <c r="F2204" s="17">
        <f>SUMIF(tdiario[CUENTA],tbal[[#This Row],[CUENTA]],tdiario[HABER])</f>
        <v>0</v>
      </c>
      <c r="G2204" s="16">
        <f>IF(tbal[[#This Row],[DEBE]]-tbal[[#This Row],[HABER]]&gt;0,tbal[[#This Row],[DEBE]]-tbal[[#This Row],[HABER]],0)</f>
        <v>0</v>
      </c>
      <c r="H2204" s="18">
        <f>IF(tbal[[#This Row],[HABER]]-tbal[[#This Row],[DEBE]]&gt;0,tbal[[#This Row],[HABER]]-tbal[[#This Row],[DEBE]],0)</f>
        <v>0</v>
      </c>
      <c r="I2204" s="16">
        <f>IF((OR(tbal[[#This Row],[X]]=1,tbal[[#This Row],[X]]=2)),tbal[[#This Row],[DEUDOR]],0)</f>
        <v>0</v>
      </c>
      <c r="J2204" s="18">
        <f>IF((OR(tbal[[#This Row],[X]]=2,tbal[[#This Row],[X]]=3)),tbal[[#This Row],[ACREEDOR]],0)</f>
        <v>0</v>
      </c>
      <c r="K2204" s="16">
        <f>IF((OR(tbal[[#This Row],[X]]=3,tbal[[#This Row],[X]]=5)),tbal[[#This Row],[DEUDOR]],0)</f>
        <v>0</v>
      </c>
      <c r="L2204" s="18">
        <f>IF((OR(tbal[[#This Row],[X]]=3,tbal[[#This Row],[X]]=4)),tbal[[#This Row],[ACREEDOR]],0)</f>
        <v>0</v>
      </c>
      <c r="M2204" s="16">
        <f>IF((OR(tbal[[#This Row],[X]]=0,tbal[[#This Row],[X]]=6)),tbal[[#This Row],[DEUDOR]],0)</f>
        <v>0</v>
      </c>
      <c r="N2204" s="18">
        <f>IF((OR(tbal[[#This Row],[X]]=0,tbal[[#This Row],[X]]=5)),tbal[[#This Row],[ACREEDOR]],0)</f>
        <v>0</v>
      </c>
    </row>
    <row r="2205" spans="1:14" hidden="1" x14ac:dyDescent="0.3">
      <c r="A2205" s="14">
        <f>+'PLAN DE CUENTAS'!A2205</f>
        <v>0</v>
      </c>
      <c r="B2205" s="13">
        <f>+'PLAN DE CUENTAS'!B2205</f>
        <v>0</v>
      </c>
      <c r="C2205" s="13">
        <f>+'PLAN DE CUENTAS'!C2205</f>
        <v>0</v>
      </c>
      <c r="D2205" t="str">
        <f>IF(tbal[[#This Row],[DEBE]]+tbal[[#This Row],[HABER]]=0,"","X")</f>
        <v/>
      </c>
      <c r="E2205" s="16">
        <f>SUMIF(tdiario[CUENTA],tbal[[#This Row],[CUENTA]],tdiario[DEBE])</f>
        <v>0</v>
      </c>
      <c r="F2205" s="17">
        <f>SUMIF(tdiario[CUENTA],tbal[[#This Row],[CUENTA]],tdiario[HABER])</f>
        <v>0</v>
      </c>
      <c r="G2205" s="16">
        <f>IF(tbal[[#This Row],[DEBE]]-tbal[[#This Row],[HABER]]&gt;0,tbal[[#This Row],[DEBE]]-tbal[[#This Row],[HABER]],0)</f>
        <v>0</v>
      </c>
      <c r="H2205" s="18">
        <f>IF(tbal[[#This Row],[HABER]]-tbal[[#This Row],[DEBE]]&gt;0,tbal[[#This Row],[HABER]]-tbal[[#This Row],[DEBE]],0)</f>
        <v>0</v>
      </c>
      <c r="I2205" s="16">
        <f>IF((OR(tbal[[#This Row],[X]]=1,tbal[[#This Row],[X]]=2)),tbal[[#This Row],[DEUDOR]],0)</f>
        <v>0</v>
      </c>
      <c r="J2205" s="18">
        <f>IF((OR(tbal[[#This Row],[X]]=2,tbal[[#This Row],[X]]=3)),tbal[[#This Row],[ACREEDOR]],0)</f>
        <v>0</v>
      </c>
      <c r="K2205" s="16">
        <f>IF((OR(tbal[[#This Row],[X]]=3,tbal[[#This Row],[X]]=5)),tbal[[#This Row],[DEUDOR]],0)</f>
        <v>0</v>
      </c>
      <c r="L2205" s="18">
        <f>IF((OR(tbal[[#This Row],[X]]=3,tbal[[#This Row],[X]]=4)),tbal[[#This Row],[ACREEDOR]],0)</f>
        <v>0</v>
      </c>
      <c r="M2205" s="16">
        <f>IF((OR(tbal[[#This Row],[X]]=0,tbal[[#This Row],[X]]=6)),tbal[[#This Row],[DEUDOR]],0)</f>
        <v>0</v>
      </c>
      <c r="N2205" s="18">
        <f>IF((OR(tbal[[#This Row],[X]]=0,tbal[[#This Row],[X]]=5)),tbal[[#This Row],[ACREEDOR]],0)</f>
        <v>0</v>
      </c>
    </row>
    <row r="2206" spans="1:14" hidden="1" x14ac:dyDescent="0.3">
      <c r="A2206" s="14">
        <f>+'PLAN DE CUENTAS'!A2206</f>
        <v>0</v>
      </c>
      <c r="B2206" s="13">
        <f>+'PLAN DE CUENTAS'!B2206</f>
        <v>0</v>
      </c>
      <c r="C2206" s="13">
        <f>+'PLAN DE CUENTAS'!C2206</f>
        <v>0</v>
      </c>
      <c r="D2206" t="str">
        <f>IF(tbal[[#This Row],[DEBE]]+tbal[[#This Row],[HABER]]=0,"","X")</f>
        <v/>
      </c>
      <c r="E2206" s="16">
        <f>SUMIF(tdiario[CUENTA],tbal[[#This Row],[CUENTA]],tdiario[DEBE])</f>
        <v>0</v>
      </c>
      <c r="F2206" s="17">
        <f>SUMIF(tdiario[CUENTA],tbal[[#This Row],[CUENTA]],tdiario[HABER])</f>
        <v>0</v>
      </c>
      <c r="G2206" s="16">
        <f>IF(tbal[[#This Row],[DEBE]]-tbal[[#This Row],[HABER]]&gt;0,tbal[[#This Row],[DEBE]]-tbal[[#This Row],[HABER]],0)</f>
        <v>0</v>
      </c>
      <c r="H2206" s="18">
        <f>IF(tbal[[#This Row],[HABER]]-tbal[[#This Row],[DEBE]]&gt;0,tbal[[#This Row],[HABER]]-tbal[[#This Row],[DEBE]],0)</f>
        <v>0</v>
      </c>
      <c r="I2206" s="16">
        <f>IF((OR(tbal[[#This Row],[X]]=1,tbal[[#This Row],[X]]=2)),tbal[[#This Row],[DEUDOR]],0)</f>
        <v>0</v>
      </c>
      <c r="J2206" s="18">
        <f>IF((OR(tbal[[#This Row],[X]]=2,tbal[[#This Row],[X]]=3)),tbal[[#This Row],[ACREEDOR]],0)</f>
        <v>0</v>
      </c>
      <c r="K2206" s="16">
        <f>IF((OR(tbal[[#This Row],[X]]=3,tbal[[#This Row],[X]]=5)),tbal[[#This Row],[DEUDOR]],0)</f>
        <v>0</v>
      </c>
      <c r="L2206" s="18">
        <f>IF((OR(tbal[[#This Row],[X]]=3,tbal[[#This Row],[X]]=4)),tbal[[#This Row],[ACREEDOR]],0)</f>
        <v>0</v>
      </c>
      <c r="M2206" s="16">
        <f>IF((OR(tbal[[#This Row],[X]]=0,tbal[[#This Row],[X]]=6)),tbal[[#This Row],[DEUDOR]],0)</f>
        <v>0</v>
      </c>
      <c r="N2206" s="18">
        <f>IF((OR(tbal[[#This Row],[X]]=0,tbal[[#This Row],[X]]=5)),tbal[[#This Row],[ACREEDOR]],0)</f>
        <v>0</v>
      </c>
    </row>
    <row r="2207" spans="1:14" hidden="1" x14ac:dyDescent="0.3">
      <c r="A2207" s="14">
        <f>+'PLAN DE CUENTAS'!A2207</f>
        <v>0</v>
      </c>
      <c r="B2207" s="13">
        <f>+'PLAN DE CUENTAS'!B2207</f>
        <v>0</v>
      </c>
      <c r="C2207" s="13">
        <f>+'PLAN DE CUENTAS'!C2207</f>
        <v>0</v>
      </c>
      <c r="D2207" t="str">
        <f>IF(tbal[[#This Row],[DEBE]]+tbal[[#This Row],[HABER]]=0,"","X")</f>
        <v/>
      </c>
      <c r="E2207" s="16">
        <f>SUMIF(tdiario[CUENTA],tbal[[#This Row],[CUENTA]],tdiario[DEBE])</f>
        <v>0</v>
      </c>
      <c r="F2207" s="17">
        <f>SUMIF(tdiario[CUENTA],tbal[[#This Row],[CUENTA]],tdiario[HABER])</f>
        <v>0</v>
      </c>
      <c r="G2207" s="16">
        <f>IF(tbal[[#This Row],[DEBE]]-tbal[[#This Row],[HABER]]&gt;0,tbal[[#This Row],[DEBE]]-tbal[[#This Row],[HABER]],0)</f>
        <v>0</v>
      </c>
      <c r="H2207" s="18">
        <f>IF(tbal[[#This Row],[HABER]]-tbal[[#This Row],[DEBE]]&gt;0,tbal[[#This Row],[HABER]]-tbal[[#This Row],[DEBE]],0)</f>
        <v>0</v>
      </c>
      <c r="I2207" s="16">
        <f>IF((OR(tbal[[#This Row],[X]]=1,tbal[[#This Row],[X]]=2)),tbal[[#This Row],[DEUDOR]],0)</f>
        <v>0</v>
      </c>
      <c r="J2207" s="18">
        <f>IF((OR(tbal[[#This Row],[X]]=2,tbal[[#This Row],[X]]=3)),tbal[[#This Row],[ACREEDOR]],0)</f>
        <v>0</v>
      </c>
      <c r="K2207" s="16">
        <f>IF((OR(tbal[[#This Row],[X]]=3,tbal[[#This Row],[X]]=5)),tbal[[#This Row],[DEUDOR]],0)</f>
        <v>0</v>
      </c>
      <c r="L2207" s="18">
        <f>IF((OR(tbal[[#This Row],[X]]=3,tbal[[#This Row],[X]]=4)),tbal[[#This Row],[ACREEDOR]],0)</f>
        <v>0</v>
      </c>
      <c r="M2207" s="16">
        <f>IF((OR(tbal[[#This Row],[X]]=0,tbal[[#This Row],[X]]=6)),tbal[[#This Row],[DEUDOR]],0)</f>
        <v>0</v>
      </c>
      <c r="N2207" s="18">
        <f>IF((OR(tbal[[#This Row],[X]]=0,tbal[[#This Row],[X]]=5)),tbal[[#This Row],[ACREEDOR]],0)</f>
        <v>0</v>
      </c>
    </row>
    <row r="2208" spans="1:14" hidden="1" x14ac:dyDescent="0.3">
      <c r="A2208" s="14">
        <f>+'PLAN DE CUENTAS'!A2208</f>
        <v>0</v>
      </c>
      <c r="B2208" s="13">
        <f>+'PLAN DE CUENTAS'!B2208</f>
        <v>0</v>
      </c>
      <c r="C2208" s="13">
        <f>+'PLAN DE CUENTAS'!C2208</f>
        <v>0</v>
      </c>
      <c r="D2208" t="str">
        <f>IF(tbal[[#This Row],[DEBE]]+tbal[[#This Row],[HABER]]=0,"","X")</f>
        <v/>
      </c>
      <c r="E2208" s="16">
        <f>SUMIF(tdiario[CUENTA],tbal[[#This Row],[CUENTA]],tdiario[DEBE])</f>
        <v>0</v>
      </c>
      <c r="F2208" s="17">
        <f>SUMIF(tdiario[CUENTA],tbal[[#This Row],[CUENTA]],tdiario[HABER])</f>
        <v>0</v>
      </c>
      <c r="G2208" s="16">
        <f>IF(tbal[[#This Row],[DEBE]]-tbal[[#This Row],[HABER]]&gt;0,tbal[[#This Row],[DEBE]]-tbal[[#This Row],[HABER]],0)</f>
        <v>0</v>
      </c>
      <c r="H2208" s="18">
        <f>IF(tbal[[#This Row],[HABER]]-tbal[[#This Row],[DEBE]]&gt;0,tbal[[#This Row],[HABER]]-tbal[[#This Row],[DEBE]],0)</f>
        <v>0</v>
      </c>
      <c r="I2208" s="16">
        <f>IF((OR(tbal[[#This Row],[X]]=1,tbal[[#This Row],[X]]=2)),tbal[[#This Row],[DEUDOR]],0)</f>
        <v>0</v>
      </c>
      <c r="J2208" s="18">
        <f>IF((OR(tbal[[#This Row],[X]]=2,tbal[[#This Row],[X]]=3)),tbal[[#This Row],[ACREEDOR]],0)</f>
        <v>0</v>
      </c>
      <c r="K2208" s="16">
        <f>IF((OR(tbal[[#This Row],[X]]=3,tbal[[#This Row],[X]]=5)),tbal[[#This Row],[DEUDOR]],0)</f>
        <v>0</v>
      </c>
      <c r="L2208" s="18">
        <f>IF((OR(tbal[[#This Row],[X]]=3,tbal[[#This Row],[X]]=4)),tbal[[#This Row],[ACREEDOR]],0)</f>
        <v>0</v>
      </c>
      <c r="M2208" s="16">
        <f>IF((OR(tbal[[#This Row],[X]]=0,tbal[[#This Row],[X]]=6)),tbal[[#This Row],[DEUDOR]],0)</f>
        <v>0</v>
      </c>
      <c r="N2208" s="18">
        <f>IF((OR(tbal[[#This Row],[X]]=0,tbal[[#This Row],[X]]=5)),tbal[[#This Row],[ACREEDOR]],0)</f>
        <v>0</v>
      </c>
    </row>
    <row r="2209" spans="1:14" hidden="1" x14ac:dyDescent="0.3">
      <c r="A2209" s="14">
        <f>+'PLAN DE CUENTAS'!A2209</f>
        <v>0</v>
      </c>
      <c r="B2209" s="13">
        <f>+'PLAN DE CUENTAS'!B2209</f>
        <v>0</v>
      </c>
      <c r="C2209" s="13">
        <f>+'PLAN DE CUENTAS'!C2209</f>
        <v>0</v>
      </c>
      <c r="D2209" t="str">
        <f>IF(tbal[[#This Row],[DEBE]]+tbal[[#This Row],[HABER]]=0,"","X")</f>
        <v/>
      </c>
      <c r="E2209" s="16">
        <f>SUMIF(tdiario[CUENTA],tbal[[#This Row],[CUENTA]],tdiario[DEBE])</f>
        <v>0</v>
      </c>
      <c r="F2209" s="17">
        <f>SUMIF(tdiario[CUENTA],tbal[[#This Row],[CUENTA]],tdiario[HABER])</f>
        <v>0</v>
      </c>
      <c r="G2209" s="16">
        <f>IF(tbal[[#This Row],[DEBE]]-tbal[[#This Row],[HABER]]&gt;0,tbal[[#This Row],[DEBE]]-tbal[[#This Row],[HABER]],0)</f>
        <v>0</v>
      </c>
      <c r="H2209" s="18">
        <f>IF(tbal[[#This Row],[HABER]]-tbal[[#This Row],[DEBE]]&gt;0,tbal[[#This Row],[HABER]]-tbal[[#This Row],[DEBE]],0)</f>
        <v>0</v>
      </c>
      <c r="I2209" s="16">
        <f>IF((OR(tbal[[#This Row],[X]]=1,tbal[[#This Row],[X]]=2)),tbal[[#This Row],[DEUDOR]],0)</f>
        <v>0</v>
      </c>
      <c r="J2209" s="18">
        <f>IF((OR(tbal[[#This Row],[X]]=2,tbal[[#This Row],[X]]=3)),tbal[[#This Row],[ACREEDOR]],0)</f>
        <v>0</v>
      </c>
      <c r="K2209" s="16">
        <f>IF((OR(tbal[[#This Row],[X]]=3,tbal[[#This Row],[X]]=5)),tbal[[#This Row],[DEUDOR]],0)</f>
        <v>0</v>
      </c>
      <c r="L2209" s="18">
        <f>IF((OR(tbal[[#This Row],[X]]=3,tbal[[#This Row],[X]]=4)),tbal[[#This Row],[ACREEDOR]],0)</f>
        <v>0</v>
      </c>
      <c r="M2209" s="16">
        <f>IF((OR(tbal[[#This Row],[X]]=0,tbal[[#This Row],[X]]=6)),tbal[[#This Row],[DEUDOR]],0)</f>
        <v>0</v>
      </c>
      <c r="N2209" s="18">
        <f>IF((OR(tbal[[#This Row],[X]]=0,tbal[[#This Row],[X]]=5)),tbal[[#This Row],[ACREEDOR]],0)</f>
        <v>0</v>
      </c>
    </row>
    <row r="2210" spans="1:14" hidden="1" x14ac:dyDescent="0.3">
      <c r="A2210" s="14">
        <f>+'PLAN DE CUENTAS'!A2210</f>
        <v>0</v>
      </c>
      <c r="B2210" s="13">
        <f>+'PLAN DE CUENTAS'!B2210</f>
        <v>0</v>
      </c>
      <c r="C2210" s="13">
        <f>+'PLAN DE CUENTAS'!C2210</f>
        <v>0</v>
      </c>
      <c r="D2210" t="str">
        <f>IF(tbal[[#This Row],[DEBE]]+tbal[[#This Row],[HABER]]=0,"","X")</f>
        <v/>
      </c>
      <c r="E2210" s="16">
        <f>SUMIF(tdiario[CUENTA],tbal[[#This Row],[CUENTA]],tdiario[DEBE])</f>
        <v>0</v>
      </c>
      <c r="F2210" s="17">
        <f>SUMIF(tdiario[CUENTA],tbal[[#This Row],[CUENTA]],tdiario[HABER])</f>
        <v>0</v>
      </c>
      <c r="G2210" s="16">
        <f>IF(tbal[[#This Row],[DEBE]]-tbal[[#This Row],[HABER]]&gt;0,tbal[[#This Row],[DEBE]]-tbal[[#This Row],[HABER]],0)</f>
        <v>0</v>
      </c>
      <c r="H2210" s="18">
        <f>IF(tbal[[#This Row],[HABER]]-tbal[[#This Row],[DEBE]]&gt;0,tbal[[#This Row],[HABER]]-tbal[[#This Row],[DEBE]],0)</f>
        <v>0</v>
      </c>
      <c r="I2210" s="16">
        <f>IF((OR(tbal[[#This Row],[X]]=1,tbal[[#This Row],[X]]=2)),tbal[[#This Row],[DEUDOR]],0)</f>
        <v>0</v>
      </c>
      <c r="J2210" s="18">
        <f>IF((OR(tbal[[#This Row],[X]]=2,tbal[[#This Row],[X]]=3)),tbal[[#This Row],[ACREEDOR]],0)</f>
        <v>0</v>
      </c>
      <c r="K2210" s="16">
        <f>IF((OR(tbal[[#This Row],[X]]=3,tbal[[#This Row],[X]]=5)),tbal[[#This Row],[DEUDOR]],0)</f>
        <v>0</v>
      </c>
      <c r="L2210" s="18">
        <f>IF((OR(tbal[[#This Row],[X]]=3,tbal[[#This Row],[X]]=4)),tbal[[#This Row],[ACREEDOR]],0)</f>
        <v>0</v>
      </c>
      <c r="M2210" s="16">
        <f>IF((OR(tbal[[#This Row],[X]]=0,tbal[[#This Row],[X]]=6)),tbal[[#This Row],[DEUDOR]],0)</f>
        <v>0</v>
      </c>
      <c r="N2210" s="18">
        <f>IF((OR(tbal[[#This Row],[X]]=0,tbal[[#This Row],[X]]=5)),tbal[[#This Row],[ACREEDOR]],0)</f>
        <v>0</v>
      </c>
    </row>
    <row r="2211" spans="1:14" hidden="1" x14ac:dyDescent="0.3">
      <c r="A2211" s="14">
        <f>+'PLAN DE CUENTAS'!A2211</f>
        <v>0</v>
      </c>
      <c r="B2211" s="13">
        <f>+'PLAN DE CUENTAS'!B2211</f>
        <v>0</v>
      </c>
      <c r="C2211" s="13">
        <f>+'PLAN DE CUENTAS'!C2211</f>
        <v>0</v>
      </c>
      <c r="D2211" t="str">
        <f>IF(tbal[[#This Row],[DEBE]]+tbal[[#This Row],[HABER]]=0,"","X")</f>
        <v/>
      </c>
      <c r="E2211" s="16">
        <f>SUMIF(tdiario[CUENTA],tbal[[#This Row],[CUENTA]],tdiario[DEBE])</f>
        <v>0</v>
      </c>
      <c r="F2211" s="17">
        <f>SUMIF(tdiario[CUENTA],tbal[[#This Row],[CUENTA]],tdiario[HABER])</f>
        <v>0</v>
      </c>
      <c r="G2211" s="16">
        <f>IF(tbal[[#This Row],[DEBE]]-tbal[[#This Row],[HABER]]&gt;0,tbal[[#This Row],[DEBE]]-tbal[[#This Row],[HABER]],0)</f>
        <v>0</v>
      </c>
      <c r="H2211" s="18">
        <f>IF(tbal[[#This Row],[HABER]]-tbal[[#This Row],[DEBE]]&gt;0,tbal[[#This Row],[HABER]]-tbal[[#This Row],[DEBE]],0)</f>
        <v>0</v>
      </c>
      <c r="I2211" s="16">
        <f>IF((OR(tbal[[#This Row],[X]]=1,tbal[[#This Row],[X]]=2)),tbal[[#This Row],[DEUDOR]],0)</f>
        <v>0</v>
      </c>
      <c r="J2211" s="18">
        <f>IF((OR(tbal[[#This Row],[X]]=2,tbal[[#This Row],[X]]=3)),tbal[[#This Row],[ACREEDOR]],0)</f>
        <v>0</v>
      </c>
      <c r="K2211" s="16">
        <f>IF((OR(tbal[[#This Row],[X]]=3,tbal[[#This Row],[X]]=5)),tbal[[#This Row],[DEUDOR]],0)</f>
        <v>0</v>
      </c>
      <c r="L2211" s="18">
        <f>IF((OR(tbal[[#This Row],[X]]=3,tbal[[#This Row],[X]]=4)),tbal[[#This Row],[ACREEDOR]],0)</f>
        <v>0</v>
      </c>
      <c r="M2211" s="16">
        <f>IF((OR(tbal[[#This Row],[X]]=0,tbal[[#This Row],[X]]=6)),tbal[[#This Row],[DEUDOR]],0)</f>
        <v>0</v>
      </c>
      <c r="N2211" s="18">
        <f>IF((OR(tbal[[#This Row],[X]]=0,tbal[[#This Row],[X]]=5)),tbal[[#This Row],[ACREEDOR]],0)</f>
        <v>0</v>
      </c>
    </row>
    <row r="2212" spans="1:14" hidden="1" x14ac:dyDescent="0.3">
      <c r="A2212" s="14">
        <f>+'PLAN DE CUENTAS'!A2212</f>
        <v>0</v>
      </c>
      <c r="B2212" s="13">
        <f>+'PLAN DE CUENTAS'!B2212</f>
        <v>0</v>
      </c>
      <c r="C2212" s="13">
        <f>+'PLAN DE CUENTAS'!C2212</f>
        <v>0</v>
      </c>
      <c r="D2212" t="str">
        <f>IF(tbal[[#This Row],[DEBE]]+tbal[[#This Row],[HABER]]=0,"","X")</f>
        <v/>
      </c>
      <c r="E2212" s="16">
        <f>SUMIF(tdiario[CUENTA],tbal[[#This Row],[CUENTA]],tdiario[DEBE])</f>
        <v>0</v>
      </c>
      <c r="F2212" s="17">
        <f>SUMIF(tdiario[CUENTA],tbal[[#This Row],[CUENTA]],tdiario[HABER])</f>
        <v>0</v>
      </c>
      <c r="G2212" s="16">
        <f>IF(tbal[[#This Row],[DEBE]]-tbal[[#This Row],[HABER]]&gt;0,tbal[[#This Row],[DEBE]]-tbal[[#This Row],[HABER]],0)</f>
        <v>0</v>
      </c>
      <c r="H2212" s="18">
        <f>IF(tbal[[#This Row],[HABER]]-tbal[[#This Row],[DEBE]]&gt;0,tbal[[#This Row],[HABER]]-tbal[[#This Row],[DEBE]],0)</f>
        <v>0</v>
      </c>
      <c r="I2212" s="16">
        <f>IF((OR(tbal[[#This Row],[X]]=1,tbal[[#This Row],[X]]=2)),tbal[[#This Row],[DEUDOR]],0)</f>
        <v>0</v>
      </c>
      <c r="J2212" s="18">
        <f>IF((OR(tbal[[#This Row],[X]]=2,tbal[[#This Row],[X]]=3)),tbal[[#This Row],[ACREEDOR]],0)</f>
        <v>0</v>
      </c>
      <c r="K2212" s="16">
        <f>IF((OR(tbal[[#This Row],[X]]=3,tbal[[#This Row],[X]]=5)),tbal[[#This Row],[DEUDOR]],0)</f>
        <v>0</v>
      </c>
      <c r="L2212" s="18">
        <f>IF((OR(tbal[[#This Row],[X]]=3,tbal[[#This Row],[X]]=4)),tbal[[#This Row],[ACREEDOR]],0)</f>
        <v>0</v>
      </c>
      <c r="M2212" s="16">
        <f>IF((OR(tbal[[#This Row],[X]]=0,tbal[[#This Row],[X]]=6)),tbal[[#This Row],[DEUDOR]],0)</f>
        <v>0</v>
      </c>
      <c r="N2212" s="18">
        <f>IF((OR(tbal[[#This Row],[X]]=0,tbal[[#This Row],[X]]=5)),tbal[[#This Row],[ACREEDOR]],0)</f>
        <v>0</v>
      </c>
    </row>
    <row r="2213" spans="1:14" hidden="1" x14ac:dyDescent="0.3">
      <c r="A2213" s="14">
        <f>+'PLAN DE CUENTAS'!A2213</f>
        <v>0</v>
      </c>
      <c r="B2213" s="13">
        <f>+'PLAN DE CUENTAS'!B2213</f>
        <v>0</v>
      </c>
      <c r="C2213" s="13">
        <f>+'PLAN DE CUENTAS'!C2213</f>
        <v>0</v>
      </c>
      <c r="D2213" t="str">
        <f>IF(tbal[[#This Row],[DEBE]]+tbal[[#This Row],[HABER]]=0,"","X")</f>
        <v/>
      </c>
      <c r="E2213" s="16">
        <f>SUMIF(tdiario[CUENTA],tbal[[#This Row],[CUENTA]],tdiario[DEBE])</f>
        <v>0</v>
      </c>
      <c r="F2213" s="17">
        <f>SUMIF(tdiario[CUENTA],tbal[[#This Row],[CUENTA]],tdiario[HABER])</f>
        <v>0</v>
      </c>
      <c r="G2213" s="16">
        <f>IF(tbal[[#This Row],[DEBE]]-tbal[[#This Row],[HABER]]&gt;0,tbal[[#This Row],[DEBE]]-tbal[[#This Row],[HABER]],0)</f>
        <v>0</v>
      </c>
      <c r="H2213" s="18">
        <f>IF(tbal[[#This Row],[HABER]]-tbal[[#This Row],[DEBE]]&gt;0,tbal[[#This Row],[HABER]]-tbal[[#This Row],[DEBE]],0)</f>
        <v>0</v>
      </c>
      <c r="I2213" s="16">
        <f>IF((OR(tbal[[#This Row],[X]]=1,tbal[[#This Row],[X]]=2)),tbal[[#This Row],[DEUDOR]],0)</f>
        <v>0</v>
      </c>
      <c r="J2213" s="18">
        <f>IF((OR(tbal[[#This Row],[X]]=2,tbal[[#This Row],[X]]=3)),tbal[[#This Row],[ACREEDOR]],0)</f>
        <v>0</v>
      </c>
      <c r="K2213" s="16">
        <f>IF((OR(tbal[[#This Row],[X]]=3,tbal[[#This Row],[X]]=5)),tbal[[#This Row],[DEUDOR]],0)</f>
        <v>0</v>
      </c>
      <c r="L2213" s="18">
        <f>IF((OR(tbal[[#This Row],[X]]=3,tbal[[#This Row],[X]]=4)),tbal[[#This Row],[ACREEDOR]],0)</f>
        <v>0</v>
      </c>
      <c r="M2213" s="16">
        <f>IF((OR(tbal[[#This Row],[X]]=0,tbal[[#This Row],[X]]=6)),tbal[[#This Row],[DEUDOR]],0)</f>
        <v>0</v>
      </c>
      <c r="N2213" s="18">
        <f>IF((OR(tbal[[#This Row],[X]]=0,tbal[[#This Row],[X]]=5)),tbal[[#This Row],[ACREEDOR]],0)</f>
        <v>0</v>
      </c>
    </row>
    <row r="2214" spans="1:14" hidden="1" x14ac:dyDescent="0.3">
      <c r="A2214" s="14">
        <f>+'PLAN DE CUENTAS'!A2214</f>
        <v>0</v>
      </c>
      <c r="B2214" s="13">
        <f>+'PLAN DE CUENTAS'!B2214</f>
        <v>0</v>
      </c>
      <c r="C2214" s="13">
        <f>+'PLAN DE CUENTAS'!C2214</f>
        <v>0</v>
      </c>
      <c r="D2214" t="str">
        <f>IF(tbal[[#This Row],[DEBE]]+tbal[[#This Row],[HABER]]=0,"","X")</f>
        <v/>
      </c>
      <c r="E2214" s="16">
        <f>SUMIF(tdiario[CUENTA],tbal[[#This Row],[CUENTA]],tdiario[DEBE])</f>
        <v>0</v>
      </c>
      <c r="F2214" s="17">
        <f>SUMIF(tdiario[CUENTA],tbal[[#This Row],[CUENTA]],tdiario[HABER])</f>
        <v>0</v>
      </c>
      <c r="G2214" s="16">
        <f>IF(tbal[[#This Row],[DEBE]]-tbal[[#This Row],[HABER]]&gt;0,tbal[[#This Row],[DEBE]]-tbal[[#This Row],[HABER]],0)</f>
        <v>0</v>
      </c>
      <c r="H2214" s="18">
        <f>IF(tbal[[#This Row],[HABER]]-tbal[[#This Row],[DEBE]]&gt;0,tbal[[#This Row],[HABER]]-tbal[[#This Row],[DEBE]],0)</f>
        <v>0</v>
      </c>
      <c r="I2214" s="16">
        <f>IF((OR(tbal[[#This Row],[X]]=1,tbal[[#This Row],[X]]=2)),tbal[[#This Row],[DEUDOR]],0)</f>
        <v>0</v>
      </c>
      <c r="J2214" s="18">
        <f>IF((OR(tbal[[#This Row],[X]]=2,tbal[[#This Row],[X]]=3)),tbal[[#This Row],[ACREEDOR]],0)</f>
        <v>0</v>
      </c>
      <c r="K2214" s="16">
        <f>IF((OR(tbal[[#This Row],[X]]=3,tbal[[#This Row],[X]]=5)),tbal[[#This Row],[DEUDOR]],0)</f>
        <v>0</v>
      </c>
      <c r="L2214" s="18">
        <f>IF((OR(tbal[[#This Row],[X]]=3,tbal[[#This Row],[X]]=4)),tbal[[#This Row],[ACREEDOR]],0)</f>
        <v>0</v>
      </c>
      <c r="M2214" s="16">
        <f>IF((OR(tbal[[#This Row],[X]]=0,tbal[[#This Row],[X]]=6)),tbal[[#This Row],[DEUDOR]],0)</f>
        <v>0</v>
      </c>
      <c r="N2214" s="18">
        <f>IF((OR(tbal[[#This Row],[X]]=0,tbal[[#This Row],[X]]=5)),tbal[[#This Row],[ACREEDOR]],0)</f>
        <v>0</v>
      </c>
    </row>
    <row r="2215" spans="1:14" hidden="1" x14ac:dyDescent="0.3">
      <c r="A2215" s="14">
        <f>+'PLAN DE CUENTAS'!A2215</f>
        <v>0</v>
      </c>
      <c r="B2215" s="13">
        <f>+'PLAN DE CUENTAS'!B2215</f>
        <v>0</v>
      </c>
      <c r="C2215" s="13">
        <f>+'PLAN DE CUENTAS'!C2215</f>
        <v>0</v>
      </c>
      <c r="D2215" t="str">
        <f>IF(tbal[[#This Row],[DEBE]]+tbal[[#This Row],[HABER]]=0,"","X")</f>
        <v/>
      </c>
      <c r="E2215" s="16">
        <f>SUMIF(tdiario[CUENTA],tbal[[#This Row],[CUENTA]],tdiario[DEBE])</f>
        <v>0</v>
      </c>
      <c r="F2215" s="17">
        <f>SUMIF(tdiario[CUENTA],tbal[[#This Row],[CUENTA]],tdiario[HABER])</f>
        <v>0</v>
      </c>
      <c r="G2215" s="16">
        <f>IF(tbal[[#This Row],[DEBE]]-tbal[[#This Row],[HABER]]&gt;0,tbal[[#This Row],[DEBE]]-tbal[[#This Row],[HABER]],0)</f>
        <v>0</v>
      </c>
      <c r="H2215" s="18">
        <f>IF(tbal[[#This Row],[HABER]]-tbal[[#This Row],[DEBE]]&gt;0,tbal[[#This Row],[HABER]]-tbal[[#This Row],[DEBE]],0)</f>
        <v>0</v>
      </c>
      <c r="I2215" s="16">
        <f>IF((OR(tbal[[#This Row],[X]]=1,tbal[[#This Row],[X]]=2)),tbal[[#This Row],[DEUDOR]],0)</f>
        <v>0</v>
      </c>
      <c r="J2215" s="18">
        <f>IF((OR(tbal[[#This Row],[X]]=2,tbal[[#This Row],[X]]=3)),tbal[[#This Row],[ACREEDOR]],0)</f>
        <v>0</v>
      </c>
      <c r="K2215" s="16">
        <f>IF((OR(tbal[[#This Row],[X]]=3,tbal[[#This Row],[X]]=5)),tbal[[#This Row],[DEUDOR]],0)</f>
        <v>0</v>
      </c>
      <c r="L2215" s="18">
        <f>IF((OR(tbal[[#This Row],[X]]=3,tbal[[#This Row],[X]]=4)),tbal[[#This Row],[ACREEDOR]],0)</f>
        <v>0</v>
      </c>
      <c r="M2215" s="16">
        <f>IF((OR(tbal[[#This Row],[X]]=0,tbal[[#This Row],[X]]=6)),tbal[[#This Row],[DEUDOR]],0)</f>
        <v>0</v>
      </c>
      <c r="N2215" s="18">
        <f>IF((OR(tbal[[#This Row],[X]]=0,tbal[[#This Row],[X]]=5)),tbal[[#This Row],[ACREEDOR]],0)</f>
        <v>0</v>
      </c>
    </row>
    <row r="2216" spans="1:14" hidden="1" x14ac:dyDescent="0.3">
      <c r="A2216" s="14">
        <f>+'PLAN DE CUENTAS'!A2216</f>
        <v>0</v>
      </c>
      <c r="B2216" s="13">
        <f>+'PLAN DE CUENTAS'!B2216</f>
        <v>0</v>
      </c>
      <c r="C2216" s="13">
        <f>+'PLAN DE CUENTAS'!C2216</f>
        <v>0</v>
      </c>
      <c r="D2216" t="str">
        <f>IF(tbal[[#This Row],[DEBE]]+tbal[[#This Row],[HABER]]=0,"","X")</f>
        <v/>
      </c>
      <c r="E2216" s="16">
        <f>SUMIF(tdiario[CUENTA],tbal[[#This Row],[CUENTA]],tdiario[DEBE])</f>
        <v>0</v>
      </c>
      <c r="F2216" s="17">
        <f>SUMIF(tdiario[CUENTA],tbal[[#This Row],[CUENTA]],tdiario[HABER])</f>
        <v>0</v>
      </c>
      <c r="G2216" s="16">
        <f>IF(tbal[[#This Row],[DEBE]]-tbal[[#This Row],[HABER]]&gt;0,tbal[[#This Row],[DEBE]]-tbal[[#This Row],[HABER]],0)</f>
        <v>0</v>
      </c>
      <c r="H2216" s="18">
        <f>IF(tbal[[#This Row],[HABER]]-tbal[[#This Row],[DEBE]]&gt;0,tbal[[#This Row],[HABER]]-tbal[[#This Row],[DEBE]],0)</f>
        <v>0</v>
      </c>
      <c r="I2216" s="16">
        <f>IF((OR(tbal[[#This Row],[X]]=1,tbal[[#This Row],[X]]=2)),tbal[[#This Row],[DEUDOR]],0)</f>
        <v>0</v>
      </c>
      <c r="J2216" s="18">
        <f>IF((OR(tbal[[#This Row],[X]]=2,tbal[[#This Row],[X]]=3)),tbal[[#This Row],[ACREEDOR]],0)</f>
        <v>0</v>
      </c>
      <c r="K2216" s="16">
        <f>IF((OR(tbal[[#This Row],[X]]=3,tbal[[#This Row],[X]]=5)),tbal[[#This Row],[DEUDOR]],0)</f>
        <v>0</v>
      </c>
      <c r="L2216" s="18">
        <f>IF((OR(tbal[[#This Row],[X]]=3,tbal[[#This Row],[X]]=4)),tbal[[#This Row],[ACREEDOR]],0)</f>
        <v>0</v>
      </c>
      <c r="M2216" s="16">
        <f>IF((OR(tbal[[#This Row],[X]]=0,tbal[[#This Row],[X]]=6)),tbal[[#This Row],[DEUDOR]],0)</f>
        <v>0</v>
      </c>
      <c r="N2216" s="18">
        <f>IF((OR(tbal[[#This Row],[X]]=0,tbal[[#This Row],[X]]=5)),tbal[[#This Row],[ACREEDOR]],0)</f>
        <v>0</v>
      </c>
    </row>
    <row r="2217" spans="1:14" hidden="1" x14ac:dyDescent="0.3">
      <c r="A2217" s="14">
        <f>+'PLAN DE CUENTAS'!A2217</f>
        <v>0</v>
      </c>
      <c r="B2217" s="13">
        <f>+'PLAN DE CUENTAS'!B2217</f>
        <v>0</v>
      </c>
      <c r="C2217" s="13">
        <f>+'PLAN DE CUENTAS'!C2217</f>
        <v>0</v>
      </c>
      <c r="D2217" t="str">
        <f>IF(tbal[[#This Row],[DEBE]]+tbal[[#This Row],[HABER]]=0,"","X")</f>
        <v/>
      </c>
      <c r="E2217" s="16">
        <f>SUMIF(tdiario[CUENTA],tbal[[#This Row],[CUENTA]],tdiario[DEBE])</f>
        <v>0</v>
      </c>
      <c r="F2217" s="17">
        <f>SUMIF(tdiario[CUENTA],tbal[[#This Row],[CUENTA]],tdiario[HABER])</f>
        <v>0</v>
      </c>
      <c r="G2217" s="16">
        <f>IF(tbal[[#This Row],[DEBE]]-tbal[[#This Row],[HABER]]&gt;0,tbal[[#This Row],[DEBE]]-tbal[[#This Row],[HABER]],0)</f>
        <v>0</v>
      </c>
      <c r="H2217" s="18">
        <f>IF(tbal[[#This Row],[HABER]]-tbal[[#This Row],[DEBE]]&gt;0,tbal[[#This Row],[HABER]]-tbal[[#This Row],[DEBE]],0)</f>
        <v>0</v>
      </c>
      <c r="I2217" s="16">
        <f>IF((OR(tbal[[#This Row],[X]]=1,tbal[[#This Row],[X]]=2)),tbal[[#This Row],[DEUDOR]],0)</f>
        <v>0</v>
      </c>
      <c r="J2217" s="18">
        <f>IF((OR(tbal[[#This Row],[X]]=2,tbal[[#This Row],[X]]=3)),tbal[[#This Row],[ACREEDOR]],0)</f>
        <v>0</v>
      </c>
      <c r="K2217" s="16">
        <f>IF((OR(tbal[[#This Row],[X]]=3,tbal[[#This Row],[X]]=5)),tbal[[#This Row],[DEUDOR]],0)</f>
        <v>0</v>
      </c>
      <c r="L2217" s="18">
        <f>IF((OR(tbal[[#This Row],[X]]=3,tbal[[#This Row],[X]]=4)),tbal[[#This Row],[ACREEDOR]],0)</f>
        <v>0</v>
      </c>
      <c r="M2217" s="16">
        <f>IF((OR(tbal[[#This Row],[X]]=0,tbal[[#This Row],[X]]=6)),tbal[[#This Row],[DEUDOR]],0)</f>
        <v>0</v>
      </c>
      <c r="N2217" s="18">
        <f>IF((OR(tbal[[#This Row],[X]]=0,tbal[[#This Row],[X]]=5)),tbal[[#This Row],[ACREEDOR]],0)</f>
        <v>0</v>
      </c>
    </row>
    <row r="2218" spans="1:14" hidden="1" x14ac:dyDescent="0.3">
      <c r="A2218" s="14">
        <f>+'PLAN DE CUENTAS'!A2218</f>
        <v>0</v>
      </c>
      <c r="B2218" s="13">
        <f>+'PLAN DE CUENTAS'!B2218</f>
        <v>0</v>
      </c>
      <c r="C2218" s="13">
        <f>+'PLAN DE CUENTAS'!C2218</f>
        <v>0</v>
      </c>
      <c r="D2218" t="str">
        <f>IF(tbal[[#This Row],[DEBE]]+tbal[[#This Row],[HABER]]=0,"","X")</f>
        <v/>
      </c>
      <c r="E2218" s="16">
        <f>SUMIF(tdiario[CUENTA],tbal[[#This Row],[CUENTA]],tdiario[DEBE])</f>
        <v>0</v>
      </c>
      <c r="F2218" s="17">
        <f>SUMIF(tdiario[CUENTA],tbal[[#This Row],[CUENTA]],tdiario[HABER])</f>
        <v>0</v>
      </c>
      <c r="G2218" s="16">
        <f>IF(tbal[[#This Row],[DEBE]]-tbal[[#This Row],[HABER]]&gt;0,tbal[[#This Row],[DEBE]]-tbal[[#This Row],[HABER]],0)</f>
        <v>0</v>
      </c>
      <c r="H2218" s="18">
        <f>IF(tbal[[#This Row],[HABER]]-tbal[[#This Row],[DEBE]]&gt;0,tbal[[#This Row],[HABER]]-tbal[[#This Row],[DEBE]],0)</f>
        <v>0</v>
      </c>
      <c r="I2218" s="16">
        <f>IF((OR(tbal[[#This Row],[X]]=1,tbal[[#This Row],[X]]=2)),tbal[[#This Row],[DEUDOR]],0)</f>
        <v>0</v>
      </c>
      <c r="J2218" s="18">
        <f>IF((OR(tbal[[#This Row],[X]]=2,tbal[[#This Row],[X]]=3)),tbal[[#This Row],[ACREEDOR]],0)</f>
        <v>0</v>
      </c>
      <c r="K2218" s="16">
        <f>IF((OR(tbal[[#This Row],[X]]=3,tbal[[#This Row],[X]]=5)),tbal[[#This Row],[DEUDOR]],0)</f>
        <v>0</v>
      </c>
      <c r="L2218" s="18">
        <f>IF((OR(tbal[[#This Row],[X]]=3,tbal[[#This Row],[X]]=4)),tbal[[#This Row],[ACREEDOR]],0)</f>
        <v>0</v>
      </c>
      <c r="M2218" s="16">
        <f>IF((OR(tbal[[#This Row],[X]]=0,tbal[[#This Row],[X]]=6)),tbal[[#This Row],[DEUDOR]],0)</f>
        <v>0</v>
      </c>
      <c r="N2218" s="18">
        <f>IF((OR(tbal[[#This Row],[X]]=0,tbal[[#This Row],[X]]=5)),tbal[[#This Row],[ACREEDOR]],0)</f>
        <v>0</v>
      </c>
    </row>
    <row r="2219" spans="1:14" hidden="1" x14ac:dyDescent="0.3">
      <c r="A2219" s="14">
        <f>+'PLAN DE CUENTAS'!A2219</f>
        <v>0</v>
      </c>
      <c r="B2219" s="13">
        <f>+'PLAN DE CUENTAS'!B2219</f>
        <v>0</v>
      </c>
      <c r="C2219" s="13">
        <f>+'PLAN DE CUENTAS'!C2219</f>
        <v>0</v>
      </c>
      <c r="D2219" t="str">
        <f>IF(tbal[[#This Row],[DEBE]]+tbal[[#This Row],[HABER]]=0,"","X")</f>
        <v/>
      </c>
      <c r="E2219" s="16">
        <f>SUMIF(tdiario[CUENTA],tbal[[#This Row],[CUENTA]],tdiario[DEBE])</f>
        <v>0</v>
      </c>
      <c r="F2219" s="17">
        <f>SUMIF(tdiario[CUENTA],tbal[[#This Row],[CUENTA]],tdiario[HABER])</f>
        <v>0</v>
      </c>
      <c r="G2219" s="16">
        <f>IF(tbal[[#This Row],[DEBE]]-tbal[[#This Row],[HABER]]&gt;0,tbal[[#This Row],[DEBE]]-tbal[[#This Row],[HABER]],0)</f>
        <v>0</v>
      </c>
      <c r="H2219" s="18">
        <f>IF(tbal[[#This Row],[HABER]]-tbal[[#This Row],[DEBE]]&gt;0,tbal[[#This Row],[HABER]]-tbal[[#This Row],[DEBE]],0)</f>
        <v>0</v>
      </c>
      <c r="I2219" s="16">
        <f>IF((OR(tbal[[#This Row],[X]]=1,tbal[[#This Row],[X]]=2)),tbal[[#This Row],[DEUDOR]],0)</f>
        <v>0</v>
      </c>
      <c r="J2219" s="18">
        <f>IF((OR(tbal[[#This Row],[X]]=2,tbal[[#This Row],[X]]=3)),tbal[[#This Row],[ACREEDOR]],0)</f>
        <v>0</v>
      </c>
      <c r="K2219" s="16">
        <f>IF((OR(tbal[[#This Row],[X]]=3,tbal[[#This Row],[X]]=5)),tbal[[#This Row],[DEUDOR]],0)</f>
        <v>0</v>
      </c>
      <c r="L2219" s="18">
        <f>IF((OR(tbal[[#This Row],[X]]=3,tbal[[#This Row],[X]]=4)),tbal[[#This Row],[ACREEDOR]],0)</f>
        <v>0</v>
      </c>
      <c r="M2219" s="16">
        <f>IF((OR(tbal[[#This Row],[X]]=0,tbal[[#This Row],[X]]=6)),tbal[[#This Row],[DEUDOR]],0)</f>
        <v>0</v>
      </c>
      <c r="N2219" s="18">
        <f>IF((OR(tbal[[#This Row],[X]]=0,tbal[[#This Row],[X]]=5)),tbal[[#This Row],[ACREEDOR]],0)</f>
        <v>0</v>
      </c>
    </row>
    <row r="2220" spans="1:14" hidden="1" x14ac:dyDescent="0.3">
      <c r="A2220" s="14">
        <f>+'PLAN DE CUENTAS'!A2220</f>
        <v>0</v>
      </c>
      <c r="B2220" s="13">
        <f>+'PLAN DE CUENTAS'!B2220</f>
        <v>0</v>
      </c>
      <c r="C2220" s="13">
        <f>+'PLAN DE CUENTAS'!C2220</f>
        <v>0</v>
      </c>
      <c r="D2220" t="str">
        <f>IF(tbal[[#This Row],[DEBE]]+tbal[[#This Row],[HABER]]=0,"","X")</f>
        <v/>
      </c>
      <c r="E2220" s="16">
        <f>SUMIF(tdiario[CUENTA],tbal[[#This Row],[CUENTA]],tdiario[DEBE])</f>
        <v>0</v>
      </c>
      <c r="F2220" s="17">
        <f>SUMIF(tdiario[CUENTA],tbal[[#This Row],[CUENTA]],tdiario[HABER])</f>
        <v>0</v>
      </c>
      <c r="G2220" s="16">
        <f>IF(tbal[[#This Row],[DEBE]]-tbal[[#This Row],[HABER]]&gt;0,tbal[[#This Row],[DEBE]]-tbal[[#This Row],[HABER]],0)</f>
        <v>0</v>
      </c>
      <c r="H2220" s="18">
        <f>IF(tbal[[#This Row],[HABER]]-tbal[[#This Row],[DEBE]]&gt;0,tbal[[#This Row],[HABER]]-tbal[[#This Row],[DEBE]],0)</f>
        <v>0</v>
      </c>
      <c r="I2220" s="16">
        <f>IF((OR(tbal[[#This Row],[X]]=1,tbal[[#This Row],[X]]=2)),tbal[[#This Row],[DEUDOR]],0)</f>
        <v>0</v>
      </c>
      <c r="J2220" s="18">
        <f>IF((OR(tbal[[#This Row],[X]]=2,tbal[[#This Row],[X]]=3)),tbal[[#This Row],[ACREEDOR]],0)</f>
        <v>0</v>
      </c>
      <c r="K2220" s="16">
        <f>IF((OR(tbal[[#This Row],[X]]=3,tbal[[#This Row],[X]]=5)),tbal[[#This Row],[DEUDOR]],0)</f>
        <v>0</v>
      </c>
      <c r="L2220" s="18">
        <f>IF((OR(tbal[[#This Row],[X]]=3,tbal[[#This Row],[X]]=4)),tbal[[#This Row],[ACREEDOR]],0)</f>
        <v>0</v>
      </c>
      <c r="M2220" s="16">
        <f>IF((OR(tbal[[#This Row],[X]]=0,tbal[[#This Row],[X]]=6)),tbal[[#This Row],[DEUDOR]],0)</f>
        <v>0</v>
      </c>
      <c r="N2220" s="18">
        <f>IF((OR(tbal[[#This Row],[X]]=0,tbal[[#This Row],[X]]=5)),tbal[[#This Row],[ACREEDOR]],0)</f>
        <v>0</v>
      </c>
    </row>
    <row r="2221" spans="1:14" hidden="1" x14ac:dyDescent="0.3">
      <c r="A2221" s="14">
        <f>+'PLAN DE CUENTAS'!A2221</f>
        <v>0</v>
      </c>
      <c r="B2221" s="13">
        <f>+'PLAN DE CUENTAS'!B2221</f>
        <v>0</v>
      </c>
      <c r="C2221" s="13">
        <f>+'PLAN DE CUENTAS'!C2221</f>
        <v>0</v>
      </c>
      <c r="D2221" t="str">
        <f>IF(tbal[[#This Row],[DEBE]]+tbal[[#This Row],[HABER]]=0,"","X")</f>
        <v/>
      </c>
      <c r="E2221" s="16">
        <f>SUMIF(tdiario[CUENTA],tbal[[#This Row],[CUENTA]],tdiario[DEBE])</f>
        <v>0</v>
      </c>
      <c r="F2221" s="17">
        <f>SUMIF(tdiario[CUENTA],tbal[[#This Row],[CUENTA]],tdiario[HABER])</f>
        <v>0</v>
      </c>
      <c r="G2221" s="16">
        <f>IF(tbal[[#This Row],[DEBE]]-tbal[[#This Row],[HABER]]&gt;0,tbal[[#This Row],[DEBE]]-tbal[[#This Row],[HABER]],0)</f>
        <v>0</v>
      </c>
      <c r="H2221" s="18">
        <f>IF(tbal[[#This Row],[HABER]]-tbal[[#This Row],[DEBE]]&gt;0,tbal[[#This Row],[HABER]]-tbal[[#This Row],[DEBE]],0)</f>
        <v>0</v>
      </c>
      <c r="I2221" s="16">
        <f>IF((OR(tbal[[#This Row],[X]]=1,tbal[[#This Row],[X]]=2)),tbal[[#This Row],[DEUDOR]],0)</f>
        <v>0</v>
      </c>
      <c r="J2221" s="18">
        <f>IF((OR(tbal[[#This Row],[X]]=2,tbal[[#This Row],[X]]=3)),tbal[[#This Row],[ACREEDOR]],0)</f>
        <v>0</v>
      </c>
      <c r="K2221" s="16">
        <f>IF((OR(tbal[[#This Row],[X]]=3,tbal[[#This Row],[X]]=5)),tbal[[#This Row],[DEUDOR]],0)</f>
        <v>0</v>
      </c>
      <c r="L2221" s="18">
        <f>IF((OR(tbal[[#This Row],[X]]=3,tbal[[#This Row],[X]]=4)),tbal[[#This Row],[ACREEDOR]],0)</f>
        <v>0</v>
      </c>
      <c r="M2221" s="16">
        <f>IF((OR(tbal[[#This Row],[X]]=0,tbal[[#This Row],[X]]=6)),tbal[[#This Row],[DEUDOR]],0)</f>
        <v>0</v>
      </c>
      <c r="N2221" s="18">
        <f>IF((OR(tbal[[#This Row],[X]]=0,tbal[[#This Row],[X]]=5)),tbal[[#This Row],[ACREEDOR]],0)</f>
        <v>0</v>
      </c>
    </row>
    <row r="2222" spans="1:14" hidden="1" x14ac:dyDescent="0.3">
      <c r="A2222" s="14">
        <f>+'PLAN DE CUENTAS'!A2222</f>
        <v>0</v>
      </c>
      <c r="B2222" s="13">
        <f>+'PLAN DE CUENTAS'!B2222</f>
        <v>0</v>
      </c>
      <c r="C2222" s="13">
        <f>+'PLAN DE CUENTAS'!C2222</f>
        <v>0</v>
      </c>
      <c r="D2222" t="str">
        <f>IF(tbal[[#This Row],[DEBE]]+tbal[[#This Row],[HABER]]=0,"","X")</f>
        <v/>
      </c>
      <c r="E2222" s="16">
        <f>SUMIF(tdiario[CUENTA],tbal[[#This Row],[CUENTA]],tdiario[DEBE])</f>
        <v>0</v>
      </c>
      <c r="F2222" s="17">
        <f>SUMIF(tdiario[CUENTA],tbal[[#This Row],[CUENTA]],tdiario[HABER])</f>
        <v>0</v>
      </c>
      <c r="G2222" s="16">
        <f>IF(tbal[[#This Row],[DEBE]]-tbal[[#This Row],[HABER]]&gt;0,tbal[[#This Row],[DEBE]]-tbal[[#This Row],[HABER]],0)</f>
        <v>0</v>
      </c>
      <c r="H2222" s="18">
        <f>IF(tbal[[#This Row],[HABER]]-tbal[[#This Row],[DEBE]]&gt;0,tbal[[#This Row],[HABER]]-tbal[[#This Row],[DEBE]],0)</f>
        <v>0</v>
      </c>
      <c r="I2222" s="16">
        <f>IF((OR(tbal[[#This Row],[X]]=1,tbal[[#This Row],[X]]=2)),tbal[[#This Row],[DEUDOR]],0)</f>
        <v>0</v>
      </c>
      <c r="J2222" s="18">
        <f>IF((OR(tbal[[#This Row],[X]]=2,tbal[[#This Row],[X]]=3)),tbal[[#This Row],[ACREEDOR]],0)</f>
        <v>0</v>
      </c>
      <c r="K2222" s="16">
        <f>IF((OR(tbal[[#This Row],[X]]=3,tbal[[#This Row],[X]]=5)),tbal[[#This Row],[DEUDOR]],0)</f>
        <v>0</v>
      </c>
      <c r="L2222" s="18">
        <f>IF((OR(tbal[[#This Row],[X]]=3,tbal[[#This Row],[X]]=4)),tbal[[#This Row],[ACREEDOR]],0)</f>
        <v>0</v>
      </c>
      <c r="M2222" s="16">
        <f>IF((OR(tbal[[#This Row],[X]]=0,tbal[[#This Row],[X]]=6)),tbal[[#This Row],[DEUDOR]],0)</f>
        <v>0</v>
      </c>
      <c r="N2222" s="18">
        <f>IF((OR(tbal[[#This Row],[X]]=0,tbal[[#This Row],[X]]=5)),tbal[[#This Row],[ACREEDOR]],0)</f>
        <v>0</v>
      </c>
    </row>
    <row r="2223" spans="1:14" hidden="1" x14ac:dyDescent="0.3">
      <c r="A2223" s="14">
        <f>+'PLAN DE CUENTAS'!A2223</f>
        <v>0</v>
      </c>
      <c r="B2223" s="13">
        <f>+'PLAN DE CUENTAS'!B2223</f>
        <v>0</v>
      </c>
      <c r="C2223" s="13">
        <f>+'PLAN DE CUENTAS'!C2223</f>
        <v>0</v>
      </c>
      <c r="D2223" t="str">
        <f>IF(tbal[[#This Row],[DEBE]]+tbal[[#This Row],[HABER]]=0,"","X")</f>
        <v/>
      </c>
      <c r="E2223" s="16">
        <f>SUMIF(tdiario[CUENTA],tbal[[#This Row],[CUENTA]],tdiario[DEBE])</f>
        <v>0</v>
      </c>
      <c r="F2223" s="17">
        <f>SUMIF(tdiario[CUENTA],tbal[[#This Row],[CUENTA]],tdiario[HABER])</f>
        <v>0</v>
      </c>
      <c r="G2223" s="16">
        <f>IF(tbal[[#This Row],[DEBE]]-tbal[[#This Row],[HABER]]&gt;0,tbal[[#This Row],[DEBE]]-tbal[[#This Row],[HABER]],0)</f>
        <v>0</v>
      </c>
      <c r="H2223" s="18">
        <f>IF(tbal[[#This Row],[HABER]]-tbal[[#This Row],[DEBE]]&gt;0,tbal[[#This Row],[HABER]]-tbal[[#This Row],[DEBE]],0)</f>
        <v>0</v>
      </c>
      <c r="I2223" s="16">
        <f>IF((OR(tbal[[#This Row],[X]]=1,tbal[[#This Row],[X]]=2)),tbal[[#This Row],[DEUDOR]],0)</f>
        <v>0</v>
      </c>
      <c r="J2223" s="18">
        <f>IF((OR(tbal[[#This Row],[X]]=2,tbal[[#This Row],[X]]=3)),tbal[[#This Row],[ACREEDOR]],0)</f>
        <v>0</v>
      </c>
      <c r="K2223" s="16">
        <f>IF((OR(tbal[[#This Row],[X]]=3,tbal[[#This Row],[X]]=5)),tbal[[#This Row],[DEUDOR]],0)</f>
        <v>0</v>
      </c>
      <c r="L2223" s="18">
        <f>IF((OR(tbal[[#This Row],[X]]=3,tbal[[#This Row],[X]]=4)),tbal[[#This Row],[ACREEDOR]],0)</f>
        <v>0</v>
      </c>
      <c r="M2223" s="16">
        <f>IF((OR(tbal[[#This Row],[X]]=0,tbal[[#This Row],[X]]=6)),tbal[[#This Row],[DEUDOR]],0)</f>
        <v>0</v>
      </c>
      <c r="N2223" s="18">
        <f>IF((OR(tbal[[#This Row],[X]]=0,tbal[[#This Row],[X]]=5)),tbal[[#This Row],[ACREEDOR]],0)</f>
        <v>0</v>
      </c>
    </row>
    <row r="2224" spans="1:14" hidden="1" x14ac:dyDescent="0.3">
      <c r="A2224" s="14">
        <f>+'PLAN DE CUENTAS'!A2224</f>
        <v>0</v>
      </c>
      <c r="B2224" s="13">
        <f>+'PLAN DE CUENTAS'!B2224</f>
        <v>0</v>
      </c>
      <c r="C2224" s="13">
        <f>+'PLAN DE CUENTAS'!C2224</f>
        <v>0</v>
      </c>
      <c r="D2224" t="str">
        <f>IF(tbal[[#This Row],[DEBE]]+tbal[[#This Row],[HABER]]=0,"","X")</f>
        <v/>
      </c>
      <c r="E2224" s="16">
        <f>SUMIF(tdiario[CUENTA],tbal[[#This Row],[CUENTA]],tdiario[DEBE])</f>
        <v>0</v>
      </c>
      <c r="F2224" s="17">
        <f>SUMIF(tdiario[CUENTA],tbal[[#This Row],[CUENTA]],tdiario[HABER])</f>
        <v>0</v>
      </c>
      <c r="G2224" s="16">
        <f>IF(tbal[[#This Row],[DEBE]]-tbal[[#This Row],[HABER]]&gt;0,tbal[[#This Row],[DEBE]]-tbal[[#This Row],[HABER]],0)</f>
        <v>0</v>
      </c>
      <c r="H2224" s="18">
        <f>IF(tbal[[#This Row],[HABER]]-tbal[[#This Row],[DEBE]]&gt;0,tbal[[#This Row],[HABER]]-tbal[[#This Row],[DEBE]],0)</f>
        <v>0</v>
      </c>
      <c r="I2224" s="16">
        <f>IF((OR(tbal[[#This Row],[X]]=1,tbal[[#This Row],[X]]=2)),tbal[[#This Row],[DEUDOR]],0)</f>
        <v>0</v>
      </c>
      <c r="J2224" s="18">
        <f>IF((OR(tbal[[#This Row],[X]]=2,tbal[[#This Row],[X]]=3)),tbal[[#This Row],[ACREEDOR]],0)</f>
        <v>0</v>
      </c>
      <c r="K2224" s="16">
        <f>IF((OR(tbal[[#This Row],[X]]=3,tbal[[#This Row],[X]]=5)),tbal[[#This Row],[DEUDOR]],0)</f>
        <v>0</v>
      </c>
      <c r="L2224" s="18">
        <f>IF((OR(tbal[[#This Row],[X]]=3,tbal[[#This Row],[X]]=4)),tbal[[#This Row],[ACREEDOR]],0)</f>
        <v>0</v>
      </c>
      <c r="M2224" s="16">
        <f>IF((OR(tbal[[#This Row],[X]]=0,tbal[[#This Row],[X]]=6)),tbal[[#This Row],[DEUDOR]],0)</f>
        <v>0</v>
      </c>
      <c r="N2224" s="18">
        <f>IF((OR(tbal[[#This Row],[X]]=0,tbal[[#This Row],[X]]=5)),tbal[[#This Row],[ACREEDOR]],0)</f>
        <v>0</v>
      </c>
    </row>
    <row r="2225" spans="1:14" hidden="1" x14ac:dyDescent="0.3">
      <c r="A2225" s="14">
        <f>+'PLAN DE CUENTAS'!A2225</f>
        <v>0</v>
      </c>
      <c r="B2225" s="13">
        <f>+'PLAN DE CUENTAS'!B2225</f>
        <v>0</v>
      </c>
      <c r="C2225" s="13">
        <f>+'PLAN DE CUENTAS'!C2225</f>
        <v>0</v>
      </c>
      <c r="D2225" t="str">
        <f>IF(tbal[[#This Row],[DEBE]]+tbal[[#This Row],[HABER]]=0,"","X")</f>
        <v/>
      </c>
      <c r="E2225" s="16">
        <f>SUMIF(tdiario[CUENTA],tbal[[#This Row],[CUENTA]],tdiario[DEBE])</f>
        <v>0</v>
      </c>
      <c r="F2225" s="17">
        <f>SUMIF(tdiario[CUENTA],tbal[[#This Row],[CUENTA]],tdiario[HABER])</f>
        <v>0</v>
      </c>
      <c r="G2225" s="16">
        <f>IF(tbal[[#This Row],[DEBE]]-tbal[[#This Row],[HABER]]&gt;0,tbal[[#This Row],[DEBE]]-tbal[[#This Row],[HABER]],0)</f>
        <v>0</v>
      </c>
      <c r="H2225" s="18">
        <f>IF(tbal[[#This Row],[HABER]]-tbal[[#This Row],[DEBE]]&gt;0,tbal[[#This Row],[HABER]]-tbal[[#This Row],[DEBE]],0)</f>
        <v>0</v>
      </c>
      <c r="I2225" s="16">
        <f>IF((OR(tbal[[#This Row],[X]]=1,tbal[[#This Row],[X]]=2)),tbal[[#This Row],[DEUDOR]],0)</f>
        <v>0</v>
      </c>
      <c r="J2225" s="18">
        <f>IF((OR(tbal[[#This Row],[X]]=2,tbal[[#This Row],[X]]=3)),tbal[[#This Row],[ACREEDOR]],0)</f>
        <v>0</v>
      </c>
      <c r="K2225" s="16">
        <f>IF((OR(tbal[[#This Row],[X]]=3,tbal[[#This Row],[X]]=5)),tbal[[#This Row],[DEUDOR]],0)</f>
        <v>0</v>
      </c>
      <c r="L2225" s="18">
        <f>IF((OR(tbal[[#This Row],[X]]=3,tbal[[#This Row],[X]]=4)),tbal[[#This Row],[ACREEDOR]],0)</f>
        <v>0</v>
      </c>
      <c r="M2225" s="16">
        <f>IF((OR(tbal[[#This Row],[X]]=0,tbal[[#This Row],[X]]=6)),tbal[[#This Row],[DEUDOR]],0)</f>
        <v>0</v>
      </c>
      <c r="N2225" s="18">
        <f>IF((OR(tbal[[#This Row],[X]]=0,tbal[[#This Row],[X]]=5)),tbal[[#This Row],[ACREEDOR]],0)</f>
        <v>0</v>
      </c>
    </row>
    <row r="2226" spans="1:14" hidden="1" x14ac:dyDescent="0.3">
      <c r="A2226" s="14">
        <f>+'PLAN DE CUENTAS'!A2226</f>
        <v>0</v>
      </c>
      <c r="B2226" s="13">
        <f>+'PLAN DE CUENTAS'!B2226</f>
        <v>0</v>
      </c>
      <c r="C2226" s="13">
        <f>+'PLAN DE CUENTAS'!C2226</f>
        <v>0</v>
      </c>
      <c r="D2226" t="str">
        <f>IF(tbal[[#This Row],[DEBE]]+tbal[[#This Row],[HABER]]=0,"","X")</f>
        <v/>
      </c>
      <c r="E2226" s="16">
        <f>SUMIF(tdiario[CUENTA],tbal[[#This Row],[CUENTA]],tdiario[DEBE])</f>
        <v>0</v>
      </c>
      <c r="F2226" s="17">
        <f>SUMIF(tdiario[CUENTA],tbal[[#This Row],[CUENTA]],tdiario[HABER])</f>
        <v>0</v>
      </c>
      <c r="G2226" s="16">
        <f>IF(tbal[[#This Row],[DEBE]]-tbal[[#This Row],[HABER]]&gt;0,tbal[[#This Row],[DEBE]]-tbal[[#This Row],[HABER]],0)</f>
        <v>0</v>
      </c>
      <c r="H2226" s="18">
        <f>IF(tbal[[#This Row],[HABER]]-tbal[[#This Row],[DEBE]]&gt;0,tbal[[#This Row],[HABER]]-tbal[[#This Row],[DEBE]],0)</f>
        <v>0</v>
      </c>
      <c r="I2226" s="16">
        <f>IF((OR(tbal[[#This Row],[X]]=1,tbal[[#This Row],[X]]=2)),tbal[[#This Row],[DEUDOR]],0)</f>
        <v>0</v>
      </c>
      <c r="J2226" s="18">
        <f>IF((OR(tbal[[#This Row],[X]]=2,tbal[[#This Row],[X]]=3)),tbal[[#This Row],[ACREEDOR]],0)</f>
        <v>0</v>
      </c>
      <c r="K2226" s="16">
        <f>IF((OR(tbal[[#This Row],[X]]=3,tbal[[#This Row],[X]]=5)),tbal[[#This Row],[DEUDOR]],0)</f>
        <v>0</v>
      </c>
      <c r="L2226" s="18">
        <f>IF((OR(tbal[[#This Row],[X]]=3,tbal[[#This Row],[X]]=4)),tbal[[#This Row],[ACREEDOR]],0)</f>
        <v>0</v>
      </c>
      <c r="M2226" s="16">
        <f>IF((OR(tbal[[#This Row],[X]]=0,tbal[[#This Row],[X]]=6)),tbal[[#This Row],[DEUDOR]],0)</f>
        <v>0</v>
      </c>
      <c r="N2226" s="18">
        <f>IF((OR(tbal[[#This Row],[X]]=0,tbal[[#This Row],[X]]=5)),tbal[[#This Row],[ACREEDOR]],0)</f>
        <v>0</v>
      </c>
    </row>
    <row r="2227" spans="1:14" hidden="1" x14ac:dyDescent="0.3">
      <c r="A2227" s="14">
        <f>+'PLAN DE CUENTAS'!A2227</f>
        <v>0</v>
      </c>
      <c r="B2227" s="13">
        <f>+'PLAN DE CUENTAS'!B2227</f>
        <v>0</v>
      </c>
      <c r="C2227" s="13">
        <f>+'PLAN DE CUENTAS'!C2227</f>
        <v>0</v>
      </c>
      <c r="D2227" t="str">
        <f>IF(tbal[[#This Row],[DEBE]]+tbal[[#This Row],[HABER]]=0,"","X")</f>
        <v/>
      </c>
      <c r="E2227" s="16">
        <f>SUMIF(tdiario[CUENTA],tbal[[#This Row],[CUENTA]],tdiario[DEBE])</f>
        <v>0</v>
      </c>
      <c r="F2227" s="17">
        <f>SUMIF(tdiario[CUENTA],tbal[[#This Row],[CUENTA]],tdiario[HABER])</f>
        <v>0</v>
      </c>
      <c r="G2227" s="16">
        <f>IF(tbal[[#This Row],[DEBE]]-tbal[[#This Row],[HABER]]&gt;0,tbal[[#This Row],[DEBE]]-tbal[[#This Row],[HABER]],0)</f>
        <v>0</v>
      </c>
      <c r="H2227" s="18">
        <f>IF(tbal[[#This Row],[HABER]]-tbal[[#This Row],[DEBE]]&gt;0,tbal[[#This Row],[HABER]]-tbal[[#This Row],[DEBE]],0)</f>
        <v>0</v>
      </c>
      <c r="I2227" s="16">
        <f>IF((OR(tbal[[#This Row],[X]]=1,tbal[[#This Row],[X]]=2)),tbal[[#This Row],[DEUDOR]],0)</f>
        <v>0</v>
      </c>
      <c r="J2227" s="18">
        <f>IF((OR(tbal[[#This Row],[X]]=2,tbal[[#This Row],[X]]=3)),tbal[[#This Row],[ACREEDOR]],0)</f>
        <v>0</v>
      </c>
      <c r="K2227" s="16">
        <f>IF((OR(tbal[[#This Row],[X]]=3,tbal[[#This Row],[X]]=5)),tbal[[#This Row],[DEUDOR]],0)</f>
        <v>0</v>
      </c>
      <c r="L2227" s="18">
        <f>IF((OR(tbal[[#This Row],[X]]=3,tbal[[#This Row],[X]]=4)),tbal[[#This Row],[ACREEDOR]],0)</f>
        <v>0</v>
      </c>
      <c r="M2227" s="16">
        <f>IF((OR(tbal[[#This Row],[X]]=0,tbal[[#This Row],[X]]=6)),tbal[[#This Row],[DEUDOR]],0)</f>
        <v>0</v>
      </c>
      <c r="N2227" s="18">
        <f>IF((OR(tbal[[#This Row],[X]]=0,tbal[[#This Row],[X]]=5)),tbal[[#This Row],[ACREEDOR]],0)</f>
        <v>0</v>
      </c>
    </row>
    <row r="2228" spans="1:14" hidden="1" x14ac:dyDescent="0.3">
      <c r="A2228" s="14">
        <f>+'PLAN DE CUENTAS'!A2228</f>
        <v>0</v>
      </c>
      <c r="B2228" s="13">
        <f>+'PLAN DE CUENTAS'!B2228</f>
        <v>0</v>
      </c>
      <c r="C2228" s="13">
        <f>+'PLAN DE CUENTAS'!C2228</f>
        <v>0</v>
      </c>
      <c r="D2228" t="str">
        <f>IF(tbal[[#This Row],[DEBE]]+tbal[[#This Row],[HABER]]=0,"","X")</f>
        <v/>
      </c>
      <c r="E2228" s="16">
        <f>SUMIF(tdiario[CUENTA],tbal[[#This Row],[CUENTA]],tdiario[DEBE])</f>
        <v>0</v>
      </c>
      <c r="F2228" s="17">
        <f>SUMIF(tdiario[CUENTA],tbal[[#This Row],[CUENTA]],tdiario[HABER])</f>
        <v>0</v>
      </c>
      <c r="G2228" s="16">
        <f>IF(tbal[[#This Row],[DEBE]]-tbal[[#This Row],[HABER]]&gt;0,tbal[[#This Row],[DEBE]]-tbal[[#This Row],[HABER]],0)</f>
        <v>0</v>
      </c>
      <c r="H2228" s="18">
        <f>IF(tbal[[#This Row],[HABER]]-tbal[[#This Row],[DEBE]]&gt;0,tbal[[#This Row],[HABER]]-tbal[[#This Row],[DEBE]],0)</f>
        <v>0</v>
      </c>
      <c r="I2228" s="16">
        <f>IF((OR(tbal[[#This Row],[X]]=1,tbal[[#This Row],[X]]=2)),tbal[[#This Row],[DEUDOR]],0)</f>
        <v>0</v>
      </c>
      <c r="J2228" s="18">
        <f>IF((OR(tbal[[#This Row],[X]]=2,tbal[[#This Row],[X]]=3)),tbal[[#This Row],[ACREEDOR]],0)</f>
        <v>0</v>
      </c>
      <c r="K2228" s="16">
        <f>IF((OR(tbal[[#This Row],[X]]=3,tbal[[#This Row],[X]]=5)),tbal[[#This Row],[DEUDOR]],0)</f>
        <v>0</v>
      </c>
      <c r="L2228" s="18">
        <f>IF((OR(tbal[[#This Row],[X]]=3,tbal[[#This Row],[X]]=4)),tbal[[#This Row],[ACREEDOR]],0)</f>
        <v>0</v>
      </c>
      <c r="M2228" s="16">
        <f>IF((OR(tbal[[#This Row],[X]]=0,tbal[[#This Row],[X]]=6)),tbal[[#This Row],[DEUDOR]],0)</f>
        <v>0</v>
      </c>
      <c r="N2228" s="18">
        <f>IF((OR(tbal[[#This Row],[X]]=0,tbal[[#This Row],[X]]=5)),tbal[[#This Row],[ACREEDOR]],0)</f>
        <v>0</v>
      </c>
    </row>
    <row r="2229" spans="1:14" hidden="1" x14ac:dyDescent="0.3">
      <c r="A2229" s="14">
        <f>+'PLAN DE CUENTAS'!A2229</f>
        <v>0</v>
      </c>
      <c r="B2229" s="13">
        <f>+'PLAN DE CUENTAS'!B2229</f>
        <v>0</v>
      </c>
      <c r="C2229" s="13">
        <f>+'PLAN DE CUENTAS'!C2229</f>
        <v>0</v>
      </c>
      <c r="D2229" t="str">
        <f>IF(tbal[[#This Row],[DEBE]]+tbal[[#This Row],[HABER]]=0,"","X")</f>
        <v/>
      </c>
      <c r="E2229" s="16">
        <f>SUMIF(tdiario[CUENTA],tbal[[#This Row],[CUENTA]],tdiario[DEBE])</f>
        <v>0</v>
      </c>
      <c r="F2229" s="17">
        <f>SUMIF(tdiario[CUENTA],tbal[[#This Row],[CUENTA]],tdiario[HABER])</f>
        <v>0</v>
      </c>
      <c r="G2229" s="16">
        <f>IF(tbal[[#This Row],[DEBE]]-tbal[[#This Row],[HABER]]&gt;0,tbal[[#This Row],[DEBE]]-tbal[[#This Row],[HABER]],0)</f>
        <v>0</v>
      </c>
      <c r="H2229" s="18">
        <f>IF(tbal[[#This Row],[HABER]]-tbal[[#This Row],[DEBE]]&gt;0,tbal[[#This Row],[HABER]]-tbal[[#This Row],[DEBE]],0)</f>
        <v>0</v>
      </c>
      <c r="I2229" s="16">
        <f>IF((OR(tbal[[#This Row],[X]]=1,tbal[[#This Row],[X]]=2)),tbal[[#This Row],[DEUDOR]],0)</f>
        <v>0</v>
      </c>
      <c r="J2229" s="18">
        <f>IF((OR(tbal[[#This Row],[X]]=2,tbal[[#This Row],[X]]=3)),tbal[[#This Row],[ACREEDOR]],0)</f>
        <v>0</v>
      </c>
      <c r="K2229" s="16">
        <f>IF((OR(tbal[[#This Row],[X]]=3,tbal[[#This Row],[X]]=5)),tbal[[#This Row],[DEUDOR]],0)</f>
        <v>0</v>
      </c>
      <c r="L2229" s="18">
        <f>IF((OR(tbal[[#This Row],[X]]=3,tbal[[#This Row],[X]]=4)),tbal[[#This Row],[ACREEDOR]],0)</f>
        <v>0</v>
      </c>
      <c r="M2229" s="16">
        <f>IF((OR(tbal[[#This Row],[X]]=0,tbal[[#This Row],[X]]=6)),tbal[[#This Row],[DEUDOR]],0)</f>
        <v>0</v>
      </c>
      <c r="N2229" s="18">
        <f>IF((OR(tbal[[#This Row],[X]]=0,tbal[[#This Row],[X]]=5)),tbal[[#This Row],[ACREEDOR]],0)</f>
        <v>0</v>
      </c>
    </row>
    <row r="2230" spans="1:14" hidden="1" x14ac:dyDescent="0.3">
      <c r="A2230" s="14">
        <f>+'PLAN DE CUENTAS'!A2230</f>
        <v>0</v>
      </c>
      <c r="B2230" s="13">
        <f>+'PLAN DE CUENTAS'!B2230</f>
        <v>0</v>
      </c>
      <c r="C2230" s="13">
        <f>+'PLAN DE CUENTAS'!C2230</f>
        <v>0</v>
      </c>
      <c r="D2230" t="str">
        <f>IF(tbal[[#This Row],[DEBE]]+tbal[[#This Row],[HABER]]=0,"","X")</f>
        <v/>
      </c>
      <c r="E2230" s="16">
        <f>SUMIF(tdiario[CUENTA],tbal[[#This Row],[CUENTA]],tdiario[DEBE])</f>
        <v>0</v>
      </c>
      <c r="F2230" s="17">
        <f>SUMIF(tdiario[CUENTA],tbal[[#This Row],[CUENTA]],tdiario[HABER])</f>
        <v>0</v>
      </c>
      <c r="G2230" s="16">
        <f>IF(tbal[[#This Row],[DEBE]]-tbal[[#This Row],[HABER]]&gt;0,tbal[[#This Row],[DEBE]]-tbal[[#This Row],[HABER]],0)</f>
        <v>0</v>
      </c>
      <c r="H2230" s="18">
        <f>IF(tbal[[#This Row],[HABER]]-tbal[[#This Row],[DEBE]]&gt;0,tbal[[#This Row],[HABER]]-tbal[[#This Row],[DEBE]],0)</f>
        <v>0</v>
      </c>
      <c r="I2230" s="16">
        <f>IF((OR(tbal[[#This Row],[X]]=1,tbal[[#This Row],[X]]=2)),tbal[[#This Row],[DEUDOR]],0)</f>
        <v>0</v>
      </c>
      <c r="J2230" s="18">
        <f>IF((OR(tbal[[#This Row],[X]]=2,tbal[[#This Row],[X]]=3)),tbal[[#This Row],[ACREEDOR]],0)</f>
        <v>0</v>
      </c>
      <c r="K2230" s="16">
        <f>IF((OR(tbal[[#This Row],[X]]=3,tbal[[#This Row],[X]]=5)),tbal[[#This Row],[DEUDOR]],0)</f>
        <v>0</v>
      </c>
      <c r="L2230" s="18">
        <f>IF((OR(tbal[[#This Row],[X]]=3,tbal[[#This Row],[X]]=4)),tbal[[#This Row],[ACREEDOR]],0)</f>
        <v>0</v>
      </c>
      <c r="M2230" s="16">
        <f>IF((OR(tbal[[#This Row],[X]]=0,tbal[[#This Row],[X]]=6)),tbal[[#This Row],[DEUDOR]],0)</f>
        <v>0</v>
      </c>
      <c r="N2230" s="18">
        <f>IF((OR(tbal[[#This Row],[X]]=0,tbal[[#This Row],[X]]=5)),tbal[[#This Row],[ACREEDOR]],0)</f>
        <v>0</v>
      </c>
    </row>
    <row r="2231" spans="1:14" hidden="1" x14ac:dyDescent="0.3">
      <c r="A2231" s="14">
        <f>+'PLAN DE CUENTAS'!A2231</f>
        <v>0</v>
      </c>
      <c r="B2231" s="13">
        <f>+'PLAN DE CUENTAS'!B2231</f>
        <v>0</v>
      </c>
      <c r="C2231" s="13">
        <f>+'PLAN DE CUENTAS'!C2231</f>
        <v>0</v>
      </c>
      <c r="D2231" t="str">
        <f>IF(tbal[[#This Row],[DEBE]]+tbal[[#This Row],[HABER]]=0,"","X")</f>
        <v/>
      </c>
      <c r="E2231" s="16">
        <f>SUMIF(tdiario[CUENTA],tbal[[#This Row],[CUENTA]],tdiario[DEBE])</f>
        <v>0</v>
      </c>
      <c r="F2231" s="17">
        <f>SUMIF(tdiario[CUENTA],tbal[[#This Row],[CUENTA]],tdiario[HABER])</f>
        <v>0</v>
      </c>
      <c r="G2231" s="16">
        <f>IF(tbal[[#This Row],[DEBE]]-tbal[[#This Row],[HABER]]&gt;0,tbal[[#This Row],[DEBE]]-tbal[[#This Row],[HABER]],0)</f>
        <v>0</v>
      </c>
      <c r="H2231" s="18">
        <f>IF(tbal[[#This Row],[HABER]]-tbal[[#This Row],[DEBE]]&gt;0,tbal[[#This Row],[HABER]]-tbal[[#This Row],[DEBE]],0)</f>
        <v>0</v>
      </c>
      <c r="I2231" s="16">
        <f>IF((OR(tbal[[#This Row],[X]]=1,tbal[[#This Row],[X]]=2)),tbal[[#This Row],[DEUDOR]],0)</f>
        <v>0</v>
      </c>
      <c r="J2231" s="18">
        <f>IF((OR(tbal[[#This Row],[X]]=2,tbal[[#This Row],[X]]=3)),tbal[[#This Row],[ACREEDOR]],0)</f>
        <v>0</v>
      </c>
      <c r="K2231" s="16">
        <f>IF((OR(tbal[[#This Row],[X]]=3,tbal[[#This Row],[X]]=5)),tbal[[#This Row],[DEUDOR]],0)</f>
        <v>0</v>
      </c>
      <c r="L2231" s="18">
        <f>IF((OR(tbal[[#This Row],[X]]=3,tbal[[#This Row],[X]]=4)),tbal[[#This Row],[ACREEDOR]],0)</f>
        <v>0</v>
      </c>
      <c r="M2231" s="16">
        <f>IF((OR(tbal[[#This Row],[X]]=0,tbal[[#This Row],[X]]=6)),tbal[[#This Row],[DEUDOR]],0)</f>
        <v>0</v>
      </c>
      <c r="N2231" s="18">
        <f>IF((OR(tbal[[#This Row],[X]]=0,tbal[[#This Row],[X]]=5)),tbal[[#This Row],[ACREEDOR]],0)</f>
        <v>0</v>
      </c>
    </row>
    <row r="2232" spans="1:14" hidden="1" x14ac:dyDescent="0.3">
      <c r="A2232" s="14">
        <f>+'PLAN DE CUENTAS'!A2232</f>
        <v>0</v>
      </c>
      <c r="B2232" s="13">
        <f>+'PLAN DE CUENTAS'!B2232</f>
        <v>0</v>
      </c>
      <c r="C2232" s="13">
        <f>+'PLAN DE CUENTAS'!C2232</f>
        <v>0</v>
      </c>
      <c r="D2232" t="str">
        <f>IF(tbal[[#This Row],[DEBE]]+tbal[[#This Row],[HABER]]=0,"","X")</f>
        <v/>
      </c>
      <c r="E2232" s="16">
        <f>SUMIF(tdiario[CUENTA],tbal[[#This Row],[CUENTA]],tdiario[DEBE])</f>
        <v>0</v>
      </c>
      <c r="F2232" s="17">
        <f>SUMIF(tdiario[CUENTA],tbal[[#This Row],[CUENTA]],tdiario[HABER])</f>
        <v>0</v>
      </c>
      <c r="G2232" s="16">
        <f>IF(tbal[[#This Row],[DEBE]]-tbal[[#This Row],[HABER]]&gt;0,tbal[[#This Row],[DEBE]]-tbal[[#This Row],[HABER]],0)</f>
        <v>0</v>
      </c>
      <c r="H2232" s="18">
        <f>IF(tbal[[#This Row],[HABER]]-tbal[[#This Row],[DEBE]]&gt;0,tbal[[#This Row],[HABER]]-tbal[[#This Row],[DEBE]],0)</f>
        <v>0</v>
      </c>
      <c r="I2232" s="16">
        <f>IF((OR(tbal[[#This Row],[X]]=1,tbal[[#This Row],[X]]=2)),tbal[[#This Row],[DEUDOR]],0)</f>
        <v>0</v>
      </c>
      <c r="J2232" s="18">
        <f>IF((OR(tbal[[#This Row],[X]]=2,tbal[[#This Row],[X]]=3)),tbal[[#This Row],[ACREEDOR]],0)</f>
        <v>0</v>
      </c>
      <c r="K2232" s="16">
        <f>IF((OR(tbal[[#This Row],[X]]=3,tbal[[#This Row],[X]]=5)),tbal[[#This Row],[DEUDOR]],0)</f>
        <v>0</v>
      </c>
      <c r="L2232" s="18">
        <f>IF((OR(tbal[[#This Row],[X]]=3,tbal[[#This Row],[X]]=4)),tbal[[#This Row],[ACREEDOR]],0)</f>
        <v>0</v>
      </c>
      <c r="M2232" s="16">
        <f>IF((OR(tbal[[#This Row],[X]]=0,tbal[[#This Row],[X]]=6)),tbal[[#This Row],[DEUDOR]],0)</f>
        <v>0</v>
      </c>
      <c r="N2232" s="18">
        <f>IF((OR(tbal[[#This Row],[X]]=0,tbal[[#This Row],[X]]=5)),tbal[[#This Row],[ACREEDOR]],0)</f>
        <v>0</v>
      </c>
    </row>
    <row r="2233" spans="1:14" hidden="1" x14ac:dyDescent="0.3">
      <c r="A2233" s="14">
        <f>+'PLAN DE CUENTAS'!A2233</f>
        <v>0</v>
      </c>
      <c r="B2233" s="13">
        <f>+'PLAN DE CUENTAS'!B2233</f>
        <v>0</v>
      </c>
      <c r="C2233" s="13">
        <f>+'PLAN DE CUENTAS'!C2233</f>
        <v>0</v>
      </c>
      <c r="D2233" t="str">
        <f>IF(tbal[[#This Row],[DEBE]]+tbal[[#This Row],[HABER]]=0,"","X")</f>
        <v/>
      </c>
      <c r="E2233" s="16">
        <f>SUMIF(tdiario[CUENTA],tbal[[#This Row],[CUENTA]],tdiario[DEBE])</f>
        <v>0</v>
      </c>
      <c r="F2233" s="17">
        <f>SUMIF(tdiario[CUENTA],tbal[[#This Row],[CUENTA]],tdiario[HABER])</f>
        <v>0</v>
      </c>
      <c r="G2233" s="16">
        <f>IF(tbal[[#This Row],[DEBE]]-tbal[[#This Row],[HABER]]&gt;0,tbal[[#This Row],[DEBE]]-tbal[[#This Row],[HABER]],0)</f>
        <v>0</v>
      </c>
      <c r="H2233" s="18">
        <f>IF(tbal[[#This Row],[HABER]]-tbal[[#This Row],[DEBE]]&gt;0,tbal[[#This Row],[HABER]]-tbal[[#This Row],[DEBE]],0)</f>
        <v>0</v>
      </c>
      <c r="I2233" s="16">
        <f>IF((OR(tbal[[#This Row],[X]]=1,tbal[[#This Row],[X]]=2)),tbal[[#This Row],[DEUDOR]],0)</f>
        <v>0</v>
      </c>
      <c r="J2233" s="18">
        <f>IF((OR(tbal[[#This Row],[X]]=2,tbal[[#This Row],[X]]=3)),tbal[[#This Row],[ACREEDOR]],0)</f>
        <v>0</v>
      </c>
      <c r="K2233" s="16">
        <f>IF((OR(tbal[[#This Row],[X]]=3,tbal[[#This Row],[X]]=5)),tbal[[#This Row],[DEUDOR]],0)</f>
        <v>0</v>
      </c>
      <c r="L2233" s="18">
        <f>IF((OR(tbal[[#This Row],[X]]=3,tbal[[#This Row],[X]]=4)),tbal[[#This Row],[ACREEDOR]],0)</f>
        <v>0</v>
      </c>
      <c r="M2233" s="16">
        <f>IF((OR(tbal[[#This Row],[X]]=0,tbal[[#This Row],[X]]=6)),tbal[[#This Row],[DEUDOR]],0)</f>
        <v>0</v>
      </c>
      <c r="N2233" s="18">
        <f>IF((OR(tbal[[#This Row],[X]]=0,tbal[[#This Row],[X]]=5)),tbal[[#This Row],[ACREEDOR]],0)</f>
        <v>0</v>
      </c>
    </row>
    <row r="2234" spans="1:14" hidden="1" x14ac:dyDescent="0.3">
      <c r="A2234" s="14">
        <f>+'PLAN DE CUENTAS'!A2234</f>
        <v>0</v>
      </c>
      <c r="B2234" s="13">
        <f>+'PLAN DE CUENTAS'!B2234</f>
        <v>0</v>
      </c>
      <c r="C2234" s="13">
        <f>+'PLAN DE CUENTAS'!C2234</f>
        <v>0</v>
      </c>
      <c r="D2234" t="str">
        <f>IF(tbal[[#This Row],[DEBE]]+tbal[[#This Row],[HABER]]=0,"","X")</f>
        <v/>
      </c>
      <c r="E2234" s="16">
        <f>SUMIF(tdiario[CUENTA],tbal[[#This Row],[CUENTA]],tdiario[DEBE])</f>
        <v>0</v>
      </c>
      <c r="F2234" s="17">
        <f>SUMIF(tdiario[CUENTA],tbal[[#This Row],[CUENTA]],tdiario[HABER])</f>
        <v>0</v>
      </c>
      <c r="G2234" s="16">
        <f>IF(tbal[[#This Row],[DEBE]]-tbal[[#This Row],[HABER]]&gt;0,tbal[[#This Row],[DEBE]]-tbal[[#This Row],[HABER]],0)</f>
        <v>0</v>
      </c>
      <c r="H2234" s="18">
        <f>IF(tbal[[#This Row],[HABER]]-tbal[[#This Row],[DEBE]]&gt;0,tbal[[#This Row],[HABER]]-tbal[[#This Row],[DEBE]],0)</f>
        <v>0</v>
      </c>
      <c r="I2234" s="16">
        <f>IF((OR(tbal[[#This Row],[X]]=1,tbal[[#This Row],[X]]=2)),tbal[[#This Row],[DEUDOR]],0)</f>
        <v>0</v>
      </c>
      <c r="J2234" s="18">
        <f>IF((OR(tbal[[#This Row],[X]]=2,tbal[[#This Row],[X]]=3)),tbal[[#This Row],[ACREEDOR]],0)</f>
        <v>0</v>
      </c>
      <c r="K2234" s="16">
        <f>IF((OR(tbal[[#This Row],[X]]=3,tbal[[#This Row],[X]]=5)),tbal[[#This Row],[DEUDOR]],0)</f>
        <v>0</v>
      </c>
      <c r="L2234" s="18">
        <f>IF((OR(tbal[[#This Row],[X]]=3,tbal[[#This Row],[X]]=4)),tbal[[#This Row],[ACREEDOR]],0)</f>
        <v>0</v>
      </c>
      <c r="M2234" s="16">
        <f>IF((OR(tbal[[#This Row],[X]]=0,tbal[[#This Row],[X]]=6)),tbal[[#This Row],[DEUDOR]],0)</f>
        <v>0</v>
      </c>
      <c r="N2234" s="18">
        <f>IF((OR(tbal[[#This Row],[X]]=0,tbal[[#This Row],[X]]=5)),tbal[[#This Row],[ACREEDOR]],0)</f>
        <v>0</v>
      </c>
    </row>
    <row r="2235" spans="1:14" hidden="1" x14ac:dyDescent="0.3">
      <c r="A2235" s="14">
        <f>+'PLAN DE CUENTAS'!A2235</f>
        <v>0</v>
      </c>
      <c r="B2235" s="13">
        <f>+'PLAN DE CUENTAS'!B2235</f>
        <v>0</v>
      </c>
      <c r="C2235" s="13">
        <f>+'PLAN DE CUENTAS'!C2235</f>
        <v>0</v>
      </c>
      <c r="D2235" t="str">
        <f>IF(tbal[[#This Row],[DEBE]]+tbal[[#This Row],[HABER]]=0,"","X")</f>
        <v/>
      </c>
      <c r="E2235" s="16">
        <f>SUMIF(tdiario[CUENTA],tbal[[#This Row],[CUENTA]],tdiario[DEBE])</f>
        <v>0</v>
      </c>
      <c r="F2235" s="17">
        <f>SUMIF(tdiario[CUENTA],tbal[[#This Row],[CUENTA]],tdiario[HABER])</f>
        <v>0</v>
      </c>
      <c r="G2235" s="16">
        <f>IF(tbal[[#This Row],[DEBE]]-tbal[[#This Row],[HABER]]&gt;0,tbal[[#This Row],[DEBE]]-tbal[[#This Row],[HABER]],0)</f>
        <v>0</v>
      </c>
      <c r="H2235" s="18">
        <f>IF(tbal[[#This Row],[HABER]]-tbal[[#This Row],[DEBE]]&gt;0,tbal[[#This Row],[HABER]]-tbal[[#This Row],[DEBE]],0)</f>
        <v>0</v>
      </c>
      <c r="I2235" s="16">
        <f>IF((OR(tbal[[#This Row],[X]]=1,tbal[[#This Row],[X]]=2)),tbal[[#This Row],[DEUDOR]],0)</f>
        <v>0</v>
      </c>
      <c r="J2235" s="18">
        <f>IF((OR(tbal[[#This Row],[X]]=2,tbal[[#This Row],[X]]=3)),tbal[[#This Row],[ACREEDOR]],0)</f>
        <v>0</v>
      </c>
      <c r="K2235" s="16">
        <f>IF((OR(tbal[[#This Row],[X]]=3,tbal[[#This Row],[X]]=5)),tbal[[#This Row],[DEUDOR]],0)</f>
        <v>0</v>
      </c>
      <c r="L2235" s="18">
        <f>IF((OR(tbal[[#This Row],[X]]=3,tbal[[#This Row],[X]]=4)),tbal[[#This Row],[ACREEDOR]],0)</f>
        <v>0</v>
      </c>
      <c r="M2235" s="16">
        <f>IF((OR(tbal[[#This Row],[X]]=0,tbal[[#This Row],[X]]=6)),tbal[[#This Row],[DEUDOR]],0)</f>
        <v>0</v>
      </c>
      <c r="N2235" s="18">
        <f>IF((OR(tbal[[#This Row],[X]]=0,tbal[[#This Row],[X]]=5)),tbal[[#This Row],[ACREEDOR]],0)</f>
        <v>0</v>
      </c>
    </row>
    <row r="2236" spans="1:14" hidden="1" x14ac:dyDescent="0.3">
      <c r="A2236" s="14">
        <f>+'PLAN DE CUENTAS'!A2236</f>
        <v>0</v>
      </c>
      <c r="B2236" s="13">
        <f>+'PLAN DE CUENTAS'!B2236</f>
        <v>0</v>
      </c>
      <c r="C2236" s="13">
        <f>+'PLAN DE CUENTAS'!C2236</f>
        <v>0</v>
      </c>
      <c r="D2236" t="str">
        <f>IF(tbal[[#This Row],[DEBE]]+tbal[[#This Row],[HABER]]=0,"","X")</f>
        <v/>
      </c>
      <c r="E2236" s="16">
        <f>SUMIF(tdiario[CUENTA],tbal[[#This Row],[CUENTA]],tdiario[DEBE])</f>
        <v>0</v>
      </c>
      <c r="F2236" s="17">
        <f>SUMIF(tdiario[CUENTA],tbal[[#This Row],[CUENTA]],tdiario[HABER])</f>
        <v>0</v>
      </c>
      <c r="G2236" s="16">
        <f>IF(tbal[[#This Row],[DEBE]]-tbal[[#This Row],[HABER]]&gt;0,tbal[[#This Row],[DEBE]]-tbal[[#This Row],[HABER]],0)</f>
        <v>0</v>
      </c>
      <c r="H2236" s="18">
        <f>IF(tbal[[#This Row],[HABER]]-tbal[[#This Row],[DEBE]]&gt;0,tbal[[#This Row],[HABER]]-tbal[[#This Row],[DEBE]],0)</f>
        <v>0</v>
      </c>
      <c r="I2236" s="16">
        <f>IF((OR(tbal[[#This Row],[X]]=1,tbal[[#This Row],[X]]=2)),tbal[[#This Row],[DEUDOR]],0)</f>
        <v>0</v>
      </c>
      <c r="J2236" s="18">
        <f>IF((OR(tbal[[#This Row],[X]]=2,tbal[[#This Row],[X]]=3)),tbal[[#This Row],[ACREEDOR]],0)</f>
        <v>0</v>
      </c>
      <c r="K2236" s="16">
        <f>IF((OR(tbal[[#This Row],[X]]=3,tbal[[#This Row],[X]]=5)),tbal[[#This Row],[DEUDOR]],0)</f>
        <v>0</v>
      </c>
      <c r="L2236" s="18">
        <f>IF((OR(tbal[[#This Row],[X]]=3,tbal[[#This Row],[X]]=4)),tbal[[#This Row],[ACREEDOR]],0)</f>
        <v>0</v>
      </c>
      <c r="M2236" s="16">
        <f>IF((OR(tbal[[#This Row],[X]]=0,tbal[[#This Row],[X]]=6)),tbal[[#This Row],[DEUDOR]],0)</f>
        <v>0</v>
      </c>
      <c r="N2236" s="18">
        <f>IF((OR(tbal[[#This Row],[X]]=0,tbal[[#This Row],[X]]=5)),tbal[[#This Row],[ACREEDOR]],0)</f>
        <v>0</v>
      </c>
    </row>
    <row r="2237" spans="1:14" hidden="1" x14ac:dyDescent="0.3">
      <c r="A2237" s="14">
        <f>+'PLAN DE CUENTAS'!A2237</f>
        <v>0</v>
      </c>
      <c r="B2237" s="13">
        <f>+'PLAN DE CUENTAS'!B2237</f>
        <v>0</v>
      </c>
      <c r="C2237" s="13">
        <f>+'PLAN DE CUENTAS'!C2237</f>
        <v>0</v>
      </c>
      <c r="D2237" t="str">
        <f>IF(tbal[[#This Row],[DEBE]]+tbal[[#This Row],[HABER]]=0,"","X")</f>
        <v/>
      </c>
      <c r="E2237" s="16">
        <f>SUMIF(tdiario[CUENTA],tbal[[#This Row],[CUENTA]],tdiario[DEBE])</f>
        <v>0</v>
      </c>
      <c r="F2237" s="17">
        <f>SUMIF(tdiario[CUENTA],tbal[[#This Row],[CUENTA]],tdiario[HABER])</f>
        <v>0</v>
      </c>
      <c r="G2237" s="16">
        <f>IF(tbal[[#This Row],[DEBE]]-tbal[[#This Row],[HABER]]&gt;0,tbal[[#This Row],[DEBE]]-tbal[[#This Row],[HABER]],0)</f>
        <v>0</v>
      </c>
      <c r="H2237" s="18">
        <f>IF(tbal[[#This Row],[HABER]]-tbal[[#This Row],[DEBE]]&gt;0,tbal[[#This Row],[HABER]]-tbal[[#This Row],[DEBE]],0)</f>
        <v>0</v>
      </c>
      <c r="I2237" s="16">
        <f>IF((OR(tbal[[#This Row],[X]]=1,tbal[[#This Row],[X]]=2)),tbal[[#This Row],[DEUDOR]],0)</f>
        <v>0</v>
      </c>
      <c r="J2237" s="18">
        <f>IF((OR(tbal[[#This Row],[X]]=2,tbal[[#This Row],[X]]=3)),tbal[[#This Row],[ACREEDOR]],0)</f>
        <v>0</v>
      </c>
      <c r="K2237" s="16">
        <f>IF((OR(tbal[[#This Row],[X]]=3,tbal[[#This Row],[X]]=5)),tbal[[#This Row],[DEUDOR]],0)</f>
        <v>0</v>
      </c>
      <c r="L2237" s="18">
        <f>IF((OR(tbal[[#This Row],[X]]=3,tbal[[#This Row],[X]]=4)),tbal[[#This Row],[ACREEDOR]],0)</f>
        <v>0</v>
      </c>
      <c r="M2237" s="16">
        <f>IF((OR(tbal[[#This Row],[X]]=0,tbal[[#This Row],[X]]=6)),tbal[[#This Row],[DEUDOR]],0)</f>
        <v>0</v>
      </c>
      <c r="N2237" s="18">
        <f>IF((OR(tbal[[#This Row],[X]]=0,tbal[[#This Row],[X]]=5)),tbal[[#This Row],[ACREEDOR]],0)</f>
        <v>0</v>
      </c>
    </row>
    <row r="2238" spans="1:14" hidden="1" x14ac:dyDescent="0.3">
      <c r="A2238" s="14">
        <f>+'PLAN DE CUENTAS'!A2238</f>
        <v>0</v>
      </c>
      <c r="B2238" s="13">
        <f>+'PLAN DE CUENTAS'!B2238</f>
        <v>0</v>
      </c>
      <c r="C2238" s="13">
        <f>+'PLAN DE CUENTAS'!C2238</f>
        <v>0</v>
      </c>
      <c r="D2238" t="str">
        <f>IF(tbal[[#This Row],[DEBE]]+tbal[[#This Row],[HABER]]=0,"","X")</f>
        <v/>
      </c>
      <c r="E2238" s="16">
        <f>SUMIF(tdiario[CUENTA],tbal[[#This Row],[CUENTA]],tdiario[DEBE])</f>
        <v>0</v>
      </c>
      <c r="F2238" s="17">
        <f>SUMIF(tdiario[CUENTA],tbal[[#This Row],[CUENTA]],tdiario[HABER])</f>
        <v>0</v>
      </c>
      <c r="G2238" s="16">
        <f>IF(tbal[[#This Row],[DEBE]]-tbal[[#This Row],[HABER]]&gt;0,tbal[[#This Row],[DEBE]]-tbal[[#This Row],[HABER]],0)</f>
        <v>0</v>
      </c>
      <c r="H2238" s="18">
        <f>IF(tbal[[#This Row],[HABER]]-tbal[[#This Row],[DEBE]]&gt;0,tbal[[#This Row],[HABER]]-tbal[[#This Row],[DEBE]],0)</f>
        <v>0</v>
      </c>
      <c r="I2238" s="16">
        <f>IF((OR(tbal[[#This Row],[X]]=1,tbal[[#This Row],[X]]=2)),tbal[[#This Row],[DEUDOR]],0)</f>
        <v>0</v>
      </c>
      <c r="J2238" s="18">
        <f>IF((OR(tbal[[#This Row],[X]]=2,tbal[[#This Row],[X]]=3)),tbal[[#This Row],[ACREEDOR]],0)</f>
        <v>0</v>
      </c>
      <c r="K2238" s="16">
        <f>IF((OR(tbal[[#This Row],[X]]=3,tbal[[#This Row],[X]]=5)),tbal[[#This Row],[DEUDOR]],0)</f>
        <v>0</v>
      </c>
      <c r="L2238" s="18">
        <f>IF((OR(tbal[[#This Row],[X]]=3,tbal[[#This Row],[X]]=4)),tbal[[#This Row],[ACREEDOR]],0)</f>
        <v>0</v>
      </c>
      <c r="M2238" s="16">
        <f>IF((OR(tbal[[#This Row],[X]]=0,tbal[[#This Row],[X]]=6)),tbal[[#This Row],[DEUDOR]],0)</f>
        <v>0</v>
      </c>
      <c r="N2238" s="18">
        <f>IF((OR(tbal[[#This Row],[X]]=0,tbal[[#This Row],[X]]=5)),tbal[[#This Row],[ACREEDOR]],0)</f>
        <v>0</v>
      </c>
    </row>
    <row r="2239" spans="1:14" hidden="1" x14ac:dyDescent="0.3">
      <c r="A2239" s="14">
        <f>+'PLAN DE CUENTAS'!A2239</f>
        <v>0</v>
      </c>
      <c r="B2239" s="13">
        <f>+'PLAN DE CUENTAS'!B2239</f>
        <v>0</v>
      </c>
      <c r="C2239" s="13">
        <f>+'PLAN DE CUENTAS'!C2239</f>
        <v>0</v>
      </c>
      <c r="D2239" t="str">
        <f>IF(tbal[[#This Row],[DEBE]]+tbal[[#This Row],[HABER]]=0,"","X")</f>
        <v/>
      </c>
      <c r="E2239" s="16">
        <f>SUMIF(tdiario[CUENTA],tbal[[#This Row],[CUENTA]],tdiario[DEBE])</f>
        <v>0</v>
      </c>
      <c r="F2239" s="17">
        <f>SUMIF(tdiario[CUENTA],tbal[[#This Row],[CUENTA]],tdiario[HABER])</f>
        <v>0</v>
      </c>
      <c r="G2239" s="16">
        <f>IF(tbal[[#This Row],[DEBE]]-tbal[[#This Row],[HABER]]&gt;0,tbal[[#This Row],[DEBE]]-tbal[[#This Row],[HABER]],0)</f>
        <v>0</v>
      </c>
      <c r="H2239" s="18">
        <f>IF(tbal[[#This Row],[HABER]]-tbal[[#This Row],[DEBE]]&gt;0,tbal[[#This Row],[HABER]]-tbal[[#This Row],[DEBE]],0)</f>
        <v>0</v>
      </c>
      <c r="I2239" s="16">
        <f>IF((OR(tbal[[#This Row],[X]]=1,tbal[[#This Row],[X]]=2)),tbal[[#This Row],[DEUDOR]],0)</f>
        <v>0</v>
      </c>
      <c r="J2239" s="18">
        <f>IF((OR(tbal[[#This Row],[X]]=2,tbal[[#This Row],[X]]=3)),tbal[[#This Row],[ACREEDOR]],0)</f>
        <v>0</v>
      </c>
      <c r="K2239" s="16">
        <f>IF((OR(tbal[[#This Row],[X]]=3,tbal[[#This Row],[X]]=5)),tbal[[#This Row],[DEUDOR]],0)</f>
        <v>0</v>
      </c>
      <c r="L2239" s="18">
        <f>IF((OR(tbal[[#This Row],[X]]=3,tbal[[#This Row],[X]]=4)),tbal[[#This Row],[ACREEDOR]],0)</f>
        <v>0</v>
      </c>
      <c r="M2239" s="16">
        <f>IF((OR(tbal[[#This Row],[X]]=0,tbal[[#This Row],[X]]=6)),tbal[[#This Row],[DEUDOR]],0)</f>
        <v>0</v>
      </c>
      <c r="N2239" s="18">
        <f>IF((OR(tbal[[#This Row],[X]]=0,tbal[[#This Row],[X]]=5)),tbal[[#This Row],[ACREEDOR]],0)</f>
        <v>0</v>
      </c>
    </row>
    <row r="2240" spans="1:14" hidden="1" x14ac:dyDescent="0.3">
      <c r="A2240" s="14">
        <f>+'PLAN DE CUENTAS'!A2240</f>
        <v>0</v>
      </c>
      <c r="B2240" s="13">
        <f>+'PLAN DE CUENTAS'!B2240</f>
        <v>0</v>
      </c>
      <c r="C2240" s="13">
        <f>+'PLAN DE CUENTAS'!C2240</f>
        <v>0</v>
      </c>
      <c r="D2240" t="str">
        <f>IF(tbal[[#This Row],[DEBE]]+tbal[[#This Row],[HABER]]=0,"","X")</f>
        <v/>
      </c>
      <c r="E2240" s="16">
        <f>SUMIF(tdiario[CUENTA],tbal[[#This Row],[CUENTA]],tdiario[DEBE])</f>
        <v>0</v>
      </c>
      <c r="F2240" s="17">
        <f>SUMIF(tdiario[CUENTA],tbal[[#This Row],[CUENTA]],tdiario[HABER])</f>
        <v>0</v>
      </c>
      <c r="G2240" s="16">
        <f>IF(tbal[[#This Row],[DEBE]]-tbal[[#This Row],[HABER]]&gt;0,tbal[[#This Row],[DEBE]]-tbal[[#This Row],[HABER]],0)</f>
        <v>0</v>
      </c>
      <c r="H2240" s="18">
        <f>IF(tbal[[#This Row],[HABER]]-tbal[[#This Row],[DEBE]]&gt;0,tbal[[#This Row],[HABER]]-tbal[[#This Row],[DEBE]],0)</f>
        <v>0</v>
      </c>
      <c r="I2240" s="16">
        <f>IF((OR(tbal[[#This Row],[X]]=1,tbal[[#This Row],[X]]=2)),tbal[[#This Row],[DEUDOR]],0)</f>
        <v>0</v>
      </c>
      <c r="J2240" s="18">
        <f>IF((OR(tbal[[#This Row],[X]]=2,tbal[[#This Row],[X]]=3)),tbal[[#This Row],[ACREEDOR]],0)</f>
        <v>0</v>
      </c>
      <c r="K2240" s="16">
        <f>IF((OR(tbal[[#This Row],[X]]=3,tbal[[#This Row],[X]]=5)),tbal[[#This Row],[DEUDOR]],0)</f>
        <v>0</v>
      </c>
      <c r="L2240" s="18">
        <f>IF((OR(tbal[[#This Row],[X]]=3,tbal[[#This Row],[X]]=4)),tbal[[#This Row],[ACREEDOR]],0)</f>
        <v>0</v>
      </c>
      <c r="M2240" s="16">
        <f>IF((OR(tbal[[#This Row],[X]]=0,tbal[[#This Row],[X]]=6)),tbal[[#This Row],[DEUDOR]],0)</f>
        <v>0</v>
      </c>
      <c r="N2240" s="18">
        <f>IF((OR(tbal[[#This Row],[X]]=0,tbal[[#This Row],[X]]=5)),tbal[[#This Row],[ACREEDOR]],0)</f>
        <v>0</v>
      </c>
    </row>
    <row r="2241" spans="1:14" hidden="1" x14ac:dyDescent="0.3">
      <c r="A2241" s="14">
        <f>+'PLAN DE CUENTAS'!A2241</f>
        <v>0</v>
      </c>
      <c r="B2241" s="13">
        <f>+'PLAN DE CUENTAS'!B2241</f>
        <v>0</v>
      </c>
      <c r="C2241" s="13">
        <f>+'PLAN DE CUENTAS'!C2241</f>
        <v>0</v>
      </c>
      <c r="D2241" t="str">
        <f>IF(tbal[[#This Row],[DEBE]]+tbal[[#This Row],[HABER]]=0,"","X")</f>
        <v/>
      </c>
      <c r="E2241" s="16">
        <f>SUMIF(tdiario[CUENTA],tbal[[#This Row],[CUENTA]],tdiario[DEBE])</f>
        <v>0</v>
      </c>
      <c r="F2241" s="17">
        <f>SUMIF(tdiario[CUENTA],tbal[[#This Row],[CUENTA]],tdiario[HABER])</f>
        <v>0</v>
      </c>
      <c r="G2241" s="16">
        <f>IF(tbal[[#This Row],[DEBE]]-tbal[[#This Row],[HABER]]&gt;0,tbal[[#This Row],[DEBE]]-tbal[[#This Row],[HABER]],0)</f>
        <v>0</v>
      </c>
      <c r="H2241" s="18">
        <f>IF(tbal[[#This Row],[HABER]]-tbal[[#This Row],[DEBE]]&gt;0,tbal[[#This Row],[HABER]]-tbal[[#This Row],[DEBE]],0)</f>
        <v>0</v>
      </c>
      <c r="I2241" s="16">
        <f>IF((OR(tbal[[#This Row],[X]]=1,tbal[[#This Row],[X]]=2)),tbal[[#This Row],[DEUDOR]],0)</f>
        <v>0</v>
      </c>
      <c r="J2241" s="18">
        <f>IF((OR(tbal[[#This Row],[X]]=2,tbal[[#This Row],[X]]=3)),tbal[[#This Row],[ACREEDOR]],0)</f>
        <v>0</v>
      </c>
      <c r="K2241" s="16">
        <f>IF((OR(tbal[[#This Row],[X]]=3,tbal[[#This Row],[X]]=5)),tbal[[#This Row],[DEUDOR]],0)</f>
        <v>0</v>
      </c>
      <c r="L2241" s="18">
        <f>IF((OR(tbal[[#This Row],[X]]=3,tbal[[#This Row],[X]]=4)),tbal[[#This Row],[ACREEDOR]],0)</f>
        <v>0</v>
      </c>
      <c r="M2241" s="16">
        <f>IF((OR(tbal[[#This Row],[X]]=0,tbal[[#This Row],[X]]=6)),tbal[[#This Row],[DEUDOR]],0)</f>
        <v>0</v>
      </c>
      <c r="N2241" s="18">
        <f>IF((OR(tbal[[#This Row],[X]]=0,tbal[[#This Row],[X]]=5)),tbal[[#This Row],[ACREEDOR]],0)</f>
        <v>0</v>
      </c>
    </row>
    <row r="2242" spans="1:14" hidden="1" x14ac:dyDescent="0.3">
      <c r="A2242" s="14">
        <f>+'PLAN DE CUENTAS'!A2242</f>
        <v>0</v>
      </c>
      <c r="B2242" s="13">
        <f>+'PLAN DE CUENTAS'!B2242</f>
        <v>0</v>
      </c>
      <c r="C2242" s="13">
        <f>+'PLAN DE CUENTAS'!C2242</f>
        <v>0</v>
      </c>
      <c r="D2242" t="str">
        <f>IF(tbal[[#This Row],[DEBE]]+tbal[[#This Row],[HABER]]=0,"","X")</f>
        <v/>
      </c>
      <c r="E2242" s="16">
        <f>SUMIF(tdiario[CUENTA],tbal[[#This Row],[CUENTA]],tdiario[DEBE])</f>
        <v>0</v>
      </c>
      <c r="F2242" s="17">
        <f>SUMIF(tdiario[CUENTA],tbal[[#This Row],[CUENTA]],tdiario[HABER])</f>
        <v>0</v>
      </c>
      <c r="G2242" s="16">
        <f>IF(tbal[[#This Row],[DEBE]]-tbal[[#This Row],[HABER]]&gt;0,tbal[[#This Row],[DEBE]]-tbal[[#This Row],[HABER]],0)</f>
        <v>0</v>
      </c>
      <c r="H2242" s="18">
        <f>IF(tbal[[#This Row],[HABER]]-tbal[[#This Row],[DEBE]]&gt;0,tbal[[#This Row],[HABER]]-tbal[[#This Row],[DEBE]],0)</f>
        <v>0</v>
      </c>
      <c r="I2242" s="16">
        <f>IF((OR(tbal[[#This Row],[X]]=1,tbal[[#This Row],[X]]=2)),tbal[[#This Row],[DEUDOR]],0)</f>
        <v>0</v>
      </c>
      <c r="J2242" s="18">
        <f>IF((OR(tbal[[#This Row],[X]]=2,tbal[[#This Row],[X]]=3)),tbal[[#This Row],[ACREEDOR]],0)</f>
        <v>0</v>
      </c>
      <c r="K2242" s="16">
        <f>IF((OR(tbal[[#This Row],[X]]=3,tbal[[#This Row],[X]]=5)),tbal[[#This Row],[DEUDOR]],0)</f>
        <v>0</v>
      </c>
      <c r="L2242" s="18">
        <f>IF((OR(tbal[[#This Row],[X]]=3,tbal[[#This Row],[X]]=4)),tbal[[#This Row],[ACREEDOR]],0)</f>
        <v>0</v>
      </c>
      <c r="M2242" s="16">
        <f>IF((OR(tbal[[#This Row],[X]]=0,tbal[[#This Row],[X]]=6)),tbal[[#This Row],[DEUDOR]],0)</f>
        <v>0</v>
      </c>
      <c r="N2242" s="18">
        <f>IF((OR(tbal[[#This Row],[X]]=0,tbal[[#This Row],[X]]=5)),tbal[[#This Row],[ACREEDOR]],0)</f>
        <v>0</v>
      </c>
    </row>
    <row r="2243" spans="1:14" hidden="1" x14ac:dyDescent="0.3">
      <c r="A2243" s="14">
        <f>+'PLAN DE CUENTAS'!A2243</f>
        <v>0</v>
      </c>
      <c r="B2243" s="13">
        <f>+'PLAN DE CUENTAS'!B2243</f>
        <v>0</v>
      </c>
      <c r="C2243" s="13">
        <f>+'PLAN DE CUENTAS'!C2243</f>
        <v>0</v>
      </c>
      <c r="D2243" t="str">
        <f>IF(tbal[[#This Row],[DEBE]]+tbal[[#This Row],[HABER]]=0,"","X")</f>
        <v/>
      </c>
      <c r="E2243" s="16">
        <f>SUMIF(tdiario[CUENTA],tbal[[#This Row],[CUENTA]],tdiario[DEBE])</f>
        <v>0</v>
      </c>
      <c r="F2243" s="17">
        <f>SUMIF(tdiario[CUENTA],tbal[[#This Row],[CUENTA]],tdiario[HABER])</f>
        <v>0</v>
      </c>
      <c r="G2243" s="16">
        <f>IF(tbal[[#This Row],[DEBE]]-tbal[[#This Row],[HABER]]&gt;0,tbal[[#This Row],[DEBE]]-tbal[[#This Row],[HABER]],0)</f>
        <v>0</v>
      </c>
      <c r="H2243" s="18">
        <f>IF(tbal[[#This Row],[HABER]]-tbal[[#This Row],[DEBE]]&gt;0,tbal[[#This Row],[HABER]]-tbal[[#This Row],[DEBE]],0)</f>
        <v>0</v>
      </c>
      <c r="I2243" s="16">
        <f>IF((OR(tbal[[#This Row],[X]]=1,tbal[[#This Row],[X]]=2)),tbal[[#This Row],[DEUDOR]],0)</f>
        <v>0</v>
      </c>
      <c r="J2243" s="18">
        <f>IF((OR(tbal[[#This Row],[X]]=2,tbal[[#This Row],[X]]=3)),tbal[[#This Row],[ACREEDOR]],0)</f>
        <v>0</v>
      </c>
      <c r="K2243" s="16">
        <f>IF((OR(tbal[[#This Row],[X]]=3,tbal[[#This Row],[X]]=5)),tbal[[#This Row],[DEUDOR]],0)</f>
        <v>0</v>
      </c>
      <c r="L2243" s="18">
        <f>IF((OR(tbal[[#This Row],[X]]=3,tbal[[#This Row],[X]]=4)),tbal[[#This Row],[ACREEDOR]],0)</f>
        <v>0</v>
      </c>
      <c r="M2243" s="16">
        <f>IF((OR(tbal[[#This Row],[X]]=0,tbal[[#This Row],[X]]=6)),tbal[[#This Row],[DEUDOR]],0)</f>
        <v>0</v>
      </c>
      <c r="N2243" s="18">
        <f>IF((OR(tbal[[#This Row],[X]]=0,tbal[[#This Row],[X]]=5)),tbal[[#This Row],[ACREEDOR]],0)</f>
        <v>0</v>
      </c>
    </row>
    <row r="2244" spans="1:14" hidden="1" x14ac:dyDescent="0.3">
      <c r="A2244" s="14">
        <f>+'PLAN DE CUENTAS'!A2244</f>
        <v>0</v>
      </c>
      <c r="B2244" s="13">
        <f>+'PLAN DE CUENTAS'!B2244</f>
        <v>0</v>
      </c>
      <c r="C2244" s="13">
        <f>+'PLAN DE CUENTAS'!C2244</f>
        <v>0</v>
      </c>
      <c r="D2244" t="str">
        <f>IF(tbal[[#This Row],[DEBE]]+tbal[[#This Row],[HABER]]=0,"","X")</f>
        <v/>
      </c>
      <c r="E2244" s="16">
        <f>SUMIF(tdiario[CUENTA],tbal[[#This Row],[CUENTA]],tdiario[DEBE])</f>
        <v>0</v>
      </c>
      <c r="F2244" s="17">
        <f>SUMIF(tdiario[CUENTA],tbal[[#This Row],[CUENTA]],tdiario[HABER])</f>
        <v>0</v>
      </c>
      <c r="G2244" s="16">
        <f>IF(tbal[[#This Row],[DEBE]]-tbal[[#This Row],[HABER]]&gt;0,tbal[[#This Row],[DEBE]]-tbal[[#This Row],[HABER]],0)</f>
        <v>0</v>
      </c>
      <c r="H2244" s="18">
        <f>IF(tbal[[#This Row],[HABER]]-tbal[[#This Row],[DEBE]]&gt;0,tbal[[#This Row],[HABER]]-tbal[[#This Row],[DEBE]],0)</f>
        <v>0</v>
      </c>
      <c r="I2244" s="16">
        <f>IF((OR(tbal[[#This Row],[X]]=1,tbal[[#This Row],[X]]=2)),tbal[[#This Row],[DEUDOR]],0)</f>
        <v>0</v>
      </c>
      <c r="J2244" s="18">
        <f>IF((OR(tbal[[#This Row],[X]]=2,tbal[[#This Row],[X]]=3)),tbal[[#This Row],[ACREEDOR]],0)</f>
        <v>0</v>
      </c>
      <c r="K2244" s="16">
        <f>IF((OR(tbal[[#This Row],[X]]=3,tbal[[#This Row],[X]]=5)),tbal[[#This Row],[DEUDOR]],0)</f>
        <v>0</v>
      </c>
      <c r="L2244" s="18">
        <f>IF((OR(tbal[[#This Row],[X]]=3,tbal[[#This Row],[X]]=4)),tbal[[#This Row],[ACREEDOR]],0)</f>
        <v>0</v>
      </c>
      <c r="M2244" s="16">
        <f>IF((OR(tbal[[#This Row],[X]]=0,tbal[[#This Row],[X]]=6)),tbal[[#This Row],[DEUDOR]],0)</f>
        <v>0</v>
      </c>
      <c r="N2244" s="18">
        <f>IF((OR(tbal[[#This Row],[X]]=0,tbal[[#This Row],[X]]=5)),tbal[[#This Row],[ACREEDOR]],0)</f>
        <v>0</v>
      </c>
    </row>
    <row r="2245" spans="1:14" hidden="1" x14ac:dyDescent="0.3">
      <c r="A2245" s="14">
        <f>+'PLAN DE CUENTAS'!A2245</f>
        <v>0</v>
      </c>
      <c r="B2245" s="13">
        <f>+'PLAN DE CUENTAS'!B2245</f>
        <v>0</v>
      </c>
      <c r="C2245" s="13">
        <f>+'PLAN DE CUENTAS'!C2245</f>
        <v>0</v>
      </c>
      <c r="D2245" t="str">
        <f>IF(tbal[[#This Row],[DEBE]]+tbal[[#This Row],[HABER]]=0,"","X")</f>
        <v/>
      </c>
      <c r="E2245" s="16">
        <f>SUMIF(tdiario[CUENTA],tbal[[#This Row],[CUENTA]],tdiario[DEBE])</f>
        <v>0</v>
      </c>
      <c r="F2245" s="17">
        <f>SUMIF(tdiario[CUENTA],tbal[[#This Row],[CUENTA]],tdiario[HABER])</f>
        <v>0</v>
      </c>
      <c r="G2245" s="16">
        <f>IF(tbal[[#This Row],[DEBE]]-tbal[[#This Row],[HABER]]&gt;0,tbal[[#This Row],[DEBE]]-tbal[[#This Row],[HABER]],0)</f>
        <v>0</v>
      </c>
      <c r="H2245" s="18">
        <f>IF(tbal[[#This Row],[HABER]]-tbal[[#This Row],[DEBE]]&gt;0,tbal[[#This Row],[HABER]]-tbal[[#This Row],[DEBE]],0)</f>
        <v>0</v>
      </c>
      <c r="I2245" s="16">
        <f>IF((OR(tbal[[#This Row],[X]]=1,tbal[[#This Row],[X]]=2)),tbal[[#This Row],[DEUDOR]],0)</f>
        <v>0</v>
      </c>
      <c r="J2245" s="18">
        <f>IF((OR(tbal[[#This Row],[X]]=2,tbal[[#This Row],[X]]=3)),tbal[[#This Row],[ACREEDOR]],0)</f>
        <v>0</v>
      </c>
      <c r="K2245" s="16">
        <f>IF((OR(tbal[[#This Row],[X]]=3,tbal[[#This Row],[X]]=5)),tbal[[#This Row],[DEUDOR]],0)</f>
        <v>0</v>
      </c>
      <c r="L2245" s="18">
        <f>IF((OR(tbal[[#This Row],[X]]=3,tbal[[#This Row],[X]]=4)),tbal[[#This Row],[ACREEDOR]],0)</f>
        <v>0</v>
      </c>
      <c r="M2245" s="16">
        <f>IF((OR(tbal[[#This Row],[X]]=0,tbal[[#This Row],[X]]=6)),tbal[[#This Row],[DEUDOR]],0)</f>
        <v>0</v>
      </c>
      <c r="N2245" s="18">
        <f>IF((OR(tbal[[#This Row],[X]]=0,tbal[[#This Row],[X]]=5)),tbal[[#This Row],[ACREEDOR]],0)</f>
        <v>0</v>
      </c>
    </row>
    <row r="2246" spans="1:14" hidden="1" x14ac:dyDescent="0.3">
      <c r="A2246" s="14">
        <f>+'PLAN DE CUENTAS'!A2246</f>
        <v>0</v>
      </c>
      <c r="B2246" s="13">
        <f>+'PLAN DE CUENTAS'!B2246</f>
        <v>0</v>
      </c>
      <c r="C2246" s="13">
        <f>+'PLAN DE CUENTAS'!C2246</f>
        <v>0</v>
      </c>
      <c r="D2246" t="str">
        <f>IF(tbal[[#This Row],[DEBE]]+tbal[[#This Row],[HABER]]=0,"","X")</f>
        <v/>
      </c>
      <c r="E2246" s="16">
        <f>SUMIF(tdiario[CUENTA],tbal[[#This Row],[CUENTA]],tdiario[DEBE])</f>
        <v>0</v>
      </c>
      <c r="F2246" s="17">
        <f>SUMIF(tdiario[CUENTA],tbal[[#This Row],[CUENTA]],tdiario[HABER])</f>
        <v>0</v>
      </c>
      <c r="G2246" s="16">
        <f>IF(tbal[[#This Row],[DEBE]]-tbal[[#This Row],[HABER]]&gt;0,tbal[[#This Row],[DEBE]]-tbal[[#This Row],[HABER]],0)</f>
        <v>0</v>
      </c>
      <c r="H2246" s="18">
        <f>IF(tbal[[#This Row],[HABER]]-tbal[[#This Row],[DEBE]]&gt;0,tbal[[#This Row],[HABER]]-tbal[[#This Row],[DEBE]],0)</f>
        <v>0</v>
      </c>
      <c r="I2246" s="16">
        <f>IF((OR(tbal[[#This Row],[X]]=1,tbal[[#This Row],[X]]=2)),tbal[[#This Row],[DEUDOR]],0)</f>
        <v>0</v>
      </c>
      <c r="J2246" s="18">
        <f>IF((OR(tbal[[#This Row],[X]]=2,tbal[[#This Row],[X]]=3)),tbal[[#This Row],[ACREEDOR]],0)</f>
        <v>0</v>
      </c>
      <c r="K2246" s="16">
        <f>IF((OR(tbal[[#This Row],[X]]=3,tbal[[#This Row],[X]]=5)),tbal[[#This Row],[DEUDOR]],0)</f>
        <v>0</v>
      </c>
      <c r="L2246" s="18">
        <f>IF((OR(tbal[[#This Row],[X]]=3,tbal[[#This Row],[X]]=4)),tbal[[#This Row],[ACREEDOR]],0)</f>
        <v>0</v>
      </c>
      <c r="M2246" s="16">
        <f>IF((OR(tbal[[#This Row],[X]]=0,tbal[[#This Row],[X]]=6)),tbal[[#This Row],[DEUDOR]],0)</f>
        <v>0</v>
      </c>
      <c r="N2246" s="18">
        <f>IF((OR(tbal[[#This Row],[X]]=0,tbal[[#This Row],[X]]=5)),tbal[[#This Row],[ACREEDOR]],0)</f>
        <v>0</v>
      </c>
    </row>
    <row r="2247" spans="1:14" hidden="1" x14ac:dyDescent="0.3">
      <c r="A2247" s="14">
        <f>+'PLAN DE CUENTAS'!A2247</f>
        <v>0</v>
      </c>
      <c r="B2247" s="13">
        <f>+'PLAN DE CUENTAS'!B2247</f>
        <v>0</v>
      </c>
      <c r="C2247" s="13">
        <f>+'PLAN DE CUENTAS'!C2247</f>
        <v>0</v>
      </c>
      <c r="D2247" t="str">
        <f>IF(tbal[[#This Row],[DEBE]]+tbal[[#This Row],[HABER]]=0,"","X")</f>
        <v/>
      </c>
      <c r="E2247" s="16">
        <f>SUMIF(tdiario[CUENTA],tbal[[#This Row],[CUENTA]],tdiario[DEBE])</f>
        <v>0</v>
      </c>
      <c r="F2247" s="17">
        <f>SUMIF(tdiario[CUENTA],tbal[[#This Row],[CUENTA]],tdiario[HABER])</f>
        <v>0</v>
      </c>
      <c r="G2247" s="16">
        <f>IF(tbal[[#This Row],[DEBE]]-tbal[[#This Row],[HABER]]&gt;0,tbal[[#This Row],[DEBE]]-tbal[[#This Row],[HABER]],0)</f>
        <v>0</v>
      </c>
      <c r="H2247" s="18">
        <f>IF(tbal[[#This Row],[HABER]]-tbal[[#This Row],[DEBE]]&gt;0,tbal[[#This Row],[HABER]]-tbal[[#This Row],[DEBE]],0)</f>
        <v>0</v>
      </c>
      <c r="I2247" s="16">
        <f>IF((OR(tbal[[#This Row],[X]]=1,tbal[[#This Row],[X]]=2)),tbal[[#This Row],[DEUDOR]],0)</f>
        <v>0</v>
      </c>
      <c r="J2247" s="18">
        <f>IF((OR(tbal[[#This Row],[X]]=2,tbal[[#This Row],[X]]=3)),tbal[[#This Row],[ACREEDOR]],0)</f>
        <v>0</v>
      </c>
      <c r="K2247" s="16">
        <f>IF((OR(tbal[[#This Row],[X]]=3,tbal[[#This Row],[X]]=5)),tbal[[#This Row],[DEUDOR]],0)</f>
        <v>0</v>
      </c>
      <c r="L2247" s="18">
        <f>IF((OR(tbal[[#This Row],[X]]=3,tbal[[#This Row],[X]]=4)),tbal[[#This Row],[ACREEDOR]],0)</f>
        <v>0</v>
      </c>
      <c r="M2247" s="16">
        <f>IF((OR(tbal[[#This Row],[X]]=0,tbal[[#This Row],[X]]=6)),tbal[[#This Row],[DEUDOR]],0)</f>
        <v>0</v>
      </c>
      <c r="N2247" s="18">
        <f>IF((OR(tbal[[#This Row],[X]]=0,tbal[[#This Row],[X]]=5)),tbal[[#This Row],[ACREEDOR]],0)</f>
        <v>0</v>
      </c>
    </row>
    <row r="2248" spans="1:14" hidden="1" x14ac:dyDescent="0.3">
      <c r="A2248" s="14">
        <f>+'PLAN DE CUENTAS'!A2248</f>
        <v>0</v>
      </c>
      <c r="B2248" s="13">
        <f>+'PLAN DE CUENTAS'!B2248</f>
        <v>0</v>
      </c>
      <c r="C2248" s="13">
        <f>+'PLAN DE CUENTAS'!C2248</f>
        <v>0</v>
      </c>
      <c r="D2248" t="str">
        <f>IF(tbal[[#This Row],[DEBE]]+tbal[[#This Row],[HABER]]=0,"","X")</f>
        <v/>
      </c>
      <c r="E2248" s="16">
        <f>SUMIF(tdiario[CUENTA],tbal[[#This Row],[CUENTA]],tdiario[DEBE])</f>
        <v>0</v>
      </c>
      <c r="F2248" s="17">
        <f>SUMIF(tdiario[CUENTA],tbal[[#This Row],[CUENTA]],tdiario[HABER])</f>
        <v>0</v>
      </c>
      <c r="G2248" s="16">
        <f>IF(tbal[[#This Row],[DEBE]]-tbal[[#This Row],[HABER]]&gt;0,tbal[[#This Row],[DEBE]]-tbal[[#This Row],[HABER]],0)</f>
        <v>0</v>
      </c>
      <c r="H2248" s="18">
        <f>IF(tbal[[#This Row],[HABER]]-tbal[[#This Row],[DEBE]]&gt;0,tbal[[#This Row],[HABER]]-tbal[[#This Row],[DEBE]],0)</f>
        <v>0</v>
      </c>
      <c r="I2248" s="16">
        <f>IF((OR(tbal[[#This Row],[X]]=1,tbal[[#This Row],[X]]=2)),tbal[[#This Row],[DEUDOR]],0)</f>
        <v>0</v>
      </c>
      <c r="J2248" s="18">
        <f>IF((OR(tbal[[#This Row],[X]]=2,tbal[[#This Row],[X]]=3)),tbal[[#This Row],[ACREEDOR]],0)</f>
        <v>0</v>
      </c>
      <c r="K2248" s="16">
        <f>IF((OR(tbal[[#This Row],[X]]=3,tbal[[#This Row],[X]]=5)),tbal[[#This Row],[DEUDOR]],0)</f>
        <v>0</v>
      </c>
      <c r="L2248" s="18">
        <f>IF((OR(tbal[[#This Row],[X]]=3,tbal[[#This Row],[X]]=4)),tbal[[#This Row],[ACREEDOR]],0)</f>
        <v>0</v>
      </c>
      <c r="M2248" s="16">
        <f>IF((OR(tbal[[#This Row],[X]]=0,tbal[[#This Row],[X]]=6)),tbal[[#This Row],[DEUDOR]],0)</f>
        <v>0</v>
      </c>
      <c r="N2248" s="18">
        <f>IF((OR(tbal[[#This Row],[X]]=0,tbal[[#This Row],[X]]=5)),tbal[[#This Row],[ACREEDOR]],0)</f>
        <v>0</v>
      </c>
    </row>
    <row r="2249" spans="1:14" hidden="1" x14ac:dyDescent="0.3">
      <c r="A2249" s="14">
        <f>+'PLAN DE CUENTAS'!A2249</f>
        <v>0</v>
      </c>
      <c r="B2249" s="13">
        <f>+'PLAN DE CUENTAS'!B2249</f>
        <v>0</v>
      </c>
      <c r="C2249" s="13">
        <f>+'PLAN DE CUENTAS'!C2249</f>
        <v>0</v>
      </c>
      <c r="D2249" t="str">
        <f>IF(tbal[[#This Row],[DEBE]]+tbal[[#This Row],[HABER]]=0,"","X")</f>
        <v/>
      </c>
      <c r="E2249" s="16">
        <f>SUMIF(tdiario[CUENTA],tbal[[#This Row],[CUENTA]],tdiario[DEBE])</f>
        <v>0</v>
      </c>
      <c r="F2249" s="17">
        <f>SUMIF(tdiario[CUENTA],tbal[[#This Row],[CUENTA]],tdiario[HABER])</f>
        <v>0</v>
      </c>
      <c r="G2249" s="16">
        <f>IF(tbal[[#This Row],[DEBE]]-tbal[[#This Row],[HABER]]&gt;0,tbal[[#This Row],[DEBE]]-tbal[[#This Row],[HABER]],0)</f>
        <v>0</v>
      </c>
      <c r="H2249" s="18">
        <f>IF(tbal[[#This Row],[HABER]]-tbal[[#This Row],[DEBE]]&gt;0,tbal[[#This Row],[HABER]]-tbal[[#This Row],[DEBE]],0)</f>
        <v>0</v>
      </c>
      <c r="I2249" s="16">
        <f>IF((OR(tbal[[#This Row],[X]]=1,tbal[[#This Row],[X]]=2)),tbal[[#This Row],[DEUDOR]],0)</f>
        <v>0</v>
      </c>
      <c r="J2249" s="18">
        <f>IF((OR(tbal[[#This Row],[X]]=2,tbal[[#This Row],[X]]=3)),tbal[[#This Row],[ACREEDOR]],0)</f>
        <v>0</v>
      </c>
      <c r="K2249" s="16">
        <f>IF((OR(tbal[[#This Row],[X]]=3,tbal[[#This Row],[X]]=5)),tbal[[#This Row],[DEUDOR]],0)</f>
        <v>0</v>
      </c>
      <c r="L2249" s="18">
        <f>IF((OR(tbal[[#This Row],[X]]=3,tbal[[#This Row],[X]]=4)),tbal[[#This Row],[ACREEDOR]],0)</f>
        <v>0</v>
      </c>
      <c r="M2249" s="16">
        <f>IF((OR(tbal[[#This Row],[X]]=0,tbal[[#This Row],[X]]=6)),tbal[[#This Row],[DEUDOR]],0)</f>
        <v>0</v>
      </c>
      <c r="N2249" s="18">
        <f>IF((OR(tbal[[#This Row],[X]]=0,tbal[[#This Row],[X]]=5)),tbal[[#This Row],[ACREEDOR]],0)</f>
        <v>0</v>
      </c>
    </row>
    <row r="2250" spans="1:14" hidden="1" x14ac:dyDescent="0.3">
      <c r="A2250" s="14">
        <f>+'PLAN DE CUENTAS'!A2250</f>
        <v>0</v>
      </c>
      <c r="B2250" s="13">
        <f>+'PLAN DE CUENTAS'!B2250</f>
        <v>0</v>
      </c>
      <c r="C2250" s="13">
        <f>+'PLAN DE CUENTAS'!C2250</f>
        <v>0</v>
      </c>
      <c r="D2250" t="str">
        <f>IF(tbal[[#This Row],[DEBE]]+tbal[[#This Row],[HABER]]=0,"","X")</f>
        <v/>
      </c>
      <c r="E2250" s="16">
        <f>SUMIF(tdiario[CUENTA],tbal[[#This Row],[CUENTA]],tdiario[DEBE])</f>
        <v>0</v>
      </c>
      <c r="F2250" s="17">
        <f>SUMIF(tdiario[CUENTA],tbal[[#This Row],[CUENTA]],tdiario[HABER])</f>
        <v>0</v>
      </c>
      <c r="G2250" s="16">
        <f>IF(tbal[[#This Row],[DEBE]]-tbal[[#This Row],[HABER]]&gt;0,tbal[[#This Row],[DEBE]]-tbal[[#This Row],[HABER]],0)</f>
        <v>0</v>
      </c>
      <c r="H2250" s="18">
        <f>IF(tbal[[#This Row],[HABER]]-tbal[[#This Row],[DEBE]]&gt;0,tbal[[#This Row],[HABER]]-tbal[[#This Row],[DEBE]],0)</f>
        <v>0</v>
      </c>
      <c r="I2250" s="16">
        <f>IF((OR(tbal[[#This Row],[X]]=1,tbal[[#This Row],[X]]=2)),tbal[[#This Row],[DEUDOR]],0)</f>
        <v>0</v>
      </c>
      <c r="J2250" s="18">
        <f>IF((OR(tbal[[#This Row],[X]]=2,tbal[[#This Row],[X]]=3)),tbal[[#This Row],[ACREEDOR]],0)</f>
        <v>0</v>
      </c>
      <c r="K2250" s="16">
        <f>IF((OR(tbal[[#This Row],[X]]=3,tbal[[#This Row],[X]]=5)),tbal[[#This Row],[DEUDOR]],0)</f>
        <v>0</v>
      </c>
      <c r="L2250" s="18">
        <f>IF((OR(tbal[[#This Row],[X]]=3,tbal[[#This Row],[X]]=4)),tbal[[#This Row],[ACREEDOR]],0)</f>
        <v>0</v>
      </c>
      <c r="M2250" s="16">
        <f>IF((OR(tbal[[#This Row],[X]]=0,tbal[[#This Row],[X]]=6)),tbal[[#This Row],[DEUDOR]],0)</f>
        <v>0</v>
      </c>
      <c r="N2250" s="18">
        <f>IF((OR(tbal[[#This Row],[X]]=0,tbal[[#This Row],[X]]=5)),tbal[[#This Row],[ACREEDOR]],0)</f>
        <v>0</v>
      </c>
    </row>
    <row r="2251" spans="1:14" hidden="1" x14ac:dyDescent="0.3">
      <c r="A2251" s="14">
        <f>+'PLAN DE CUENTAS'!A2251</f>
        <v>0</v>
      </c>
      <c r="B2251" s="13">
        <f>+'PLAN DE CUENTAS'!B2251</f>
        <v>0</v>
      </c>
      <c r="C2251" s="13">
        <f>+'PLAN DE CUENTAS'!C2251</f>
        <v>0</v>
      </c>
      <c r="D2251" t="str">
        <f>IF(tbal[[#This Row],[DEBE]]+tbal[[#This Row],[HABER]]=0,"","X")</f>
        <v/>
      </c>
      <c r="E2251" s="16">
        <f>SUMIF(tdiario[CUENTA],tbal[[#This Row],[CUENTA]],tdiario[DEBE])</f>
        <v>0</v>
      </c>
      <c r="F2251" s="17">
        <f>SUMIF(tdiario[CUENTA],tbal[[#This Row],[CUENTA]],tdiario[HABER])</f>
        <v>0</v>
      </c>
      <c r="G2251" s="16">
        <f>IF(tbal[[#This Row],[DEBE]]-tbal[[#This Row],[HABER]]&gt;0,tbal[[#This Row],[DEBE]]-tbal[[#This Row],[HABER]],0)</f>
        <v>0</v>
      </c>
      <c r="H2251" s="18">
        <f>IF(tbal[[#This Row],[HABER]]-tbal[[#This Row],[DEBE]]&gt;0,tbal[[#This Row],[HABER]]-tbal[[#This Row],[DEBE]],0)</f>
        <v>0</v>
      </c>
      <c r="I2251" s="16">
        <f>IF((OR(tbal[[#This Row],[X]]=1,tbal[[#This Row],[X]]=2)),tbal[[#This Row],[DEUDOR]],0)</f>
        <v>0</v>
      </c>
      <c r="J2251" s="18">
        <f>IF((OR(tbal[[#This Row],[X]]=2,tbal[[#This Row],[X]]=3)),tbal[[#This Row],[ACREEDOR]],0)</f>
        <v>0</v>
      </c>
      <c r="K2251" s="16">
        <f>IF((OR(tbal[[#This Row],[X]]=3,tbal[[#This Row],[X]]=5)),tbal[[#This Row],[DEUDOR]],0)</f>
        <v>0</v>
      </c>
      <c r="L2251" s="18">
        <f>IF((OR(tbal[[#This Row],[X]]=3,tbal[[#This Row],[X]]=4)),tbal[[#This Row],[ACREEDOR]],0)</f>
        <v>0</v>
      </c>
      <c r="M2251" s="16">
        <f>IF((OR(tbal[[#This Row],[X]]=0,tbal[[#This Row],[X]]=6)),tbal[[#This Row],[DEUDOR]],0)</f>
        <v>0</v>
      </c>
      <c r="N2251" s="18">
        <f>IF((OR(tbal[[#This Row],[X]]=0,tbal[[#This Row],[X]]=5)),tbal[[#This Row],[ACREEDOR]],0)</f>
        <v>0</v>
      </c>
    </row>
    <row r="2252" spans="1:14" hidden="1" x14ac:dyDescent="0.3">
      <c r="A2252" s="14">
        <f>+'PLAN DE CUENTAS'!A2252</f>
        <v>0</v>
      </c>
      <c r="B2252" s="13">
        <f>+'PLAN DE CUENTAS'!B2252</f>
        <v>0</v>
      </c>
      <c r="C2252" s="13">
        <f>+'PLAN DE CUENTAS'!C2252</f>
        <v>0</v>
      </c>
      <c r="D2252" t="str">
        <f>IF(tbal[[#This Row],[DEBE]]+tbal[[#This Row],[HABER]]=0,"","X")</f>
        <v/>
      </c>
      <c r="E2252" s="16">
        <f>SUMIF(tdiario[CUENTA],tbal[[#This Row],[CUENTA]],tdiario[DEBE])</f>
        <v>0</v>
      </c>
      <c r="F2252" s="17">
        <f>SUMIF(tdiario[CUENTA],tbal[[#This Row],[CUENTA]],tdiario[HABER])</f>
        <v>0</v>
      </c>
      <c r="G2252" s="16">
        <f>IF(tbal[[#This Row],[DEBE]]-tbal[[#This Row],[HABER]]&gt;0,tbal[[#This Row],[DEBE]]-tbal[[#This Row],[HABER]],0)</f>
        <v>0</v>
      </c>
      <c r="H2252" s="18">
        <f>IF(tbal[[#This Row],[HABER]]-tbal[[#This Row],[DEBE]]&gt;0,tbal[[#This Row],[HABER]]-tbal[[#This Row],[DEBE]],0)</f>
        <v>0</v>
      </c>
      <c r="I2252" s="16">
        <f>IF((OR(tbal[[#This Row],[X]]=1,tbal[[#This Row],[X]]=2)),tbal[[#This Row],[DEUDOR]],0)</f>
        <v>0</v>
      </c>
      <c r="J2252" s="18">
        <f>IF((OR(tbal[[#This Row],[X]]=2,tbal[[#This Row],[X]]=3)),tbal[[#This Row],[ACREEDOR]],0)</f>
        <v>0</v>
      </c>
      <c r="K2252" s="16">
        <f>IF((OR(tbal[[#This Row],[X]]=3,tbal[[#This Row],[X]]=5)),tbal[[#This Row],[DEUDOR]],0)</f>
        <v>0</v>
      </c>
      <c r="L2252" s="18">
        <f>IF((OR(tbal[[#This Row],[X]]=3,tbal[[#This Row],[X]]=4)),tbal[[#This Row],[ACREEDOR]],0)</f>
        <v>0</v>
      </c>
      <c r="M2252" s="16">
        <f>IF((OR(tbal[[#This Row],[X]]=0,tbal[[#This Row],[X]]=6)),tbal[[#This Row],[DEUDOR]],0)</f>
        <v>0</v>
      </c>
      <c r="N2252" s="18">
        <f>IF((OR(tbal[[#This Row],[X]]=0,tbal[[#This Row],[X]]=5)),tbal[[#This Row],[ACREEDOR]],0)</f>
        <v>0</v>
      </c>
    </row>
    <row r="2253" spans="1:14" hidden="1" x14ac:dyDescent="0.3">
      <c r="A2253" s="14">
        <f>+'PLAN DE CUENTAS'!A2253</f>
        <v>0</v>
      </c>
      <c r="B2253" s="13">
        <f>+'PLAN DE CUENTAS'!B2253</f>
        <v>0</v>
      </c>
      <c r="C2253" s="13">
        <f>+'PLAN DE CUENTAS'!C2253</f>
        <v>0</v>
      </c>
      <c r="D2253" t="str">
        <f>IF(tbal[[#This Row],[DEBE]]+tbal[[#This Row],[HABER]]=0,"","X")</f>
        <v/>
      </c>
      <c r="E2253" s="16">
        <f>SUMIF(tdiario[CUENTA],tbal[[#This Row],[CUENTA]],tdiario[DEBE])</f>
        <v>0</v>
      </c>
      <c r="F2253" s="17">
        <f>SUMIF(tdiario[CUENTA],tbal[[#This Row],[CUENTA]],tdiario[HABER])</f>
        <v>0</v>
      </c>
      <c r="G2253" s="16">
        <f>IF(tbal[[#This Row],[DEBE]]-tbal[[#This Row],[HABER]]&gt;0,tbal[[#This Row],[DEBE]]-tbal[[#This Row],[HABER]],0)</f>
        <v>0</v>
      </c>
      <c r="H2253" s="18">
        <f>IF(tbal[[#This Row],[HABER]]-tbal[[#This Row],[DEBE]]&gt;0,tbal[[#This Row],[HABER]]-tbal[[#This Row],[DEBE]],0)</f>
        <v>0</v>
      </c>
      <c r="I2253" s="16">
        <f>IF((OR(tbal[[#This Row],[X]]=1,tbal[[#This Row],[X]]=2)),tbal[[#This Row],[DEUDOR]],0)</f>
        <v>0</v>
      </c>
      <c r="J2253" s="18">
        <f>IF((OR(tbal[[#This Row],[X]]=2,tbal[[#This Row],[X]]=3)),tbal[[#This Row],[ACREEDOR]],0)</f>
        <v>0</v>
      </c>
      <c r="K2253" s="16">
        <f>IF((OR(tbal[[#This Row],[X]]=3,tbal[[#This Row],[X]]=5)),tbal[[#This Row],[DEUDOR]],0)</f>
        <v>0</v>
      </c>
      <c r="L2253" s="18">
        <f>IF((OR(tbal[[#This Row],[X]]=3,tbal[[#This Row],[X]]=4)),tbal[[#This Row],[ACREEDOR]],0)</f>
        <v>0</v>
      </c>
      <c r="M2253" s="16">
        <f>IF((OR(tbal[[#This Row],[X]]=0,tbal[[#This Row],[X]]=6)),tbal[[#This Row],[DEUDOR]],0)</f>
        <v>0</v>
      </c>
      <c r="N2253" s="18">
        <f>IF((OR(tbal[[#This Row],[X]]=0,tbal[[#This Row],[X]]=5)),tbal[[#This Row],[ACREEDOR]],0)</f>
        <v>0</v>
      </c>
    </row>
    <row r="2254" spans="1:14" hidden="1" x14ac:dyDescent="0.3">
      <c r="A2254" s="14">
        <f>+'PLAN DE CUENTAS'!A2254</f>
        <v>0</v>
      </c>
      <c r="B2254" s="13">
        <f>+'PLAN DE CUENTAS'!B2254</f>
        <v>0</v>
      </c>
      <c r="C2254" s="13">
        <f>+'PLAN DE CUENTAS'!C2254</f>
        <v>0</v>
      </c>
      <c r="D2254" t="str">
        <f>IF(tbal[[#This Row],[DEBE]]+tbal[[#This Row],[HABER]]=0,"","X")</f>
        <v/>
      </c>
      <c r="E2254" s="16">
        <f>SUMIF(tdiario[CUENTA],tbal[[#This Row],[CUENTA]],tdiario[DEBE])</f>
        <v>0</v>
      </c>
      <c r="F2254" s="17">
        <f>SUMIF(tdiario[CUENTA],tbal[[#This Row],[CUENTA]],tdiario[HABER])</f>
        <v>0</v>
      </c>
      <c r="G2254" s="16">
        <f>IF(tbal[[#This Row],[DEBE]]-tbal[[#This Row],[HABER]]&gt;0,tbal[[#This Row],[DEBE]]-tbal[[#This Row],[HABER]],0)</f>
        <v>0</v>
      </c>
      <c r="H2254" s="18">
        <f>IF(tbal[[#This Row],[HABER]]-tbal[[#This Row],[DEBE]]&gt;0,tbal[[#This Row],[HABER]]-tbal[[#This Row],[DEBE]],0)</f>
        <v>0</v>
      </c>
      <c r="I2254" s="16">
        <f>IF((OR(tbal[[#This Row],[X]]=1,tbal[[#This Row],[X]]=2)),tbal[[#This Row],[DEUDOR]],0)</f>
        <v>0</v>
      </c>
      <c r="J2254" s="18">
        <f>IF((OR(tbal[[#This Row],[X]]=2,tbal[[#This Row],[X]]=3)),tbal[[#This Row],[ACREEDOR]],0)</f>
        <v>0</v>
      </c>
      <c r="K2254" s="16">
        <f>IF((OR(tbal[[#This Row],[X]]=3,tbal[[#This Row],[X]]=5)),tbal[[#This Row],[DEUDOR]],0)</f>
        <v>0</v>
      </c>
      <c r="L2254" s="18">
        <f>IF((OR(tbal[[#This Row],[X]]=3,tbal[[#This Row],[X]]=4)),tbal[[#This Row],[ACREEDOR]],0)</f>
        <v>0</v>
      </c>
      <c r="M2254" s="16">
        <f>IF((OR(tbal[[#This Row],[X]]=0,tbal[[#This Row],[X]]=6)),tbal[[#This Row],[DEUDOR]],0)</f>
        <v>0</v>
      </c>
      <c r="N2254" s="18">
        <f>IF((OR(tbal[[#This Row],[X]]=0,tbal[[#This Row],[X]]=5)),tbal[[#This Row],[ACREEDOR]],0)</f>
        <v>0</v>
      </c>
    </row>
    <row r="2255" spans="1:14" hidden="1" x14ac:dyDescent="0.3">
      <c r="A2255" s="14">
        <f>+'PLAN DE CUENTAS'!A2255</f>
        <v>0</v>
      </c>
      <c r="B2255" s="13">
        <f>+'PLAN DE CUENTAS'!B2255</f>
        <v>0</v>
      </c>
      <c r="C2255" s="13">
        <f>+'PLAN DE CUENTAS'!C2255</f>
        <v>0</v>
      </c>
      <c r="D2255" t="str">
        <f>IF(tbal[[#This Row],[DEBE]]+tbal[[#This Row],[HABER]]=0,"","X")</f>
        <v/>
      </c>
      <c r="E2255" s="16">
        <f>SUMIF(tdiario[CUENTA],tbal[[#This Row],[CUENTA]],tdiario[DEBE])</f>
        <v>0</v>
      </c>
      <c r="F2255" s="17">
        <f>SUMIF(tdiario[CUENTA],tbal[[#This Row],[CUENTA]],tdiario[HABER])</f>
        <v>0</v>
      </c>
      <c r="G2255" s="16">
        <f>IF(tbal[[#This Row],[DEBE]]-tbal[[#This Row],[HABER]]&gt;0,tbal[[#This Row],[DEBE]]-tbal[[#This Row],[HABER]],0)</f>
        <v>0</v>
      </c>
      <c r="H2255" s="18">
        <f>IF(tbal[[#This Row],[HABER]]-tbal[[#This Row],[DEBE]]&gt;0,tbal[[#This Row],[HABER]]-tbal[[#This Row],[DEBE]],0)</f>
        <v>0</v>
      </c>
      <c r="I2255" s="16">
        <f>IF((OR(tbal[[#This Row],[X]]=1,tbal[[#This Row],[X]]=2)),tbal[[#This Row],[DEUDOR]],0)</f>
        <v>0</v>
      </c>
      <c r="J2255" s="18">
        <f>IF((OR(tbal[[#This Row],[X]]=2,tbal[[#This Row],[X]]=3)),tbal[[#This Row],[ACREEDOR]],0)</f>
        <v>0</v>
      </c>
      <c r="K2255" s="16">
        <f>IF((OR(tbal[[#This Row],[X]]=3,tbal[[#This Row],[X]]=5)),tbal[[#This Row],[DEUDOR]],0)</f>
        <v>0</v>
      </c>
      <c r="L2255" s="18">
        <f>IF((OR(tbal[[#This Row],[X]]=3,tbal[[#This Row],[X]]=4)),tbal[[#This Row],[ACREEDOR]],0)</f>
        <v>0</v>
      </c>
      <c r="M2255" s="16">
        <f>IF((OR(tbal[[#This Row],[X]]=0,tbal[[#This Row],[X]]=6)),tbal[[#This Row],[DEUDOR]],0)</f>
        <v>0</v>
      </c>
      <c r="N2255" s="18">
        <f>IF((OR(tbal[[#This Row],[X]]=0,tbal[[#This Row],[X]]=5)),tbal[[#This Row],[ACREEDOR]],0)</f>
        <v>0</v>
      </c>
    </row>
    <row r="2256" spans="1:14" hidden="1" x14ac:dyDescent="0.3">
      <c r="A2256" s="14">
        <f>+'PLAN DE CUENTAS'!A2256</f>
        <v>0</v>
      </c>
      <c r="B2256" s="13">
        <f>+'PLAN DE CUENTAS'!B2256</f>
        <v>0</v>
      </c>
      <c r="C2256" s="13">
        <f>+'PLAN DE CUENTAS'!C2256</f>
        <v>0</v>
      </c>
      <c r="D2256" t="str">
        <f>IF(tbal[[#This Row],[DEBE]]+tbal[[#This Row],[HABER]]=0,"","X")</f>
        <v/>
      </c>
      <c r="E2256" s="16">
        <f>SUMIF(tdiario[CUENTA],tbal[[#This Row],[CUENTA]],tdiario[DEBE])</f>
        <v>0</v>
      </c>
      <c r="F2256" s="17">
        <f>SUMIF(tdiario[CUENTA],tbal[[#This Row],[CUENTA]],tdiario[HABER])</f>
        <v>0</v>
      </c>
      <c r="G2256" s="16">
        <f>IF(tbal[[#This Row],[DEBE]]-tbal[[#This Row],[HABER]]&gt;0,tbal[[#This Row],[DEBE]]-tbal[[#This Row],[HABER]],0)</f>
        <v>0</v>
      </c>
      <c r="H2256" s="18">
        <f>IF(tbal[[#This Row],[HABER]]-tbal[[#This Row],[DEBE]]&gt;0,tbal[[#This Row],[HABER]]-tbal[[#This Row],[DEBE]],0)</f>
        <v>0</v>
      </c>
      <c r="I2256" s="16">
        <f>IF((OR(tbal[[#This Row],[X]]=1,tbal[[#This Row],[X]]=2)),tbal[[#This Row],[DEUDOR]],0)</f>
        <v>0</v>
      </c>
      <c r="J2256" s="18">
        <f>IF((OR(tbal[[#This Row],[X]]=2,tbal[[#This Row],[X]]=3)),tbal[[#This Row],[ACREEDOR]],0)</f>
        <v>0</v>
      </c>
      <c r="K2256" s="16">
        <f>IF((OR(tbal[[#This Row],[X]]=3,tbal[[#This Row],[X]]=5)),tbal[[#This Row],[DEUDOR]],0)</f>
        <v>0</v>
      </c>
      <c r="L2256" s="18">
        <f>IF((OR(tbal[[#This Row],[X]]=3,tbal[[#This Row],[X]]=4)),tbal[[#This Row],[ACREEDOR]],0)</f>
        <v>0</v>
      </c>
      <c r="M2256" s="16">
        <f>IF((OR(tbal[[#This Row],[X]]=0,tbal[[#This Row],[X]]=6)),tbal[[#This Row],[DEUDOR]],0)</f>
        <v>0</v>
      </c>
      <c r="N2256" s="18">
        <f>IF((OR(tbal[[#This Row],[X]]=0,tbal[[#This Row],[X]]=5)),tbal[[#This Row],[ACREEDOR]],0)</f>
        <v>0</v>
      </c>
    </row>
    <row r="2257" spans="1:14" hidden="1" x14ac:dyDescent="0.3">
      <c r="A2257" s="14">
        <f>+'PLAN DE CUENTAS'!A2257</f>
        <v>0</v>
      </c>
      <c r="B2257" s="13">
        <f>+'PLAN DE CUENTAS'!B2257</f>
        <v>0</v>
      </c>
      <c r="C2257" s="13">
        <f>+'PLAN DE CUENTAS'!C2257</f>
        <v>0</v>
      </c>
      <c r="D2257" t="str">
        <f>IF(tbal[[#This Row],[DEBE]]+tbal[[#This Row],[HABER]]=0,"","X")</f>
        <v/>
      </c>
      <c r="E2257" s="16">
        <f>SUMIF(tdiario[CUENTA],tbal[[#This Row],[CUENTA]],tdiario[DEBE])</f>
        <v>0</v>
      </c>
      <c r="F2257" s="17">
        <f>SUMIF(tdiario[CUENTA],tbal[[#This Row],[CUENTA]],tdiario[HABER])</f>
        <v>0</v>
      </c>
      <c r="G2257" s="16">
        <f>IF(tbal[[#This Row],[DEBE]]-tbal[[#This Row],[HABER]]&gt;0,tbal[[#This Row],[DEBE]]-tbal[[#This Row],[HABER]],0)</f>
        <v>0</v>
      </c>
      <c r="H2257" s="18">
        <f>IF(tbal[[#This Row],[HABER]]-tbal[[#This Row],[DEBE]]&gt;0,tbal[[#This Row],[HABER]]-tbal[[#This Row],[DEBE]],0)</f>
        <v>0</v>
      </c>
      <c r="I2257" s="16">
        <f>IF((OR(tbal[[#This Row],[X]]=1,tbal[[#This Row],[X]]=2)),tbal[[#This Row],[DEUDOR]],0)</f>
        <v>0</v>
      </c>
      <c r="J2257" s="18">
        <f>IF((OR(tbal[[#This Row],[X]]=2,tbal[[#This Row],[X]]=3)),tbal[[#This Row],[ACREEDOR]],0)</f>
        <v>0</v>
      </c>
      <c r="K2257" s="16">
        <f>IF((OR(tbal[[#This Row],[X]]=3,tbal[[#This Row],[X]]=5)),tbal[[#This Row],[DEUDOR]],0)</f>
        <v>0</v>
      </c>
      <c r="L2257" s="18">
        <f>IF((OR(tbal[[#This Row],[X]]=3,tbal[[#This Row],[X]]=4)),tbal[[#This Row],[ACREEDOR]],0)</f>
        <v>0</v>
      </c>
      <c r="M2257" s="16">
        <f>IF((OR(tbal[[#This Row],[X]]=0,tbal[[#This Row],[X]]=6)),tbal[[#This Row],[DEUDOR]],0)</f>
        <v>0</v>
      </c>
      <c r="N2257" s="18">
        <f>IF((OR(tbal[[#This Row],[X]]=0,tbal[[#This Row],[X]]=5)),tbal[[#This Row],[ACREEDOR]],0)</f>
        <v>0</v>
      </c>
    </row>
    <row r="2258" spans="1:14" hidden="1" x14ac:dyDescent="0.3">
      <c r="A2258" s="14">
        <f>+'PLAN DE CUENTAS'!A2258</f>
        <v>0</v>
      </c>
      <c r="B2258" s="13">
        <f>+'PLAN DE CUENTAS'!B2258</f>
        <v>0</v>
      </c>
      <c r="C2258" s="13">
        <f>+'PLAN DE CUENTAS'!C2258</f>
        <v>0</v>
      </c>
      <c r="D2258" t="str">
        <f>IF(tbal[[#This Row],[DEBE]]+tbal[[#This Row],[HABER]]=0,"","X")</f>
        <v/>
      </c>
      <c r="E2258" s="16">
        <f>SUMIF(tdiario[CUENTA],tbal[[#This Row],[CUENTA]],tdiario[DEBE])</f>
        <v>0</v>
      </c>
      <c r="F2258" s="17">
        <f>SUMIF(tdiario[CUENTA],tbal[[#This Row],[CUENTA]],tdiario[HABER])</f>
        <v>0</v>
      </c>
      <c r="G2258" s="16">
        <f>IF(tbal[[#This Row],[DEBE]]-tbal[[#This Row],[HABER]]&gt;0,tbal[[#This Row],[DEBE]]-tbal[[#This Row],[HABER]],0)</f>
        <v>0</v>
      </c>
      <c r="H2258" s="18">
        <f>IF(tbal[[#This Row],[HABER]]-tbal[[#This Row],[DEBE]]&gt;0,tbal[[#This Row],[HABER]]-tbal[[#This Row],[DEBE]],0)</f>
        <v>0</v>
      </c>
      <c r="I2258" s="16">
        <f>IF((OR(tbal[[#This Row],[X]]=1,tbal[[#This Row],[X]]=2)),tbal[[#This Row],[DEUDOR]],0)</f>
        <v>0</v>
      </c>
      <c r="J2258" s="18">
        <f>IF((OR(tbal[[#This Row],[X]]=2,tbal[[#This Row],[X]]=3)),tbal[[#This Row],[ACREEDOR]],0)</f>
        <v>0</v>
      </c>
      <c r="K2258" s="16">
        <f>IF((OR(tbal[[#This Row],[X]]=3,tbal[[#This Row],[X]]=5)),tbal[[#This Row],[DEUDOR]],0)</f>
        <v>0</v>
      </c>
      <c r="L2258" s="18">
        <f>IF((OR(tbal[[#This Row],[X]]=3,tbal[[#This Row],[X]]=4)),tbal[[#This Row],[ACREEDOR]],0)</f>
        <v>0</v>
      </c>
      <c r="M2258" s="16">
        <f>IF((OR(tbal[[#This Row],[X]]=0,tbal[[#This Row],[X]]=6)),tbal[[#This Row],[DEUDOR]],0)</f>
        <v>0</v>
      </c>
      <c r="N2258" s="18">
        <f>IF((OR(tbal[[#This Row],[X]]=0,tbal[[#This Row],[X]]=5)),tbal[[#This Row],[ACREEDOR]],0)</f>
        <v>0</v>
      </c>
    </row>
    <row r="2259" spans="1:14" hidden="1" x14ac:dyDescent="0.3">
      <c r="A2259" s="14">
        <f>+'PLAN DE CUENTAS'!A2259</f>
        <v>0</v>
      </c>
      <c r="B2259" s="13">
        <f>+'PLAN DE CUENTAS'!B2259</f>
        <v>0</v>
      </c>
      <c r="C2259" s="13">
        <f>+'PLAN DE CUENTAS'!C2259</f>
        <v>0</v>
      </c>
      <c r="D2259" t="str">
        <f>IF(tbal[[#This Row],[DEBE]]+tbal[[#This Row],[HABER]]=0,"","X")</f>
        <v/>
      </c>
      <c r="E2259" s="16">
        <f>SUMIF(tdiario[CUENTA],tbal[[#This Row],[CUENTA]],tdiario[DEBE])</f>
        <v>0</v>
      </c>
      <c r="F2259" s="17">
        <f>SUMIF(tdiario[CUENTA],tbal[[#This Row],[CUENTA]],tdiario[HABER])</f>
        <v>0</v>
      </c>
      <c r="G2259" s="16">
        <f>IF(tbal[[#This Row],[DEBE]]-tbal[[#This Row],[HABER]]&gt;0,tbal[[#This Row],[DEBE]]-tbal[[#This Row],[HABER]],0)</f>
        <v>0</v>
      </c>
      <c r="H2259" s="18">
        <f>IF(tbal[[#This Row],[HABER]]-tbal[[#This Row],[DEBE]]&gt;0,tbal[[#This Row],[HABER]]-tbal[[#This Row],[DEBE]],0)</f>
        <v>0</v>
      </c>
      <c r="I2259" s="16">
        <f>IF((OR(tbal[[#This Row],[X]]=1,tbal[[#This Row],[X]]=2)),tbal[[#This Row],[DEUDOR]],0)</f>
        <v>0</v>
      </c>
      <c r="J2259" s="18">
        <f>IF((OR(tbal[[#This Row],[X]]=2,tbal[[#This Row],[X]]=3)),tbal[[#This Row],[ACREEDOR]],0)</f>
        <v>0</v>
      </c>
      <c r="K2259" s="16">
        <f>IF((OR(tbal[[#This Row],[X]]=3,tbal[[#This Row],[X]]=5)),tbal[[#This Row],[DEUDOR]],0)</f>
        <v>0</v>
      </c>
      <c r="L2259" s="18">
        <f>IF((OR(tbal[[#This Row],[X]]=3,tbal[[#This Row],[X]]=4)),tbal[[#This Row],[ACREEDOR]],0)</f>
        <v>0</v>
      </c>
      <c r="M2259" s="16">
        <f>IF((OR(tbal[[#This Row],[X]]=0,tbal[[#This Row],[X]]=6)),tbal[[#This Row],[DEUDOR]],0)</f>
        <v>0</v>
      </c>
      <c r="N2259" s="18">
        <f>IF((OR(tbal[[#This Row],[X]]=0,tbal[[#This Row],[X]]=5)),tbal[[#This Row],[ACREEDOR]],0)</f>
        <v>0</v>
      </c>
    </row>
    <row r="2260" spans="1:14" hidden="1" x14ac:dyDescent="0.3">
      <c r="A2260" s="14">
        <f>+'PLAN DE CUENTAS'!A2260</f>
        <v>0</v>
      </c>
      <c r="B2260" s="13">
        <f>+'PLAN DE CUENTAS'!B2260</f>
        <v>0</v>
      </c>
      <c r="C2260" s="13">
        <f>+'PLAN DE CUENTAS'!C2260</f>
        <v>0</v>
      </c>
      <c r="D2260" t="str">
        <f>IF(tbal[[#This Row],[DEBE]]+tbal[[#This Row],[HABER]]=0,"","X")</f>
        <v/>
      </c>
      <c r="E2260" s="16">
        <f>SUMIF(tdiario[CUENTA],tbal[[#This Row],[CUENTA]],tdiario[DEBE])</f>
        <v>0</v>
      </c>
      <c r="F2260" s="17">
        <f>SUMIF(tdiario[CUENTA],tbal[[#This Row],[CUENTA]],tdiario[HABER])</f>
        <v>0</v>
      </c>
      <c r="G2260" s="16">
        <f>IF(tbal[[#This Row],[DEBE]]-tbal[[#This Row],[HABER]]&gt;0,tbal[[#This Row],[DEBE]]-tbal[[#This Row],[HABER]],0)</f>
        <v>0</v>
      </c>
      <c r="H2260" s="18">
        <f>IF(tbal[[#This Row],[HABER]]-tbal[[#This Row],[DEBE]]&gt;0,tbal[[#This Row],[HABER]]-tbal[[#This Row],[DEBE]],0)</f>
        <v>0</v>
      </c>
      <c r="I2260" s="16">
        <f>IF((OR(tbal[[#This Row],[X]]=1,tbal[[#This Row],[X]]=2)),tbal[[#This Row],[DEUDOR]],0)</f>
        <v>0</v>
      </c>
      <c r="J2260" s="18">
        <f>IF((OR(tbal[[#This Row],[X]]=2,tbal[[#This Row],[X]]=3)),tbal[[#This Row],[ACREEDOR]],0)</f>
        <v>0</v>
      </c>
      <c r="K2260" s="16">
        <f>IF((OR(tbal[[#This Row],[X]]=3,tbal[[#This Row],[X]]=5)),tbal[[#This Row],[DEUDOR]],0)</f>
        <v>0</v>
      </c>
      <c r="L2260" s="18">
        <f>IF((OR(tbal[[#This Row],[X]]=3,tbal[[#This Row],[X]]=4)),tbal[[#This Row],[ACREEDOR]],0)</f>
        <v>0</v>
      </c>
      <c r="M2260" s="16">
        <f>IF((OR(tbal[[#This Row],[X]]=0,tbal[[#This Row],[X]]=6)),tbal[[#This Row],[DEUDOR]],0)</f>
        <v>0</v>
      </c>
      <c r="N2260" s="18">
        <f>IF((OR(tbal[[#This Row],[X]]=0,tbal[[#This Row],[X]]=5)),tbal[[#This Row],[ACREEDOR]],0)</f>
        <v>0</v>
      </c>
    </row>
    <row r="2261" spans="1:14" hidden="1" x14ac:dyDescent="0.3">
      <c r="A2261" s="14">
        <f>+'PLAN DE CUENTAS'!A2261</f>
        <v>0</v>
      </c>
      <c r="B2261" s="13">
        <f>+'PLAN DE CUENTAS'!B2261</f>
        <v>0</v>
      </c>
      <c r="C2261" s="13">
        <f>+'PLAN DE CUENTAS'!C2261</f>
        <v>0</v>
      </c>
      <c r="D2261" t="str">
        <f>IF(tbal[[#This Row],[DEBE]]+tbal[[#This Row],[HABER]]=0,"","X")</f>
        <v/>
      </c>
      <c r="E2261" s="16">
        <f>SUMIF(tdiario[CUENTA],tbal[[#This Row],[CUENTA]],tdiario[DEBE])</f>
        <v>0</v>
      </c>
      <c r="F2261" s="17">
        <f>SUMIF(tdiario[CUENTA],tbal[[#This Row],[CUENTA]],tdiario[HABER])</f>
        <v>0</v>
      </c>
      <c r="G2261" s="16">
        <f>IF(tbal[[#This Row],[DEBE]]-tbal[[#This Row],[HABER]]&gt;0,tbal[[#This Row],[DEBE]]-tbal[[#This Row],[HABER]],0)</f>
        <v>0</v>
      </c>
      <c r="H2261" s="18">
        <f>IF(tbal[[#This Row],[HABER]]-tbal[[#This Row],[DEBE]]&gt;0,tbal[[#This Row],[HABER]]-tbal[[#This Row],[DEBE]],0)</f>
        <v>0</v>
      </c>
      <c r="I2261" s="16">
        <f>IF((OR(tbal[[#This Row],[X]]=1,tbal[[#This Row],[X]]=2)),tbal[[#This Row],[DEUDOR]],0)</f>
        <v>0</v>
      </c>
      <c r="J2261" s="18">
        <f>IF((OR(tbal[[#This Row],[X]]=2,tbal[[#This Row],[X]]=3)),tbal[[#This Row],[ACREEDOR]],0)</f>
        <v>0</v>
      </c>
      <c r="K2261" s="16">
        <f>IF((OR(tbal[[#This Row],[X]]=3,tbal[[#This Row],[X]]=5)),tbal[[#This Row],[DEUDOR]],0)</f>
        <v>0</v>
      </c>
      <c r="L2261" s="18">
        <f>IF((OR(tbal[[#This Row],[X]]=3,tbal[[#This Row],[X]]=4)),tbal[[#This Row],[ACREEDOR]],0)</f>
        <v>0</v>
      </c>
      <c r="M2261" s="16">
        <f>IF((OR(tbal[[#This Row],[X]]=0,tbal[[#This Row],[X]]=6)),tbal[[#This Row],[DEUDOR]],0)</f>
        <v>0</v>
      </c>
      <c r="N2261" s="18">
        <f>IF((OR(tbal[[#This Row],[X]]=0,tbal[[#This Row],[X]]=5)),tbal[[#This Row],[ACREEDOR]],0)</f>
        <v>0</v>
      </c>
    </row>
    <row r="2262" spans="1:14" hidden="1" x14ac:dyDescent="0.3">
      <c r="A2262" s="14">
        <f>+'PLAN DE CUENTAS'!A2262</f>
        <v>0</v>
      </c>
      <c r="B2262" s="13">
        <f>+'PLAN DE CUENTAS'!B2262</f>
        <v>0</v>
      </c>
      <c r="C2262" s="13">
        <f>+'PLAN DE CUENTAS'!C2262</f>
        <v>0</v>
      </c>
      <c r="D2262" t="str">
        <f>IF(tbal[[#This Row],[DEBE]]+tbal[[#This Row],[HABER]]=0,"","X")</f>
        <v/>
      </c>
      <c r="E2262" s="16">
        <f>SUMIF(tdiario[CUENTA],tbal[[#This Row],[CUENTA]],tdiario[DEBE])</f>
        <v>0</v>
      </c>
      <c r="F2262" s="17">
        <f>SUMIF(tdiario[CUENTA],tbal[[#This Row],[CUENTA]],tdiario[HABER])</f>
        <v>0</v>
      </c>
      <c r="G2262" s="16">
        <f>IF(tbal[[#This Row],[DEBE]]-tbal[[#This Row],[HABER]]&gt;0,tbal[[#This Row],[DEBE]]-tbal[[#This Row],[HABER]],0)</f>
        <v>0</v>
      </c>
      <c r="H2262" s="18">
        <f>IF(tbal[[#This Row],[HABER]]-tbal[[#This Row],[DEBE]]&gt;0,tbal[[#This Row],[HABER]]-tbal[[#This Row],[DEBE]],0)</f>
        <v>0</v>
      </c>
      <c r="I2262" s="16">
        <f>IF((OR(tbal[[#This Row],[X]]=1,tbal[[#This Row],[X]]=2)),tbal[[#This Row],[DEUDOR]],0)</f>
        <v>0</v>
      </c>
      <c r="J2262" s="18">
        <f>IF((OR(tbal[[#This Row],[X]]=2,tbal[[#This Row],[X]]=3)),tbal[[#This Row],[ACREEDOR]],0)</f>
        <v>0</v>
      </c>
      <c r="K2262" s="16">
        <f>IF((OR(tbal[[#This Row],[X]]=3,tbal[[#This Row],[X]]=5)),tbal[[#This Row],[DEUDOR]],0)</f>
        <v>0</v>
      </c>
      <c r="L2262" s="18">
        <f>IF((OR(tbal[[#This Row],[X]]=3,tbal[[#This Row],[X]]=4)),tbal[[#This Row],[ACREEDOR]],0)</f>
        <v>0</v>
      </c>
      <c r="M2262" s="16">
        <f>IF((OR(tbal[[#This Row],[X]]=0,tbal[[#This Row],[X]]=6)),tbal[[#This Row],[DEUDOR]],0)</f>
        <v>0</v>
      </c>
      <c r="N2262" s="18">
        <f>IF((OR(tbal[[#This Row],[X]]=0,tbal[[#This Row],[X]]=5)),tbal[[#This Row],[ACREEDOR]],0)</f>
        <v>0</v>
      </c>
    </row>
    <row r="2263" spans="1:14" hidden="1" x14ac:dyDescent="0.3">
      <c r="A2263" s="14">
        <f>+'PLAN DE CUENTAS'!A2263</f>
        <v>0</v>
      </c>
      <c r="B2263" s="13">
        <f>+'PLAN DE CUENTAS'!B2263</f>
        <v>0</v>
      </c>
      <c r="C2263" s="13">
        <f>+'PLAN DE CUENTAS'!C2263</f>
        <v>0</v>
      </c>
      <c r="D2263" t="str">
        <f>IF(tbal[[#This Row],[DEBE]]+tbal[[#This Row],[HABER]]=0,"","X")</f>
        <v/>
      </c>
      <c r="E2263" s="16">
        <f>SUMIF(tdiario[CUENTA],tbal[[#This Row],[CUENTA]],tdiario[DEBE])</f>
        <v>0</v>
      </c>
      <c r="F2263" s="17">
        <f>SUMIF(tdiario[CUENTA],tbal[[#This Row],[CUENTA]],tdiario[HABER])</f>
        <v>0</v>
      </c>
      <c r="G2263" s="16">
        <f>IF(tbal[[#This Row],[DEBE]]-tbal[[#This Row],[HABER]]&gt;0,tbal[[#This Row],[DEBE]]-tbal[[#This Row],[HABER]],0)</f>
        <v>0</v>
      </c>
      <c r="H2263" s="18">
        <f>IF(tbal[[#This Row],[HABER]]-tbal[[#This Row],[DEBE]]&gt;0,tbal[[#This Row],[HABER]]-tbal[[#This Row],[DEBE]],0)</f>
        <v>0</v>
      </c>
      <c r="I2263" s="16">
        <f>IF((OR(tbal[[#This Row],[X]]=1,tbal[[#This Row],[X]]=2)),tbal[[#This Row],[DEUDOR]],0)</f>
        <v>0</v>
      </c>
      <c r="J2263" s="18">
        <f>IF((OR(tbal[[#This Row],[X]]=2,tbal[[#This Row],[X]]=3)),tbal[[#This Row],[ACREEDOR]],0)</f>
        <v>0</v>
      </c>
      <c r="K2263" s="16">
        <f>IF((OR(tbal[[#This Row],[X]]=3,tbal[[#This Row],[X]]=5)),tbal[[#This Row],[DEUDOR]],0)</f>
        <v>0</v>
      </c>
      <c r="L2263" s="18">
        <f>IF((OR(tbal[[#This Row],[X]]=3,tbal[[#This Row],[X]]=4)),tbal[[#This Row],[ACREEDOR]],0)</f>
        <v>0</v>
      </c>
      <c r="M2263" s="16">
        <f>IF((OR(tbal[[#This Row],[X]]=0,tbal[[#This Row],[X]]=6)),tbal[[#This Row],[DEUDOR]],0)</f>
        <v>0</v>
      </c>
      <c r="N2263" s="18">
        <f>IF((OR(tbal[[#This Row],[X]]=0,tbal[[#This Row],[X]]=5)),tbal[[#This Row],[ACREEDOR]],0)</f>
        <v>0</v>
      </c>
    </row>
    <row r="2264" spans="1:14" hidden="1" x14ac:dyDescent="0.3">
      <c r="A2264" s="14">
        <f>+'PLAN DE CUENTAS'!A2264</f>
        <v>0</v>
      </c>
      <c r="B2264" s="13">
        <f>+'PLAN DE CUENTAS'!B2264</f>
        <v>0</v>
      </c>
      <c r="C2264" s="13">
        <f>+'PLAN DE CUENTAS'!C2264</f>
        <v>0</v>
      </c>
      <c r="D2264" t="str">
        <f>IF(tbal[[#This Row],[DEBE]]+tbal[[#This Row],[HABER]]=0,"","X")</f>
        <v/>
      </c>
      <c r="E2264" s="16">
        <f>SUMIF(tdiario[CUENTA],tbal[[#This Row],[CUENTA]],tdiario[DEBE])</f>
        <v>0</v>
      </c>
      <c r="F2264" s="17">
        <f>SUMIF(tdiario[CUENTA],tbal[[#This Row],[CUENTA]],tdiario[HABER])</f>
        <v>0</v>
      </c>
      <c r="G2264" s="16">
        <f>IF(tbal[[#This Row],[DEBE]]-tbal[[#This Row],[HABER]]&gt;0,tbal[[#This Row],[DEBE]]-tbal[[#This Row],[HABER]],0)</f>
        <v>0</v>
      </c>
      <c r="H2264" s="18">
        <f>IF(tbal[[#This Row],[HABER]]-tbal[[#This Row],[DEBE]]&gt;0,tbal[[#This Row],[HABER]]-tbal[[#This Row],[DEBE]],0)</f>
        <v>0</v>
      </c>
      <c r="I2264" s="16">
        <f>IF((OR(tbal[[#This Row],[X]]=1,tbal[[#This Row],[X]]=2)),tbal[[#This Row],[DEUDOR]],0)</f>
        <v>0</v>
      </c>
      <c r="J2264" s="18">
        <f>IF((OR(tbal[[#This Row],[X]]=2,tbal[[#This Row],[X]]=3)),tbal[[#This Row],[ACREEDOR]],0)</f>
        <v>0</v>
      </c>
      <c r="K2264" s="16">
        <f>IF((OR(tbal[[#This Row],[X]]=3,tbal[[#This Row],[X]]=5)),tbal[[#This Row],[DEUDOR]],0)</f>
        <v>0</v>
      </c>
      <c r="L2264" s="18">
        <f>IF((OR(tbal[[#This Row],[X]]=3,tbal[[#This Row],[X]]=4)),tbal[[#This Row],[ACREEDOR]],0)</f>
        <v>0</v>
      </c>
      <c r="M2264" s="16">
        <f>IF((OR(tbal[[#This Row],[X]]=0,tbal[[#This Row],[X]]=6)),tbal[[#This Row],[DEUDOR]],0)</f>
        <v>0</v>
      </c>
      <c r="N2264" s="18">
        <f>IF((OR(tbal[[#This Row],[X]]=0,tbal[[#This Row],[X]]=5)),tbal[[#This Row],[ACREEDOR]],0)</f>
        <v>0</v>
      </c>
    </row>
    <row r="2265" spans="1:14" hidden="1" x14ac:dyDescent="0.3">
      <c r="A2265" s="14">
        <f>+'PLAN DE CUENTAS'!A2265</f>
        <v>0</v>
      </c>
      <c r="B2265" s="13">
        <f>+'PLAN DE CUENTAS'!B2265</f>
        <v>0</v>
      </c>
      <c r="C2265" s="13">
        <f>+'PLAN DE CUENTAS'!C2265</f>
        <v>0</v>
      </c>
      <c r="D2265" t="str">
        <f>IF(tbal[[#This Row],[DEBE]]+tbal[[#This Row],[HABER]]=0,"","X")</f>
        <v/>
      </c>
      <c r="E2265" s="16">
        <f>SUMIF(tdiario[CUENTA],tbal[[#This Row],[CUENTA]],tdiario[DEBE])</f>
        <v>0</v>
      </c>
      <c r="F2265" s="17">
        <f>SUMIF(tdiario[CUENTA],tbal[[#This Row],[CUENTA]],tdiario[HABER])</f>
        <v>0</v>
      </c>
      <c r="G2265" s="16">
        <f>IF(tbal[[#This Row],[DEBE]]-tbal[[#This Row],[HABER]]&gt;0,tbal[[#This Row],[DEBE]]-tbal[[#This Row],[HABER]],0)</f>
        <v>0</v>
      </c>
      <c r="H2265" s="18">
        <f>IF(tbal[[#This Row],[HABER]]-tbal[[#This Row],[DEBE]]&gt;0,tbal[[#This Row],[HABER]]-tbal[[#This Row],[DEBE]],0)</f>
        <v>0</v>
      </c>
      <c r="I2265" s="16">
        <f>IF((OR(tbal[[#This Row],[X]]=1,tbal[[#This Row],[X]]=2)),tbal[[#This Row],[DEUDOR]],0)</f>
        <v>0</v>
      </c>
      <c r="J2265" s="18">
        <f>IF((OR(tbal[[#This Row],[X]]=2,tbal[[#This Row],[X]]=3)),tbal[[#This Row],[ACREEDOR]],0)</f>
        <v>0</v>
      </c>
      <c r="K2265" s="16">
        <f>IF((OR(tbal[[#This Row],[X]]=3,tbal[[#This Row],[X]]=5)),tbal[[#This Row],[DEUDOR]],0)</f>
        <v>0</v>
      </c>
      <c r="L2265" s="18">
        <f>IF((OR(tbal[[#This Row],[X]]=3,tbal[[#This Row],[X]]=4)),tbal[[#This Row],[ACREEDOR]],0)</f>
        <v>0</v>
      </c>
      <c r="M2265" s="16">
        <f>IF((OR(tbal[[#This Row],[X]]=0,tbal[[#This Row],[X]]=6)),tbal[[#This Row],[DEUDOR]],0)</f>
        <v>0</v>
      </c>
      <c r="N2265" s="18">
        <f>IF((OR(tbal[[#This Row],[X]]=0,tbal[[#This Row],[X]]=5)),tbal[[#This Row],[ACREEDOR]],0)</f>
        <v>0</v>
      </c>
    </row>
    <row r="2266" spans="1:14" hidden="1" x14ac:dyDescent="0.3">
      <c r="A2266" s="14">
        <f>+'PLAN DE CUENTAS'!A2266</f>
        <v>0</v>
      </c>
      <c r="B2266" s="13">
        <f>+'PLAN DE CUENTAS'!B2266</f>
        <v>0</v>
      </c>
      <c r="C2266" s="13">
        <f>+'PLAN DE CUENTAS'!C2266</f>
        <v>0</v>
      </c>
      <c r="D2266" t="str">
        <f>IF(tbal[[#This Row],[DEBE]]+tbal[[#This Row],[HABER]]=0,"","X")</f>
        <v/>
      </c>
      <c r="E2266" s="16">
        <f>SUMIF(tdiario[CUENTA],tbal[[#This Row],[CUENTA]],tdiario[DEBE])</f>
        <v>0</v>
      </c>
      <c r="F2266" s="17">
        <f>SUMIF(tdiario[CUENTA],tbal[[#This Row],[CUENTA]],tdiario[HABER])</f>
        <v>0</v>
      </c>
      <c r="G2266" s="16">
        <f>IF(tbal[[#This Row],[DEBE]]-tbal[[#This Row],[HABER]]&gt;0,tbal[[#This Row],[DEBE]]-tbal[[#This Row],[HABER]],0)</f>
        <v>0</v>
      </c>
      <c r="H2266" s="18">
        <f>IF(tbal[[#This Row],[HABER]]-tbal[[#This Row],[DEBE]]&gt;0,tbal[[#This Row],[HABER]]-tbal[[#This Row],[DEBE]],0)</f>
        <v>0</v>
      </c>
      <c r="I2266" s="16">
        <f>IF((OR(tbal[[#This Row],[X]]=1,tbal[[#This Row],[X]]=2)),tbal[[#This Row],[DEUDOR]],0)</f>
        <v>0</v>
      </c>
      <c r="J2266" s="18">
        <f>IF((OR(tbal[[#This Row],[X]]=2,tbal[[#This Row],[X]]=3)),tbal[[#This Row],[ACREEDOR]],0)</f>
        <v>0</v>
      </c>
      <c r="K2266" s="16">
        <f>IF((OR(tbal[[#This Row],[X]]=3,tbal[[#This Row],[X]]=5)),tbal[[#This Row],[DEUDOR]],0)</f>
        <v>0</v>
      </c>
      <c r="L2266" s="18">
        <f>IF((OR(tbal[[#This Row],[X]]=3,tbal[[#This Row],[X]]=4)),tbal[[#This Row],[ACREEDOR]],0)</f>
        <v>0</v>
      </c>
      <c r="M2266" s="16">
        <f>IF((OR(tbal[[#This Row],[X]]=0,tbal[[#This Row],[X]]=6)),tbal[[#This Row],[DEUDOR]],0)</f>
        <v>0</v>
      </c>
      <c r="N2266" s="18">
        <f>IF((OR(tbal[[#This Row],[X]]=0,tbal[[#This Row],[X]]=5)),tbal[[#This Row],[ACREEDOR]],0)</f>
        <v>0</v>
      </c>
    </row>
    <row r="2267" spans="1:14" hidden="1" x14ac:dyDescent="0.3">
      <c r="A2267" s="14">
        <f>+'PLAN DE CUENTAS'!A2267</f>
        <v>0</v>
      </c>
      <c r="B2267" s="13">
        <f>+'PLAN DE CUENTAS'!B2267</f>
        <v>0</v>
      </c>
      <c r="C2267" s="13">
        <f>+'PLAN DE CUENTAS'!C2267</f>
        <v>0</v>
      </c>
      <c r="D2267" t="str">
        <f>IF(tbal[[#This Row],[DEBE]]+tbal[[#This Row],[HABER]]=0,"","X")</f>
        <v/>
      </c>
      <c r="E2267" s="16">
        <f>SUMIF(tdiario[CUENTA],tbal[[#This Row],[CUENTA]],tdiario[DEBE])</f>
        <v>0</v>
      </c>
      <c r="F2267" s="17">
        <f>SUMIF(tdiario[CUENTA],tbal[[#This Row],[CUENTA]],tdiario[HABER])</f>
        <v>0</v>
      </c>
      <c r="G2267" s="16">
        <f>IF(tbal[[#This Row],[DEBE]]-tbal[[#This Row],[HABER]]&gt;0,tbal[[#This Row],[DEBE]]-tbal[[#This Row],[HABER]],0)</f>
        <v>0</v>
      </c>
      <c r="H2267" s="18">
        <f>IF(tbal[[#This Row],[HABER]]-tbal[[#This Row],[DEBE]]&gt;0,tbal[[#This Row],[HABER]]-tbal[[#This Row],[DEBE]],0)</f>
        <v>0</v>
      </c>
      <c r="I2267" s="16">
        <f>IF((OR(tbal[[#This Row],[X]]=1,tbal[[#This Row],[X]]=2)),tbal[[#This Row],[DEUDOR]],0)</f>
        <v>0</v>
      </c>
      <c r="J2267" s="18">
        <f>IF((OR(tbal[[#This Row],[X]]=2,tbal[[#This Row],[X]]=3)),tbal[[#This Row],[ACREEDOR]],0)</f>
        <v>0</v>
      </c>
      <c r="K2267" s="16">
        <f>IF((OR(tbal[[#This Row],[X]]=3,tbal[[#This Row],[X]]=5)),tbal[[#This Row],[DEUDOR]],0)</f>
        <v>0</v>
      </c>
      <c r="L2267" s="18">
        <f>IF((OR(tbal[[#This Row],[X]]=3,tbal[[#This Row],[X]]=4)),tbal[[#This Row],[ACREEDOR]],0)</f>
        <v>0</v>
      </c>
      <c r="M2267" s="16">
        <f>IF((OR(tbal[[#This Row],[X]]=0,tbal[[#This Row],[X]]=6)),tbal[[#This Row],[DEUDOR]],0)</f>
        <v>0</v>
      </c>
      <c r="N2267" s="18">
        <f>IF((OR(tbal[[#This Row],[X]]=0,tbal[[#This Row],[X]]=5)),tbal[[#This Row],[ACREEDOR]],0)</f>
        <v>0</v>
      </c>
    </row>
    <row r="2268" spans="1:14" hidden="1" x14ac:dyDescent="0.3">
      <c r="A2268" s="14">
        <f>+'PLAN DE CUENTAS'!A2268</f>
        <v>0</v>
      </c>
      <c r="B2268" s="13">
        <f>+'PLAN DE CUENTAS'!B2268</f>
        <v>0</v>
      </c>
      <c r="C2268" s="13">
        <f>+'PLAN DE CUENTAS'!C2268</f>
        <v>0</v>
      </c>
      <c r="D2268" t="str">
        <f>IF(tbal[[#This Row],[DEBE]]+tbal[[#This Row],[HABER]]=0,"","X")</f>
        <v/>
      </c>
      <c r="E2268" s="16">
        <f>SUMIF(tdiario[CUENTA],tbal[[#This Row],[CUENTA]],tdiario[DEBE])</f>
        <v>0</v>
      </c>
      <c r="F2268" s="17">
        <f>SUMIF(tdiario[CUENTA],tbal[[#This Row],[CUENTA]],tdiario[HABER])</f>
        <v>0</v>
      </c>
      <c r="G2268" s="16">
        <f>IF(tbal[[#This Row],[DEBE]]-tbal[[#This Row],[HABER]]&gt;0,tbal[[#This Row],[DEBE]]-tbal[[#This Row],[HABER]],0)</f>
        <v>0</v>
      </c>
      <c r="H2268" s="18">
        <f>IF(tbal[[#This Row],[HABER]]-tbal[[#This Row],[DEBE]]&gt;0,tbal[[#This Row],[HABER]]-tbal[[#This Row],[DEBE]],0)</f>
        <v>0</v>
      </c>
      <c r="I2268" s="16">
        <f>IF((OR(tbal[[#This Row],[X]]=1,tbal[[#This Row],[X]]=2)),tbal[[#This Row],[DEUDOR]],0)</f>
        <v>0</v>
      </c>
      <c r="J2268" s="18">
        <f>IF((OR(tbal[[#This Row],[X]]=2,tbal[[#This Row],[X]]=3)),tbal[[#This Row],[ACREEDOR]],0)</f>
        <v>0</v>
      </c>
      <c r="K2268" s="16">
        <f>IF((OR(tbal[[#This Row],[X]]=3,tbal[[#This Row],[X]]=5)),tbal[[#This Row],[DEUDOR]],0)</f>
        <v>0</v>
      </c>
      <c r="L2268" s="18">
        <f>IF((OR(tbal[[#This Row],[X]]=3,tbal[[#This Row],[X]]=4)),tbal[[#This Row],[ACREEDOR]],0)</f>
        <v>0</v>
      </c>
      <c r="M2268" s="16">
        <f>IF((OR(tbal[[#This Row],[X]]=0,tbal[[#This Row],[X]]=6)),tbal[[#This Row],[DEUDOR]],0)</f>
        <v>0</v>
      </c>
      <c r="N2268" s="18">
        <f>IF((OR(tbal[[#This Row],[X]]=0,tbal[[#This Row],[X]]=5)),tbal[[#This Row],[ACREEDOR]],0)</f>
        <v>0</v>
      </c>
    </row>
    <row r="2269" spans="1:14" hidden="1" x14ac:dyDescent="0.3">
      <c r="A2269" s="14">
        <f>+'PLAN DE CUENTAS'!A2269</f>
        <v>0</v>
      </c>
      <c r="B2269" s="13">
        <f>+'PLAN DE CUENTAS'!B2269</f>
        <v>0</v>
      </c>
      <c r="C2269" s="13">
        <f>+'PLAN DE CUENTAS'!C2269</f>
        <v>0</v>
      </c>
      <c r="D2269" t="str">
        <f>IF(tbal[[#This Row],[DEBE]]+tbal[[#This Row],[HABER]]=0,"","X")</f>
        <v/>
      </c>
      <c r="E2269" s="16">
        <f>SUMIF(tdiario[CUENTA],tbal[[#This Row],[CUENTA]],tdiario[DEBE])</f>
        <v>0</v>
      </c>
      <c r="F2269" s="17">
        <f>SUMIF(tdiario[CUENTA],tbal[[#This Row],[CUENTA]],tdiario[HABER])</f>
        <v>0</v>
      </c>
      <c r="G2269" s="16">
        <f>IF(tbal[[#This Row],[DEBE]]-tbal[[#This Row],[HABER]]&gt;0,tbal[[#This Row],[DEBE]]-tbal[[#This Row],[HABER]],0)</f>
        <v>0</v>
      </c>
      <c r="H2269" s="18">
        <f>IF(tbal[[#This Row],[HABER]]-tbal[[#This Row],[DEBE]]&gt;0,tbal[[#This Row],[HABER]]-tbal[[#This Row],[DEBE]],0)</f>
        <v>0</v>
      </c>
      <c r="I2269" s="16">
        <f>IF((OR(tbal[[#This Row],[X]]=1,tbal[[#This Row],[X]]=2)),tbal[[#This Row],[DEUDOR]],0)</f>
        <v>0</v>
      </c>
      <c r="J2269" s="18">
        <f>IF((OR(tbal[[#This Row],[X]]=2,tbal[[#This Row],[X]]=3)),tbal[[#This Row],[ACREEDOR]],0)</f>
        <v>0</v>
      </c>
      <c r="K2269" s="16">
        <f>IF((OR(tbal[[#This Row],[X]]=3,tbal[[#This Row],[X]]=5)),tbal[[#This Row],[DEUDOR]],0)</f>
        <v>0</v>
      </c>
      <c r="L2269" s="18">
        <f>IF((OR(tbal[[#This Row],[X]]=3,tbal[[#This Row],[X]]=4)),tbal[[#This Row],[ACREEDOR]],0)</f>
        <v>0</v>
      </c>
      <c r="M2269" s="16">
        <f>IF((OR(tbal[[#This Row],[X]]=0,tbal[[#This Row],[X]]=6)),tbal[[#This Row],[DEUDOR]],0)</f>
        <v>0</v>
      </c>
      <c r="N2269" s="18">
        <f>IF((OR(tbal[[#This Row],[X]]=0,tbal[[#This Row],[X]]=5)),tbal[[#This Row],[ACREEDOR]],0)</f>
        <v>0</v>
      </c>
    </row>
    <row r="2270" spans="1:14" hidden="1" x14ac:dyDescent="0.3">
      <c r="A2270" s="14">
        <f>+'PLAN DE CUENTAS'!A2270</f>
        <v>0</v>
      </c>
      <c r="B2270" s="13">
        <f>+'PLAN DE CUENTAS'!B2270</f>
        <v>0</v>
      </c>
      <c r="C2270" s="13">
        <f>+'PLAN DE CUENTAS'!C2270</f>
        <v>0</v>
      </c>
      <c r="D2270" t="str">
        <f>IF(tbal[[#This Row],[DEBE]]+tbal[[#This Row],[HABER]]=0,"","X")</f>
        <v/>
      </c>
      <c r="E2270" s="16">
        <f>SUMIF(tdiario[CUENTA],tbal[[#This Row],[CUENTA]],tdiario[DEBE])</f>
        <v>0</v>
      </c>
      <c r="F2270" s="17">
        <f>SUMIF(tdiario[CUENTA],tbal[[#This Row],[CUENTA]],tdiario[HABER])</f>
        <v>0</v>
      </c>
      <c r="G2270" s="16">
        <f>IF(tbal[[#This Row],[DEBE]]-tbal[[#This Row],[HABER]]&gt;0,tbal[[#This Row],[DEBE]]-tbal[[#This Row],[HABER]],0)</f>
        <v>0</v>
      </c>
      <c r="H2270" s="18">
        <f>IF(tbal[[#This Row],[HABER]]-tbal[[#This Row],[DEBE]]&gt;0,tbal[[#This Row],[HABER]]-tbal[[#This Row],[DEBE]],0)</f>
        <v>0</v>
      </c>
      <c r="I2270" s="16">
        <f>IF((OR(tbal[[#This Row],[X]]=1,tbal[[#This Row],[X]]=2)),tbal[[#This Row],[DEUDOR]],0)</f>
        <v>0</v>
      </c>
      <c r="J2270" s="18">
        <f>IF((OR(tbal[[#This Row],[X]]=2,tbal[[#This Row],[X]]=3)),tbal[[#This Row],[ACREEDOR]],0)</f>
        <v>0</v>
      </c>
      <c r="K2270" s="16">
        <f>IF((OR(tbal[[#This Row],[X]]=3,tbal[[#This Row],[X]]=5)),tbal[[#This Row],[DEUDOR]],0)</f>
        <v>0</v>
      </c>
      <c r="L2270" s="18">
        <f>IF((OR(tbal[[#This Row],[X]]=3,tbal[[#This Row],[X]]=4)),tbal[[#This Row],[ACREEDOR]],0)</f>
        <v>0</v>
      </c>
      <c r="M2270" s="16">
        <f>IF((OR(tbal[[#This Row],[X]]=0,tbal[[#This Row],[X]]=6)),tbal[[#This Row],[DEUDOR]],0)</f>
        <v>0</v>
      </c>
      <c r="N2270" s="18">
        <f>IF((OR(tbal[[#This Row],[X]]=0,tbal[[#This Row],[X]]=5)),tbal[[#This Row],[ACREEDOR]],0)</f>
        <v>0</v>
      </c>
    </row>
    <row r="2271" spans="1:14" hidden="1" x14ac:dyDescent="0.3">
      <c r="A2271" s="14">
        <f>+'PLAN DE CUENTAS'!A2271</f>
        <v>0</v>
      </c>
      <c r="B2271" s="13">
        <f>+'PLAN DE CUENTAS'!B2271</f>
        <v>0</v>
      </c>
      <c r="C2271" s="13">
        <f>+'PLAN DE CUENTAS'!C2271</f>
        <v>0</v>
      </c>
      <c r="D2271" t="str">
        <f>IF(tbal[[#This Row],[DEBE]]+tbal[[#This Row],[HABER]]=0,"","X")</f>
        <v/>
      </c>
      <c r="E2271" s="16">
        <f>SUMIF(tdiario[CUENTA],tbal[[#This Row],[CUENTA]],tdiario[DEBE])</f>
        <v>0</v>
      </c>
      <c r="F2271" s="17">
        <f>SUMIF(tdiario[CUENTA],tbal[[#This Row],[CUENTA]],tdiario[HABER])</f>
        <v>0</v>
      </c>
      <c r="G2271" s="16">
        <f>IF(tbal[[#This Row],[DEBE]]-tbal[[#This Row],[HABER]]&gt;0,tbal[[#This Row],[DEBE]]-tbal[[#This Row],[HABER]],0)</f>
        <v>0</v>
      </c>
      <c r="H2271" s="18">
        <f>IF(tbal[[#This Row],[HABER]]-tbal[[#This Row],[DEBE]]&gt;0,tbal[[#This Row],[HABER]]-tbal[[#This Row],[DEBE]],0)</f>
        <v>0</v>
      </c>
      <c r="I2271" s="16">
        <f>IF((OR(tbal[[#This Row],[X]]=1,tbal[[#This Row],[X]]=2)),tbal[[#This Row],[DEUDOR]],0)</f>
        <v>0</v>
      </c>
      <c r="J2271" s="18">
        <f>IF((OR(tbal[[#This Row],[X]]=2,tbal[[#This Row],[X]]=3)),tbal[[#This Row],[ACREEDOR]],0)</f>
        <v>0</v>
      </c>
      <c r="K2271" s="16">
        <f>IF((OR(tbal[[#This Row],[X]]=3,tbal[[#This Row],[X]]=5)),tbal[[#This Row],[DEUDOR]],0)</f>
        <v>0</v>
      </c>
      <c r="L2271" s="18">
        <f>IF((OR(tbal[[#This Row],[X]]=3,tbal[[#This Row],[X]]=4)),tbal[[#This Row],[ACREEDOR]],0)</f>
        <v>0</v>
      </c>
      <c r="M2271" s="16">
        <f>IF((OR(tbal[[#This Row],[X]]=0,tbal[[#This Row],[X]]=6)),tbal[[#This Row],[DEUDOR]],0)</f>
        <v>0</v>
      </c>
      <c r="N2271" s="18">
        <f>IF((OR(tbal[[#This Row],[X]]=0,tbal[[#This Row],[X]]=5)),tbal[[#This Row],[ACREEDOR]],0)</f>
        <v>0</v>
      </c>
    </row>
    <row r="2272" spans="1:14" hidden="1" x14ac:dyDescent="0.3">
      <c r="A2272" s="14">
        <f>+'PLAN DE CUENTAS'!A2272</f>
        <v>0</v>
      </c>
      <c r="B2272" s="13">
        <f>+'PLAN DE CUENTAS'!B2272</f>
        <v>0</v>
      </c>
      <c r="C2272" s="13">
        <f>+'PLAN DE CUENTAS'!C2272</f>
        <v>0</v>
      </c>
      <c r="D2272" t="str">
        <f>IF(tbal[[#This Row],[DEBE]]+tbal[[#This Row],[HABER]]=0,"","X")</f>
        <v/>
      </c>
      <c r="E2272" s="16">
        <f>SUMIF(tdiario[CUENTA],tbal[[#This Row],[CUENTA]],tdiario[DEBE])</f>
        <v>0</v>
      </c>
      <c r="F2272" s="17">
        <f>SUMIF(tdiario[CUENTA],tbal[[#This Row],[CUENTA]],tdiario[HABER])</f>
        <v>0</v>
      </c>
      <c r="G2272" s="16">
        <f>IF(tbal[[#This Row],[DEBE]]-tbal[[#This Row],[HABER]]&gt;0,tbal[[#This Row],[DEBE]]-tbal[[#This Row],[HABER]],0)</f>
        <v>0</v>
      </c>
      <c r="H2272" s="18">
        <f>IF(tbal[[#This Row],[HABER]]-tbal[[#This Row],[DEBE]]&gt;0,tbal[[#This Row],[HABER]]-tbal[[#This Row],[DEBE]],0)</f>
        <v>0</v>
      </c>
      <c r="I2272" s="16">
        <f>IF((OR(tbal[[#This Row],[X]]=1,tbal[[#This Row],[X]]=2)),tbal[[#This Row],[DEUDOR]],0)</f>
        <v>0</v>
      </c>
      <c r="J2272" s="18">
        <f>IF((OR(tbal[[#This Row],[X]]=2,tbal[[#This Row],[X]]=3)),tbal[[#This Row],[ACREEDOR]],0)</f>
        <v>0</v>
      </c>
      <c r="K2272" s="16">
        <f>IF((OR(tbal[[#This Row],[X]]=3,tbal[[#This Row],[X]]=5)),tbal[[#This Row],[DEUDOR]],0)</f>
        <v>0</v>
      </c>
      <c r="L2272" s="18">
        <f>IF((OR(tbal[[#This Row],[X]]=3,tbal[[#This Row],[X]]=4)),tbal[[#This Row],[ACREEDOR]],0)</f>
        <v>0</v>
      </c>
      <c r="M2272" s="16">
        <f>IF((OR(tbal[[#This Row],[X]]=0,tbal[[#This Row],[X]]=6)),tbal[[#This Row],[DEUDOR]],0)</f>
        <v>0</v>
      </c>
      <c r="N2272" s="18">
        <f>IF((OR(tbal[[#This Row],[X]]=0,tbal[[#This Row],[X]]=5)),tbal[[#This Row],[ACREEDOR]],0)</f>
        <v>0</v>
      </c>
    </row>
    <row r="2273" spans="1:14" hidden="1" x14ac:dyDescent="0.3">
      <c r="A2273" s="14">
        <f>+'PLAN DE CUENTAS'!A2273</f>
        <v>0</v>
      </c>
      <c r="B2273" s="13">
        <f>+'PLAN DE CUENTAS'!B2273</f>
        <v>0</v>
      </c>
      <c r="C2273" s="13">
        <f>+'PLAN DE CUENTAS'!C2273</f>
        <v>0</v>
      </c>
      <c r="D2273" t="str">
        <f>IF(tbal[[#This Row],[DEBE]]+tbal[[#This Row],[HABER]]=0,"","X")</f>
        <v/>
      </c>
      <c r="E2273" s="16">
        <f>SUMIF(tdiario[CUENTA],tbal[[#This Row],[CUENTA]],tdiario[DEBE])</f>
        <v>0</v>
      </c>
      <c r="F2273" s="17">
        <f>SUMIF(tdiario[CUENTA],tbal[[#This Row],[CUENTA]],tdiario[HABER])</f>
        <v>0</v>
      </c>
      <c r="G2273" s="16">
        <f>IF(tbal[[#This Row],[DEBE]]-tbal[[#This Row],[HABER]]&gt;0,tbal[[#This Row],[DEBE]]-tbal[[#This Row],[HABER]],0)</f>
        <v>0</v>
      </c>
      <c r="H2273" s="18">
        <f>IF(tbal[[#This Row],[HABER]]-tbal[[#This Row],[DEBE]]&gt;0,tbal[[#This Row],[HABER]]-tbal[[#This Row],[DEBE]],0)</f>
        <v>0</v>
      </c>
      <c r="I2273" s="16">
        <f>IF((OR(tbal[[#This Row],[X]]=1,tbal[[#This Row],[X]]=2)),tbal[[#This Row],[DEUDOR]],0)</f>
        <v>0</v>
      </c>
      <c r="J2273" s="18">
        <f>IF((OR(tbal[[#This Row],[X]]=2,tbal[[#This Row],[X]]=3)),tbal[[#This Row],[ACREEDOR]],0)</f>
        <v>0</v>
      </c>
      <c r="K2273" s="16">
        <f>IF((OR(tbal[[#This Row],[X]]=3,tbal[[#This Row],[X]]=5)),tbal[[#This Row],[DEUDOR]],0)</f>
        <v>0</v>
      </c>
      <c r="L2273" s="18">
        <f>IF((OR(tbal[[#This Row],[X]]=3,tbal[[#This Row],[X]]=4)),tbal[[#This Row],[ACREEDOR]],0)</f>
        <v>0</v>
      </c>
      <c r="M2273" s="16">
        <f>IF((OR(tbal[[#This Row],[X]]=0,tbal[[#This Row],[X]]=6)),tbal[[#This Row],[DEUDOR]],0)</f>
        <v>0</v>
      </c>
      <c r="N2273" s="18">
        <f>IF((OR(tbal[[#This Row],[X]]=0,tbal[[#This Row],[X]]=5)),tbal[[#This Row],[ACREEDOR]],0)</f>
        <v>0</v>
      </c>
    </row>
    <row r="2274" spans="1:14" hidden="1" x14ac:dyDescent="0.3">
      <c r="A2274" s="14">
        <f>+'PLAN DE CUENTAS'!A2274</f>
        <v>0</v>
      </c>
      <c r="B2274" s="13">
        <f>+'PLAN DE CUENTAS'!B2274</f>
        <v>0</v>
      </c>
      <c r="C2274" s="13">
        <f>+'PLAN DE CUENTAS'!C2274</f>
        <v>0</v>
      </c>
      <c r="D2274" t="str">
        <f>IF(tbal[[#This Row],[DEBE]]+tbal[[#This Row],[HABER]]=0,"","X")</f>
        <v/>
      </c>
      <c r="E2274" s="16">
        <f>SUMIF(tdiario[CUENTA],tbal[[#This Row],[CUENTA]],tdiario[DEBE])</f>
        <v>0</v>
      </c>
      <c r="F2274" s="17">
        <f>SUMIF(tdiario[CUENTA],tbal[[#This Row],[CUENTA]],tdiario[HABER])</f>
        <v>0</v>
      </c>
      <c r="G2274" s="16">
        <f>IF(tbal[[#This Row],[DEBE]]-tbal[[#This Row],[HABER]]&gt;0,tbal[[#This Row],[DEBE]]-tbal[[#This Row],[HABER]],0)</f>
        <v>0</v>
      </c>
      <c r="H2274" s="18">
        <f>IF(tbal[[#This Row],[HABER]]-tbal[[#This Row],[DEBE]]&gt;0,tbal[[#This Row],[HABER]]-tbal[[#This Row],[DEBE]],0)</f>
        <v>0</v>
      </c>
      <c r="I2274" s="16">
        <f>IF((OR(tbal[[#This Row],[X]]=1,tbal[[#This Row],[X]]=2)),tbal[[#This Row],[DEUDOR]],0)</f>
        <v>0</v>
      </c>
      <c r="J2274" s="18">
        <f>IF((OR(tbal[[#This Row],[X]]=2,tbal[[#This Row],[X]]=3)),tbal[[#This Row],[ACREEDOR]],0)</f>
        <v>0</v>
      </c>
      <c r="K2274" s="16">
        <f>IF((OR(tbal[[#This Row],[X]]=3,tbal[[#This Row],[X]]=5)),tbal[[#This Row],[DEUDOR]],0)</f>
        <v>0</v>
      </c>
      <c r="L2274" s="18">
        <f>IF((OR(tbal[[#This Row],[X]]=3,tbal[[#This Row],[X]]=4)),tbal[[#This Row],[ACREEDOR]],0)</f>
        <v>0</v>
      </c>
      <c r="M2274" s="16">
        <f>IF((OR(tbal[[#This Row],[X]]=0,tbal[[#This Row],[X]]=6)),tbal[[#This Row],[DEUDOR]],0)</f>
        <v>0</v>
      </c>
      <c r="N2274" s="18">
        <f>IF((OR(tbal[[#This Row],[X]]=0,tbal[[#This Row],[X]]=5)),tbal[[#This Row],[ACREEDOR]],0)</f>
        <v>0</v>
      </c>
    </row>
    <row r="2275" spans="1:14" hidden="1" x14ac:dyDescent="0.3">
      <c r="A2275" s="14">
        <f>+'PLAN DE CUENTAS'!A2275</f>
        <v>0</v>
      </c>
      <c r="B2275" s="13">
        <f>+'PLAN DE CUENTAS'!B2275</f>
        <v>0</v>
      </c>
      <c r="C2275" s="13">
        <f>+'PLAN DE CUENTAS'!C2275</f>
        <v>0</v>
      </c>
      <c r="D2275" t="str">
        <f>IF(tbal[[#This Row],[DEBE]]+tbal[[#This Row],[HABER]]=0,"","X")</f>
        <v/>
      </c>
      <c r="E2275" s="16">
        <f>SUMIF(tdiario[CUENTA],tbal[[#This Row],[CUENTA]],tdiario[DEBE])</f>
        <v>0</v>
      </c>
      <c r="F2275" s="17">
        <f>SUMIF(tdiario[CUENTA],tbal[[#This Row],[CUENTA]],tdiario[HABER])</f>
        <v>0</v>
      </c>
      <c r="G2275" s="16">
        <f>IF(tbal[[#This Row],[DEBE]]-tbal[[#This Row],[HABER]]&gt;0,tbal[[#This Row],[DEBE]]-tbal[[#This Row],[HABER]],0)</f>
        <v>0</v>
      </c>
      <c r="H2275" s="18">
        <f>IF(tbal[[#This Row],[HABER]]-tbal[[#This Row],[DEBE]]&gt;0,tbal[[#This Row],[HABER]]-tbal[[#This Row],[DEBE]],0)</f>
        <v>0</v>
      </c>
      <c r="I2275" s="16">
        <f>IF((OR(tbal[[#This Row],[X]]=1,tbal[[#This Row],[X]]=2)),tbal[[#This Row],[DEUDOR]],0)</f>
        <v>0</v>
      </c>
      <c r="J2275" s="18">
        <f>IF((OR(tbal[[#This Row],[X]]=2,tbal[[#This Row],[X]]=3)),tbal[[#This Row],[ACREEDOR]],0)</f>
        <v>0</v>
      </c>
      <c r="K2275" s="16">
        <f>IF((OR(tbal[[#This Row],[X]]=3,tbal[[#This Row],[X]]=5)),tbal[[#This Row],[DEUDOR]],0)</f>
        <v>0</v>
      </c>
      <c r="L2275" s="18">
        <f>IF((OR(tbal[[#This Row],[X]]=3,tbal[[#This Row],[X]]=4)),tbal[[#This Row],[ACREEDOR]],0)</f>
        <v>0</v>
      </c>
      <c r="M2275" s="16">
        <f>IF((OR(tbal[[#This Row],[X]]=0,tbal[[#This Row],[X]]=6)),tbal[[#This Row],[DEUDOR]],0)</f>
        <v>0</v>
      </c>
      <c r="N2275" s="18">
        <f>IF((OR(tbal[[#This Row],[X]]=0,tbal[[#This Row],[X]]=5)),tbal[[#This Row],[ACREEDOR]],0)</f>
        <v>0</v>
      </c>
    </row>
    <row r="2276" spans="1:14" hidden="1" x14ac:dyDescent="0.3">
      <c r="A2276" s="14">
        <f>+'PLAN DE CUENTAS'!A2276</f>
        <v>0</v>
      </c>
      <c r="B2276" s="13">
        <f>+'PLAN DE CUENTAS'!B2276</f>
        <v>0</v>
      </c>
      <c r="C2276" s="13">
        <f>+'PLAN DE CUENTAS'!C2276</f>
        <v>0</v>
      </c>
      <c r="D2276" t="str">
        <f>IF(tbal[[#This Row],[DEBE]]+tbal[[#This Row],[HABER]]=0,"","X")</f>
        <v/>
      </c>
      <c r="E2276" s="16">
        <f>SUMIF(tdiario[CUENTA],tbal[[#This Row],[CUENTA]],tdiario[DEBE])</f>
        <v>0</v>
      </c>
      <c r="F2276" s="17">
        <f>SUMIF(tdiario[CUENTA],tbal[[#This Row],[CUENTA]],tdiario[HABER])</f>
        <v>0</v>
      </c>
      <c r="G2276" s="16">
        <f>IF(tbal[[#This Row],[DEBE]]-tbal[[#This Row],[HABER]]&gt;0,tbal[[#This Row],[DEBE]]-tbal[[#This Row],[HABER]],0)</f>
        <v>0</v>
      </c>
      <c r="H2276" s="18">
        <f>IF(tbal[[#This Row],[HABER]]-tbal[[#This Row],[DEBE]]&gt;0,tbal[[#This Row],[HABER]]-tbal[[#This Row],[DEBE]],0)</f>
        <v>0</v>
      </c>
      <c r="I2276" s="16">
        <f>IF((OR(tbal[[#This Row],[X]]=1,tbal[[#This Row],[X]]=2)),tbal[[#This Row],[DEUDOR]],0)</f>
        <v>0</v>
      </c>
      <c r="J2276" s="18">
        <f>IF((OR(tbal[[#This Row],[X]]=2,tbal[[#This Row],[X]]=3)),tbal[[#This Row],[ACREEDOR]],0)</f>
        <v>0</v>
      </c>
      <c r="K2276" s="16">
        <f>IF((OR(tbal[[#This Row],[X]]=3,tbal[[#This Row],[X]]=5)),tbal[[#This Row],[DEUDOR]],0)</f>
        <v>0</v>
      </c>
      <c r="L2276" s="18">
        <f>IF((OR(tbal[[#This Row],[X]]=3,tbal[[#This Row],[X]]=4)),tbal[[#This Row],[ACREEDOR]],0)</f>
        <v>0</v>
      </c>
      <c r="M2276" s="16">
        <f>IF((OR(tbal[[#This Row],[X]]=0,tbal[[#This Row],[X]]=6)),tbal[[#This Row],[DEUDOR]],0)</f>
        <v>0</v>
      </c>
      <c r="N2276" s="18">
        <f>IF((OR(tbal[[#This Row],[X]]=0,tbal[[#This Row],[X]]=5)),tbal[[#This Row],[ACREEDOR]],0)</f>
        <v>0</v>
      </c>
    </row>
    <row r="2277" spans="1:14" hidden="1" x14ac:dyDescent="0.3">
      <c r="A2277" s="14">
        <f>+'PLAN DE CUENTAS'!A2277</f>
        <v>0</v>
      </c>
      <c r="B2277" s="13">
        <f>+'PLAN DE CUENTAS'!B2277</f>
        <v>0</v>
      </c>
      <c r="C2277" s="13">
        <f>+'PLAN DE CUENTAS'!C2277</f>
        <v>0</v>
      </c>
      <c r="D2277" t="str">
        <f>IF(tbal[[#This Row],[DEBE]]+tbal[[#This Row],[HABER]]=0,"","X")</f>
        <v/>
      </c>
      <c r="E2277" s="16">
        <f>SUMIF(tdiario[CUENTA],tbal[[#This Row],[CUENTA]],tdiario[DEBE])</f>
        <v>0</v>
      </c>
      <c r="F2277" s="17">
        <f>SUMIF(tdiario[CUENTA],tbal[[#This Row],[CUENTA]],tdiario[HABER])</f>
        <v>0</v>
      </c>
      <c r="G2277" s="16">
        <f>IF(tbal[[#This Row],[DEBE]]-tbal[[#This Row],[HABER]]&gt;0,tbal[[#This Row],[DEBE]]-tbal[[#This Row],[HABER]],0)</f>
        <v>0</v>
      </c>
      <c r="H2277" s="18">
        <f>IF(tbal[[#This Row],[HABER]]-tbal[[#This Row],[DEBE]]&gt;0,tbal[[#This Row],[HABER]]-tbal[[#This Row],[DEBE]],0)</f>
        <v>0</v>
      </c>
      <c r="I2277" s="16">
        <f>IF((OR(tbal[[#This Row],[X]]=1,tbal[[#This Row],[X]]=2)),tbal[[#This Row],[DEUDOR]],0)</f>
        <v>0</v>
      </c>
      <c r="J2277" s="18">
        <f>IF((OR(tbal[[#This Row],[X]]=2,tbal[[#This Row],[X]]=3)),tbal[[#This Row],[ACREEDOR]],0)</f>
        <v>0</v>
      </c>
      <c r="K2277" s="16">
        <f>IF((OR(tbal[[#This Row],[X]]=3,tbal[[#This Row],[X]]=5)),tbal[[#This Row],[DEUDOR]],0)</f>
        <v>0</v>
      </c>
      <c r="L2277" s="18">
        <f>IF((OR(tbal[[#This Row],[X]]=3,tbal[[#This Row],[X]]=4)),tbal[[#This Row],[ACREEDOR]],0)</f>
        <v>0</v>
      </c>
      <c r="M2277" s="16">
        <f>IF((OR(tbal[[#This Row],[X]]=0,tbal[[#This Row],[X]]=6)),tbal[[#This Row],[DEUDOR]],0)</f>
        <v>0</v>
      </c>
      <c r="N2277" s="18">
        <f>IF((OR(tbal[[#This Row],[X]]=0,tbal[[#This Row],[X]]=5)),tbal[[#This Row],[ACREEDOR]],0)</f>
        <v>0</v>
      </c>
    </row>
    <row r="2278" spans="1:14" hidden="1" x14ac:dyDescent="0.3">
      <c r="A2278" s="14">
        <f>+'PLAN DE CUENTAS'!A2278</f>
        <v>0</v>
      </c>
      <c r="B2278" s="13">
        <f>+'PLAN DE CUENTAS'!B2278</f>
        <v>0</v>
      </c>
      <c r="C2278" s="13">
        <f>+'PLAN DE CUENTAS'!C2278</f>
        <v>0</v>
      </c>
      <c r="D2278" t="str">
        <f>IF(tbal[[#This Row],[DEBE]]+tbal[[#This Row],[HABER]]=0,"","X")</f>
        <v/>
      </c>
      <c r="E2278" s="16">
        <f>SUMIF(tdiario[CUENTA],tbal[[#This Row],[CUENTA]],tdiario[DEBE])</f>
        <v>0</v>
      </c>
      <c r="F2278" s="17">
        <f>SUMIF(tdiario[CUENTA],tbal[[#This Row],[CUENTA]],tdiario[HABER])</f>
        <v>0</v>
      </c>
      <c r="G2278" s="16">
        <f>IF(tbal[[#This Row],[DEBE]]-tbal[[#This Row],[HABER]]&gt;0,tbal[[#This Row],[DEBE]]-tbal[[#This Row],[HABER]],0)</f>
        <v>0</v>
      </c>
      <c r="H2278" s="18">
        <f>IF(tbal[[#This Row],[HABER]]-tbal[[#This Row],[DEBE]]&gt;0,tbal[[#This Row],[HABER]]-tbal[[#This Row],[DEBE]],0)</f>
        <v>0</v>
      </c>
      <c r="I2278" s="16">
        <f>IF((OR(tbal[[#This Row],[X]]=1,tbal[[#This Row],[X]]=2)),tbal[[#This Row],[DEUDOR]],0)</f>
        <v>0</v>
      </c>
      <c r="J2278" s="18">
        <f>IF((OR(tbal[[#This Row],[X]]=2,tbal[[#This Row],[X]]=3)),tbal[[#This Row],[ACREEDOR]],0)</f>
        <v>0</v>
      </c>
      <c r="K2278" s="16">
        <f>IF((OR(tbal[[#This Row],[X]]=3,tbal[[#This Row],[X]]=5)),tbal[[#This Row],[DEUDOR]],0)</f>
        <v>0</v>
      </c>
      <c r="L2278" s="18">
        <f>IF((OR(tbal[[#This Row],[X]]=3,tbal[[#This Row],[X]]=4)),tbal[[#This Row],[ACREEDOR]],0)</f>
        <v>0</v>
      </c>
      <c r="M2278" s="16">
        <f>IF((OR(tbal[[#This Row],[X]]=0,tbal[[#This Row],[X]]=6)),tbal[[#This Row],[DEUDOR]],0)</f>
        <v>0</v>
      </c>
      <c r="N2278" s="18">
        <f>IF((OR(tbal[[#This Row],[X]]=0,tbal[[#This Row],[X]]=5)),tbal[[#This Row],[ACREEDOR]],0)</f>
        <v>0</v>
      </c>
    </row>
    <row r="2279" spans="1:14" hidden="1" x14ac:dyDescent="0.3">
      <c r="A2279" s="14">
        <f>+'PLAN DE CUENTAS'!A2279</f>
        <v>0</v>
      </c>
      <c r="B2279" s="13">
        <f>+'PLAN DE CUENTAS'!B2279</f>
        <v>0</v>
      </c>
      <c r="C2279" s="13">
        <f>+'PLAN DE CUENTAS'!C2279</f>
        <v>0</v>
      </c>
      <c r="D2279" t="str">
        <f>IF(tbal[[#This Row],[DEBE]]+tbal[[#This Row],[HABER]]=0,"","X")</f>
        <v/>
      </c>
      <c r="E2279" s="16">
        <f>SUMIF(tdiario[CUENTA],tbal[[#This Row],[CUENTA]],tdiario[DEBE])</f>
        <v>0</v>
      </c>
      <c r="F2279" s="17">
        <f>SUMIF(tdiario[CUENTA],tbal[[#This Row],[CUENTA]],tdiario[HABER])</f>
        <v>0</v>
      </c>
      <c r="G2279" s="16">
        <f>IF(tbal[[#This Row],[DEBE]]-tbal[[#This Row],[HABER]]&gt;0,tbal[[#This Row],[DEBE]]-tbal[[#This Row],[HABER]],0)</f>
        <v>0</v>
      </c>
      <c r="H2279" s="18">
        <f>IF(tbal[[#This Row],[HABER]]-tbal[[#This Row],[DEBE]]&gt;0,tbal[[#This Row],[HABER]]-tbal[[#This Row],[DEBE]],0)</f>
        <v>0</v>
      </c>
      <c r="I2279" s="16">
        <f>IF((OR(tbal[[#This Row],[X]]=1,tbal[[#This Row],[X]]=2)),tbal[[#This Row],[DEUDOR]],0)</f>
        <v>0</v>
      </c>
      <c r="J2279" s="18">
        <f>IF((OR(tbal[[#This Row],[X]]=2,tbal[[#This Row],[X]]=3)),tbal[[#This Row],[ACREEDOR]],0)</f>
        <v>0</v>
      </c>
      <c r="K2279" s="16">
        <f>IF((OR(tbal[[#This Row],[X]]=3,tbal[[#This Row],[X]]=5)),tbal[[#This Row],[DEUDOR]],0)</f>
        <v>0</v>
      </c>
      <c r="L2279" s="18">
        <f>IF((OR(tbal[[#This Row],[X]]=3,tbal[[#This Row],[X]]=4)),tbal[[#This Row],[ACREEDOR]],0)</f>
        <v>0</v>
      </c>
      <c r="M2279" s="16">
        <f>IF((OR(tbal[[#This Row],[X]]=0,tbal[[#This Row],[X]]=6)),tbal[[#This Row],[DEUDOR]],0)</f>
        <v>0</v>
      </c>
      <c r="N2279" s="18">
        <f>IF((OR(tbal[[#This Row],[X]]=0,tbal[[#This Row],[X]]=5)),tbal[[#This Row],[ACREEDOR]],0)</f>
        <v>0</v>
      </c>
    </row>
    <row r="2280" spans="1:14" hidden="1" x14ac:dyDescent="0.3">
      <c r="A2280" s="14">
        <f>+'PLAN DE CUENTAS'!A2280</f>
        <v>0</v>
      </c>
      <c r="B2280" s="13">
        <f>+'PLAN DE CUENTAS'!B2280</f>
        <v>0</v>
      </c>
      <c r="C2280" s="13">
        <f>+'PLAN DE CUENTAS'!C2280</f>
        <v>0</v>
      </c>
      <c r="D2280" t="str">
        <f>IF(tbal[[#This Row],[DEBE]]+tbal[[#This Row],[HABER]]=0,"","X")</f>
        <v/>
      </c>
      <c r="E2280" s="16">
        <f>SUMIF(tdiario[CUENTA],tbal[[#This Row],[CUENTA]],tdiario[DEBE])</f>
        <v>0</v>
      </c>
      <c r="F2280" s="17">
        <f>SUMIF(tdiario[CUENTA],tbal[[#This Row],[CUENTA]],tdiario[HABER])</f>
        <v>0</v>
      </c>
      <c r="G2280" s="16">
        <f>IF(tbal[[#This Row],[DEBE]]-tbal[[#This Row],[HABER]]&gt;0,tbal[[#This Row],[DEBE]]-tbal[[#This Row],[HABER]],0)</f>
        <v>0</v>
      </c>
      <c r="H2280" s="18">
        <f>IF(tbal[[#This Row],[HABER]]-tbal[[#This Row],[DEBE]]&gt;0,tbal[[#This Row],[HABER]]-tbal[[#This Row],[DEBE]],0)</f>
        <v>0</v>
      </c>
      <c r="I2280" s="16">
        <f>IF((OR(tbal[[#This Row],[X]]=1,tbal[[#This Row],[X]]=2)),tbal[[#This Row],[DEUDOR]],0)</f>
        <v>0</v>
      </c>
      <c r="J2280" s="18">
        <f>IF((OR(tbal[[#This Row],[X]]=2,tbal[[#This Row],[X]]=3)),tbal[[#This Row],[ACREEDOR]],0)</f>
        <v>0</v>
      </c>
      <c r="K2280" s="16">
        <f>IF((OR(tbal[[#This Row],[X]]=3,tbal[[#This Row],[X]]=5)),tbal[[#This Row],[DEUDOR]],0)</f>
        <v>0</v>
      </c>
      <c r="L2280" s="18">
        <f>IF((OR(tbal[[#This Row],[X]]=3,tbal[[#This Row],[X]]=4)),tbal[[#This Row],[ACREEDOR]],0)</f>
        <v>0</v>
      </c>
      <c r="M2280" s="16">
        <f>IF((OR(tbal[[#This Row],[X]]=0,tbal[[#This Row],[X]]=6)),tbal[[#This Row],[DEUDOR]],0)</f>
        <v>0</v>
      </c>
      <c r="N2280" s="18">
        <f>IF((OR(tbal[[#This Row],[X]]=0,tbal[[#This Row],[X]]=5)),tbal[[#This Row],[ACREEDOR]],0)</f>
        <v>0</v>
      </c>
    </row>
    <row r="2281" spans="1:14" hidden="1" x14ac:dyDescent="0.3">
      <c r="A2281" s="14">
        <f>+'PLAN DE CUENTAS'!A2281</f>
        <v>0</v>
      </c>
      <c r="B2281" s="13">
        <f>+'PLAN DE CUENTAS'!B2281</f>
        <v>0</v>
      </c>
      <c r="C2281" s="13">
        <f>+'PLAN DE CUENTAS'!C2281</f>
        <v>0</v>
      </c>
      <c r="D2281" t="str">
        <f>IF(tbal[[#This Row],[DEBE]]+tbal[[#This Row],[HABER]]=0,"","X")</f>
        <v/>
      </c>
      <c r="E2281" s="16">
        <f>SUMIF(tdiario[CUENTA],tbal[[#This Row],[CUENTA]],tdiario[DEBE])</f>
        <v>0</v>
      </c>
      <c r="F2281" s="17">
        <f>SUMIF(tdiario[CUENTA],tbal[[#This Row],[CUENTA]],tdiario[HABER])</f>
        <v>0</v>
      </c>
      <c r="G2281" s="16">
        <f>IF(tbal[[#This Row],[DEBE]]-tbal[[#This Row],[HABER]]&gt;0,tbal[[#This Row],[DEBE]]-tbal[[#This Row],[HABER]],0)</f>
        <v>0</v>
      </c>
      <c r="H2281" s="18">
        <f>IF(tbal[[#This Row],[HABER]]-tbal[[#This Row],[DEBE]]&gt;0,tbal[[#This Row],[HABER]]-tbal[[#This Row],[DEBE]],0)</f>
        <v>0</v>
      </c>
      <c r="I2281" s="16">
        <f>IF((OR(tbal[[#This Row],[X]]=1,tbal[[#This Row],[X]]=2)),tbal[[#This Row],[DEUDOR]],0)</f>
        <v>0</v>
      </c>
      <c r="J2281" s="18">
        <f>IF((OR(tbal[[#This Row],[X]]=2,tbal[[#This Row],[X]]=3)),tbal[[#This Row],[ACREEDOR]],0)</f>
        <v>0</v>
      </c>
      <c r="K2281" s="16">
        <f>IF((OR(tbal[[#This Row],[X]]=3,tbal[[#This Row],[X]]=5)),tbal[[#This Row],[DEUDOR]],0)</f>
        <v>0</v>
      </c>
      <c r="L2281" s="18">
        <f>IF((OR(tbal[[#This Row],[X]]=3,tbal[[#This Row],[X]]=4)),tbal[[#This Row],[ACREEDOR]],0)</f>
        <v>0</v>
      </c>
      <c r="M2281" s="16">
        <f>IF((OR(tbal[[#This Row],[X]]=0,tbal[[#This Row],[X]]=6)),tbal[[#This Row],[DEUDOR]],0)</f>
        <v>0</v>
      </c>
      <c r="N2281" s="18">
        <f>IF((OR(tbal[[#This Row],[X]]=0,tbal[[#This Row],[X]]=5)),tbal[[#This Row],[ACREEDOR]],0)</f>
        <v>0</v>
      </c>
    </row>
    <row r="2282" spans="1:14" hidden="1" x14ac:dyDescent="0.3">
      <c r="A2282" s="14">
        <f>+'PLAN DE CUENTAS'!A2282</f>
        <v>0</v>
      </c>
      <c r="B2282" s="13">
        <f>+'PLAN DE CUENTAS'!B2282</f>
        <v>0</v>
      </c>
      <c r="C2282" s="13">
        <f>+'PLAN DE CUENTAS'!C2282</f>
        <v>0</v>
      </c>
      <c r="D2282" t="str">
        <f>IF(tbal[[#This Row],[DEBE]]+tbal[[#This Row],[HABER]]=0,"","X")</f>
        <v/>
      </c>
      <c r="E2282" s="16">
        <f>SUMIF(tdiario[CUENTA],tbal[[#This Row],[CUENTA]],tdiario[DEBE])</f>
        <v>0</v>
      </c>
      <c r="F2282" s="17">
        <f>SUMIF(tdiario[CUENTA],tbal[[#This Row],[CUENTA]],tdiario[HABER])</f>
        <v>0</v>
      </c>
      <c r="G2282" s="16">
        <f>IF(tbal[[#This Row],[DEBE]]-tbal[[#This Row],[HABER]]&gt;0,tbal[[#This Row],[DEBE]]-tbal[[#This Row],[HABER]],0)</f>
        <v>0</v>
      </c>
      <c r="H2282" s="18">
        <f>IF(tbal[[#This Row],[HABER]]-tbal[[#This Row],[DEBE]]&gt;0,tbal[[#This Row],[HABER]]-tbal[[#This Row],[DEBE]],0)</f>
        <v>0</v>
      </c>
      <c r="I2282" s="16">
        <f>IF((OR(tbal[[#This Row],[X]]=1,tbal[[#This Row],[X]]=2)),tbal[[#This Row],[DEUDOR]],0)</f>
        <v>0</v>
      </c>
      <c r="J2282" s="18">
        <f>IF((OR(tbal[[#This Row],[X]]=2,tbal[[#This Row],[X]]=3)),tbal[[#This Row],[ACREEDOR]],0)</f>
        <v>0</v>
      </c>
      <c r="K2282" s="16">
        <f>IF((OR(tbal[[#This Row],[X]]=3,tbal[[#This Row],[X]]=5)),tbal[[#This Row],[DEUDOR]],0)</f>
        <v>0</v>
      </c>
      <c r="L2282" s="18">
        <f>IF((OR(tbal[[#This Row],[X]]=3,tbal[[#This Row],[X]]=4)),tbal[[#This Row],[ACREEDOR]],0)</f>
        <v>0</v>
      </c>
      <c r="M2282" s="16">
        <f>IF((OR(tbal[[#This Row],[X]]=0,tbal[[#This Row],[X]]=6)),tbal[[#This Row],[DEUDOR]],0)</f>
        <v>0</v>
      </c>
      <c r="N2282" s="18">
        <f>IF((OR(tbal[[#This Row],[X]]=0,tbal[[#This Row],[X]]=5)),tbal[[#This Row],[ACREEDOR]],0)</f>
        <v>0</v>
      </c>
    </row>
    <row r="2283" spans="1:14" hidden="1" x14ac:dyDescent="0.3">
      <c r="A2283" s="14">
        <f>+'PLAN DE CUENTAS'!A2283</f>
        <v>0</v>
      </c>
      <c r="B2283" s="13">
        <f>+'PLAN DE CUENTAS'!B2283</f>
        <v>0</v>
      </c>
      <c r="C2283" s="13">
        <f>+'PLAN DE CUENTAS'!C2283</f>
        <v>0</v>
      </c>
      <c r="D2283" t="str">
        <f>IF(tbal[[#This Row],[DEBE]]+tbal[[#This Row],[HABER]]=0,"","X")</f>
        <v/>
      </c>
      <c r="E2283" s="16">
        <f>SUMIF(tdiario[CUENTA],tbal[[#This Row],[CUENTA]],tdiario[DEBE])</f>
        <v>0</v>
      </c>
      <c r="F2283" s="17">
        <f>SUMIF(tdiario[CUENTA],tbal[[#This Row],[CUENTA]],tdiario[HABER])</f>
        <v>0</v>
      </c>
      <c r="G2283" s="16">
        <f>IF(tbal[[#This Row],[DEBE]]-tbal[[#This Row],[HABER]]&gt;0,tbal[[#This Row],[DEBE]]-tbal[[#This Row],[HABER]],0)</f>
        <v>0</v>
      </c>
      <c r="H2283" s="18">
        <f>IF(tbal[[#This Row],[HABER]]-tbal[[#This Row],[DEBE]]&gt;0,tbal[[#This Row],[HABER]]-tbal[[#This Row],[DEBE]],0)</f>
        <v>0</v>
      </c>
      <c r="I2283" s="16">
        <f>IF((OR(tbal[[#This Row],[X]]=1,tbal[[#This Row],[X]]=2)),tbal[[#This Row],[DEUDOR]],0)</f>
        <v>0</v>
      </c>
      <c r="J2283" s="18">
        <f>IF((OR(tbal[[#This Row],[X]]=2,tbal[[#This Row],[X]]=3)),tbal[[#This Row],[ACREEDOR]],0)</f>
        <v>0</v>
      </c>
      <c r="K2283" s="16">
        <f>IF((OR(tbal[[#This Row],[X]]=3,tbal[[#This Row],[X]]=5)),tbal[[#This Row],[DEUDOR]],0)</f>
        <v>0</v>
      </c>
      <c r="L2283" s="18">
        <f>IF((OR(tbal[[#This Row],[X]]=3,tbal[[#This Row],[X]]=4)),tbal[[#This Row],[ACREEDOR]],0)</f>
        <v>0</v>
      </c>
      <c r="M2283" s="16">
        <f>IF((OR(tbal[[#This Row],[X]]=0,tbal[[#This Row],[X]]=6)),tbal[[#This Row],[DEUDOR]],0)</f>
        <v>0</v>
      </c>
      <c r="N2283" s="18">
        <f>IF((OR(tbal[[#This Row],[X]]=0,tbal[[#This Row],[X]]=5)),tbal[[#This Row],[ACREEDOR]],0)</f>
        <v>0</v>
      </c>
    </row>
    <row r="2284" spans="1:14" hidden="1" x14ac:dyDescent="0.3">
      <c r="A2284" s="14">
        <f>+'PLAN DE CUENTAS'!A2284</f>
        <v>0</v>
      </c>
      <c r="B2284" s="13">
        <f>+'PLAN DE CUENTAS'!B2284</f>
        <v>0</v>
      </c>
      <c r="C2284" s="13">
        <f>+'PLAN DE CUENTAS'!C2284</f>
        <v>0</v>
      </c>
      <c r="D2284" t="str">
        <f>IF(tbal[[#This Row],[DEBE]]+tbal[[#This Row],[HABER]]=0,"","X")</f>
        <v/>
      </c>
      <c r="E2284" s="16">
        <f>SUMIF(tdiario[CUENTA],tbal[[#This Row],[CUENTA]],tdiario[DEBE])</f>
        <v>0</v>
      </c>
      <c r="F2284" s="17">
        <f>SUMIF(tdiario[CUENTA],tbal[[#This Row],[CUENTA]],tdiario[HABER])</f>
        <v>0</v>
      </c>
      <c r="G2284" s="16">
        <f>IF(tbal[[#This Row],[DEBE]]-tbal[[#This Row],[HABER]]&gt;0,tbal[[#This Row],[DEBE]]-tbal[[#This Row],[HABER]],0)</f>
        <v>0</v>
      </c>
      <c r="H2284" s="18">
        <f>IF(tbal[[#This Row],[HABER]]-tbal[[#This Row],[DEBE]]&gt;0,tbal[[#This Row],[HABER]]-tbal[[#This Row],[DEBE]],0)</f>
        <v>0</v>
      </c>
      <c r="I2284" s="16">
        <f>IF((OR(tbal[[#This Row],[X]]=1,tbal[[#This Row],[X]]=2)),tbal[[#This Row],[DEUDOR]],0)</f>
        <v>0</v>
      </c>
      <c r="J2284" s="18">
        <f>IF((OR(tbal[[#This Row],[X]]=2,tbal[[#This Row],[X]]=3)),tbal[[#This Row],[ACREEDOR]],0)</f>
        <v>0</v>
      </c>
      <c r="K2284" s="16">
        <f>IF((OR(tbal[[#This Row],[X]]=3,tbal[[#This Row],[X]]=5)),tbal[[#This Row],[DEUDOR]],0)</f>
        <v>0</v>
      </c>
      <c r="L2284" s="18">
        <f>IF((OR(tbal[[#This Row],[X]]=3,tbal[[#This Row],[X]]=4)),tbal[[#This Row],[ACREEDOR]],0)</f>
        <v>0</v>
      </c>
      <c r="M2284" s="16">
        <f>IF((OR(tbal[[#This Row],[X]]=0,tbal[[#This Row],[X]]=6)),tbal[[#This Row],[DEUDOR]],0)</f>
        <v>0</v>
      </c>
      <c r="N2284" s="18">
        <f>IF((OR(tbal[[#This Row],[X]]=0,tbal[[#This Row],[X]]=5)),tbal[[#This Row],[ACREEDOR]],0)</f>
        <v>0</v>
      </c>
    </row>
    <row r="2285" spans="1:14" hidden="1" x14ac:dyDescent="0.3">
      <c r="A2285" s="14">
        <f>+'PLAN DE CUENTAS'!A2285</f>
        <v>0</v>
      </c>
      <c r="B2285" s="13">
        <f>+'PLAN DE CUENTAS'!B2285</f>
        <v>0</v>
      </c>
      <c r="C2285" s="13">
        <f>+'PLAN DE CUENTAS'!C2285</f>
        <v>0</v>
      </c>
      <c r="D2285" t="str">
        <f>IF(tbal[[#This Row],[DEBE]]+tbal[[#This Row],[HABER]]=0,"","X")</f>
        <v/>
      </c>
      <c r="E2285" s="16">
        <f>SUMIF(tdiario[CUENTA],tbal[[#This Row],[CUENTA]],tdiario[DEBE])</f>
        <v>0</v>
      </c>
      <c r="F2285" s="17">
        <f>SUMIF(tdiario[CUENTA],tbal[[#This Row],[CUENTA]],tdiario[HABER])</f>
        <v>0</v>
      </c>
      <c r="G2285" s="16">
        <f>IF(tbal[[#This Row],[DEBE]]-tbal[[#This Row],[HABER]]&gt;0,tbal[[#This Row],[DEBE]]-tbal[[#This Row],[HABER]],0)</f>
        <v>0</v>
      </c>
      <c r="H2285" s="18">
        <f>IF(tbal[[#This Row],[HABER]]-tbal[[#This Row],[DEBE]]&gt;0,tbal[[#This Row],[HABER]]-tbal[[#This Row],[DEBE]],0)</f>
        <v>0</v>
      </c>
      <c r="I2285" s="16">
        <f>IF((OR(tbal[[#This Row],[X]]=1,tbal[[#This Row],[X]]=2)),tbal[[#This Row],[DEUDOR]],0)</f>
        <v>0</v>
      </c>
      <c r="J2285" s="18">
        <f>IF((OR(tbal[[#This Row],[X]]=2,tbal[[#This Row],[X]]=3)),tbal[[#This Row],[ACREEDOR]],0)</f>
        <v>0</v>
      </c>
      <c r="K2285" s="16">
        <f>IF((OR(tbal[[#This Row],[X]]=3,tbal[[#This Row],[X]]=5)),tbal[[#This Row],[DEUDOR]],0)</f>
        <v>0</v>
      </c>
      <c r="L2285" s="18">
        <f>IF((OR(tbal[[#This Row],[X]]=3,tbal[[#This Row],[X]]=4)),tbal[[#This Row],[ACREEDOR]],0)</f>
        <v>0</v>
      </c>
      <c r="M2285" s="16">
        <f>IF((OR(tbal[[#This Row],[X]]=0,tbal[[#This Row],[X]]=6)),tbal[[#This Row],[DEUDOR]],0)</f>
        <v>0</v>
      </c>
      <c r="N2285" s="18">
        <f>IF((OR(tbal[[#This Row],[X]]=0,tbal[[#This Row],[X]]=5)),tbal[[#This Row],[ACREEDOR]],0)</f>
        <v>0</v>
      </c>
    </row>
    <row r="2286" spans="1:14" hidden="1" x14ac:dyDescent="0.3">
      <c r="A2286" s="14">
        <f>+'PLAN DE CUENTAS'!A2286</f>
        <v>0</v>
      </c>
      <c r="B2286" s="13">
        <f>+'PLAN DE CUENTAS'!B2286</f>
        <v>0</v>
      </c>
      <c r="C2286" s="13">
        <f>+'PLAN DE CUENTAS'!C2286</f>
        <v>0</v>
      </c>
      <c r="D2286" t="str">
        <f>IF(tbal[[#This Row],[DEBE]]+tbal[[#This Row],[HABER]]=0,"","X")</f>
        <v/>
      </c>
      <c r="E2286" s="16">
        <f>SUMIF(tdiario[CUENTA],tbal[[#This Row],[CUENTA]],tdiario[DEBE])</f>
        <v>0</v>
      </c>
      <c r="F2286" s="17">
        <f>SUMIF(tdiario[CUENTA],tbal[[#This Row],[CUENTA]],tdiario[HABER])</f>
        <v>0</v>
      </c>
      <c r="G2286" s="16">
        <f>IF(tbal[[#This Row],[DEBE]]-tbal[[#This Row],[HABER]]&gt;0,tbal[[#This Row],[DEBE]]-tbal[[#This Row],[HABER]],0)</f>
        <v>0</v>
      </c>
      <c r="H2286" s="18">
        <f>IF(tbal[[#This Row],[HABER]]-tbal[[#This Row],[DEBE]]&gt;0,tbal[[#This Row],[HABER]]-tbal[[#This Row],[DEBE]],0)</f>
        <v>0</v>
      </c>
      <c r="I2286" s="16">
        <f>IF((OR(tbal[[#This Row],[X]]=1,tbal[[#This Row],[X]]=2)),tbal[[#This Row],[DEUDOR]],0)</f>
        <v>0</v>
      </c>
      <c r="J2286" s="18">
        <f>IF((OR(tbal[[#This Row],[X]]=2,tbal[[#This Row],[X]]=3)),tbal[[#This Row],[ACREEDOR]],0)</f>
        <v>0</v>
      </c>
      <c r="K2286" s="16">
        <f>IF((OR(tbal[[#This Row],[X]]=3,tbal[[#This Row],[X]]=5)),tbal[[#This Row],[DEUDOR]],0)</f>
        <v>0</v>
      </c>
      <c r="L2286" s="18">
        <f>IF((OR(tbal[[#This Row],[X]]=3,tbal[[#This Row],[X]]=4)),tbal[[#This Row],[ACREEDOR]],0)</f>
        <v>0</v>
      </c>
      <c r="M2286" s="16">
        <f>IF((OR(tbal[[#This Row],[X]]=0,tbal[[#This Row],[X]]=6)),tbal[[#This Row],[DEUDOR]],0)</f>
        <v>0</v>
      </c>
      <c r="N2286" s="18">
        <f>IF((OR(tbal[[#This Row],[X]]=0,tbal[[#This Row],[X]]=5)),tbal[[#This Row],[ACREEDOR]],0)</f>
        <v>0</v>
      </c>
    </row>
    <row r="2287" spans="1:14" hidden="1" x14ac:dyDescent="0.3">
      <c r="A2287" s="14">
        <f>+'PLAN DE CUENTAS'!A2287</f>
        <v>0</v>
      </c>
      <c r="B2287" s="13">
        <f>+'PLAN DE CUENTAS'!B2287</f>
        <v>0</v>
      </c>
      <c r="C2287" s="13">
        <f>+'PLAN DE CUENTAS'!C2287</f>
        <v>0</v>
      </c>
      <c r="D2287" t="str">
        <f>IF(tbal[[#This Row],[DEBE]]+tbal[[#This Row],[HABER]]=0,"","X")</f>
        <v/>
      </c>
      <c r="E2287" s="16">
        <f>SUMIF(tdiario[CUENTA],tbal[[#This Row],[CUENTA]],tdiario[DEBE])</f>
        <v>0</v>
      </c>
      <c r="F2287" s="17">
        <f>SUMIF(tdiario[CUENTA],tbal[[#This Row],[CUENTA]],tdiario[HABER])</f>
        <v>0</v>
      </c>
      <c r="G2287" s="16">
        <f>IF(tbal[[#This Row],[DEBE]]-tbal[[#This Row],[HABER]]&gt;0,tbal[[#This Row],[DEBE]]-tbal[[#This Row],[HABER]],0)</f>
        <v>0</v>
      </c>
      <c r="H2287" s="18">
        <f>IF(tbal[[#This Row],[HABER]]-tbal[[#This Row],[DEBE]]&gt;0,tbal[[#This Row],[HABER]]-tbal[[#This Row],[DEBE]],0)</f>
        <v>0</v>
      </c>
      <c r="I2287" s="16">
        <f>IF((OR(tbal[[#This Row],[X]]=1,tbal[[#This Row],[X]]=2)),tbal[[#This Row],[DEUDOR]],0)</f>
        <v>0</v>
      </c>
      <c r="J2287" s="18">
        <f>IF((OR(tbal[[#This Row],[X]]=2,tbal[[#This Row],[X]]=3)),tbal[[#This Row],[ACREEDOR]],0)</f>
        <v>0</v>
      </c>
      <c r="K2287" s="16">
        <f>IF((OR(tbal[[#This Row],[X]]=3,tbal[[#This Row],[X]]=5)),tbal[[#This Row],[DEUDOR]],0)</f>
        <v>0</v>
      </c>
      <c r="L2287" s="18">
        <f>IF((OR(tbal[[#This Row],[X]]=3,tbal[[#This Row],[X]]=4)),tbal[[#This Row],[ACREEDOR]],0)</f>
        <v>0</v>
      </c>
      <c r="M2287" s="16">
        <f>IF((OR(tbal[[#This Row],[X]]=0,tbal[[#This Row],[X]]=6)),tbal[[#This Row],[DEUDOR]],0)</f>
        <v>0</v>
      </c>
      <c r="N2287" s="18">
        <f>IF((OR(tbal[[#This Row],[X]]=0,tbal[[#This Row],[X]]=5)),tbal[[#This Row],[ACREEDOR]],0)</f>
        <v>0</v>
      </c>
    </row>
    <row r="2288" spans="1:14" hidden="1" x14ac:dyDescent="0.3">
      <c r="A2288" s="14">
        <f>+'PLAN DE CUENTAS'!A2288</f>
        <v>0</v>
      </c>
      <c r="B2288" s="13">
        <f>+'PLAN DE CUENTAS'!B2288</f>
        <v>0</v>
      </c>
      <c r="C2288" s="13">
        <f>+'PLAN DE CUENTAS'!C2288</f>
        <v>0</v>
      </c>
      <c r="D2288" t="str">
        <f>IF(tbal[[#This Row],[DEBE]]+tbal[[#This Row],[HABER]]=0,"","X")</f>
        <v/>
      </c>
      <c r="E2288" s="16">
        <f>SUMIF(tdiario[CUENTA],tbal[[#This Row],[CUENTA]],tdiario[DEBE])</f>
        <v>0</v>
      </c>
      <c r="F2288" s="17">
        <f>SUMIF(tdiario[CUENTA],tbal[[#This Row],[CUENTA]],tdiario[HABER])</f>
        <v>0</v>
      </c>
      <c r="G2288" s="16">
        <f>IF(tbal[[#This Row],[DEBE]]-tbal[[#This Row],[HABER]]&gt;0,tbal[[#This Row],[DEBE]]-tbal[[#This Row],[HABER]],0)</f>
        <v>0</v>
      </c>
      <c r="H2288" s="18">
        <f>IF(tbal[[#This Row],[HABER]]-tbal[[#This Row],[DEBE]]&gt;0,tbal[[#This Row],[HABER]]-tbal[[#This Row],[DEBE]],0)</f>
        <v>0</v>
      </c>
      <c r="I2288" s="16">
        <f>IF((OR(tbal[[#This Row],[X]]=1,tbal[[#This Row],[X]]=2)),tbal[[#This Row],[DEUDOR]],0)</f>
        <v>0</v>
      </c>
      <c r="J2288" s="18">
        <f>IF((OR(tbal[[#This Row],[X]]=2,tbal[[#This Row],[X]]=3)),tbal[[#This Row],[ACREEDOR]],0)</f>
        <v>0</v>
      </c>
      <c r="K2288" s="16">
        <f>IF((OR(tbal[[#This Row],[X]]=3,tbal[[#This Row],[X]]=5)),tbal[[#This Row],[DEUDOR]],0)</f>
        <v>0</v>
      </c>
      <c r="L2288" s="18">
        <f>IF((OR(tbal[[#This Row],[X]]=3,tbal[[#This Row],[X]]=4)),tbal[[#This Row],[ACREEDOR]],0)</f>
        <v>0</v>
      </c>
      <c r="M2288" s="16">
        <f>IF((OR(tbal[[#This Row],[X]]=0,tbal[[#This Row],[X]]=6)),tbal[[#This Row],[DEUDOR]],0)</f>
        <v>0</v>
      </c>
      <c r="N2288" s="18">
        <f>IF((OR(tbal[[#This Row],[X]]=0,tbal[[#This Row],[X]]=5)),tbal[[#This Row],[ACREEDOR]],0)</f>
        <v>0</v>
      </c>
    </row>
    <row r="2289" spans="1:14" hidden="1" x14ac:dyDescent="0.3">
      <c r="A2289" s="14">
        <f>+'PLAN DE CUENTAS'!A2289</f>
        <v>0</v>
      </c>
      <c r="B2289" s="13">
        <f>+'PLAN DE CUENTAS'!B2289</f>
        <v>0</v>
      </c>
      <c r="C2289" s="13">
        <f>+'PLAN DE CUENTAS'!C2289</f>
        <v>0</v>
      </c>
      <c r="D2289" t="str">
        <f>IF(tbal[[#This Row],[DEBE]]+tbal[[#This Row],[HABER]]=0,"","X")</f>
        <v/>
      </c>
      <c r="E2289" s="16">
        <f>SUMIF(tdiario[CUENTA],tbal[[#This Row],[CUENTA]],tdiario[DEBE])</f>
        <v>0</v>
      </c>
      <c r="F2289" s="17">
        <f>SUMIF(tdiario[CUENTA],tbal[[#This Row],[CUENTA]],tdiario[HABER])</f>
        <v>0</v>
      </c>
      <c r="G2289" s="16">
        <f>IF(tbal[[#This Row],[DEBE]]-tbal[[#This Row],[HABER]]&gt;0,tbal[[#This Row],[DEBE]]-tbal[[#This Row],[HABER]],0)</f>
        <v>0</v>
      </c>
      <c r="H2289" s="18">
        <f>IF(tbal[[#This Row],[HABER]]-tbal[[#This Row],[DEBE]]&gt;0,tbal[[#This Row],[HABER]]-tbal[[#This Row],[DEBE]],0)</f>
        <v>0</v>
      </c>
      <c r="I2289" s="16">
        <f>IF((OR(tbal[[#This Row],[X]]=1,tbal[[#This Row],[X]]=2)),tbal[[#This Row],[DEUDOR]],0)</f>
        <v>0</v>
      </c>
      <c r="J2289" s="18">
        <f>IF((OR(tbal[[#This Row],[X]]=2,tbal[[#This Row],[X]]=3)),tbal[[#This Row],[ACREEDOR]],0)</f>
        <v>0</v>
      </c>
      <c r="K2289" s="16">
        <f>IF((OR(tbal[[#This Row],[X]]=3,tbal[[#This Row],[X]]=5)),tbal[[#This Row],[DEUDOR]],0)</f>
        <v>0</v>
      </c>
      <c r="L2289" s="18">
        <f>IF((OR(tbal[[#This Row],[X]]=3,tbal[[#This Row],[X]]=4)),tbal[[#This Row],[ACREEDOR]],0)</f>
        <v>0</v>
      </c>
      <c r="M2289" s="16">
        <f>IF((OR(tbal[[#This Row],[X]]=0,tbal[[#This Row],[X]]=6)),tbal[[#This Row],[DEUDOR]],0)</f>
        <v>0</v>
      </c>
      <c r="N2289" s="18">
        <f>IF((OR(tbal[[#This Row],[X]]=0,tbal[[#This Row],[X]]=5)),tbal[[#This Row],[ACREEDOR]],0)</f>
        <v>0</v>
      </c>
    </row>
    <row r="2290" spans="1:14" hidden="1" x14ac:dyDescent="0.3">
      <c r="A2290" s="14">
        <f>+'PLAN DE CUENTAS'!A2290</f>
        <v>0</v>
      </c>
      <c r="B2290" s="13">
        <f>+'PLAN DE CUENTAS'!B2290</f>
        <v>0</v>
      </c>
      <c r="C2290" s="13">
        <f>+'PLAN DE CUENTAS'!C2290</f>
        <v>0</v>
      </c>
      <c r="D2290" t="str">
        <f>IF(tbal[[#This Row],[DEBE]]+tbal[[#This Row],[HABER]]=0,"","X")</f>
        <v/>
      </c>
      <c r="E2290" s="16">
        <f>SUMIF(tdiario[CUENTA],tbal[[#This Row],[CUENTA]],tdiario[DEBE])</f>
        <v>0</v>
      </c>
      <c r="F2290" s="17">
        <f>SUMIF(tdiario[CUENTA],tbal[[#This Row],[CUENTA]],tdiario[HABER])</f>
        <v>0</v>
      </c>
      <c r="G2290" s="16">
        <f>IF(tbal[[#This Row],[DEBE]]-tbal[[#This Row],[HABER]]&gt;0,tbal[[#This Row],[DEBE]]-tbal[[#This Row],[HABER]],0)</f>
        <v>0</v>
      </c>
      <c r="H2290" s="18">
        <f>IF(tbal[[#This Row],[HABER]]-tbal[[#This Row],[DEBE]]&gt;0,tbal[[#This Row],[HABER]]-tbal[[#This Row],[DEBE]],0)</f>
        <v>0</v>
      </c>
      <c r="I2290" s="16">
        <f>IF((OR(tbal[[#This Row],[X]]=1,tbal[[#This Row],[X]]=2)),tbal[[#This Row],[DEUDOR]],0)</f>
        <v>0</v>
      </c>
      <c r="J2290" s="18">
        <f>IF((OR(tbal[[#This Row],[X]]=2,tbal[[#This Row],[X]]=3)),tbal[[#This Row],[ACREEDOR]],0)</f>
        <v>0</v>
      </c>
      <c r="K2290" s="16">
        <f>IF((OR(tbal[[#This Row],[X]]=3,tbal[[#This Row],[X]]=5)),tbal[[#This Row],[DEUDOR]],0)</f>
        <v>0</v>
      </c>
      <c r="L2290" s="18">
        <f>IF((OR(tbal[[#This Row],[X]]=3,tbal[[#This Row],[X]]=4)),tbal[[#This Row],[ACREEDOR]],0)</f>
        <v>0</v>
      </c>
      <c r="M2290" s="16">
        <f>IF((OR(tbal[[#This Row],[X]]=0,tbal[[#This Row],[X]]=6)),tbal[[#This Row],[DEUDOR]],0)</f>
        <v>0</v>
      </c>
      <c r="N2290" s="18">
        <f>IF((OR(tbal[[#This Row],[X]]=0,tbal[[#This Row],[X]]=5)),tbal[[#This Row],[ACREEDOR]],0)</f>
        <v>0</v>
      </c>
    </row>
    <row r="2291" spans="1:14" hidden="1" x14ac:dyDescent="0.3">
      <c r="A2291" s="14">
        <f>+'PLAN DE CUENTAS'!A2291</f>
        <v>0</v>
      </c>
      <c r="B2291" s="13">
        <f>+'PLAN DE CUENTAS'!B2291</f>
        <v>0</v>
      </c>
      <c r="C2291" s="13">
        <f>+'PLAN DE CUENTAS'!C2291</f>
        <v>0</v>
      </c>
      <c r="D2291" t="str">
        <f>IF(tbal[[#This Row],[DEBE]]+tbal[[#This Row],[HABER]]=0,"","X")</f>
        <v/>
      </c>
      <c r="E2291" s="16">
        <f>SUMIF(tdiario[CUENTA],tbal[[#This Row],[CUENTA]],tdiario[DEBE])</f>
        <v>0</v>
      </c>
      <c r="F2291" s="17">
        <f>SUMIF(tdiario[CUENTA],tbal[[#This Row],[CUENTA]],tdiario[HABER])</f>
        <v>0</v>
      </c>
      <c r="G2291" s="16">
        <f>IF(tbal[[#This Row],[DEBE]]-tbal[[#This Row],[HABER]]&gt;0,tbal[[#This Row],[DEBE]]-tbal[[#This Row],[HABER]],0)</f>
        <v>0</v>
      </c>
      <c r="H2291" s="18">
        <f>IF(tbal[[#This Row],[HABER]]-tbal[[#This Row],[DEBE]]&gt;0,tbal[[#This Row],[HABER]]-tbal[[#This Row],[DEBE]],0)</f>
        <v>0</v>
      </c>
      <c r="I2291" s="16">
        <f>IF((OR(tbal[[#This Row],[X]]=1,tbal[[#This Row],[X]]=2)),tbal[[#This Row],[DEUDOR]],0)</f>
        <v>0</v>
      </c>
      <c r="J2291" s="18">
        <f>IF((OR(tbal[[#This Row],[X]]=2,tbal[[#This Row],[X]]=3)),tbal[[#This Row],[ACREEDOR]],0)</f>
        <v>0</v>
      </c>
      <c r="K2291" s="16">
        <f>IF((OR(tbal[[#This Row],[X]]=3,tbal[[#This Row],[X]]=5)),tbal[[#This Row],[DEUDOR]],0)</f>
        <v>0</v>
      </c>
      <c r="L2291" s="18">
        <f>IF((OR(tbal[[#This Row],[X]]=3,tbal[[#This Row],[X]]=4)),tbal[[#This Row],[ACREEDOR]],0)</f>
        <v>0</v>
      </c>
      <c r="M2291" s="16">
        <f>IF((OR(tbal[[#This Row],[X]]=0,tbal[[#This Row],[X]]=6)),tbal[[#This Row],[DEUDOR]],0)</f>
        <v>0</v>
      </c>
      <c r="N2291" s="18">
        <f>IF((OR(tbal[[#This Row],[X]]=0,tbal[[#This Row],[X]]=5)),tbal[[#This Row],[ACREEDOR]],0)</f>
        <v>0</v>
      </c>
    </row>
    <row r="2292" spans="1:14" hidden="1" x14ac:dyDescent="0.3">
      <c r="A2292" s="14">
        <f>+'PLAN DE CUENTAS'!A2292</f>
        <v>0</v>
      </c>
      <c r="B2292" s="13">
        <f>+'PLAN DE CUENTAS'!B2292</f>
        <v>0</v>
      </c>
      <c r="C2292" s="13">
        <f>+'PLAN DE CUENTAS'!C2292</f>
        <v>0</v>
      </c>
      <c r="D2292" t="str">
        <f>IF(tbal[[#This Row],[DEBE]]+tbal[[#This Row],[HABER]]=0,"","X")</f>
        <v/>
      </c>
      <c r="E2292" s="16">
        <f>SUMIF(tdiario[CUENTA],tbal[[#This Row],[CUENTA]],tdiario[DEBE])</f>
        <v>0</v>
      </c>
      <c r="F2292" s="17">
        <f>SUMIF(tdiario[CUENTA],tbal[[#This Row],[CUENTA]],tdiario[HABER])</f>
        <v>0</v>
      </c>
      <c r="G2292" s="16">
        <f>IF(tbal[[#This Row],[DEBE]]-tbal[[#This Row],[HABER]]&gt;0,tbal[[#This Row],[DEBE]]-tbal[[#This Row],[HABER]],0)</f>
        <v>0</v>
      </c>
      <c r="H2292" s="18">
        <f>IF(tbal[[#This Row],[HABER]]-tbal[[#This Row],[DEBE]]&gt;0,tbal[[#This Row],[HABER]]-tbal[[#This Row],[DEBE]],0)</f>
        <v>0</v>
      </c>
      <c r="I2292" s="16">
        <f>IF((OR(tbal[[#This Row],[X]]=1,tbal[[#This Row],[X]]=2)),tbal[[#This Row],[DEUDOR]],0)</f>
        <v>0</v>
      </c>
      <c r="J2292" s="18">
        <f>IF((OR(tbal[[#This Row],[X]]=2,tbal[[#This Row],[X]]=3)),tbal[[#This Row],[ACREEDOR]],0)</f>
        <v>0</v>
      </c>
      <c r="K2292" s="16">
        <f>IF((OR(tbal[[#This Row],[X]]=3,tbal[[#This Row],[X]]=5)),tbal[[#This Row],[DEUDOR]],0)</f>
        <v>0</v>
      </c>
      <c r="L2292" s="18">
        <f>IF((OR(tbal[[#This Row],[X]]=3,tbal[[#This Row],[X]]=4)),tbal[[#This Row],[ACREEDOR]],0)</f>
        <v>0</v>
      </c>
      <c r="M2292" s="16">
        <f>IF((OR(tbal[[#This Row],[X]]=0,tbal[[#This Row],[X]]=6)),tbal[[#This Row],[DEUDOR]],0)</f>
        <v>0</v>
      </c>
      <c r="N2292" s="18">
        <f>IF((OR(tbal[[#This Row],[X]]=0,tbal[[#This Row],[X]]=5)),tbal[[#This Row],[ACREEDOR]],0)</f>
        <v>0</v>
      </c>
    </row>
    <row r="2293" spans="1:14" hidden="1" x14ac:dyDescent="0.3">
      <c r="A2293" s="14">
        <f>+'PLAN DE CUENTAS'!A2293</f>
        <v>0</v>
      </c>
      <c r="B2293" s="13">
        <f>+'PLAN DE CUENTAS'!B2293</f>
        <v>0</v>
      </c>
      <c r="C2293" s="13">
        <f>+'PLAN DE CUENTAS'!C2293</f>
        <v>0</v>
      </c>
      <c r="D2293" t="str">
        <f>IF(tbal[[#This Row],[DEBE]]+tbal[[#This Row],[HABER]]=0,"","X")</f>
        <v/>
      </c>
      <c r="E2293" s="16">
        <f>SUMIF(tdiario[CUENTA],tbal[[#This Row],[CUENTA]],tdiario[DEBE])</f>
        <v>0</v>
      </c>
      <c r="F2293" s="17">
        <f>SUMIF(tdiario[CUENTA],tbal[[#This Row],[CUENTA]],tdiario[HABER])</f>
        <v>0</v>
      </c>
      <c r="G2293" s="16">
        <f>IF(tbal[[#This Row],[DEBE]]-tbal[[#This Row],[HABER]]&gt;0,tbal[[#This Row],[DEBE]]-tbal[[#This Row],[HABER]],0)</f>
        <v>0</v>
      </c>
      <c r="H2293" s="18">
        <f>IF(tbal[[#This Row],[HABER]]-tbal[[#This Row],[DEBE]]&gt;0,tbal[[#This Row],[HABER]]-tbal[[#This Row],[DEBE]],0)</f>
        <v>0</v>
      </c>
      <c r="I2293" s="16">
        <f>IF((OR(tbal[[#This Row],[X]]=1,tbal[[#This Row],[X]]=2)),tbal[[#This Row],[DEUDOR]],0)</f>
        <v>0</v>
      </c>
      <c r="J2293" s="18">
        <f>IF((OR(tbal[[#This Row],[X]]=2,tbal[[#This Row],[X]]=3)),tbal[[#This Row],[ACREEDOR]],0)</f>
        <v>0</v>
      </c>
      <c r="K2293" s="16">
        <f>IF((OR(tbal[[#This Row],[X]]=3,tbal[[#This Row],[X]]=5)),tbal[[#This Row],[DEUDOR]],0)</f>
        <v>0</v>
      </c>
      <c r="L2293" s="18">
        <f>IF((OR(tbal[[#This Row],[X]]=3,tbal[[#This Row],[X]]=4)),tbal[[#This Row],[ACREEDOR]],0)</f>
        <v>0</v>
      </c>
      <c r="M2293" s="16">
        <f>IF((OR(tbal[[#This Row],[X]]=0,tbal[[#This Row],[X]]=6)),tbal[[#This Row],[DEUDOR]],0)</f>
        <v>0</v>
      </c>
      <c r="N2293" s="18">
        <f>IF((OR(tbal[[#This Row],[X]]=0,tbal[[#This Row],[X]]=5)),tbal[[#This Row],[ACREEDOR]],0)</f>
        <v>0</v>
      </c>
    </row>
    <row r="2294" spans="1:14" hidden="1" x14ac:dyDescent="0.3">
      <c r="A2294" s="14">
        <f>+'PLAN DE CUENTAS'!A2294</f>
        <v>0</v>
      </c>
      <c r="B2294" s="13">
        <f>+'PLAN DE CUENTAS'!B2294</f>
        <v>0</v>
      </c>
      <c r="C2294" s="13">
        <f>+'PLAN DE CUENTAS'!C2294</f>
        <v>0</v>
      </c>
      <c r="D2294" t="str">
        <f>IF(tbal[[#This Row],[DEBE]]+tbal[[#This Row],[HABER]]=0,"","X")</f>
        <v/>
      </c>
      <c r="E2294" s="16">
        <f>SUMIF(tdiario[CUENTA],tbal[[#This Row],[CUENTA]],tdiario[DEBE])</f>
        <v>0</v>
      </c>
      <c r="F2294" s="17">
        <f>SUMIF(tdiario[CUENTA],tbal[[#This Row],[CUENTA]],tdiario[HABER])</f>
        <v>0</v>
      </c>
      <c r="G2294" s="16">
        <f>IF(tbal[[#This Row],[DEBE]]-tbal[[#This Row],[HABER]]&gt;0,tbal[[#This Row],[DEBE]]-tbal[[#This Row],[HABER]],0)</f>
        <v>0</v>
      </c>
      <c r="H2294" s="18">
        <f>IF(tbal[[#This Row],[HABER]]-tbal[[#This Row],[DEBE]]&gt;0,tbal[[#This Row],[HABER]]-tbal[[#This Row],[DEBE]],0)</f>
        <v>0</v>
      </c>
      <c r="I2294" s="16">
        <f>IF((OR(tbal[[#This Row],[X]]=1,tbal[[#This Row],[X]]=2)),tbal[[#This Row],[DEUDOR]],0)</f>
        <v>0</v>
      </c>
      <c r="J2294" s="18">
        <f>IF((OR(tbal[[#This Row],[X]]=2,tbal[[#This Row],[X]]=3)),tbal[[#This Row],[ACREEDOR]],0)</f>
        <v>0</v>
      </c>
      <c r="K2294" s="16">
        <f>IF((OR(tbal[[#This Row],[X]]=3,tbal[[#This Row],[X]]=5)),tbal[[#This Row],[DEUDOR]],0)</f>
        <v>0</v>
      </c>
      <c r="L2294" s="18">
        <f>IF((OR(tbal[[#This Row],[X]]=3,tbal[[#This Row],[X]]=4)),tbal[[#This Row],[ACREEDOR]],0)</f>
        <v>0</v>
      </c>
      <c r="M2294" s="16">
        <f>IF((OR(tbal[[#This Row],[X]]=0,tbal[[#This Row],[X]]=6)),tbal[[#This Row],[DEUDOR]],0)</f>
        <v>0</v>
      </c>
      <c r="N2294" s="18">
        <f>IF((OR(tbal[[#This Row],[X]]=0,tbal[[#This Row],[X]]=5)),tbal[[#This Row],[ACREEDOR]],0)</f>
        <v>0</v>
      </c>
    </row>
    <row r="2295" spans="1:14" hidden="1" x14ac:dyDescent="0.3">
      <c r="A2295" s="14">
        <f>+'PLAN DE CUENTAS'!A2295</f>
        <v>0</v>
      </c>
      <c r="B2295" s="13">
        <f>+'PLAN DE CUENTAS'!B2295</f>
        <v>0</v>
      </c>
      <c r="C2295" s="13">
        <f>+'PLAN DE CUENTAS'!C2295</f>
        <v>0</v>
      </c>
      <c r="D2295" t="str">
        <f>IF(tbal[[#This Row],[DEBE]]+tbal[[#This Row],[HABER]]=0,"","X")</f>
        <v/>
      </c>
      <c r="E2295" s="16">
        <f>SUMIF(tdiario[CUENTA],tbal[[#This Row],[CUENTA]],tdiario[DEBE])</f>
        <v>0</v>
      </c>
      <c r="F2295" s="17">
        <f>SUMIF(tdiario[CUENTA],tbal[[#This Row],[CUENTA]],tdiario[HABER])</f>
        <v>0</v>
      </c>
      <c r="G2295" s="16">
        <f>IF(tbal[[#This Row],[DEBE]]-tbal[[#This Row],[HABER]]&gt;0,tbal[[#This Row],[DEBE]]-tbal[[#This Row],[HABER]],0)</f>
        <v>0</v>
      </c>
      <c r="H2295" s="18">
        <f>IF(tbal[[#This Row],[HABER]]-tbal[[#This Row],[DEBE]]&gt;0,tbal[[#This Row],[HABER]]-tbal[[#This Row],[DEBE]],0)</f>
        <v>0</v>
      </c>
      <c r="I2295" s="16">
        <f>IF((OR(tbal[[#This Row],[X]]=1,tbal[[#This Row],[X]]=2)),tbal[[#This Row],[DEUDOR]],0)</f>
        <v>0</v>
      </c>
      <c r="J2295" s="18">
        <f>IF((OR(tbal[[#This Row],[X]]=2,tbal[[#This Row],[X]]=3)),tbal[[#This Row],[ACREEDOR]],0)</f>
        <v>0</v>
      </c>
      <c r="K2295" s="16">
        <f>IF((OR(tbal[[#This Row],[X]]=3,tbal[[#This Row],[X]]=5)),tbal[[#This Row],[DEUDOR]],0)</f>
        <v>0</v>
      </c>
      <c r="L2295" s="18">
        <f>IF((OR(tbal[[#This Row],[X]]=3,tbal[[#This Row],[X]]=4)),tbal[[#This Row],[ACREEDOR]],0)</f>
        <v>0</v>
      </c>
      <c r="M2295" s="16">
        <f>IF((OR(tbal[[#This Row],[X]]=0,tbal[[#This Row],[X]]=6)),tbal[[#This Row],[DEUDOR]],0)</f>
        <v>0</v>
      </c>
      <c r="N2295" s="18">
        <f>IF((OR(tbal[[#This Row],[X]]=0,tbal[[#This Row],[X]]=5)),tbal[[#This Row],[ACREEDOR]],0)</f>
        <v>0</v>
      </c>
    </row>
    <row r="2296" spans="1:14" hidden="1" x14ac:dyDescent="0.3">
      <c r="A2296" s="14">
        <f>+'PLAN DE CUENTAS'!A2296</f>
        <v>0</v>
      </c>
      <c r="B2296" s="13">
        <f>+'PLAN DE CUENTAS'!B2296</f>
        <v>0</v>
      </c>
      <c r="C2296" s="13">
        <f>+'PLAN DE CUENTAS'!C2296</f>
        <v>0</v>
      </c>
      <c r="D2296" t="str">
        <f>IF(tbal[[#This Row],[DEBE]]+tbal[[#This Row],[HABER]]=0,"","X")</f>
        <v/>
      </c>
      <c r="E2296" s="16">
        <f>SUMIF(tdiario[CUENTA],tbal[[#This Row],[CUENTA]],tdiario[DEBE])</f>
        <v>0</v>
      </c>
      <c r="F2296" s="17">
        <f>SUMIF(tdiario[CUENTA],tbal[[#This Row],[CUENTA]],tdiario[HABER])</f>
        <v>0</v>
      </c>
      <c r="G2296" s="16">
        <f>IF(tbal[[#This Row],[DEBE]]-tbal[[#This Row],[HABER]]&gt;0,tbal[[#This Row],[DEBE]]-tbal[[#This Row],[HABER]],0)</f>
        <v>0</v>
      </c>
      <c r="H2296" s="18">
        <f>IF(tbal[[#This Row],[HABER]]-tbal[[#This Row],[DEBE]]&gt;0,tbal[[#This Row],[HABER]]-tbal[[#This Row],[DEBE]],0)</f>
        <v>0</v>
      </c>
      <c r="I2296" s="16">
        <f>IF((OR(tbal[[#This Row],[X]]=1,tbal[[#This Row],[X]]=2)),tbal[[#This Row],[DEUDOR]],0)</f>
        <v>0</v>
      </c>
      <c r="J2296" s="18">
        <f>IF((OR(tbal[[#This Row],[X]]=2,tbal[[#This Row],[X]]=3)),tbal[[#This Row],[ACREEDOR]],0)</f>
        <v>0</v>
      </c>
      <c r="K2296" s="16">
        <f>IF((OR(tbal[[#This Row],[X]]=3,tbal[[#This Row],[X]]=5)),tbal[[#This Row],[DEUDOR]],0)</f>
        <v>0</v>
      </c>
      <c r="L2296" s="18">
        <f>IF((OR(tbal[[#This Row],[X]]=3,tbal[[#This Row],[X]]=4)),tbal[[#This Row],[ACREEDOR]],0)</f>
        <v>0</v>
      </c>
      <c r="M2296" s="16">
        <f>IF((OR(tbal[[#This Row],[X]]=0,tbal[[#This Row],[X]]=6)),tbal[[#This Row],[DEUDOR]],0)</f>
        <v>0</v>
      </c>
      <c r="N2296" s="18">
        <f>IF((OR(tbal[[#This Row],[X]]=0,tbal[[#This Row],[X]]=5)),tbal[[#This Row],[ACREEDOR]],0)</f>
        <v>0</v>
      </c>
    </row>
    <row r="2297" spans="1:14" hidden="1" x14ac:dyDescent="0.3">
      <c r="A2297" s="14">
        <f>+'PLAN DE CUENTAS'!A2297</f>
        <v>0</v>
      </c>
      <c r="B2297" s="13">
        <f>+'PLAN DE CUENTAS'!B2297</f>
        <v>0</v>
      </c>
      <c r="C2297" s="13">
        <f>+'PLAN DE CUENTAS'!C2297</f>
        <v>0</v>
      </c>
      <c r="D2297" t="str">
        <f>IF(tbal[[#This Row],[DEBE]]+tbal[[#This Row],[HABER]]=0,"","X")</f>
        <v/>
      </c>
      <c r="E2297" s="16">
        <f>SUMIF(tdiario[CUENTA],tbal[[#This Row],[CUENTA]],tdiario[DEBE])</f>
        <v>0</v>
      </c>
      <c r="F2297" s="17">
        <f>SUMIF(tdiario[CUENTA],tbal[[#This Row],[CUENTA]],tdiario[HABER])</f>
        <v>0</v>
      </c>
      <c r="G2297" s="16">
        <f>IF(tbal[[#This Row],[DEBE]]-tbal[[#This Row],[HABER]]&gt;0,tbal[[#This Row],[DEBE]]-tbal[[#This Row],[HABER]],0)</f>
        <v>0</v>
      </c>
      <c r="H2297" s="18">
        <f>IF(tbal[[#This Row],[HABER]]-tbal[[#This Row],[DEBE]]&gt;0,tbal[[#This Row],[HABER]]-tbal[[#This Row],[DEBE]],0)</f>
        <v>0</v>
      </c>
      <c r="I2297" s="16">
        <f>IF((OR(tbal[[#This Row],[X]]=1,tbal[[#This Row],[X]]=2)),tbal[[#This Row],[DEUDOR]],0)</f>
        <v>0</v>
      </c>
      <c r="J2297" s="18">
        <f>IF((OR(tbal[[#This Row],[X]]=2,tbal[[#This Row],[X]]=3)),tbal[[#This Row],[ACREEDOR]],0)</f>
        <v>0</v>
      </c>
      <c r="K2297" s="16">
        <f>IF((OR(tbal[[#This Row],[X]]=3,tbal[[#This Row],[X]]=5)),tbal[[#This Row],[DEUDOR]],0)</f>
        <v>0</v>
      </c>
      <c r="L2297" s="18">
        <f>IF((OR(tbal[[#This Row],[X]]=3,tbal[[#This Row],[X]]=4)),tbal[[#This Row],[ACREEDOR]],0)</f>
        <v>0</v>
      </c>
      <c r="M2297" s="16">
        <f>IF((OR(tbal[[#This Row],[X]]=0,tbal[[#This Row],[X]]=6)),tbal[[#This Row],[DEUDOR]],0)</f>
        <v>0</v>
      </c>
      <c r="N2297" s="18">
        <f>IF((OR(tbal[[#This Row],[X]]=0,tbal[[#This Row],[X]]=5)),tbal[[#This Row],[ACREEDOR]],0)</f>
        <v>0</v>
      </c>
    </row>
    <row r="2298" spans="1:14" hidden="1" x14ac:dyDescent="0.3">
      <c r="A2298" s="14">
        <f>+'PLAN DE CUENTAS'!A2298</f>
        <v>0</v>
      </c>
      <c r="B2298" s="13">
        <f>+'PLAN DE CUENTAS'!B2298</f>
        <v>0</v>
      </c>
      <c r="C2298" s="13">
        <f>+'PLAN DE CUENTAS'!C2298</f>
        <v>0</v>
      </c>
      <c r="D2298" t="str">
        <f>IF(tbal[[#This Row],[DEBE]]+tbal[[#This Row],[HABER]]=0,"","X")</f>
        <v/>
      </c>
      <c r="E2298" s="16">
        <f>SUMIF(tdiario[CUENTA],tbal[[#This Row],[CUENTA]],tdiario[DEBE])</f>
        <v>0</v>
      </c>
      <c r="F2298" s="17">
        <f>SUMIF(tdiario[CUENTA],tbal[[#This Row],[CUENTA]],tdiario[HABER])</f>
        <v>0</v>
      </c>
      <c r="G2298" s="16">
        <f>IF(tbal[[#This Row],[DEBE]]-tbal[[#This Row],[HABER]]&gt;0,tbal[[#This Row],[DEBE]]-tbal[[#This Row],[HABER]],0)</f>
        <v>0</v>
      </c>
      <c r="H2298" s="18">
        <f>IF(tbal[[#This Row],[HABER]]-tbal[[#This Row],[DEBE]]&gt;0,tbal[[#This Row],[HABER]]-tbal[[#This Row],[DEBE]],0)</f>
        <v>0</v>
      </c>
      <c r="I2298" s="16">
        <f>IF((OR(tbal[[#This Row],[X]]=1,tbal[[#This Row],[X]]=2)),tbal[[#This Row],[DEUDOR]],0)</f>
        <v>0</v>
      </c>
      <c r="J2298" s="18">
        <f>IF((OR(tbal[[#This Row],[X]]=2,tbal[[#This Row],[X]]=3)),tbal[[#This Row],[ACREEDOR]],0)</f>
        <v>0</v>
      </c>
      <c r="K2298" s="16">
        <f>IF((OR(tbal[[#This Row],[X]]=3,tbal[[#This Row],[X]]=5)),tbal[[#This Row],[DEUDOR]],0)</f>
        <v>0</v>
      </c>
      <c r="L2298" s="18">
        <f>IF((OR(tbal[[#This Row],[X]]=3,tbal[[#This Row],[X]]=4)),tbal[[#This Row],[ACREEDOR]],0)</f>
        <v>0</v>
      </c>
      <c r="M2298" s="16">
        <f>IF((OR(tbal[[#This Row],[X]]=0,tbal[[#This Row],[X]]=6)),tbal[[#This Row],[DEUDOR]],0)</f>
        <v>0</v>
      </c>
      <c r="N2298" s="18">
        <f>IF((OR(tbal[[#This Row],[X]]=0,tbal[[#This Row],[X]]=5)),tbal[[#This Row],[ACREEDOR]],0)</f>
        <v>0</v>
      </c>
    </row>
    <row r="2299" spans="1:14" hidden="1" x14ac:dyDescent="0.3">
      <c r="A2299" s="14">
        <f>+'PLAN DE CUENTAS'!A2299</f>
        <v>0</v>
      </c>
      <c r="B2299" s="13">
        <f>+'PLAN DE CUENTAS'!B2299</f>
        <v>0</v>
      </c>
      <c r="C2299" s="13">
        <f>+'PLAN DE CUENTAS'!C2299</f>
        <v>0</v>
      </c>
      <c r="D2299" t="str">
        <f>IF(tbal[[#This Row],[DEBE]]+tbal[[#This Row],[HABER]]=0,"","X")</f>
        <v/>
      </c>
      <c r="E2299" s="16">
        <f>SUMIF(tdiario[CUENTA],tbal[[#This Row],[CUENTA]],tdiario[DEBE])</f>
        <v>0</v>
      </c>
      <c r="F2299" s="17">
        <f>SUMIF(tdiario[CUENTA],tbal[[#This Row],[CUENTA]],tdiario[HABER])</f>
        <v>0</v>
      </c>
      <c r="G2299" s="16">
        <f>IF(tbal[[#This Row],[DEBE]]-tbal[[#This Row],[HABER]]&gt;0,tbal[[#This Row],[DEBE]]-tbal[[#This Row],[HABER]],0)</f>
        <v>0</v>
      </c>
      <c r="H2299" s="18">
        <f>IF(tbal[[#This Row],[HABER]]-tbal[[#This Row],[DEBE]]&gt;0,tbal[[#This Row],[HABER]]-tbal[[#This Row],[DEBE]],0)</f>
        <v>0</v>
      </c>
      <c r="I2299" s="16">
        <f>IF((OR(tbal[[#This Row],[X]]=1,tbal[[#This Row],[X]]=2)),tbal[[#This Row],[DEUDOR]],0)</f>
        <v>0</v>
      </c>
      <c r="J2299" s="18">
        <f>IF((OR(tbal[[#This Row],[X]]=2,tbal[[#This Row],[X]]=3)),tbal[[#This Row],[ACREEDOR]],0)</f>
        <v>0</v>
      </c>
      <c r="K2299" s="16">
        <f>IF((OR(tbal[[#This Row],[X]]=3,tbal[[#This Row],[X]]=5)),tbal[[#This Row],[DEUDOR]],0)</f>
        <v>0</v>
      </c>
      <c r="L2299" s="18">
        <f>IF((OR(tbal[[#This Row],[X]]=3,tbal[[#This Row],[X]]=4)),tbal[[#This Row],[ACREEDOR]],0)</f>
        <v>0</v>
      </c>
      <c r="M2299" s="16">
        <f>IF((OR(tbal[[#This Row],[X]]=0,tbal[[#This Row],[X]]=6)),tbal[[#This Row],[DEUDOR]],0)</f>
        <v>0</v>
      </c>
      <c r="N2299" s="18">
        <f>IF((OR(tbal[[#This Row],[X]]=0,tbal[[#This Row],[X]]=5)),tbal[[#This Row],[ACREEDOR]],0)</f>
        <v>0</v>
      </c>
    </row>
    <row r="2300" spans="1:14" hidden="1" x14ac:dyDescent="0.3">
      <c r="A2300" s="14">
        <f>+'PLAN DE CUENTAS'!A2300</f>
        <v>0</v>
      </c>
      <c r="B2300" s="13">
        <f>+'PLAN DE CUENTAS'!B2300</f>
        <v>0</v>
      </c>
      <c r="C2300" s="13">
        <f>+'PLAN DE CUENTAS'!C2300</f>
        <v>0</v>
      </c>
      <c r="D2300" t="str">
        <f>IF(tbal[[#This Row],[DEBE]]+tbal[[#This Row],[HABER]]=0,"","X")</f>
        <v/>
      </c>
      <c r="E2300" s="16">
        <f>SUMIF(tdiario[CUENTA],tbal[[#This Row],[CUENTA]],tdiario[DEBE])</f>
        <v>0</v>
      </c>
      <c r="F2300" s="17">
        <f>SUMIF(tdiario[CUENTA],tbal[[#This Row],[CUENTA]],tdiario[HABER])</f>
        <v>0</v>
      </c>
      <c r="G2300" s="16">
        <f>IF(tbal[[#This Row],[DEBE]]-tbal[[#This Row],[HABER]]&gt;0,tbal[[#This Row],[DEBE]]-tbal[[#This Row],[HABER]],0)</f>
        <v>0</v>
      </c>
      <c r="H2300" s="18">
        <f>IF(tbal[[#This Row],[HABER]]-tbal[[#This Row],[DEBE]]&gt;0,tbal[[#This Row],[HABER]]-tbal[[#This Row],[DEBE]],0)</f>
        <v>0</v>
      </c>
      <c r="I2300" s="16">
        <f>IF((OR(tbal[[#This Row],[X]]=1,tbal[[#This Row],[X]]=2)),tbal[[#This Row],[DEUDOR]],0)</f>
        <v>0</v>
      </c>
      <c r="J2300" s="18">
        <f>IF((OR(tbal[[#This Row],[X]]=2,tbal[[#This Row],[X]]=3)),tbal[[#This Row],[ACREEDOR]],0)</f>
        <v>0</v>
      </c>
      <c r="K2300" s="16">
        <f>IF((OR(tbal[[#This Row],[X]]=3,tbal[[#This Row],[X]]=5)),tbal[[#This Row],[DEUDOR]],0)</f>
        <v>0</v>
      </c>
      <c r="L2300" s="18">
        <f>IF((OR(tbal[[#This Row],[X]]=3,tbal[[#This Row],[X]]=4)),tbal[[#This Row],[ACREEDOR]],0)</f>
        <v>0</v>
      </c>
      <c r="M2300" s="16">
        <f>IF((OR(tbal[[#This Row],[X]]=0,tbal[[#This Row],[X]]=6)),tbal[[#This Row],[DEUDOR]],0)</f>
        <v>0</v>
      </c>
      <c r="N2300" s="18">
        <f>IF((OR(tbal[[#This Row],[X]]=0,tbal[[#This Row],[X]]=5)),tbal[[#This Row],[ACREEDOR]],0)</f>
        <v>0</v>
      </c>
    </row>
    <row r="2301" spans="1:14" hidden="1" x14ac:dyDescent="0.3">
      <c r="A2301" s="14">
        <f>+'PLAN DE CUENTAS'!A2301</f>
        <v>0</v>
      </c>
      <c r="B2301" s="13">
        <f>+'PLAN DE CUENTAS'!B2301</f>
        <v>0</v>
      </c>
      <c r="C2301" s="13">
        <f>+'PLAN DE CUENTAS'!C2301</f>
        <v>0</v>
      </c>
      <c r="D2301" t="str">
        <f>IF(tbal[[#This Row],[DEBE]]+tbal[[#This Row],[HABER]]=0,"","X")</f>
        <v/>
      </c>
      <c r="E2301" s="16">
        <f>SUMIF(tdiario[CUENTA],tbal[[#This Row],[CUENTA]],tdiario[DEBE])</f>
        <v>0</v>
      </c>
      <c r="F2301" s="17">
        <f>SUMIF(tdiario[CUENTA],tbal[[#This Row],[CUENTA]],tdiario[HABER])</f>
        <v>0</v>
      </c>
      <c r="G2301" s="16">
        <f>IF(tbal[[#This Row],[DEBE]]-tbal[[#This Row],[HABER]]&gt;0,tbal[[#This Row],[DEBE]]-tbal[[#This Row],[HABER]],0)</f>
        <v>0</v>
      </c>
      <c r="H2301" s="18">
        <f>IF(tbal[[#This Row],[HABER]]-tbal[[#This Row],[DEBE]]&gt;0,tbal[[#This Row],[HABER]]-tbal[[#This Row],[DEBE]],0)</f>
        <v>0</v>
      </c>
      <c r="I2301" s="16">
        <f>IF((OR(tbal[[#This Row],[X]]=1,tbal[[#This Row],[X]]=2)),tbal[[#This Row],[DEUDOR]],0)</f>
        <v>0</v>
      </c>
      <c r="J2301" s="18">
        <f>IF((OR(tbal[[#This Row],[X]]=2,tbal[[#This Row],[X]]=3)),tbal[[#This Row],[ACREEDOR]],0)</f>
        <v>0</v>
      </c>
      <c r="K2301" s="16">
        <f>IF((OR(tbal[[#This Row],[X]]=3,tbal[[#This Row],[X]]=5)),tbal[[#This Row],[DEUDOR]],0)</f>
        <v>0</v>
      </c>
      <c r="L2301" s="18">
        <f>IF((OR(tbal[[#This Row],[X]]=3,tbal[[#This Row],[X]]=4)),tbal[[#This Row],[ACREEDOR]],0)</f>
        <v>0</v>
      </c>
      <c r="M2301" s="16">
        <f>IF((OR(tbal[[#This Row],[X]]=0,tbal[[#This Row],[X]]=6)),tbal[[#This Row],[DEUDOR]],0)</f>
        <v>0</v>
      </c>
      <c r="N2301" s="18">
        <f>IF((OR(tbal[[#This Row],[X]]=0,tbal[[#This Row],[X]]=5)),tbal[[#This Row],[ACREEDOR]],0)</f>
        <v>0</v>
      </c>
    </row>
    <row r="2302" spans="1:14" hidden="1" x14ac:dyDescent="0.3">
      <c r="A2302" s="14">
        <f>+'PLAN DE CUENTAS'!A2302</f>
        <v>0</v>
      </c>
      <c r="B2302" s="13">
        <f>+'PLAN DE CUENTAS'!B2302</f>
        <v>0</v>
      </c>
      <c r="C2302" s="13">
        <f>+'PLAN DE CUENTAS'!C2302</f>
        <v>0</v>
      </c>
      <c r="D2302" t="str">
        <f>IF(tbal[[#This Row],[DEBE]]+tbal[[#This Row],[HABER]]=0,"","X")</f>
        <v/>
      </c>
      <c r="E2302" s="16">
        <f>SUMIF(tdiario[CUENTA],tbal[[#This Row],[CUENTA]],tdiario[DEBE])</f>
        <v>0</v>
      </c>
      <c r="F2302" s="17">
        <f>SUMIF(tdiario[CUENTA],tbal[[#This Row],[CUENTA]],tdiario[HABER])</f>
        <v>0</v>
      </c>
      <c r="G2302" s="16">
        <f>IF(tbal[[#This Row],[DEBE]]-tbal[[#This Row],[HABER]]&gt;0,tbal[[#This Row],[DEBE]]-tbal[[#This Row],[HABER]],0)</f>
        <v>0</v>
      </c>
      <c r="H2302" s="18">
        <f>IF(tbal[[#This Row],[HABER]]-tbal[[#This Row],[DEBE]]&gt;0,tbal[[#This Row],[HABER]]-tbal[[#This Row],[DEBE]],0)</f>
        <v>0</v>
      </c>
      <c r="I2302" s="16">
        <f>IF((OR(tbal[[#This Row],[X]]=1,tbal[[#This Row],[X]]=2)),tbal[[#This Row],[DEUDOR]],0)</f>
        <v>0</v>
      </c>
      <c r="J2302" s="18">
        <f>IF((OR(tbal[[#This Row],[X]]=2,tbal[[#This Row],[X]]=3)),tbal[[#This Row],[ACREEDOR]],0)</f>
        <v>0</v>
      </c>
      <c r="K2302" s="16">
        <f>IF((OR(tbal[[#This Row],[X]]=3,tbal[[#This Row],[X]]=5)),tbal[[#This Row],[DEUDOR]],0)</f>
        <v>0</v>
      </c>
      <c r="L2302" s="18">
        <f>IF((OR(tbal[[#This Row],[X]]=3,tbal[[#This Row],[X]]=4)),tbal[[#This Row],[ACREEDOR]],0)</f>
        <v>0</v>
      </c>
      <c r="M2302" s="16">
        <f>IF((OR(tbal[[#This Row],[X]]=0,tbal[[#This Row],[X]]=6)),tbal[[#This Row],[DEUDOR]],0)</f>
        <v>0</v>
      </c>
      <c r="N2302" s="18">
        <f>IF((OR(tbal[[#This Row],[X]]=0,tbal[[#This Row],[X]]=5)),tbal[[#This Row],[ACREEDOR]],0)</f>
        <v>0</v>
      </c>
    </row>
    <row r="2303" spans="1:14" hidden="1" x14ac:dyDescent="0.3">
      <c r="A2303" s="14">
        <f>+'PLAN DE CUENTAS'!A2303</f>
        <v>0</v>
      </c>
      <c r="B2303" s="13">
        <f>+'PLAN DE CUENTAS'!B2303</f>
        <v>0</v>
      </c>
      <c r="C2303" s="13">
        <f>+'PLAN DE CUENTAS'!C2303</f>
        <v>0</v>
      </c>
      <c r="D2303" t="str">
        <f>IF(tbal[[#This Row],[DEBE]]+tbal[[#This Row],[HABER]]=0,"","X")</f>
        <v/>
      </c>
      <c r="E2303" s="16">
        <f>SUMIF(tdiario[CUENTA],tbal[[#This Row],[CUENTA]],tdiario[DEBE])</f>
        <v>0</v>
      </c>
      <c r="F2303" s="17">
        <f>SUMIF(tdiario[CUENTA],tbal[[#This Row],[CUENTA]],tdiario[HABER])</f>
        <v>0</v>
      </c>
      <c r="G2303" s="16">
        <f>IF(tbal[[#This Row],[DEBE]]-tbal[[#This Row],[HABER]]&gt;0,tbal[[#This Row],[DEBE]]-tbal[[#This Row],[HABER]],0)</f>
        <v>0</v>
      </c>
      <c r="H2303" s="18">
        <f>IF(tbal[[#This Row],[HABER]]-tbal[[#This Row],[DEBE]]&gt;0,tbal[[#This Row],[HABER]]-tbal[[#This Row],[DEBE]],0)</f>
        <v>0</v>
      </c>
      <c r="I2303" s="16">
        <f>IF((OR(tbal[[#This Row],[X]]=1,tbal[[#This Row],[X]]=2)),tbal[[#This Row],[DEUDOR]],0)</f>
        <v>0</v>
      </c>
      <c r="J2303" s="18">
        <f>IF((OR(tbal[[#This Row],[X]]=2,tbal[[#This Row],[X]]=3)),tbal[[#This Row],[ACREEDOR]],0)</f>
        <v>0</v>
      </c>
      <c r="K2303" s="16">
        <f>IF((OR(tbal[[#This Row],[X]]=3,tbal[[#This Row],[X]]=5)),tbal[[#This Row],[DEUDOR]],0)</f>
        <v>0</v>
      </c>
      <c r="L2303" s="18">
        <f>IF((OR(tbal[[#This Row],[X]]=3,tbal[[#This Row],[X]]=4)),tbal[[#This Row],[ACREEDOR]],0)</f>
        <v>0</v>
      </c>
      <c r="M2303" s="16">
        <f>IF((OR(tbal[[#This Row],[X]]=0,tbal[[#This Row],[X]]=6)),tbal[[#This Row],[DEUDOR]],0)</f>
        <v>0</v>
      </c>
      <c r="N2303" s="18">
        <f>IF((OR(tbal[[#This Row],[X]]=0,tbal[[#This Row],[X]]=5)),tbal[[#This Row],[ACREEDOR]],0)</f>
        <v>0</v>
      </c>
    </row>
    <row r="2304" spans="1:14" hidden="1" x14ac:dyDescent="0.3">
      <c r="A2304" s="14">
        <f>+'PLAN DE CUENTAS'!A2304</f>
        <v>0</v>
      </c>
      <c r="B2304" s="13">
        <f>+'PLAN DE CUENTAS'!B2304</f>
        <v>0</v>
      </c>
      <c r="C2304" s="13">
        <f>+'PLAN DE CUENTAS'!C2304</f>
        <v>0</v>
      </c>
      <c r="D2304" t="str">
        <f>IF(tbal[[#This Row],[DEBE]]+tbal[[#This Row],[HABER]]=0,"","X")</f>
        <v/>
      </c>
      <c r="E2304" s="16">
        <f>SUMIF(tdiario[CUENTA],tbal[[#This Row],[CUENTA]],tdiario[DEBE])</f>
        <v>0</v>
      </c>
      <c r="F2304" s="17">
        <f>SUMIF(tdiario[CUENTA],tbal[[#This Row],[CUENTA]],tdiario[HABER])</f>
        <v>0</v>
      </c>
      <c r="G2304" s="16">
        <f>IF(tbal[[#This Row],[DEBE]]-tbal[[#This Row],[HABER]]&gt;0,tbal[[#This Row],[DEBE]]-tbal[[#This Row],[HABER]],0)</f>
        <v>0</v>
      </c>
      <c r="H2304" s="18">
        <f>IF(tbal[[#This Row],[HABER]]-tbal[[#This Row],[DEBE]]&gt;0,tbal[[#This Row],[HABER]]-tbal[[#This Row],[DEBE]],0)</f>
        <v>0</v>
      </c>
      <c r="I2304" s="16">
        <f>IF((OR(tbal[[#This Row],[X]]=1,tbal[[#This Row],[X]]=2)),tbal[[#This Row],[DEUDOR]],0)</f>
        <v>0</v>
      </c>
      <c r="J2304" s="18">
        <f>IF((OR(tbal[[#This Row],[X]]=2,tbal[[#This Row],[X]]=3)),tbal[[#This Row],[ACREEDOR]],0)</f>
        <v>0</v>
      </c>
      <c r="K2304" s="16">
        <f>IF((OR(tbal[[#This Row],[X]]=3,tbal[[#This Row],[X]]=5)),tbal[[#This Row],[DEUDOR]],0)</f>
        <v>0</v>
      </c>
      <c r="L2304" s="18">
        <f>IF((OR(tbal[[#This Row],[X]]=3,tbal[[#This Row],[X]]=4)),tbal[[#This Row],[ACREEDOR]],0)</f>
        <v>0</v>
      </c>
      <c r="M2304" s="16">
        <f>IF((OR(tbal[[#This Row],[X]]=0,tbal[[#This Row],[X]]=6)),tbal[[#This Row],[DEUDOR]],0)</f>
        <v>0</v>
      </c>
      <c r="N2304" s="18">
        <f>IF((OR(tbal[[#This Row],[X]]=0,tbal[[#This Row],[X]]=5)),tbal[[#This Row],[ACREEDOR]],0)</f>
        <v>0</v>
      </c>
    </row>
    <row r="2305" spans="1:14" hidden="1" x14ac:dyDescent="0.3">
      <c r="A2305" s="14">
        <f>+'PLAN DE CUENTAS'!A2305</f>
        <v>0</v>
      </c>
      <c r="B2305" s="13">
        <f>+'PLAN DE CUENTAS'!B2305</f>
        <v>0</v>
      </c>
      <c r="C2305" s="13">
        <f>+'PLAN DE CUENTAS'!C2305</f>
        <v>0</v>
      </c>
      <c r="D2305" t="str">
        <f>IF(tbal[[#This Row],[DEBE]]+tbal[[#This Row],[HABER]]=0,"","X")</f>
        <v/>
      </c>
      <c r="E2305" s="16">
        <f>SUMIF(tdiario[CUENTA],tbal[[#This Row],[CUENTA]],tdiario[DEBE])</f>
        <v>0</v>
      </c>
      <c r="F2305" s="17">
        <f>SUMIF(tdiario[CUENTA],tbal[[#This Row],[CUENTA]],tdiario[HABER])</f>
        <v>0</v>
      </c>
      <c r="G2305" s="16">
        <f>IF(tbal[[#This Row],[DEBE]]-tbal[[#This Row],[HABER]]&gt;0,tbal[[#This Row],[DEBE]]-tbal[[#This Row],[HABER]],0)</f>
        <v>0</v>
      </c>
      <c r="H2305" s="18">
        <f>IF(tbal[[#This Row],[HABER]]-tbal[[#This Row],[DEBE]]&gt;0,tbal[[#This Row],[HABER]]-tbal[[#This Row],[DEBE]],0)</f>
        <v>0</v>
      </c>
      <c r="I2305" s="16">
        <f>IF((OR(tbal[[#This Row],[X]]=1,tbal[[#This Row],[X]]=2)),tbal[[#This Row],[DEUDOR]],0)</f>
        <v>0</v>
      </c>
      <c r="J2305" s="18">
        <f>IF((OR(tbal[[#This Row],[X]]=2,tbal[[#This Row],[X]]=3)),tbal[[#This Row],[ACREEDOR]],0)</f>
        <v>0</v>
      </c>
      <c r="K2305" s="16">
        <f>IF((OR(tbal[[#This Row],[X]]=3,tbal[[#This Row],[X]]=5)),tbal[[#This Row],[DEUDOR]],0)</f>
        <v>0</v>
      </c>
      <c r="L2305" s="18">
        <f>IF((OR(tbal[[#This Row],[X]]=3,tbal[[#This Row],[X]]=4)),tbal[[#This Row],[ACREEDOR]],0)</f>
        <v>0</v>
      </c>
      <c r="M2305" s="16">
        <f>IF((OR(tbal[[#This Row],[X]]=0,tbal[[#This Row],[X]]=6)),tbal[[#This Row],[DEUDOR]],0)</f>
        <v>0</v>
      </c>
      <c r="N2305" s="18">
        <f>IF((OR(tbal[[#This Row],[X]]=0,tbal[[#This Row],[X]]=5)),tbal[[#This Row],[ACREEDOR]],0)</f>
        <v>0</v>
      </c>
    </row>
    <row r="2306" spans="1:14" hidden="1" x14ac:dyDescent="0.3">
      <c r="A2306" s="14">
        <f>+'PLAN DE CUENTAS'!A2306</f>
        <v>0</v>
      </c>
      <c r="B2306" s="13">
        <f>+'PLAN DE CUENTAS'!B2306</f>
        <v>0</v>
      </c>
      <c r="C2306" s="13">
        <f>+'PLAN DE CUENTAS'!C2306</f>
        <v>0</v>
      </c>
      <c r="D2306" t="str">
        <f>IF(tbal[[#This Row],[DEBE]]+tbal[[#This Row],[HABER]]=0,"","X")</f>
        <v/>
      </c>
      <c r="E2306" s="16">
        <f>SUMIF(tdiario[CUENTA],tbal[[#This Row],[CUENTA]],tdiario[DEBE])</f>
        <v>0</v>
      </c>
      <c r="F2306" s="17">
        <f>SUMIF(tdiario[CUENTA],tbal[[#This Row],[CUENTA]],tdiario[HABER])</f>
        <v>0</v>
      </c>
      <c r="G2306" s="16">
        <f>IF(tbal[[#This Row],[DEBE]]-tbal[[#This Row],[HABER]]&gt;0,tbal[[#This Row],[DEBE]]-tbal[[#This Row],[HABER]],0)</f>
        <v>0</v>
      </c>
      <c r="H2306" s="18">
        <f>IF(tbal[[#This Row],[HABER]]-tbal[[#This Row],[DEBE]]&gt;0,tbal[[#This Row],[HABER]]-tbal[[#This Row],[DEBE]],0)</f>
        <v>0</v>
      </c>
      <c r="I2306" s="16">
        <f>IF((OR(tbal[[#This Row],[X]]=1,tbal[[#This Row],[X]]=2)),tbal[[#This Row],[DEUDOR]],0)</f>
        <v>0</v>
      </c>
      <c r="J2306" s="18">
        <f>IF((OR(tbal[[#This Row],[X]]=2,tbal[[#This Row],[X]]=3)),tbal[[#This Row],[ACREEDOR]],0)</f>
        <v>0</v>
      </c>
      <c r="K2306" s="16">
        <f>IF((OR(tbal[[#This Row],[X]]=3,tbal[[#This Row],[X]]=5)),tbal[[#This Row],[DEUDOR]],0)</f>
        <v>0</v>
      </c>
      <c r="L2306" s="18">
        <f>IF((OR(tbal[[#This Row],[X]]=3,tbal[[#This Row],[X]]=4)),tbal[[#This Row],[ACREEDOR]],0)</f>
        <v>0</v>
      </c>
      <c r="M2306" s="16">
        <f>IF((OR(tbal[[#This Row],[X]]=0,tbal[[#This Row],[X]]=6)),tbal[[#This Row],[DEUDOR]],0)</f>
        <v>0</v>
      </c>
      <c r="N2306" s="18">
        <f>IF((OR(tbal[[#This Row],[X]]=0,tbal[[#This Row],[X]]=5)),tbal[[#This Row],[ACREEDOR]],0)</f>
        <v>0</v>
      </c>
    </row>
    <row r="2307" spans="1:14" hidden="1" x14ac:dyDescent="0.3">
      <c r="A2307" s="14">
        <f>+'PLAN DE CUENTAS'!A2307</f>
        <v>0</v>
      </c>
      <c r="B2307" s="13">
        <f>+'PLAN DE CUENTAS'!B2307</f>
        <v>0</v>
      </c>
      <c r="C2307" s="13">
        <f>+'PLAN DE CUENTAS'!C2307</f>
        <v>0</v>
      </c>
      <c r="D2307" t="str">
        <f>IF(tbal[[#This Row],[DEBE]]+tbal[[#This Row],[HABER]]=0,"","X")</f>
        <v/>
      </c>
      <c r="E2307" s="16">
        <f>SUMIF(tdiario[CUENTA],tbal[[#This Row],[CUENTA]],tdiario[DEBE])</f>
        <v>0</v>
      </c>
      <c r="F2307" s="17">
        <f>SUMIF(tdiario[CUENTA],tbal[[#This Row],[CUENTA]],tdiario[HABER])</f>
        <v>0</v>
      </c>
      <c r="G2307" s="16">
        <f>IF(tbal[[#This Row],[DEBE]]-tbal[[#This Row],[HABER]]&gt;0,tbal[[#This Row],[DEBE]]-tbal[[#This Row],[HABER]],0)</f>
        <v>0</v>
      </c>
      <c r="H2307" s="18">
        <f>IF(tbal[[#This Row],[HABER]]-tbal[[#This Row],[DEBE]]&gt;0,tbal[[#This Row],[HABER]]-tbal[[#This Row],[DEBE]],0)</f>
        <v>0</v>
      </c>
      <c r="I2307" s="16">
        <f>IF((OR(tbal[[#This Row],[X]]=1,tbal[[#This Row],[X]]=2)),tbal[[#This Row],[DEUDOR]],0)</f>
        <v>0</v>
      </c>
      <c r="J2307" s="18">
        <f>IF((OR(tbal[[#This Row],[X]]=2,tbal[[#This Row],[X]]=3)),tbal[[#This Row],[ACREEDOR]],0)</f>
        <v>0</v>
      </c>
      <c r="K2307" s="16">
        <f>IF((OR(tbal[[#This Row],[X]]=3,tbal[[#This Row],[X]]=5)),tbal[[#This Row],[DEUDOR]],0)</f>
        <v>0</v>
      </c>
      <c r="L2307" s="18">
        <f>IF((OR(tbal[[#This Row],[X]]=3,tbal[[#This Row],[X]]=4)),tbal[[#This Row],[ACREEDOR]],0)</f>
        <v>0</v>
      </c>
      <c r="M2307" s="16">
        <f>IF((OR(tbal[[#This Row],[X]]=0,tbal[[#This Row],[X]]=6)),tbal[[#This Row],[DEUDOR]],0)</f>
        <v>0</v>
      </c>
      <c r="N2307" s="18">
        <f>IF((OR(tbal[[#This Row],[X]]=0,tbal[[#This Row],[X]]=5)),tbal[[#This Row],[ACREEDOR]],0)</f>
        <v>0</v>
      </c>
    </row>
    <row r="2308" spans="1:14" hidden="1" x14ac:dyDescent="0.3">
      <c r="A2308" s="14">
        <f>+'PLAN DE CUENTAS'!A2308</f>
        <v>0</v>
      </c>
      <c r="B2308" s="13">
        <f>+'PLAN DE CUENTAS'!B2308</f>
        <v>0</v>
      </c>
      <c r="C2308" s="13">
        <f>+'PLAN DE CUENTAS'!C2308</f>
        <v>0</v>
      </c>
      <c r="D2308" t="str">
        <f>IF(tbal[[#This Row],[DEBE]]+tbal[[#This Row],[HABER]]=0,"","X")</f>
        <v/>
      </c>
      <c r="E2308" s="16">
        <f>SUMIF(tdiario[CUENTA],tbal[[#This Row],[CUENTA]],tdiario[DEBE])</f>
        <v>0</v>
      </c>
      <c r="F2308" s="17">
        <f>SUMIF(tdiario[CUENTA],tbal[[#This Row],[CUENTA]],tdiario[HABER])</f>
        <v>0</v>
      </c>
      <c r="G2308" s="16">
        <f>IF(tbal[[#This Row],[DEBE]]-tbal[[#This Row],[HABER]]&gt;0,tbal[[#This Row],[DEBE]]-tbal[[#This Row],[HABER]],0)</f>
        <v>0</v>
      </c>
      <c r="H2308" s="18">
        <f>IF(tbal[[#This Row],[HABER]]-tbal[[#This Row],[DEBE]]&gt;0,tbal[[#This Row],[HABER]]-tbal[[#This Row],[DEBE]],0)</f>
        <v>0</v>
      </c>
      <c r="I2308" s="16">
        <f>IF((OR(tbal[[#This Row],[X]]=1,tbal[[#This Row],[X]]=2)),tbal[[#This Row],[DEUDOR]],0)</f>
        <v>0</v>
      </c>
      <c r="J2308" s="18">
        <f>IF((OR(tbal[[#This Row],[X]]=2,tbal[[#This Row],[X]]=3)),tbal[[#This Row],[ACREEDOR]],0)</f>
        <v>0</v>
      </c>
      <c r="K2308" s="16">
        <f>IF((OR(tbal[[#This Row],[X]]=3,tbal[[#This Row],[X]]=5)),tbal[[#This Row],[DEUDOR]],0)</f>
        <v>0</v>
      </c>
      <c r="L2308" s="18">
        <f>IF((OR(tbal[[#This Row],[X]]=3,tbal[[#This Row],[X]]=4)),tbal[[#This Row],[ACREEDOR]],0)</f>
        <v>0</v>
      </c>
      <c r="M2308" s="16">
        <f>IF((OR(tbal[[#This Row],[X]]=0,tbal[[#This Row],[X]]=6)),tbal[[#This Row],[DEUDOR]],0)</f>
        <v>0</v>
      </c>
      <c r="N2308" s="18">
        <f>IF((OR(tbal[[#This Row],[X]]=0,tbal[[#This Row],[X]]=5)),tbal[[#This Row],[ACREEDOR]],0)</f>
        <v>0</v>
      </c>
    </row>
    <row r="2309" spans="1:14" hidden="1" x14ac:dyDescent="0.3">
      <c r="A2309" s="14">
        <f>+'PLAN DE CUENTAS'!A2309</f>
        <v>0</v>
      </c>
      <c r="B2309" s="13">
        <f>+'PLAN DE CUENTAS'!B2309</f>
        <v>0</v>
      </c>
      <c r="C2309" s="13">
        <f>+'PLAN DE CUENTAS'!C2309</f>
        <v>0</v>
      </c>
      <c r="D2309" t="str">
        <f>IF(tbal[[#This Row],[DEBE]]+tbal[[#This Row],[HABER]]=0,"","X")</f>
        <v/>
      </c>
      <c r="E2309" s="16">
        <f>SUMIF(tdiario[CUENTA],tbal[[#This Row],[CUENTA]],tdiario[DEBE])</f>
        <v>0</v>
      </c>
      <c r="F2309" s="17">
        <f>SUMIF(tdiario[CUENTA],tbal[[#This Row],[CUENTA]],tdiario[HABER])</f>
        <v>0</v>
      </c>
      <c r="G2309" s="16">
        <f>IF(tbal[[#This Row],[DEBE]]-tbal[[#This Row],[HABER]]&gt;0,tbal[[#This Row],[DEBE]]-tbal[[#This Row],[HABER]],0)</f>
        <v>0</v>
      </c>
      <c r="H2309" s="18">
        <f>IF(tbal[[#This Row],[HABER]]-tbal[[#This Row],[DEBE]]&gt;0,tbal[[#This Row],[HABER]]-tbal[[#This Row],[DEBE]],0)</f>
        <v>0</v>
      </c>
      <c r="I2309" s="16">
        <f>IF((OR(tbal[[#This Row],[X]]=1,tbal[[#This Row],[X]]=2)),tbal[[#This Row],[DEUDOR]],0)</f>
        <v>0</v>
      </c>
      <c r="J2309" s="18">
        <f>IF((OR(tbal[[#This Row],[X]]=2,tbal[[#This Row],[X]]=3)),tbal[[#This Row],[ACREEDOR]],0)</f>
        <v>0</v>
      </c>
      <c r="K2309" s="16">
        <f>IF((OR(tbal[[#This Row],[X]]=3,tbal[[#This Row],[X]]=5)),tbal[[#This Row],[DEUDOR]],0)</f>
        <v>0</v>
      </c>
      <c r="L2309" s="18">
        <f>IF((OR(tbal[[#This Row],[X]]=3,tbal[[#This Row],[X]]=4)),tbal[[#This Row],[ACREEDOR]],0)</f>
        <v>0</v>
      </c>
      <c r="M2309" s="16">
        <f>IF((OR(tbal[[#This Row],[X]]=0,tbal[[#This Row],[X]]=6)),tbal[[#This Row],[DEUDOR]],0)</f>
        <v>0</v>
      </c>
      <c r="N2309" s="18">
        <f>IF((OR(tbal[[#This Row],[X]]=0,tbal[[#This Row],[X]]=5)),tbal[[#This Row],[ACREEDOR]],0)</f>
        <v>0</v>
      </c>
    </row>
    <row r="2310" spans="1:14" hidden="1" x14ac:dyDescent="0.3">
      <c r="A2310" s="14">
        <f>+'PLAN DE CUENTAS'!A2310</f>
        <v>0</v>
      </c>
      <c r="B2310" s="13">
        <f>+'PLAN DE CUENTAS'!B2310</f>
        <v>0</v>
      </c>
      <c r="C2310" s="13">
        <f>+'PLAN DE CUENTAS'!C2310</f>
        <v>0</v>
      </c>
      <c r="D2310" t="str">
        <f>IF(tbal[[#This Row],[DEBE]]+tbal[[#This Row],[HABER]]=0,"","X")</f>
        <v/>
      </c>
      <c r="E2310" s="16">
        <f>SUMIF(tdiario[CUENTA],tbal[[#This Row],[CUENTA]],tdiario[DEBE])</f>
        <v>0</v>
      </c>
      <c r="F2310" s="17">
        <f>SUMIF(tdiario[CUENTA],tbal[[#This Row],[CUENTA]],tdiario[HABER])</f>
        <v>0</v>
      </c>
      <c r="G2310" s="16">
        <f>IF(tbal[[#This Row],[DEBE]]-tbal[[#This Row],[HABER]]&gt;0,tbal[[#This Row],[DEBE]]-tbal[[#This Row],[HABER]],0)</f>
        <v>0</v>
      </c>
      <c r="H2310" s="18">
        <f>IF(tbal[[#This Row],[HABER]]-tbal[[#This Row],[DEBE]]&gt;0,tbal[[#This Row],[HABER]]-tbal[[#This Row],[DEBE]],0)</f>
        <v>0</v>
      </c>
      <c r="I2310" s="16">
        <f>IF((OR(tbal[[#This Row],[X]]=1,tbal[[#This Row],[X]]=2)),tbal[[#This Row],[DEUDOR]],0)</f>
        <v>0</v>
      </c>
      <c r="J2310" s="18">
        <f>IF((OR(tbal[[#This Row],[X]]=2,tbal[[#This Row],[X]]=3)),tbal[[#This Row],[ACREEDOR]],0)</f>
        <v>0</v>
      </c>
      <c r="K2310" s="16">
        <f>IF((OR(tbal[[#This Row],[X]]=3,tbal[[#This Row],[X]]=5)),tbal[[#This Row],[DEUDOR]],0)</f>
        <v>0</v>
      </c>
      <c r="L2310" s="18">
        <f>IF((OR(tbal[[#This Row],[X]]=3,tbal[[#This Row],[X]]=4)),tbal[[#This Row],[ACREEDOR]],0)</f>
        <v>0</v>
      </c>
      <c r="M2310" s="16">
        <f>IF((OR(tbal[[#This Row],[X]]=0,tbal[[#This Row],[X]]=6)),tbal[[#This Row],[DEUDOR]],0)</f>
        <v>0</v>
      </c>
      <c r="N2310" s="18">
        <f>IF((OR(tbal[[#This Row],[X]]=0,tbal[[#This Row],[X]]=5)),tbal[[#This Row],[ACREEDOR]],0)</f>
        <v>0</v>
      </c>
    </row>
    <row r="2311" spans="1:14" hidden="1" x14ac:dyDescent="0.3">
      <c r="A2311" s="14">
        <f>+'PLAN DE CUENTAS'!A2311</f>
        <v>0</v>
      </c>
      <c r="B2311" s="13">
        <f>+'PLAN DE CUENTAS'!B2311</f>
        <v>0</v>
      </c>
      <c r="C2311" s="13">
        <f>+'PLAN DE CUENTAS'!C2311</f>
        <v>0</v>
      </c>
      <c r="D2311" t="str">
        <f>IF(tbal[[#This Row],[DEBE]]+tbal[[#This Row],[HABER]]=0,"","X")</f>
        <v/>
      </c>
      <c r="E2311" s="16">
        <f>SUMIF(tdiario[CUENTA],tbal[[#This Row],[CUENTA]],tdiario[DEBE])</f>
        <v>0</v>
      </c>
      <c r="F2311" s="17">
        <f>SUMIF(tdiario[CUENTA],tbal[[#This Row],[CUENTA]],tdiario[HABER])</f>
        <v>0</v>
      </c>
      <c r="G2311" s="16">
        <f>IF(tbal[[#This Row],[DEBE]]-tbal[[#This Row],[HABER]]&gt;0,tbal[[#This Row],[DEBE]]-tbal[[#This Row],[HABER]],0)</f>
        <v>0</v>
      </c>
      <c r="H2311" s="18">
        <f>IF(tbal[[#This Row],[HABER]]-tbal[[#This Row],[DEBE]]&gt;0,tbal[[#This Row],[HABER]]-tbal[[#This Row],[DEBE]],0)</f>
        <v>0</v>
      </c>
      <c r="I2311" s="16">
        <f>IF((OR(tbal[[#This Row],[X]]=1,tbal[[#This Row],[X]]=2)),tbal[[#This Row],[DEUDOR]],0)</f>
        <v>0</v>
      </c>
      <c r="J2311" s="18">
        <f>IF((OR(tbal[[#This Row],[X]]=2,tbal[[#This Row],[X]]=3)),tbal[[#This Row],[ACREEDOR]],0)</f>
        <v>0</v>
      </c>
      <c r="K2311" s="16">
        <f>IF((OR(tbal[[#This Row],[X]]=3,tbal[[#This Row],[X]]=5)),tbal[[#This Row],[DEUDOR]],0)</f>
        <v>0</v>
      </c>
      <c r="L2311" s="18">
        <f>IF((OR(tbal[[#This Row],[X]]=3,tbal[[#This Row],[X]]=4)),tbal[[#This Row],[ACREEDOR]],0)</f>
        <v>0</v>
      </c>
      <c r="M2311" s="16">
        <f>IF((OR(tbal[[#This Row],[X]]=0,tbal[[#This Row],[X]]=6)),tbal[[#This Row],[DEUDOR]],0)</f>
        <v>0</v>
      </c>
      <c r="N2311" s="18">
        <f>IF((OR(tbal[[#This Row],[X]]=0,tbal[[#This Row],[X]]=5)),tbal[[#This Row],[ACREEDOR]],0)</f>
        <v>0</v>
      </c>
    </row>
    <row r="2312" spans="1:14" hidden="1" x14ac:dyDescent="0.3">
      <c r="A2312" s="14">
        <f>+'PLAN DE CUENTAS'!A2312</f>
        <v>0</v>
      </c>
      <c r="B2312" s="13">
        <f>+'PLAN DE CUENTAS'!B2312</f>
        <v>0</v>
      </c>
      <c r="C2312" s="13">
        <f>+'PLAN DE CUENTAS'!C2312</f>
        <v>0</v>
      </c>
      <c r="D2312" t="str">
        <f>IF(tbal[[#This Row],[DEBE]]+tbal[[#This Row],[HABER]]=0,"","X")</f>
        <v/>
      </c>
      <c r="E2312" s="16">
        <f>SUMIF(tdiario[CUENTA],tbal[[#This Row],[CUENTA]],tdiario[DEBE])</f>
        <v>0</v>
      </c>
      <c r="F2312" s="17">
        <f>SUMIF(tdiario[CUENTA],tbal[[#This Row],[CUENTA]],tdiario[HABER])</f>
        <v>0</v>
      </c>
      <c r="G2312" s="16">
        <f>IF(tbal[[#This Row],[DEBE]]-tbal[[#This Row],[HABER]]&gt;0,tbal[[#This Row],[DEBE]]-tbal[[#This Row],[HABER]],0)</f>
        <v>0</v>
      </c>
      <c r="H2312" s="18">
        <f>IF(tbal[[#This Row],[HABER]]-tbal[[#This Row],[DEBE]]&gt;0,tbal[[#This Row],[HABER]]-tbal[[#This Row],[DEBE]],0)</f>
        <v>0</v>
      </c>
      <c r="I2312" s="16">
        <f>IF((OR(tbal[[#This Row],[X]]=1,tbal[[#This Row],[X]]=2)),tbal[[#This Row],[DEUDOR]],0)</f>
        <v>0</v>
      </c>
      <c r="J2312" s="18">
        <f>IF((OR(tbal[[#This Row],[X]]=2,tbal[[#This Row],[X]]=3)),tbal[[#This Row],[ACREEDOR]],0)</f>
        <v>0</v>
      </c>
      <c r="K2312" s="16">
        <f>IF((OR(tbal[[#This Row],[X]]=3,tbal[[#This Row],[X]]=5)),tbal[[#This Row],[DEUDOR]],0)</f>
        <v>0</v>
      </c>
      <c r="L2312" s="18">
        <f>IF((OR(tbal[[#This Row],[X]]=3,tbal[[#This Row],[X]]=4)),tbal[[#This Row],[ACREEDOR]],0)</f>
        <v>0</v>
      </c>
      <c r="M2312" s="16">
        <f>IF((OR(tbal[[#This Row],[X]]=0,tbal[[#This Row],[X]]=6)),tbal[[#This Row],[DEUDOR]],0)</f>
        <v>0</v>
      </c>
      <c r="N2312" s="18">
        <f>IF((OR(tbal[[#This Row],[X]]=0,tbal[[#This Row],[X]]=5)),tbal[[#This Row],[ACREEDOR]],0)</f>
        <v>0</v>
      </c>
    </row>
    <row r="2313" spans="1:14" hidden="1" x14ac:dyDescent="0.3">
      <c r="A2313" s="14">
        <f>+'PLAN DE CUENTAS'!A2313</f>
        <v>0</v>
      </c>
      <c r="B2313" s="13">
        <f>+'PLAN DE CUENTAS'!B2313</f>
        <v>0</v>
      </c>
      <c r="C2313" s="13">
        <f>+'PLAN DE CUENTAS'!C2313</f>
        <v>0</v>
      </c>
      <c r="D2313" t="str">
        <f>IF(tbal[[#This Row],[DEBE]]+tbal[[#This Row],[HABER]]=0,"","X")</f>
        <v/>
      </c>
      <c r="E2313" s="16">
        <f>SUMIF(tdiario[CUENTA],tbal[[#This Row],[CUENTA]],tdiario[DEBE])</f>
        <v>0</v>
      </c>
      <c r="F2313" s="17">
        <f>SUMIF(tdiario[CUENTA],tbal[[#This Row],[CUENTA]],tdiario[HABER])</f>
        <v>0</v>
      </c>
      <c r="G2313" s="16">
        <f>IF(tbal[[#This Row],[DEBE]]-tbal[[#This Row],[HABER]]&gt;0,tbal[[#This Row],[DEBE]]-tbal[[#This Row],[HABER]],0)</f>
        <v>0</v>
      </c>
      <c r="H2313" s="18">
        <f>IF(tbal[[#This Row],[HABER]]-tbal[[#This Row],[DEBE]]&gt;0,tbal[[#This Row],[HABER]]-tbal[[#This Row],[DEBE]],0)</f>
        <v>0</v>
      </c>
      <c r="I2313" s="16">
        <f>IF((OR(tbal[[#This Row],[X]]=1,tbal[[#This Row],[X]]=2)),tbal[[#This Row],[DEUDOR]],0)</f>
        <v>0</v>
      </c>
      <c r="J2313" s="18">
        <f>IF((OR(tbal[[#This Row],[X]]=2,tbal[[#This Row],[X]]=3)),tbal[[#This Row],[ACREEDOR]],0)</f>
        <v>0</v>
      </c>
      <c r="K2313" s="16">
        <f>IF((OR(tbal[[#This Row],[X]]=3,tbal[[#This Row],[X]]=5)),tbal[[#This Row],[DEUDOR]],0)</f>
        <v>0</v>
      </c>
      <c r="L2313" s="18">
        <f>IF((OR(tbal[[#This Row],[X]]=3,tbal[[#This Row],[X]]=4)),tbal[[#This Row],[ACREEDOR]],0)</f>
        <v>0</v>
      </c>
      <c r="M2313" s="16">
        <f>IF((OR(tbal[[#This Row],[X]]=0,tbal[[#This Row],[X]]=6)),tbal[[#This Row],[DEUDOR]],0)</f>
        <v>0</v>
      </c>
      <c r="N2313" s="18">
        <f>IF((OR(tbal[[#This Row],[X]]=0,tbal[[#This Row],[X]]=5)),tbal[[#This Row],[ACREEDOR]],0)</f>
        <v>0</v>
      </c>
    </row>
    <row r="2314" spans="1:14" hidden="1" x14ac:dyDescent="0.3">
      <c r="A2314" s="14">
        <f>+'PLAN DE CUENTAS'!A2314</f>
        <v>0</v>
      </c>
      <c r="B2314" s="13">
        <f>+'PLAN DE CUENTAS'!B2314</f>
        <v>0</v>
      </c>
      <c r="C2314" s="13">
        <f>+'PLAN DE CUENTAS'!C2314</f>
        <v>0</v>
      </c>
      <c r="D2314" t="str">
        <f>IF(tbal[[#This Row],[DEBE]]+tbal[[#This Row],[HABER]]=0,"","X")</f>
        <v/>
      </c>
      <c r="E2314" s="16">
        <f>SUMIF(tdiario[CUENTA],tbal[[#This Row],[CUENTA]],tdiario[DEBE])</f>
        <v>0</v>
      </c>
      <c r="F2314" s="17">
        <f>SUMIF(tdiario[CUENTA],tbal[[#This Row],[CUENTA]],tdiario[HABER])</f>
        <v>0</v>
      </c>
      <c r="G2314" s="16">
        <f>IF(tbal[[#This Row],[DEBE]]-tbal[[#This Row],[HABER]]&gt;0,tbal[[#This Row],[DEBE]]-tbal[[#This Row],[HABER]],0)</f>
        <v>0</v>
      </c>
      <c r="H2314" s="18">
        <f>IF(tbal[[#This Row],[HABER]]-tbal[[#This Row],[DEBE]]&gt;0,tbal[[#This Row],[HABER]]-tbal[[#This Row],[DEBE]],0)</f>
        <v>0</v>
      </c>
      <c r="I2314" s="16">
        <f>IF((OR(tbal[[#This Row],[X]]=1,tbal[[#This Row],[X]]=2)),tbal[[#This Row],[DEUDOR]],0)</f>
        <v>0</v>
      </c>
      <c r="J2314" s="18">
        <f>IF((OR(tbal[[#This Row],[X]]=2,tbal[[#This Row],[X]]=3)),tbal[[#This Row],[ACREEDOR]],0)</f>
        <v>0</v>
      </c>
      <c r="K2314" s="16">
        <f>IF((OR(tbal[[#This Row],[X]]=3,tbal[[#This Row],[X]]=5)),tbal[[#This Row],[DEUDOR]],0)</f>
        <v>0</v>
      </c>
      <c r="L2314" s="18">
        <f>IF((OR(tbal[[#This Row],[X]]=3,tbal[[#This Row],[X]]=4)),tbal[[#This Row],[ACREEDOR]],0)</f>
        <v>0</v>
      </c>
      <c r="M2314" s="16">
        <f>IF((OR(tbal[[#This Row],[X]]=0,tbal[[#This Row],[X]]=6)),tbal[[#This Row],[DEUDOR]],0)</f>
        <v>0</v>
      </c>
      <c r="N2314" s="18">
        <f>IF((OR(tbal[[#This Row],[X]]=0,tbal[[#This Row],[X]]=5)),tbal[[#This Row],[ACREEDOR]],0)</f>
        <v>0</v>
      </c>
    </row>
    <row r="2315" spans="1:14" hidden="1" x14ac:dyDescent="0.3">
      <c r="A2315" s="14">
        <f>+'PLAN DE CUENTAS'!A2315</f>
        <v>0</v>
      </c>
      <c r="B2315" s="13">
        <f>+'PLAN DE CUENTAS'!B2315</f>
        <v>0</v>
      </c>
      <c r="C2315" s="13">
        <f>+'PLAN DE CUENTAS'!C2315</f>
        <v>0</v>
      </c>
      <c r="D2315" t="str">
        <f>IF(tbal[[#This Row],[DEBE]]+tbal[[#This Row],[HABER]]=0,"","X")</f>
        <v/>
      </c>
      <c r="E2315" s="16">
        <f>SUMIF(tdiario[CUENTA],tbal[[#This Row],[CUENTA]],tdiario[DEBE])</f>
        <v>0</v>
      </c>
      <c r="F2315" s="17">
        <f>SUMIF(tdiario[CUENTA],tbal[[#This Row],[CUENTA]],tdiario[HABER])</f>
        <v>0</v>
      </c>
      <c r="G2315" s="16">
        <f>IF(tbal[[#This Row],[DEBE]]-tbal[[#This Row],[HABER]]&gt;0,tbal[[#This Row],[DEBE]]-tbal[[#This Row],[HABER]],0)</f>
        <v>0</v>
      </c>
      <c r="H2315" s="18">
        <f>IF(tbal[[#This Row],[HABER]]-tbal[[#This Row],[DEBE]]&gt;0,tbal[[#This Row],[HABER]]-tbal[[#This Row],[DEBE]],0)</f>
        <v>0</v>
      </c>
      <c r="I2315" s="16">
        <f>IF((OR(tbal[[#This Row],[X]]=1,tbal[[#This Row],[X]]=2)),tbal[[#This Row],[DEUDOR]],0)</f>
        <v>0</v>
      </c>
      <c r="J2315" s="18">
        <f>IF((OR(tbal[[#This Row],[X]]=2,tbal[[#This Row],[X]]=3)),tbal[[#This Row],[ACREEDOR]],0)</f>
        <v>0</v>
      </c>
      <c r="K2315" s="16">
        <f>IF((OR(tbal[[#This Row],[X]]=3,tbal[[#This Row],[X]]=5)),tbal[[#This Row],[DEUDOR]],0)</f>
        <v>0</v>
      </c>
      <c r="L2315" s="18">
        <f>IF((OR(tbal[[#This Row],[X]]=3,tbal[[#This Row],[X]]=4)),tbal[[#This Row],[ACREEDOR]],0)</f>
        <v>0</v>
      </c>
      <c r="M2315" s="16">
        <f>IF((OR(tbal[[#This Row],[X]]=0,tbal[[#This Row],[X]]=6)),tbal[[#This Row],[DEUDOR]],0)</f>
        <v>0</v>
      </c>
      <c r="N2315" s="18">
        <f>IF((OR(tbal[[#This Row],[X]]=0,tbal[[#This Row],[X]]=5)),tbal[[#This Row],[ACREEDOR]],0)</f>
        <v>0</v>
      </c>
    </row>
    <row r="2316" spans="1:14" hidden="1" x14ac:dyDescent="0.3">
      <c r="A2316" s="14">
        <f>+'PLAN DE CUENTAS'!A2316</f>
        <v>0</v>
      </c>
      <c r="B2316" s="13">
        <f>+'PLAN DE CUENTAS'!B2316</f>
        <v>0</v>
      </c>
      <c r="C2316" s="13">
        <f>+'PLAN DE CUENTAS'!C2316</f>
        <v>0</v>
      </c>
      <c r="D2316" t="str">
        <f>IF(tbal[[#This Row],[DEBE]]+tbal[[#This Row],[HABER]]=0,"","X")</f>
        <v/>
      </c>
      <c r="E2316" s="16">
        <f>SUMIF(tdiario[CUENTA],tbal[[#This Row],[CUENTA]],tdiario[DEBE])</f>
        <v>0</v>
      </c>
      <c r="F2316" s="17">
        <f>SUMIF(tdiario[CUENTA],tbal[[#This Row],[CUENTA]],tdiario[HABER])</f>
        <v>0</v>
      </c>
      <c r="G2316" s="16">
        <f>IF(tbal[[#This Row],[DEBE]]-tbal[[#This Row],[HABER]]&gt;0,tbal[[#This Row],[DEBE]]-tbal[[#This Row],[HABER]],0)</f>
        <v>0</v>
      </c>
      <c r="H2316" s="18">
        <f>IF(tbal[[#This Row],[HABER]]-tbal[[#This Row],[DEBE]]&gt;0,tbal[[#This Row],[HABER]]-tbal[[#This Row],[DEBE]],0)</f>
        <v>0</v>
      </c>
      <c r="I2316" s="16">
        <f>IF((OR(tbal[[#This Row],[X]]=1,tbal[[#This Row],[X]]=2)),tbal[[#This Row],[DEUDOR]],0)</f>
        <v>0</v>
      </c>
      <c r="J2316" s="18">
        <f>IF((OR(tbal[[#This Row],[X]]=2,tbal[[#This Row],[X]]=3)),tbal[[#This Row],[ACREEDOR]],0)</f>
        <v>0</v>
      </c>
      <c r="K2316" s="16">
        <f>IF((OR(tbal[[#This Row],[X]]=3,tbal[[#This Row],[X]]=5)),tbal[[#This Row],[DEUDOR]],0)</f>
        <v>0</v>
      </c>
      <c r="L2316" s="18">
        <f>IF((OR(tbal[[#This Row],[X]]=3,tbal[[#This Row],[X]]=4)),tbal[[#This Row],[ACREEDOR]],0)</f>
        <v>0</v>
      </c>
      <c r="M2316" s="16">
        <f>IF((OR(tbal[[#This Row],[X]]=0,tbal[[#This Row],[X]]=6)),tbal[[#This Row],[DEUDOR]],0)</f>
        <v>0</v>
      </c>
      <c r="N2316" s="18">
        <f>IF((OR(tbal[[#This Row],[X]]=0,tbal[[#This Row],[X]]=5)),tbal[[#This Row],[ACREEDOR]],0)</f>
        <v>0</v>
      </c>
    </row>
    <row r="2317" spans="1:14" hidden="1" x14ac:dyDescent="0.3">
      <c r="A2317" s="14">
        <f>+'PLAN DE CUENTAS'!A2317</f>
        <v>0</v>
      </c>
      <c r="B2317" s="13">
        <f>+'PLAN DE CUENTAS'!B2317</f>
        <v>0</v>
      </c>
      <c r="C2317" s="13">
        <f>+'PLAN DE CUENTAS'!C2317</f>
        <v>0</v>
      </c>
      <c r="D2317" t="str">
        <f>IF(tbal[[#This Row],[DEBE]]+tbal[[#This Row],[HABER]]=0,"","X")</f>
        <v/>
      </c>
      <c r="E2317" s="16">
        <f>SUMIF(tdiario[CUENTA],tbal[[#This Row],[CUENTA]],tdiario[DEBE])</f>
        <v>0</v>
      </c>
      <c r="F2317" s="17">
        <f>SUMIF(tdiario[CUENTA],tbal[[#This Row],[CUENTA]],tdiario[HABER])</f>
        <v>0</v>
      </c>
      <c r="G2317" s="16">
        <f>IF(tbal[[#This Row],[DEBE]]-tbal[[#This Row],[HABER]]&gt;0,tbal[[#This Row],[DEBE]]-tbal[[#This Row],[HABER]],0)</f>
        <v>0</v>
      </c>
      <c r="H2317" s="18">
        <f>IF(tbal[[#This Row],[HABER]]-tbal[[#This Row],[DEBE]]&gt;0,tbal[[#This Row],[HABER]]-tbal[[#This Row],[DEBE]],0)</f>
        <v>0</v>
      </c>
      <c r="I2317" s="16">
        <f>IF((OR(tbal[[#This Row],[X]]=1,tbal[[#This Row],[X]]=2)),tbal[[#This Row],[DEUDOR]],0)</f>
        <v>0</v>
      </c>
      <c r="J2317" s="18">
        <f>IF((OR(tbal[[#This Row],[X]]=2,tbal[[#This Row],[X]]=3)),tbal[[#This Row],[ACREEDOR]],0)</f>
        <v>0</v>
      </c>
      <c r="K2317" s="16">
        <f>IF((OR(tbal[[#This Row],[X]]=3,tbal[[#This Row],[X]]=5)),tbal[[#This Row],[DEUDOR]],0)</f>
        <v>0</v>
      </c>
      <c r="L2317" s="18">
        <f>IF((OR(tbal[[#This Row],[X]]=3,tbal[[#This Row],[X]]=4)),tbal[[#This Row],[ACREEDOR]],0)</f>
        <v>0</v>
      </c>
      <c r="M2317" s="16">
        <f>IF((OR(tbal[[#This Row],[X]]=0,tbal[[#This Row],[X]]=6)),tbal[[#This Row],[DEUDOR]],0)</f>
        <v>0</v>
      </c>
      <c r="N2317" s="18">
        <f>IF((OR(tbal[[#This Row],[X]]=0,tbal[[#This Row],[X]]=5)),tbal[[#This Row],[ACREEDOR]],0)</f>
        <v>0</v>
      </c>
    </row>
    <row r="2318" spans="1:14" hidden="1" x14ac:dyDescent="0.3">
      <c r="A2318" s="14">
        <f>+'PLAN DE CUENTAS'!A2318</f>
        <v>0</v>
      </c>
      <c r="B2318" s="13">
        <f>+'PLAN DE CUENTAS'!B2318</f>
        <v>0</v>
      </c>
      <c r="C2318" s="13">
        <f>+'PLAN DE CUENTAS'!C2318</f>
        <v>0</v>
      </c>
      <c r="D2318" t="str">
        <f>IF(tbal[[#This Row],[DEBE]]+tbal[[#This Row],[HABER]]=0,"","X")</f>
        <v/>
      </c>
      <c r="E2318" s="16">
        <f>SUMIF(tdiario[CUENTA],tbal[[#This Row],[CUENTA]],tdiario[DEBE])</f>
        <v>0</v>
      </c>
      <c r="F2318" s="17">
        <f>SUMIF(tdiario[CUENTA],tbal[[#This Row],[CUENTA]],tdiario[HABER])</f>
        <v>0</v>
      </c>
      <c r="G2318" s="16">
        <f>IF(tbal[[#This Row],[DEBE]]-tbal[[#This Row],[HABER]]&gt;0,tbal[[#This Row],[DEBE]]-tbal[[#This Row],[HABER]],0)</f>
        <v>0</v>
      </c>
      <c r="H2318" s="18">
        <f>IF(tbal[[#This Row],[HABER]]-tbal[[#This Row],[DEBE]]&gt;0,tbal[[#This Row],[HABER]]-tbal[[#This Row],[DEBE]],0)</f>
        <v>0</v>
      </c>
      <c r="I2318" s="16">
        <f>IF((OR(tbal[[#This Row],[X]]=1,tbal[[#This Row],[X]]=2)),tbal[[#This Row],[DEUDOR]],0)</f>
        <v>0</v>
      </c>
      <c r="J2318" s="18">
        <f>IF((OR(tbal[[#This Row],[X]]=2,tbal[[#This Row],[X]]=3)),tbal[[#This Row],[ACREEDOR]],0)</f>
        <v>0</v>
      </c>
      <c r="K2318" s="16">
        <f>IF((OR(tbal[[#This Row],[X]]=3,tbal[[#This Row],[X]]=5)),tbal[[#This Row],[DEUDOR]],0)</f>
        <v>0</v>
      </c>
      <c r="L2318" s="18">
        <f>IF((OR(tbal[[#This Row],[X]]=3,tbal[[#This Row],[X]]=4)),tbal[[#This Row],[ACREEDOR]],0)</f>
        <v>0</v>
      </c>
      <c r="M2318" s="16">
        <f>IF((OR(tbal[[#This Row],[X]]=0,tbal[[#This Row],[X]]=6)),tbal[[#This Row],[DEUDOR]],0)</f>
        <v>0</v>
      </c>
      <c r="N2318" s="18">
        <f>IF((OR(tbal[[#This Row],[X]]=0,tbal[[#This Row],[X]]=5)),tbal[[#This Row],[ACREEDOR]],0)</f>
        <v>0</v>
      </c>
    </row>
    <row r="2319" spans="1:14" hidden="1" x14ac:dyDescent="0.3">
      <c r="A2319" s="14">
        <f>+'PLAN DE CUENTAS'!A2319</f>
        <v>0</v>
      </c>
      <c r="B2319" s="13">
        <f>+'PLAN DE CUENTAS'!B2319</f>
        <v>0</v>
      </c>
      <c r="C2319" s="13">
        <f>+'PLAN DE CUENTAS'!C2319</f>
        <v>0</v>
      </c>
      <c r="D2319" t="str">
        <f>IF(tbal[[#This Row],[DEBE]]+tbal[[#This Row],[HABER]]=0,"","X")</f>
        <v/>
      </c>
      <c r="E2319" s="16">
        <f>SUMIF(tdiario[CUENTA],tbal[[#This Row],[CUENTA]],tdiario[DEBE])</f>
        <v>0</v>
      </c>
      <c r="F2319" s="17">
        <f>SUMIF(tdiario[CUENTA],tbal[[#This Row],[CUENTA]],tdiario[HABER])</f>
        <v>0</v>
      </c>
      <c r="G2319" s="16">
        <f>IF(tbal[[#This Row],[DEBE]]-tbal[[#This Row],[HABER]]&gt;0,tbal[[#This Row],[DEBE]]-tbal[[#This Row],[HABER]],0)</f>
        <v>0</v>
      </c>
      <c r="H2319" s="18">
        <f>IF(tbal[[#This Row],[HABER]]-tbal[[#This Row],[DEBE]]&gt;0,tbal[[#This Row],[HABER]]-tbal[[#This Row],[DEBE]],0)</f>
        <v>0</v>
      </c>
      <c r="I2319" s="16">
        <f>IF((OR(tbal[[#This Row],[X]]=1,tbal[[#This Row],[X]]=2)),tbal[[#This Row],[DEUDOR]],0)</f>
        <v>0</v>
      </c>
      <c r="J2319" s="18">
        <f>IF((OR(tbal[[#This Row],[X]]=2,tbal[[#This Row],[X]]=3)),tbal[[#This Row],[ACREEDOR]],0)</f>
        <v>0</v>
      </c>
      <c r="K2319" s="16">
        <f>IF((OR(tbal[[#This Row],[X]]=3,tbal[[#This Row],[X]]=5)),tbal[[#This Row],[DEUDOR]],0)</f>
        <v>0</v>
      </c>
      <c r="L2319" s="18">
        <f>IF((OR(tbal[[#This Row],[X]]=3,tbal[[#This Row],[X]]=4)),tbal[[#This Row],[ACREEDOR]],0)</f>
        <v>0</v>
      </c>
      <c r="M2319" s="16">
        <f>IF((OR(tbal[[#This Row],[X]]=0,tbal[[#This Row],[X]]=6)),tbal[[#This Row],[DEUDOR]],0)</f>
        <v>0</v>
      </c>
      <c r="N2319" s="18">
        <f>IF((OR(tbal[[#This Row],[X]]=0,tbal[[#This Row],[X]]=5)),tbal[[#This Row],[ACREEDOR]],0)</f>
        <v>0</v>
      </c>
    </row>
    <row r="2320" spans="1:14" hidden="1" x14ac:dyDescent="0.3">
      <c r="A2320" s="14">
        <f>+'PLAN DE CUENTAS'!A2320</f>
        <v>0</v>
      </c>
      <c r="B2320" s="13">
        <f>+'PLAN DE CUENTAS'!B2320</f>
        <v>0</v>
      </c>
      <c r="C2320" s="13">
        <f>+'PLAN DE CUENTAS'!C2320</f>
        <v>0</v>
      </c>
      <c r="D2320" t="str">
        <f>IF(tbal[[#This Row],[DEBE]]+tbal[[#This Row],[HABER]]=0,"","X")</f>
        <v/>
      </c>
      <c r="E2320" s="16">
        <f>SUMIF(tdiario[CUENTA],tbal[[#This Row],[CUENTA]],tdiario[DEBE])</f>
        <v>0</v>
      </c>
      <c r="F2320" s="17">
        <f>SUMIF(tdiario[CUENTA],tbal[[#This Row],[CUENTA]],tdiario[HABER])</f>
        <v>0</v>
      </c>
      <c r="G2320" s="16">
        <f>IF(tbal[[#This Row],[DEBE]]-tbal[[#This Row],[HABER]]&gt;0,tbal[[#This Row],[DEBE]]-tbal[[#This Row],[HABER]],0)</f>
        <v>0</v>
      </c>
      <c r="H2320" s="18">
        <f>IF(tbal[[#This Row],[HABER]]-tbal[[#This Row],[DEBE]]&gt;0,tbal[[#This Row],[HABER]]-tbal[[#This Row],[DEBE]],0)</f>
        <v>0</v>
      </c>
      <c r="I2320" s="16">
        <f>IF((OR(tbal[[#This Row],[X]]=1,tbal[[#This Row],[X]]=2)),tbal[[#This Row],[DEUDOR]],0)</f>
        <v>0</v>
      </c>
      <c r="J2320" s="18">
        <f>IF((OR(tbal[[#This Row],[X]]=2,tbal[[#This Row],[X]]=3)),tbal[[#This Row],[ACREEDOR]],0)</f>
        <v>0</v>
      </c>
      <c r="K2320" s="16">
        <f>IF((OR(tbal[[#This Row],[X]]=3,tbal[[#This Row],[X]]=5)),tbal[[#This Row],[DEUDOR]],0)</f>
        <v>0</v>
      </c>
      <c r="L2320" s="18">
        <f>IF((OR(tbal[[#This Row],[X]]=3,tbal[[#This Row],[X]]=4)),tbal[[#This Row],[ACREEDOR]],0)</f>
        <v>0</v>
      </c>
      <c r="M2320" s="16">
        <f>IF((OR(tbal[[#This Row],[X]]=0,tbal[[#This Row],[X]]=6)),tbal[[#This Row],[DEUDOR]],0)</f>
        <v>0</v>
      </c>
      <c r="N2320" s="18">
        <f>IF((OR(tbal[[#This Row],[X]]=0,tbal[[#This Row],[X]]=5)),tbal[[#This Row],[ACREEDOR]],0)</f>
        <v>0</v>
      </c>
    </row>
    <row r="2321" spans="1:14" hidden="1" x14ac:dyDescent="0.3">
      <c r="A2321" s="14">
        <f>+'PLAN DE CUENTAS'!A2321</f>
        <v>0</v>
      </c>
      <c r="B2321" s="13">
        <f>+'PLAN DE CUENTAS'!B2321</f>
        <v>0</v>
      </c>
      <c r="C2321" s="13">
        <f>+'PLAN DE CUENTAS'!C2321</f>
        <v>0</v>
      </c>
      <c r="D2321" t="str">
        <f>IF(tbal[[#This Row],[DEBE]]+tbal[[#This Row],[HABER]]=0,"","X")</f>
        <v/>
      </c>
      <c r="E2321" s="16">
        <f>SUMIF(tdiario[CUENTA],tbal[[#This Row],[CUENTA]],tdiario[DEBE])</f>
        <v>0</v>
      </c>
      <c r="F2321" s="17">
        <f>SUMIF(tdiario[CUENTA],tbal[[#This Row],[CUENTA]],tdiario[HABER])</f>
        <v>0</v>
      </c>
      <c r="G2321" s="16">
        <f>IF(tbal[[#This Row],[DEBE]]-tbal[[#This Row],[HABER]]&gt;0,tbal[[#This Row],[DEBE]]-tbal[[#This Row],[HABER]],0)</f>
        <v>0</v>
      </c>
      <c r="H2321" s="18">
        <f>IF(tbal[[#This Row],[HABER]]-tbal[[#This Row],[DEBE]]&gt;0,tbal[[#This Row],[HABER]]-tbal[[#This Row],[DEBE]],0)</f>
        <v>0</v>
      </c>
      <c r="I2321" s="16">
        <f>IF((OR(tbal[[#This Row],[X]]=1,tbal[[#This Row],[X]]=2)),tbal[[#This Row],[DEUDOR]],0)</f>
        <v>0</v>
      </c>
      <c r="J2321" s="18">
        <f>IF((OR(tbal[[#This Row],[X]]=2,tbal[[#This Row],[X]]=3)),tbal[[#This Row],[ACREEDOR]],0)</f>
        <v>0</v>
      </c>
      <c r="K2321" s="16">
        <f>IF((OR(tbal[[#This Row],[X]]=3,tbal[[#This Row],[X]]=5)),tbal[[#This Row],[DEUDOR]],0)</f>
        <v>0</v>
      </c>
      <c r="L2321" s="18">
        <f>IF((OR(tbal[[#This Row],[X]]=3,tbal[[#This Row],[X]]=4)),tbal[[#This Row],[ACREEDOR]],0)</f>
        <v>0</v>
      </c>
      <c r="M2321" s="16">
        <f>IF((OR(tbal[[#This Row],[X]]=0,tbal[[#This Row],[X]]=6)),tbal[[#This Row],[DEUDOR]],0)</f>
        <v>0</v>
      </c>
      <c r="N2321" s="18">
        <f>IF((OR(tbal[[#This Row],[X]]=0,tbal[[#This Row],[X]]=5)),tbal[[#This Row],[ACREEDOR]],0)</f>
        <v>0</v>
      </c>
    </row>
    <row r="2322" spans="1:14" hidden="1" x14ac:dyDescent="0.3">
      <c r="A2322" s="14">
        <f>+'PLAN DE CUENTAS'!A2322</f>
        <v>0</v>
      </c>
      <c r="B2322" s="13">
        <f>+'PLAN DE CUENTAS'!B2322</f>
        <v>0</v>
      </c>
      <c r="C2322" s="13">
        <f>+'PLAN DE CUENTAS'!C2322</f>
        <v>0</v>
      </c>
      <c r="D2322" t="str">
        <f>IF(tbal[[#This Row],[DEBE]]+tbal[[#This Row],[HABER]]=0,"","X")</f>
        <v/>
      </c>
      <c r="E2322" s="16">
        <f>SUMIF(tdiario[CUENTA],tbal[[#This Row],[CUENTA]],tdiario[DEBE])</f>
        <v>0</v>
      </c>
      <c r="F2322" s="17">
        <f>SUMIF(tdiario[CUENTA],tbal[[#This Row],[CUENTA]],tdiario[HABER])</f>
        <v>0</v>
      </c>
      <c r="G2322" s="16">
        <f>IF(tbal[[#This Row],[DEBE]]-tbal[[#This Row],[HABER]]&gt;0,tbal[[#This Row],[DEBE]]-tbal[[#This Row],[HABER]],0)</f>
        <v>0</v>
      </c>
      <c r="H2322" s="18">
        <f>IF(tbal[[#This Row],[HABER]]-tbal[[#This Row],[DEBE]]&gt;0,tbal[[#This Row],[HABER]]-tbal[[#This Row],[DEBE]],0)</f>
        <v>0</v>
      </c>
      <c r="I2322" s="16">
        <f>IF((OR(tbal[[#This Row],[X]]=1,tbal[[#This Row],[X]]=2)),tbal[[#This Row],[DEUDOR]],0)</f>
        <v>0</v>
      </c>
      <c r="J2322" s="18">
        <f>IF((OR(tbal[[#This Row],[X]]=2,tbal[[#This Row],[X]]=3)),tbal[[#This Row],[ACREEDOR]],0)</f>
        <v>0</v>
      </c>
      <c r="K2322" s="16">
        <f>IF((OR(tbal[[#This Row],[X]]=3,tbal[[#This Row],[X]]=5)),tbal[[#This Row],[DEUDOR]],0)</f>
        <v>0</v>
      </c>
      <c r="L2322" s="18">
        <f>IF((OR(tbal[[#This Row],[X]]=3,tbal[[#This Row],[X]]=4)),tbal[[#This Row],[ACREEDOR]],0)</f>
        <v>0</v>
      </c>
      <c r="M2322" s="16">
        <f>IF((OR(tbal[[#This Row],[X]]=0,tbal[[#This Row],[X]]=6)),tbal[[#This Row],[DEUDOR]],0)</f>
        <v>0</v>
      </c>
      <c r="N2322" s="18">
        <f>IF((OR(tbal[[#This Row],[X]]=0,tbal[[#This Row],[X]]=5)),tbal[[#This Row],[ACREEDOR]],0)</f>
        <v>0</v>
      </c>
    </row>
    <row r="2323" spans="1:14" hidden="1" x14ac:dyDescent="0.3">
      <c r="A2323" s="14">
        <f>+'PLAN DE CUENTAS'!A2323</f>
        <v>0</v>
      </c>
      <c r="B2323" s="13">
        <f>+'PLAN DE CUENTAS'!B2323</f>
        <v>0</v>
      </c>
      <c r="C2323" s="13">
        <f>+'PLAN DE CUENTAS'!C2323</f>
        <v>0</v>
      </c>
      <c r="D2323" t="str">
        <f>IF(tbal[[#This Row],[DEBE]]+tbal[[#This Row],[HABER]]=0,"","X")</f>
        <v/>
      </c>
      <c r="E2323" s="16">
        <f>SUMIF(tdiario[CUENTA],tbal[[#This Row],[CUENTA]],tdiario[DEBE])</f>
        <v>0</v>
      </c>
      <c r="F2323" s="17">
        <f>SUMIF(tdiario[CUENTA],tbal[[#This Row],[CUENTA]],tdiario[HABER])</f>
        <v>0</v>
      </c>
      <c r="G2323" s="16">
        <f>IF(tbal[[#This Row],[DEBE]]-tbal[[#This Row],[HABER]]&gt;0,tbal[[#This Row],[DEBE]]-tbal[[#This Row],[HABER]],0)</f>
        <v>0</v>
      </c>
      <c r="H2323" s="18">
        <f>IF(tbal[[#This Row],[HABER]]-tbal[[#This Row],[DEBE]]&gt;0,tbal[[#This Row],[HABER]]-tbal[[#This Row],[DEBE]],0)</f>
        <v>0</v>
      </c>
      <c r="I2323" s="16">
        <f>IF((OR(tbal[[#This Row],[X]]=1,tbal[[#This Row],[X]]=2)),tbal[[#This Row],[DEUDOR]],0)</f>
        <v>0</v>
      </c>
      <c r="J2323" s="18">
        <f>IF((OR(tbal[[#This Row],[X]]=2,tbal[[#This Row],[X]]=3)),tbal[[#This Row],[ACREEDOR]],0)</f>
        <v>0</v>
      </c>
      <c r="K2323" s="16">
        <f>IF((OR(tbal[[#This Row],[X]]=3,tbal[[#This Row],[X]]=5)),tbal[[#This Row],[DEUDOR]],0)</f>
        <v>0</v>
      </c>
      <c r="L2323" s="18">
        <f>IF((OR(tbal[[#This Row],[X]]=3,tbal[[#This Row],[X]]=4)),tbal[[#This Row],[ACREEDOR]],0)</f>
        <v>0</v>
      </c>
      <c r="M2323" s="16">
        <f>IF((OR(tbal[[#This Row],[X]]=0,tbal[[#This Row],[X]]=6)),tbal[[#This Row],[DEUDOR]],0)</f>
        <v>0</v>
      </c>
      <c r="N2323" s="18">
        <f>IF((OR(tbal[[#This Row],[X]]=0,tbal[[#This Row],[X]]=5)),tbal[[#This Row],[ACREEDOR]],0)</f>
        <v>0</v>
      </c>
    </row>
    <row r="2324" spans="1:14" hidden="1" x14ac:dyDescent="0.3">
      <c r="A2324" s="14">
        <f>+'PLAN DE CUENTAS'!A2324</f>
        <v>0</v>
      </c>
      <c r="B2324" s="13">
        <f>+'PLAN DE CUENTAS'!B2324</f>
        <v>0</v>
      </c>
      <c r="C2324" s="13">
        <f>+'PLAN DE CUENTAS'!C2324</f>
        <v>0</v>
      </c>
      <c r="D2324" t="str">
        <f>IF(tbal[[#This Row],[DEBE]]+tbal[[#This Row],[HABER]]=0,"","X")</f>
        <v/>
      </c>
      <c r="E2324" s="16">
        <f>SUMIF(tdiario[CUENTA],tbal[[#This Row],[CUENTA]],tdiario[DEBE])</f>
        <v>0</v>
      </c>
      <c r="F2324" s="17">
        <f>SUMIF(tdiario[CUENTA],tbal[[#This Row],[CUENTA]],tdiario[HABER])</f>
        <v>0</v>
      </c>
      <c r="G2324" s="16">
        <f>IF(tbal[[#This Row],[DEBE]]-tbal[[#This Row],[HABER]]&gt;0,tbal[[#This Row],[DEBE]]-tbal[[#This Row],[HABER]],0)</f>
        <v>0</v>
      </c>
      <c r="H2324" s="18">
        <f>IF(tbal[[#This Row],[HABER]]-tbal[[#This Row],[DEBE]]&gt;0,tbal[[#This Row],[HABER]]-tbal[[#This Row],[DEBE]],0)</f>
        <v>0</v>
      </c>
      <c r="I2324" s="16">
        <f>IF((OR(tbal[[#This Row],[X]]=1,tbal[[#This Row],[X]]=2)),tbal[[#This Row],[DEUDOR]],0)</f>
        <v>0</v>
      </c>
      <c r="J2324" s="18">
        <f>IF((OR(tbal[[#This Row],[X]]=2,tbal[[#This Row],[X]]=3)),tbal[[#This Row],[ACREEDOR]],0)</f>
        <v>0</v>
      </c>
      <c r="K2324" s="16">
        <f>IF((OR(tbal[[#This Row],[X]]=3,tbal[[#This Row],[X]]=5)),tbal[[#This Row],[DEUDOR]],0)</f>
        <v>0</v>
      </c>
      <c r="L2324" s="18">
        <f>IF((OR(tbal[[#This Row],[X]]=3,tbal[[#This Row],[X]]=4)),tbal[[#This Row],[ACREEDOR]],0)</f>
        <v>0</v>
      </c>
      <c r="M2324" s="16">
        <f>IF((OR(tbal[[#This Row],[X]]=0,tbal[[#This Row],[X]]=6)),tbal[[#This Row],[DEUDOR]],0)</f>
        <v>0</v>
      </c>
      <c r="N2324" s="18">
        <f>IF((OR(tbal[[#This Row],[X]]=0,tbal[[#This Row],[X]]=5)),tbal[[#This Row],[ACREEDOR]],0)</f>
        <v>0</v>
      </c>
    </row>
    <row r="2325" spans="1:14" hidden="1" x14ac:dyDescent="0.3">
      <c r="A2325" s="14">
        <f>+'PLAN DE CUENTAS'!A2325</f>
        <v>0</v>
      </c>
      <c r="B2325" s="13">
        <f>+'PLAN DE CUENTAS'!B2325</f>
        <v>0</v>
      </c>
      <c r="C2325" s="13">
        <f>+'PLAN DE CUENTAS'!C2325</f>
        <v>0</v>
      </c>
      <c r="D2325" t="str">
        <f>IF(tbal[[#This Row],[DEBE]]+tbal[[#This Row],[HABER]]=0,"","X")</f>
        <v/>
      </c>
      <c r="E2325" s="16">
        <f>SUMIF(tdiario[CUENTA],tbal[[#This Row],[CUENTA]],tdiario[DEBE])</f>
        <v>0</v>
      </c>
      <c r="F2325" s="17">
        <f>SUMIF(tdiario[CUENTA],tbal[[#This Row],[CUENTA]],tdiario[HABER])</f>
        <v>0</v>
      </c>
      <c r="G2325" s="16">
        <f>IF(tbal[[#This Row],[DEBE]]-tbal[[#This Row],[HABER]]&gt;0,tbal[[#This Row],[DEBE]]-tbal[[#This Row],[HABER]],0)</f>
        <v>0</v>
      </c>
      <c r="H2325" s="18">
        <f>IF(tbal[[#This Row],[HABER]]-tbal[[#This Row],[DEBE]]&gt;0,tbal[[#This Row],[HABER]]-tbal[[#This Row],[DEBE]],0)</f>
        <v>0</v>
      </c>
      <c r="I2325" s="16">
        <f>IF((OR(tbal[[#This Row],[X]]=1,tbal[[#This Row],[X]]=2)),tbal[[#This Row],[DEUDOR]],0)</f>
        <v>0</v>
      </c>
      <c r="J2325" s="18">
        <f>IF((OR(tbal[[#This Row],[X]]=2,tbal[[#This Row],[X]]=3)),tbal[[#This Row],[ACREEDOR]],0)</f>
        <v>0</v>
      </c>
      <c r="K2325" s="16">
        <f>IF((OR(tbal[[#This Row],[X]]=3,tbal[[#This Row],[X]]=5)),tbal[[#This Row],[DEUDOR]],0)</f>
        <v>0</v>
      </c>
      <c r="L2325" s="18">
        <f>IF((OR(tbal[[#This Row],[X]]=3,tbal[[#This Row],[X]]=4)),tbal[[#This Row],[ACREEDOR]],0)</f>
        <v>0</v>
      </c>
      <c r="M2325" s="16">
        <f>IF((OR(tbal[[#This Row],[X]]=0,tbal[[#This Row],[X]]=6)),tbal[[#This Row],[DEUDOR]],0)</f>
        <v>0</v>
      </c>
      <c r="N2325" s="18">
        <f>IF((OR(tbal[[#This Row],[X]]=0,tbal[[#This Row],[X]]=5)),tbal[[#This Row],[ACREEDOR]],0)</f>
        <v>0</v>
      </c>
    </row>
    <row r="2326" spans="1:14" hidden="1" x14ac:dyDescent="0.3">
      <c r="A2326" s="14">
        <f>+'PLAN DE CUENTAS'!A2326</f>
        <v>0</v>
      </c>
      <c r="B2326" s="13">
        <f>+'PLAN DE CUENTAS'!B2326</f>
        <v>0</v>
      </c>
      <c r="C2326" s="13">
        <f>+'PLAN DE CUENTAS'!C2326</f>
        <v>0</v>
      </c>
      <c r="D2326" t="str">
        <f>IF(tbal[[#This Row],[DEBE]]+tbal[[#This Row],[HABER]]=0,"","X")</f>
        <v/>
      </c>
      <c r="E2326" s="16">
        <f>SUMIF(tdiario[CUENTA],tbal[[#This Row],[CUENTA]],tdiario[DEBE])</f>
        <v>0</v>
      </c>
      <c r="F2326" s="17">
        <f>SUMIF(tdiario[CUENTA],tbal[[#This Row],[CUENTA]],tdiario[HABER])</f>
        <v>0</v>
      </c>
      <c r="G2326" s="16">
        <f>IF(tbal[[#This Row],[DEBE]]-tbal[[#This Row],[HABER]]&gt;0,tbal[[#This Row],[DEBE]]-tbal[[#This Row],[HABER]],0)</f>
        <v>0</v>
      </c>
      <c r="H2326" s="18">
        <f>IF(tbal[[#This Row],[HABER]]-tbal[[#This Row],[DEBE]]&gt;0,tbal[[#This Row],[HABER]]-tbal[[#This Row],[DEBE]],0)</f>
        <v>0</v>
      </c>
      <c r="I2326" s="16">
        <f>IF((OR(tbal[[#This Row],[X]]=1,tbal[[#This Row],[X]]=2)),tbal[[#This Row],[DEUDOR]],0)</f>
        <v>0</v>
      </c>
      <c r="J2326" s="18">
        <f>IF((OR(tbal[[#This Row],[X]]=2,tbal[[#This Row],[X]]=3)),tbal[[#This Row],[ACREEDOR]],0)</f>
        <v>0</v>
      </c>
      <c r="K2326" s="16">
        <f>IF((OR(tbal[[#This Row],[X]]=3,tbal[[#This Row],[X]]=5)),tbal[[#This Row],[DEUDOR]],0)</f>
        <v>0</v>
      </c>
      <c r="L2326" s="18">
        <f>IF((OR(tbal[[#This Row],[X]]=3,tbal[[#This Row],[X]]=4)),tbal[[#This Row],[ACREEDOR]],0)</f>
        <v>0</v>
      </c>
      <c r="M2326" s="16">
        <f>IF((OR(tbal[[#This Row],[X]]=0,tbal[[#This Row],[X]]=6)),tbal[[#This Row],[DEUDOR]],0)</f>
        <v>0</v>
      </c>
      <c r="N2326" s="18">
        <f>IF((OR(tbal[[#This Row],[X]]=0,tbal[[#This Row],[X]]=5)),tbal[[#This Row],[ACREEDOR]],0)</f>
        <v>0</v>
      </c>
    </row>
    <row r="2327" spans="1:14" hidden="1" x14ac:dyDescent="0.3">
      <c r="A2327" s="14">
        <f>+'PLAN DE CUENTAS'!A2327</f>
        <v>0</v>
      </c>
      <c r="B2327" s="13">
        <f>+'PLAN DE CUENTAS'!B2327</f>
        <v>0</v>
      </c>
      <c r="C2327" s="13">
        <f>+'PLAN DE CUENTAS'!C2327</f>
        <v>0</v>
      </c>
      <c r="D2327" t="str">
        <f>IF(tbal[[#This Row],[DEBE]]+tbal[[#This Row],[HABER]]=0,"","X")</f>
        <v/>
      </c>
      <c r="E2327" s="16">
        <f>SUMIF(tdiario[CUENTA],tbal[[#This Row],[CUENTA]],tdiario[DEBE])</f>
        <v>0</v>
      </c>
      <c r="F2327" s="17">
        <f>SUMIF(tdiario[CUENTA],tbal[[#This Row],[CUENTA]],tdiario[HABER])</f>
        <v>0</v>
      </c>
      <c r="G2327" s="16">
        <f>IF(tbal[[#This Row],[DEBE]]-tbal[[#This Row],[HABER]]&gt;0,tbal[[#This Row],[DEBE]]-tbal[[#This Row],[HABER]],0)</f>
        <v>0</v>
      </c>
      <c r="H2327" s="18">
        <f>IF(tbal[[#This Row],[HABER]]-tbal[[#This Row],[DEBE]]&gt;0,tbal[[#This Row],[HABER]]-tbal[[#This Row],[DEBE]],0)</f>
        <v>0</v>
      </c>
      <c r="I2327" s="16">
        <f>IF((OR(tbal[[#This Row],[X]]=1,tbal[[#This Row],[X]]=2)),tbal[[#This Row],[DEUDOR]],0)</f>
        <v>0</v>
      </c>
      <c r="J2327" s="18">
        <f>IF((OR(tbal[[#This Row],[X]]=2,tbal[[#This Row],[X]]=3)),tbal[[#This Row],[ACREEDOR]],0)</f>
        <v>0</v>
      </c>
      <c r="K2327" s="16">
        <f>IF((OR(tbal[[#This Row],[X]]=3,tbal[[#This Row],[X]]=5)),tbal[[#This Row],[DEUDOR]],0)</f>
        <v>0</v>
      </c>
      <c r="L2327" s="18">
        <f>IF((OR(tbal[[#This Row],[X]]=3,tbal[[#This Row],[X]]=4)),tbal[[#This Row],[ACREEDOR]],0)</f>
        <v>0</v>
      </c>
      <c r="M2327" s="16">
        <f>IF((OR(tbal[[#This Row],[X]]=0,tbal[[#This Row],[X]]=6)),tbal[[#This Row],[DEUDOR]],0)</f>
        <v>0</v>
      </c>
      <c r="N2327" s="18">
        <f>IF((OR(tbal[[#This Row],[X]]=0,tbal[[#This Row],[X]]=5)),tbal[[#This Row],[ACREEDOR]],0)</f>
        <v>0</v>
      </c>
    </row>
    <row r="2328" spans="1:14" hidden="1" x14ac:dyDescent="0.3">
      <c r="A2328" s="14">
        <f>+'PLAN DE CUENTAS'!A2328</f>
        <v>0</v>
      </c>
      <c r="B2328" s="13">
        <f>+'PLAN DE CUENTAS'!B2328</f>
        <v>0</v>
      </c>
      <c r="C2328" s="13">
        <f>+'PLAN DE CUENTAS'!C2328</f>
        <v>0</v>
      </c>
      <c r="D2328" t="str">
        <f>IF(tbal[[#This Row],[DEBE]]+tbal[[#This Row],[HABER]]=0,"","X")</f>
        <v/>
      </c>
      <c r="E2328" s="16">
        <f>SUMIF(tdiario[CUENTA],tbal[[#This Row],[CUENTA]],tdiario[DEBE])</f>
        <v>0</v>
      </c>
      <c r="F2328" s="17">
        <f>SUMIF(tdiario[CUENTA],tbal[[#This Row],[CUENTA]],tdiario[HABER])</f>
        <v>0</v>
      </c>
      <c r="G2328" s="16">
        <f>IF(tbal[[#This Row],[DEBE]]-tbal[[#This Row],[HABER]]&gt;0,tbal[[#This Row],[DEBE]]-tbal[[#This Row],[HABER]],0)</f>
        <v>0</v>
      </c>
      <c r="H2328" s="18">
        <f>IF(tbal[[#This Row],[HABER]]-tbal[[#This Row],[DEBE]]&gt;0,tbal[[#This Row],[HABER]]-tbal[[#This Row],[DEBE]],0)</f>
        <v>0</v>
      </c>
      <c r="I2328" s="16">
        <f>IF((OR(tbal[[#This Row],[X]]=1,tbal[[#This Row],[X]]=2)),tbal[[#This Row],[DEUDOR]],0)</f>
        <v>0</v>
      </c>
      <c r="J2328" s="18">
        <f>IF((OR(tbal[[#This Row],[X]]=2,tbal[[#This Row],[X]]=3)),tbal[[#This Row],[ACREEDOR]],0)</f>
        <v>0</v>
      </c>
      <c r="K2328" s="16">
        <f>IF((OR(tbal[[#This Row],[X]]=3,tbal[[#This Row],[X]]=5)),tbal[[#This Row],[DEUDOR]],0)</f>
        <v>0</v>
      </c>
      <c r="L2328" s="18">
        <f>IF((OR(tbal[[#This Row],[X]]=3,tbal[[#This Row],[X]]=4)),tbal[[#This Row],[ACREEDOR]],0)</f>
        <v>0</v>
      </c>
      <c r="M2328" s="16">
        <f>IF((OR(tbal[[#This Row],[X]]=0,tbal[[#This Row],[X]]=6)),tbal[[#This Row],[DEUDOR]],0)</f>
        <v>0</v>
      </c>
      <c r="N2328" s="18">
        <f>IF((OR(tbal[[#This Row],[X]]=0,tbal[[#This Row],[X]]=5)),tbal[[#This Row],[ACREEDOR]],0)</f>
        <v>0</v>
      </c>
    </row>
    <row r="2329" spans="1:14" hidden="1" x14ac:dyDescent="0.3">
      <c r="A2329" s="14">
        <f>+'PLAN DE CUENTAS'!A2329</f>
        <v>0</v>
      </c>
      <c r="B2329" s="13">
        <f>+'PLAN DE CUENTAS'!B2329</f>
        <v>0</v>
      </c>
      <c r="C2329" s="13">
        <f>+'PLAN DE CUENTAS'!C2329</f>
        <v>0</v>
      </c>
      <c r="D2329" t="str">
        <f>IF(tbal[[#This Row],[DEBE]]+tbal[[#This Row],[HABER]]=0,"","X")</f>
        <v/>
      </c>
      <c r="E2329" s="16">
        <f>SUMIF(tdiario[CUENTA],tbal[[#This Row],[CUENTA]],tdiario[DEBE])</f>
        <v>0</v>
      </c>
      <c r="F2329" s="17">
        <f>SUMIF(tdiario[CUENTA],tbal[[#This Row],[CUENTA]],tdiario[HABER])</f>
        <v>0</v>
      </c>
      <c r="G2329" s="16">
        <f>IF(tbal[[#This Row],[DEBE]]-tbal[[#This Row],[HABER]]&gt;0,tbal[[#This Row],[DEBE]]-tbal[[#This Row],[HABER]],0)</f>
        <v>0</v>
      </c>
      <c r="H2329" s="18">
        <f>IF(tbal[[#This Row],[HABER]]-tbal[[#This Row],[DEBE]]&gt;0,tbal[[#This Row],[HABER]]-tbal[[#This Row],[DEBE]],0)</f>
        <v>0</v>
      </c>
      <c r="I2329" s="16">
        <f>IF((OR(tbal[[#This Row],[X]]=1,tbal[[#This Row],[X]]=2)),tbal[[#This Row],[DEUDOR]],0)</f>
        <v>0</v>
      </c>
      <c r="J2329" s="18">
        <f>IF((OR(tbal[[#This Row],[X]]=2,tbal[[#This Row],[X]]=3)),tbal[[#This Row],[ACREEDOR]],0)</f>
        <v>0</v>
      </c>
      <c r="K2329" s="16">
        <f>IF((OR(tbal[[#This Row],[X]]=3,tbal[[#This Row],[X]]=5)),tbal[[#This Row],[DEUDOR]],0)</f>
        <v>0</v>
      </c>
      <c r="L2329" s="18">
        <f>IF((OR(tbal[[#This Row],[X]]=3,tbal[[#This Row],[X]]=4)),tbal[[#This Row],[ACREEDOR]],0)</f>
        <v>0</v>
      </c>
      <c r="M2329" s="16">
        <f>IF((OR(tbal[[#This Row],[X]]=0,tbal[[#This Row],[X]]=6)),tbal[[#This Row],[DEUDOR]],0)</f>
        <v>0</v>
      </c>
      <c r="N2329" s="18">
        <f>IF((OR(tbal[[#This Row],[X]]=0,tbal[[#This Row],[X]]=5)),tbal[[#This Row],[ACREEDOR]],0)</f>
        <v>0</v>
      </c>
    </row>
    <row r="2330" spans="1:14" hidden="1" x14ac:dyDescent="0.3">
      <c r="A2330" s="14">
        <f>+'PLAN DE CUENTAS'!A2330</f>
        <v>0</v>
      </c>
      <c r="B2330" s="13">
        <f>+'PLAN DE CUENTAS'!B2330</f>
        <v>0</v>
      </c>
      <c r="C2330" s="13">
        <f>+'PLAN DE CUENTAS'!C2330</f>
        <v>0</v>
      </c>
      <c r="D2330" t="str">
        <f>IF(tbal[[#This Row],[DEBE]]+tbal[[#This Row],[HABER]]=0,"","X")</f>
        <v/>
      </c>
      <c r="E2330" s="16">
        <f>SUMIF(tdiario[CUENTA],tbal[[#This Row],[CUENTA]],tdiario[DEBE])</f>
        <v>0</v>
      </c>
      <c r="F2330" s="17">
        <f>SUMIF(tdiario[CUENTA],tbal[[#This Row],[CUENTA]],tdiario[HABER])</f>
        <v>0</v>
      </c>
      <c r="G2330" s="16">
        <f>IF(tbal[[#This Row],[DEBE]]-tbal[[#This Row],[HABER]]&gt;0,tbal[[#This Row],[DEBE]]-tbal[[#This Row],[HABER]],0)</f>
        <v>0</v>
      </c>
      <c r="H2330" s="18">
        <f>IF(tbal[[#This Row],[HABER]]-tbal[[#This Row],[DEBE]]&gt;0,tbal[[#This Row],[HABER]]-tbal[[#This Row],[DEBE]],0)</f>
        <v>0</v>
      </c>
      <c r="I2330" s="16">
        <f>IF((OR(tbal[[#This Row],[X]]=1,tbal[[#This Row],[X]]=2)),tbal[[#This Row],[DEUDOR]],0)</f>
        <v>0</v>
      </c>
      <c r="J2330" s="18">
        <f>IF((OR(tbal[[#This Row],[X]]=2,tbal[[#This Row],[X]]=3)),tbal[[#This Row],[ACREEDOR]],0)</f>
        <v>0</v>
      </c>
      <c r="K2330" s="16">
        <f>IF((OR(tbal[[#This Row],[X]]=3,tbal[[#This Row],[X]]=5)),tbal[[#This Row],[DEUDOR]],0)</f>
        <v>0</v>
      </c>
      <c r="L2330" s="18">
        <f>IF((OR(tbal[[#This Row],[X]]=3,tbal[[#This Row],[X]]=4)),tbal[[#This Row],[ACREEDOR]],0)</f>
        <v>0</v>
      </c>
      <c r="M2330" s="16">
        <f>IF((OR(tbal[[#This Row],[X]]=0,tbal[[#This Row],[X]]=6)),tbal[[#This Row],[DEUDOR]],0)</f>
        <v>0</v>
      </c>
      <c r="N2330" s="18">
        <f>IF((OR(tbal[[#This Row],[X]]=0,tbal[[#This Row],[X]]=5)),tbal[[#This Row],[ACREEDOR]],0)</f>
        <v>0</v>
      </c>
    </row>
    <row r="2331" spans="1:14" hidden="1" x14ac:dyDescent="0.3">
      <c r="A2331" s="14">
        <f>+'PLAN DE CUENTAS'!A2331</f>
        <v>0</v>
      </c>
      <c r="B2331" s="13">
        <f>+'PLAN DE CUENTAS'!B2331</f>
        <v>0</v>
      </c>
      <c r="C2331" s="13">
        <f>+'PLAN DE CUENTAS'!C2331</f>
        <v>0</v>
      </c>
      <c r="D2331" t="str">
        <f>IF(tbal[[#This Row],[DEBE]]+tbal[[#This Row],[HABER]]=0,"","X")</f>
        <v/>
      </c>
      <c r="E2331" s="16">
        <f>SUMIF(tdiario[CUENTA],tbal[[#This Row],[CUENTA]],tdiario[DEBE])</f>
        <v>0</v>
      </c>
      <c r="F2331" s="17">
        <f>SUMIF(tdiario[CUENTA],tbal[[#This Row],[CUENTA]],tdiario[HABER])</f>
        <v>0</v>
      </c>
      <c r="G2331" s="16">
        <f>IF(tbal[[#This Row],[DEBE]]-tbal[[#This Row],[HABER]]&gt;0,tbal[[#This Row],[DEBE]]-tbal[[#This Row],[HABER]],0)</f>
        <v>0</v>
      </c>
      <c r="H2331" s="18">
        <f>IF(tbal[[#This Row],[HABER]]-tbal[[#This Row],[DEBE]]&gt;0,tbal[[#This Row],[HABER]]-tbal[[#This Row],[DEBE]],0)</f>
        <v>0</v>
      </c>
      <c r="I2331" s="16">
        <f>IF((OR(tbal[[#This Row],[X]]=1,tbal[[#This Row],[X]]=2)),tbal[[#This Row],[DEUDOR]],0)</f>
        <v>0</v>
      </c>
      <c r="J2331" s="18">
        <f>IF((OR(tbal[[#This Row],[X]]=2,tbal[[#This Row],[X]]=3)),tbal[[#This Row],[ACREEDOR]],0)</f>
        <v>0</v>
      </c>
      <c r="K2331" s="16">
        <f>IF((OR(tbal[[#This Row],[X]]=3,tbal[[#This Row],[X]]=5)),tbal[[#This Row],[DEUDOR]],0)</f>
        <v>0</v>
      </c>
      <c r="L2331" s="18">
        <f>IF((OR(tbal[[#This Row],[X]]=3,tbal[[#This Row],[X]]=4)),tbal[[#This Row],[ACREEDOR]],0)</f>
        <v>0</v>
      </c>
      <c r="M2331" s="16">
        <f>IF((OR(tbal[[#This Row],[X]]=0,tbal[[#This Row],[X]]=6)),tbal[[#This Row],[DEUDOR]],0)</f>
        <v>0</v>
      </c>
      <c r="N2331" s="18">
        <f>IF((OR(tbal[[#This Row],[X]]=0,tbal[[#This Row],[X]]=5)),tbal[[#This Row],[ACREEDOR]],0)</f>
        <v>0</v>
      </c>
    </row>
    <row r="2332" spans="1:14" hidden="1" x14ac:dyDescent="0.3">
      <c r="A2332" s="14">
        <f>+'PLAN DE CUENTAS'!A2332</f>
        <v>0</v>
      </c>
      <c r="B2332" s="13">
        <f>+'PLAN DE CUENTAS'!B2332</f>
        <v>0</v>
      </c>
      <c r="C2332" s="13">
        <f>+'PLAN DE CUENTAS'!C2332</f>
        <v>0</v>
      </c>
      <c r="D2332" t="str">
        <f>IF(tbal[[#This Row],[DEBE]]+tbal[[#This Row],[HABER]]=0,"","X")</f>
        <v/>
      </c>
      <c r="E2332" s="16">
        <f>SUMIF(tdiario[CUENTA],tbal[[#This Row],[CUENTA]],tdiario[DEBE])</f>
        <v>0</v>
      </c>
      <c r="F2332" s="17">
        <f>SUMIF(tdiario[CUENTA],tbal[[#This Row],[CUENTA]],tdiario[HABER])</f>
        <v>0</v>
      </c>
      <c r="G2332" s="16">
        <f>IF(tbal[[#This Row],[DEBE]]-tbal[[#This Row],[HABER]]&gt;0,tbal[[#This Row],[DEBE]]-tbal[[#This Row],[HABER]],0)</f>
        <v>0</v>
      </c>
      <c r="H2332" s="18">
        <f>IF(tbal[[#This Row],[HABER]]-tbal[[#This Row],[DEBE]]&gt;0,tbal[[#This Row],[HABER]]-tbal[[#This Row],[DEBE]],0)</f>
        <v>0</v>
      </c>
      <c r="I2332" s="16">
        <f>IF((OR(tbal[[#This Row],[X]]=1,tbal[[#This Row],[X]]=2)),tbal[[#This Row],[DEUDOR]],0)</f>
        <v>0</v>
      </c>
      <c r="J2332" s="18">
        <f>IF((OR(tbal[[#This Row],[X]]=2,tbal[[#This Row],[X]]=3)),tbal[[#This Row],[ACREEDOR]],0)</f>
        <v>0</v>
      </c>
      <c r="K2332" s="16">
        <f>IF((OR(tbal[[#This Row],[X]]=3,tbal[[#This Row],[X]]=5)),tbal[[#This Row],[DEUDOR]],0)</f>
        <v>0</v>
      </c>
      <c r="L2332" s="18">
        <f>IF((OR(tbal[[#This Row],[X]]=3,tbal[[#This Row],[X]]=4)),tbal[[#This Row],[ACREEDOR]],0)</f>
        <v>0</v>
      </c>
      <c r="M2332" s="16">
        <f>IF((OR(tbal[[#This Row],[X]]=0,tbal[[#This Row],[X]]=6)),tbal[[#This Row],[DEUDOR]],0)</f>
        <v>0</v>
      </c>
      <c r="N2332" s="18">
        <f>IF((OR(tbal[[#This Row],[X]]=0,tbal[[#This Row],[X]]=5)),tbal[[#This Row],[ACREEDOR]],0)</f>
        <v>0</v>
      </c>
    </row>
    <row r="2333" spans="1:14" hidden="1" x14ac:dyDescent="0.3">
      <c r="A2333" s="14">
        <f>+'PLAN DE CUENTAS'!A2333</f>
        <v>0</v>
      </c>
      <c r="B2333" s="13">
        <f>+'PLAN DE CUENTAS'!B2333</f>
        <v>0</v>
      </c>
      <c r="C2333" s="13">
        <f>+'PLAN DE CUENTAS'!C2333</f>
        <v>0</v>
      </c>
      <c r="D2333" t="str">
        <f>IF(tbal[[#This Row],[DEBE]]+tbal[[#This Row],[HABER]]=0,"","X")</f>
        <v/>
      </c>
      <c r="E2333" s="16">
        <f>SUMIF(tdiario[CUENTA],tbal[[#This Row],[CUENTA]],tdiario[DEBE])</f>
        <v>0</v>
      </c>
      <c r="F2333" s="17">
        <f>SUMIF(tdiario[CUENTA],tbal[[#This Row],[CUENTA]],tdiario[HABER])</f>
        <v>0</v>
      </c>
      <c r="G2333" s="16">
        <f>IF(tbal[[#This Row],[DEBE]]-tbal[[#This Row],[HABER]]&gt;0,tbal[[#This Row],[DEBE]]-tbal[[#This Row],[HABER]],0)</f>
        <v>0</v>
      </c>
      <c r="H2333" s="18">
        <f>IF(tbal[[#This Row],[HABER]]-tbal[[#This Row],[DEBE]]&gt;0,tbal[[#This Row],[HABER]]-tbal[[#This Row],[DEBE]],0)</f>
        <v>0</v>
      </c>
      <c r="I2333" s="16">
        <f>IF((OR(tbal[[#This Row],[X]]=1,tbal[[#This Row],[X]]=2)),tbal[[#This Row],[DEUDOR]],0)</f>
        <v>0</v>
      </c>
      <c r="J2333" s="18">
        <f>IF((OR(tbal[[#This Row],[X]]=2,tbal[[#This Row],[X]]=3)),tbal[[#This Row],[ACREEDOR]],0)</f>
        <v>0</v>
      </c>
      <c r="K2333" s="16">
        <f>IF((OR(tbal[[#This Row],[X]]=3,tbal[[#This Row],[X]]=5)),tbal[[#This Row],[DEUDOR]],0)</f>
        <v>0</v>
      </c>
      <c r="L2333" s="18">
        <f>IF((OR(tbal[[#This Row],[X]]=3,tbal[[#This Row],[X]]=4)),tbal[[#This Row],[ACREEDOR]],0)</f>
        <v>0</v>
      </c>
      <c r="M2333" s="16">
        <f>IF((OR(tbal[[#This Row],[X]]=0,tbal[[#This Row],[X]]=6)),tbal[[#This Row],[DEUDOR]],0)</f>
        <v>0</v>
      </c>
      <c r="N2333" s="18">
        <f>IF((OR(tbal[[#This Row],[X]]=0,tbal[[#This Row],[X]]=5)),tbal[[#This Row],[ACREEDOR]],0)</f>
        <v>0</v>
      </c>
    </row>
    <row r="2334" spans="1:14" hidden="1" x14ac:dyDescent="0.3">
      <c r="A2334" s="14">
        <f>+'PLAN DE CUENTAS'!A2334</f>
        <v>0</v>
      </c>
      <c r="B2334" s="13">
        <f>+'PLAN DE CUENTAS'!B2334</f>
        <v>0</v>
      </c>
      <c r="C2334" s="13">
        <f>+'PLAN DE CUENTAS'!C2334</f>
        <v>0</v>
      </c>
      <c r="D2334" t="str">
        <f>IF(tbal[[#This Row],[DEBE]]+tbal[[#This Row],[HABER]]=0,"","X")</f>
        <v/>
      </c>
      <c r="E2334" s="16">
        <f>SUMIF(tdiario[CUENTA],tbal[[#This Row],[CUENTA]],tdiario[DEBE])</f>
        <v>0</v>
      </c>
      <c r="F2334" s="17">
        <f>SUMIF(tdiario[CUENTA],tbal[[#This Row],[CUENTA]],tdiario[HABER])</f>
        <v>0</v>
      </c>
      <c r="G2334" s="16">
        <f>IF(tbal[[#This Row],[DEBE]]-tbal[[#This Row],[HABER]]&gt;0,tbal[[#This Row],[DEBE]]-tbal[[#This Row],[HABER]],0)</f>
        <v>0</v>
      </c>
      <c r="H2334" s="18">
        <f>IF(tbal[[#This Row],[HABER]]-tbal[[#This Row],[DEBE]]&gt;0,tbal[[#This Row],[HABER]]-tbal[[#This Row],[DEBE]],0)</f>
        <v>0</v>
      </c>
      <c r="I2334" s="16">
        <f>IF((OR(tbal[[#This Row],[X]]=1,tbal[[#This Row],[X]]=2)),tbal[[#This Row],[DEUDOR]],0)</f>
        <v>0</v>
      </c>
      <c r="J2334" s="18">
        <f>IF((OR(tbal[[#This Row],[X]]=2,tbal[[#This Row],[X]]=3)),tbal[[#This Row],[ACREEDOR]],0)</f>
        <v>0</v>
      </c>
      <c r="K2334" s="16">
        <f>IF((OR(tbal[[#This Row],[X]]=3,tbal[[#This Row],[X]]=5)),tbal[[#This Row],[DEUDOR]],0)</f>
        <v>0</v>
      </c>
      <c r="L2334" s="18">
        <f>IF((OR(tbal[[#This Row],[X]]=3,tbal[[#This Row],[X]]=4)),tbal[[#This Row],[ACREEDOR]],0)</f>
        <v>0</v>
      </c>
      <c r="M2334" s="16">
        <f>IF((OR(tbal[[#This Row],[X]]=0,tbal[[#This Row],[X]]=6)),tbal[[#This Row],[DEUDOR]],0)</f>
        <v>0</v>
      </c>
      <c r="N2334" s="18">
        <f>IF((OR(tbal[[#This Row],[X]]=0,tbal[[#This Row],[X]]=5)),tbal[[#This Row],[ACREEDOR]],0)</f>
        <v>0</v>
      </c>
    </row>
    <row r="2335" spans="1:14" hidden="1" x14ac:dyDescent="0.3">
      <c r="A2335" s="14">
        <f>+'PLAN DE CUENTAS'!A2335</f>
        <v>0</v>
      </c>
      <c r="B2335" s="13">
        <f>+'PLAN DE CUENTAS'!B2335</f>
        <v>0</v>
      </c>
      <c r="C2335" s="13">
        <f>+'PLAN DE CUENTAS'!C2335</f>
        <v>0</v>
      </c>
      <c r="D2335" t="str">
        <f>IF(tbal[[#This Row],[DEBE]]+tbal[[#This Row],[HABER]]=0,"","X")</f>
        <v/>
      </c>
      <c r="E2335" s="16">
        <f>SUMIF(tdiario[CUENTA],tbal[[#This Row],[CUENTA]],tdiario[DEBE])</f>
        <v>0</v>
      </c>
      <c r="F2335" s="17">
        <f>SUMIF(tdiario[CUENTA],tbal[[#This Row],[CUENTA]],tdiario[HABER])</f>
        <v>0</v>
      </c>
      <c r="G2335" s="16">
        <f>IF(tbal[[#This Row],[DEBE]]-tbal[[#This Row],[HABER]]&gt;0,tbal[[#This Row],[DEBE]]-tbal[[#This Row],[HABER]],0)</f>
        <v>0</v>
      </c>
      <c r="H2335" s="18">
        <f>IF(tbal[[#This Row],[HABER]]-tbal[[#This Row],[DEBE]]&gt;0,tbal[[#This Row],[HABER]]-tbal[[#This Row],[DEBE]],0)</f>
        <v>0</v>
      </c>
      <c r="I2335" s="16">
        <f>IF((OR(tbal[[#This Row],[X]]=1,tbal[[#This Row],[X]]=2)),tbal[[#This Row],[DEUDOR]],0)</f>
        <v>0</v>
      </c>
      <c r="J2335" s="18">
        <f>IF((OR(tbal[[#This Row],[X]]=2,tbal[[#This Row],[X]]=3)),tbal[[#This Row],[ACREEDOR]],0)</f>
        <v>0</v>
      </c>
      <c r="K2335" s="16">
        <f>IF((OR(tbal[[#This Row],[X]]=3,tbal[[#This Row],[X]]=5)),tbal[[#This Row],[DEUDOR]],0)</f>
        <v>0</v>
      </c>
      <c r="L2335" s="18">
        <f>IF((OR(tbal[[#This Row],[X]]=3,tbal[[#This Row],[X]]=4)),tbal[[#This Row],[ACREEDOR]],0)</f>
        <v>0</v>
      </c>
      <c r="M2335" s="16">
        <f>IF((OR(tbal[[#This Row],[X]]=0,tbal[[#This Row],[X]]=6)),tbal[[#This Row],[DEUDOR]],0)</f>
        <v>0</v>
      </c>
      <c r="N2335" s="18">
        <f>IF((OR(tbal[[#This Row],[X]]=0,tbal[[#This Row],[X]]=5)),tbal[[#This Row],[ACREEDOR]],0)</f>
        <v>0</v>
      </c>
    </row>
    <row r="2336" spans="1:14" hidden="1" x14ac:dyDescent="0.3">
      <c r="A2336" s="14">
        <f>+'PLAN DE CUENTAS'!A2336</f>
        <v>0</v>
      </c>
      <c r="B2336" s="13">
        <f>+'PLAN DE CUENTAS'!B2336</f>
        <v>0</v>
      </c>
      <c r="C2336" s="13">
        <f>+'PLAN DE CUENTAS'!C2336</f>
        <v>0</v>
      </c>
      <c r="D2336" t="str">
        <f>IF(tbal[[#This Row],[DEBE]]+tbal[[#This Row],[HABER]]=0,"","X")</f>
        <v/>
      </c>
      <c r="E2336" s="16">
        <f>SUMIF(tdiario[CUENTA],tbal[[#This Row],[CUENTA]],tdiario[DEBE])</f>
        <v>0</v>
      </c>
      <c r="F2336" s="17">
        <f>SUMIF(tdiario[CUENTA],tbal[[#This Row],[CUENTA]],tdiario[HABER])</f>
        <v>0</v>
      </c>
      <c r="G2336" s="16">
        <f>IF(tbal[[#This Row],[DEBE]]-tbal[[#This Row],[HABER]]&gt;0,tbal[[#This Row],[DEBE]]-tbal[[#This Row],[HABER]],0)</f>
        <v>0</v>
      </c>
      <c r="H2336" s="18">
        <f>IF(tbal[[#This Row],[HABER]]-tbal[[#This Row],[DEBE]]&gt;0,tbal[[#This Row],[HABER]]-tbal[[#This Row],[DEBE]],0)</f>
        <v>0</v>
      </c>
      <c r="I2336" s="16">
        <f>IF((OR(tbal[[#This Row],[X]]=1,tbal[[#This Row],[X]]=2)),tbal[[#This Row],[DEUDOR]],0)</f>
        <v>0</v>
      </c>
      <c r="J2336" s="18">
        <f>IF((OR(tbal[[#This Row],[X]]=2,tbal[[#This Row],[X]]=3)),tbal[[#This Row],[ACREEDOR]],0)</f>
        <v>0</v>
      </c>
      <c r="K2336" s="16">
        <f>IF((OR(tbal[[#This Row],[X]]=3,tbal[[#This Row],[X]]=5)),tbal[[#This Row],[DEUDOR]],0)</f>
        <v>0</v>
      </c>
      <c r="L2336" s="18">
        <f>IF((OR(tbal[[#This Row],[X]]=3,tbal[[#This Row],[X]]=4)),tbal[[#This Row],[ACREEDOR]],0)</f>
        <v>0</v>
      </c>
      <c r="M2336" s="16">
        <f>IF((OR(tbal[[#This Row],[X]]=0,tbal[[#This Row],[X]]=6)),tbal[[#This Row],[DEUDOR]],0)</f>
        <v>0</v>
      </c>
      <c r="N2336" s="18">
        <f>IF((OR(tbal[[#This Row],[X]]=0,tbal[[#This Row],[X]]=5)),tbal[[#This Row],[ACREEDOR]],0)</f>
        <v>0</v>
      </c>
    </row>
    <row r="2337" spans="1:14" hidden="1" x14ac:dyDescent="0.3">
      <c r="A2337" s="14">
        <f>+'PLAN DE CUENTAS'!A2337</f>
        <v>0</v>
      </c>
      <c r="B2337" s="13">
        <f>+'PLAN DE CUENTAS'!B2337</f>
        <v>0</v>
      </c>
      <c r="C2337" s="13">
        <f>+'PLAN DE CUENTAS'!C2337</f>
        <v>0</v>
      </c>
      <c r="D2337" t="str">
        <f>IF(tbal[[#This Row],[DEBE]]+tbal[[#This Row],[HABER]]=0,"","X")</f>
        <v/>
      </c>
      <c r="E2337" s="16">
        <f>SUMIF(tdiario[CUENTA],tbal[[#This Row],[CUENTA]],tdiario[DEBE])</f>
        <v>0</v>
      </c>
      <c r="F2337" s="17">
        <f>SUMIF(tdiario[CUENTA],tbal[[#This Row],[CUENTA]],tdiario[HABER])</f>
        <v>0</v>
      </c>
      <c r="G2337" s="16">
        <f>IF(tbal[[#This Row],[DEBE]]-tbal[[#This Row],[HABER]]&gt;0,tbal[[#This Row],[DEBE]]-tbal[[#This Row],[HABER]],0)</f>
        <v>0</v>
      </c>
      <c r="H2337" s="18">
        <f>IF(tbal[[#This Row],[HABER]]-tbal[[#This Row],[DEBE]]&gt;0,tbal[[#This Row],[HABER]]-tbal[[#This Row],[DEBE]],0)</f>
        <v>0</v>
      </c>
      <c r="I2337" s="16">
        <f>IF((OR(tbal[[#This Row],[X]]=1,tbal[[#This Row],[X]]=2)),tbal[[#This Row],[DEUDOR]],0)</f>
        <v>0</v>
      </c>
      <c r="J2337" s="18">
        <f>IF((OR(tbal[[#This Row],[X]]=2,tbal[[#This Row],[X]]=3)),tbal[[#This Row],[ACREEDOR]],0)</f>
        <v>0</v>
      </c>
      <c r="K2337" s="16">
        <f>IF((OR(tbal[[#This Row],[X]]=3,tbal[[#This Row],[X]]=5)),tbal[[#This Row],[DEUDOR]],0)</f>
        <v>0</v>
      </c>
      <c r="L2337" s="18">
        <f>IF((OR(tbal[[#This Row],[X]]=3,tbal[[#This Row],[X]]=4)),tbal[[#This Row],[ACREEDOR]],0)</f>
        <v>0</v>
      </c>
      <c r="M2337" s="16">
        <f>IF((OR(tbal[[#This Row],[X]]=0,tbal[[#This Row],[X]]=6)),tbal[[#This Row],[DEUDOR]],0)</f>
        <v>0</v>
      </c>
      <c r="N2337" s="18">
        <f>IF((OR(tbal[[#This Row],[X]]=0,tbal[[#This Row],[X]]=5)),tbal[[#This Row],[ACREEDOR]],0)</f>
        <v>0</v>
      </c>
    </row>
    <row r="2338" spans="1:14" hidden="1" x14ac:dyDescent="0.3">
      <c r="A2338" s="14">
        <f>+'PLAN DE CUENTAS'!A2338</f>
        <v>0</v>
      </c>
      <c r="B2338" s="13">
        <f>+'PLAN DE CUENTAS'!B2338</f>
        <v>0</v>
      </c>
      <c r="C2338" s="13">
        <f>+'PLAN DE CUENTAS'!C2338</f>
        <v>0</v>
      </c>
      <c r="D2338" t="str">
        <f>IF(tbal[[#This Row],[DEBE]]+tbal[[#This Row],[HABER]]=0,"","X")</f>
        <v/>
      </c>
      <c r="E2338" s="16">
        <f>SUMIF(tdiario[CUENTA],tbal[[#This Row],[CUENTA]],tdiario[DEBE])</f>
        <v>0</v>
      </c>
      <c r="F2338" s="17">
        <f>SUMIF(tdiario[CUENTA],tbal[[#This Row],[CUENTA]],tdiario[HABER])</f>
        <v>0</v>
      </c>
      <c r="G2338" s="16">
        <f>IF(tbal[[#This Row],[DEBE]]-tbal[[#This Row],[HABER]]&gt;0,tbal[[#This Row],[DEBE]]-tbal[[#This Row],[HABER]],0)</f>
        <v>0</v>
      </c>
      <c r="H2338" s="18">
        <f>IF(tbal[[#This Row],[HABER]]-tbal[[#This Row],[DEBE]]&gt;0,tbal[[#This Row],[HABER]]-tbal[[#This Row],[DEBE]],0)</f>
        <v>0</v>
      </c>
      <c r="I2338" s="16">
        <f>IF((OR(tbal[[#This Row],[X]]=1,tbal[[#This Row],[X]]=2)),tbal[[#This Row],[DEUDOR]],0)</f>
        <v>0</v>
      </c>
      <c r="J2338" s="18">
        <f>IF((OR(tbal[[#This Row],[X]]=2,tbal[[#This Row],[X]]=3)),tbal[[#This Row],[ACREEDOR]],0)</f>
        <v>0</v>
      </c>
      <c r="K2338" s="16">
        <f>IF((OR(tbal[[#This Row],[X]]=3,tbal[[#This Row],[X]]=5)),tbal[[#This Row],[DEUDOR]],0)</f>
        <v>0</v>
      </c>
      <c r="L2338" s="18">
        <f>IF((OR(tbal[[#This Row],[X]]=3,tbal[[#This Row],[X]]=4)),tbal[[#This Row],[ACREEDOR]],0)</f>
        <v>0</v>
      </c>
      <c r="M2338" s="16">
        <f>IF((OR(tbal[[#This Row],[X]]=0,tbal[[#This Row],[X]]=6)),tbal[[#This Row],[DEUDOR]],0)</f>
        <v>0</v>
      </c>
      <c r="N2338" s="18">
        <f>IF((OR(tbal[[#This Row],[X]]=0,tbal[[#This Row],[X]]=5)),tbal[[#This Row],[ACREEDOR]],0)</f>
        <v>0</v>
      </c>
    </row>
    <row r="2339" spans="1:14" hidden="1" x14ac:dyDescent="0.3">
      <c r="A2339" s="14">
        <f>+'PLAN DE CUENTAS'!A2339</f>
        <v>0</v>
      </c>
      <c r="B2339" s="13">
        <f>+'PLAN DE CUENTAS'!B2339</f>
        <v>0</v>
      </c>
      <c r="C2339" s="13">
        <f>+'PLAN DE CUENTAS'!C2339</f>
        <v>0</v>
      </c>
      <c r="D2339" t="str">
        <f>IF(tbal[[#This Row],[DEBE]]+tbal[[#This Row],[HABER]]=0,"","X")</f>
        <v/>
      </c>
      <c r="E2339" s="16">
        <f>SUMIF(tdiario[CUENTA],tbal[[#This Row],[CUENTA]],tdiario[DEBE])</f>
        <v>0</v>
      </c>
      <c r="F2339" s="17">
        <f>SUMIF(tdiario[CUENTA],tbal[[#This Row],[CUENTA]],tdiario[HABER])</f>
        <v>0</v>
      </c>
      <c r="G2339" s="16">
        <f>IF(tbal[[#This Row],[DEBE]]-tbal[[#This Row],[HABER]]&gt;0,tbal[[#This Row],[DEBE]]-tbal[[#This Row],[HABER]],0)</f>
        <v>0</v>
      </c>
      <c r="H2339" s="18">
        <f>IF(tbal[[#This Row],[HABER]]-tbal[[#This Row],[DEBE]]&gt;0,tbal[[#This Row],[HABER]]-tbal[[#This Row],[DEBE]],0)</f>
        <v>0</v>
      </c>
      <c r="I2339" s="16">
        <f>IF((OR(tbal[[#This Row],[X]]=1,tbal[[#This Row],[X]]=2)),tbal[[#This Row],[DEUDOR]],0)</f>
        <v>0</v>
      </c>
      <c r="J2339" s="18">
        <f>IF((OR(tbal[[#This Row],[X]]=2,tbal[[#This Row],[X]]=3)),tbal[[#This Row],[ACREEDOR]],0)</f>
        <v>0</v>
      </c>
      <c r="K2339" s="16">
        <f>IF((OR(tbal[[#This Row],[X]]=3,tbal[[#This Row],[X]]=5)),tbal[[#This Row],[DEUDOR]],0)</f>
        <v>0</v>
      </c>
      <c r="L2339" s="18">
        <f>IF((OR(tbal[[#This Row],[X]]=3,tbal[[#This Row],[X]]=4)),tbal[[#This Row],[ACREEDOR]],0)</f>
        <v>0</v>
      </c>
      <c r="M2339" s="16">
        <f>IF((OR(tbal[[#This Row],[X]]=0,tbal[[#This Row],[X]]=6)),tbal[[#This Row],[DEUDOR]],0)</f>
        <v>0</v>
      </c>
      <c r="N2339" s="18">
        <f>IF((OR(tbal[[#This Row],[X]]=0,tbal[[#This Row],[X]]=5)),tbal[[#This Row],[ACREEDOR]],0)</f>
        <v>0</v>
      </c>
    </row>
    <row r="2340" spans="1:14" hidden="1" x14ac:dyDescent="0.3">
      <c r="A2340" s="14">
        <f>+'PLAN DE CUENTAS'!A2340</f>
        <v>0</v>
      </c>
      <c r="B2340" s="13">
        <f>+'PLAN DE CUENTAS'!B2340</f>
        <v>0</v>
      </c>
      <c r="C2340" s="13">
        <f>+'PLAN DE CUENTAS'!C2340</f>
        <v>0</v>
      </c>
      <c r="D2340" t="str">
        <f>IF(tbal[[#This Row],[DEBE]]+tbal[[#This Row],[HABER]]=0,"","X")</f>
        <v/>
      </c>
      <c r="E2340" s="16">
        <f>SUMIF(tdiario[CUENTA],tbal[[#This Row],[CUENTA]],tdiario[DEBE])</f>
        <v>0</v>
      </c>
      <c r="F2340" s="17">
        <f>SUMIF(tdiario[CUENTA],tbal[[#This Row],[CUENTA]],tdiario[HABER])</f>
        <v>0</v>
      </c>
      <c r="G2340" s="16">
        <f>IF(tbal[[#This Row],[DEBE]]-tbal[[#This Row],[HABER]]&gt;0,tbal[[#This Row],[DEBE]]-tbal[[#This Row],[HABER]],0)</f>
        <v>0</v>
      </c>
      <c r="H2340" s="18">
        <f>IF(tbal[[#This Row],[HABER]]-tbal[[#This Row],[DEBE]]&gt;0,tbal[[#This Row],[HABER]]-tbal[[#This Row],[DEBE]],0)</f>
        <v>0</v>
      </c>
      <c r="I2340" s="16">
        <f>IF((OR(tbal[[#This Row],[X]]=1,tbal[[#This Row],[X]]=2)),tbal[[#This Row],[DEUDOR]],0)</f>
        <v>0</v>
      </c>
      <c r="J2340" s="18">
        <f>IF((OR(tbal[[#This Row],[X]]=2,tbal[[#This Row],[X]]=3)),tbal[[#This Row],[ACREEDOR]],0)</f>
        <v>0</v>
      </c>
      <c r="K2340" s="16">
        <f>IF((OR(tbal[[#This Row],[X]]=3,tbal[[#This Row],[X]]=5)),tbal[[#This Row],[DEUDOR]],0)</f>
        <v>0</v>
      </c>
      <c r="L2340" s="18">
        <f>IF((OR(tbal[[#This Row],[X]]=3,tbal[[#This Row],[X]]=4)),tbal[[#This Row],[ACREEDOR]],0)</f>
        <v>0</v>
      </c>
      <c r="M2340" s="16">
        <f>IF((OR(tbal[[#This Row],[X]]=0,tbal[[#This Row],[X]]=6)),tbal[[#This Row],[DEUDOR]],0)</f>
        <v>0</v>
      </c>
      <c r="N2340" s="18">
        <f>IF((OR(tbal[[#This Row],[X]]=0,tbal[[#This Row],[X]]=5)),tbal[[#This Row],[ACREEDOR]],0)</f>
        <v>0</v>
      </c>
    </row>
    <row r="2341" spans="1:14" hidden="1" x14ac:dyDescent="0.3">
      <c r="A2341" s="14">
        <f>+'PLAN DE CUENTAS'!A2341</f>
        <v>0</v>
      </c>
      <c r="B2341" s="13">
        <f>+'PLAN DE CUENTAS'!B2341</f>
        <v>0</v>
      </c>
      <c r="C2341" s="13">
        <f>+'PLAN DE CUENTAS'!C2341</f>
        <v>0</v>
      </c>
      <c r="D2341" t="str">
        <f>IF(tbal[[#This Row],[DEBE]]+tbal[[#This Row],[HABER]]=0,"","X")</f>
        <v/>
      </c>
      <c r="E2341" s="16">
        <f>SUMIF(tdiario[CUENTA],tbal[[#This Row],[CUENTA]],tdiario[DEBE])</f>
        <v>0</v>
      </c>
      <c r="F2341" s="17">
        <f>SUMIF(tdiario[CUENTA],tbal[[#This Row],[CUENTA]],tdiario[HABER])</f>
        <v>0</v>
      </c>
      <c r="G2341" s="16">
        <f>IF(tbal[[#This Row],[DEBE]]-tbal[[#This Row],[HABER]]&gt;0,tbal[[#This Row],[DEBE]]-tbal[[#This Row],[HABER]],0)</f>
        <v>0</v>
      </c>
      <c r="H2341" s="18">
        <f>IF(tbal[[#This Row],[HABER]]-tbal[[#This Row],[DEBE]]&gt;0,tbal[[#This Row],[HABER]]-tbal[[#This Row],[DEBE]],0)</f>
        <v>0</v>
      </c>
      <c r="I2341" s="16">
        <f>IF((OR(tbal[[#This Row],[X]]=1,tbal[[#This Row],[X]]=2)),tbal[[#This Row],[DEUDOR]],0)</f>
        <v>0</v>
      </c>
      <c r="J2341" s="18">
        <f>IF((OR(tbal[[#This Row],[X]]=2,tbal[[#This Row],[X]]=3)),tbal[[#This Row],[ACREEDOR]],0)</f>
        <v>0</v>
      </c>
      <c r="K2341" s="16">
        <f>IF((OR(tbal[[#This Row],[X]]=3,tbal[[#This Row],[X]]=5)),tbal[[#This Row],[DEUDOR]],0)</f>
        <v>0</v>
      </c>
      <c r="L2341" s="18">
        <f>IF((OR(tbal[[#This Row],[X]]=3,tbal[[#This Row],[X]]=4)),tbal[[#This Row],[ACREEDOR]],0)</f>
        <v>0</v>
      </c>
      <c r="M2341" s="16">
        <f>IF((OR(tbal[[#This Row],[X]]=0,tbal[[#This Row],[X]]=6)),tbal[[#This Row],[DEUDOR]],0)</f>
        <v>0</v>
      </c>
      <c r="N2341" s="18">
        <f>IF((OR(tbal[[#This Row],[X]]=0,tbal[[#This Row],[X]]=5)),tbal[[#This Row],[ACREEDOR]],0)</f>
        <v>0</v>
      </c>
    </row>
    <row r="2342" spans="1:14" hidden="1" x14ac:dyDescent="0.3">
      <c r="A2342" s="14">
        <f>+'PLAN DE CUENTAS'!A2342</f>
        <v>0</v>
      </c>
      <c r="B2342" s="13">
        <f>+'PLAN DE CUENTAS'!B2342</f>
        <v>0</v>
      </c>
      <c r="C2342" s="13">
        <f>+'PLAN DE CUENTAS'!C2342</f>
        <v>0</v>
      </c>
      <c r="D2342" t="str">
        <f>IF(tbal[[#This Row],[DEBE]]+tbal[[#This Row],[HABER]]=0,"","X")</f>
        <v/>
      </c>
      <c r="E2342" s="16">
        <f>SUMIF(tdiario[CUENTA],tbal[[#This Row],[CUENTA]],tdiario[DEBE])</f>
        <v>0</v>
      </c>
      <c r="F2342" s="17">
        <f>SUMIF(tdiario[CUENTA],tbal[[#This Row],[CUENTA]],tdiario[HABER])</f>
        <v>0</v>
      </c>
      <c r="G2342" s="16">
        <f>IF(tbal[[#This Row],[DEBE]]-tbal[[#This Row],[HABER]]&gt;0,tbal[[#This Row],[DEBE]]-tbal[[#This Row],[HABER]],0)</f>
        <v>0</v>
      </c>
      <c r="H2342" s="18">
        <f>IF(tbal[[#This Row],[HABER]]-tbal[[#This Row],[DEBE]]&gt;0,tbal[[#This Row],[HABER]]-tbal[[#This Row],[DEBE]],0)</f>
        <v>0</v>
      </c>
      <c r="I2342" s="16">
        <f>IF((OR(tbal[[#This Row],[X]]=1,tbal[[#This Row],[X]]=2)),tbal[[#This Row],[DEUDOR]],0)</f>
        <v>0</v>
      </c>
      <c r="J2342" s="18">
        <f>IF((OR(tbal[[#This Row],[X]]=2,tbal[[#This Row],[X]]=3)),tbal[[#This Row],[ACREEDOR]],0)</f>
        <v>0</v>
      </c>
      <c r="K2342" s="16">
        <f>IF((OR(tbal[[#This Row],[X]]=3,tbal[[#This Row],[X]]=5)),tbal[[#This Row],[DEUDOR]],0)</f>
        <v>0</v>
      </c>
      <c r="L2342" s="18">
        <f>IF((OR(tbal[[#This Row],[X]]=3,tbal[[#This Row],[X]]=4)),tbal[[#This Row],[ACREEDOR]],0)</f>
        <v>0</v>
      </c>
      <c r="M2342" s="16">
        <f>IF((OR(tbal[[#This Row],[X]]=0,tbal[[#This Row],[X]]=6)),tbal[[#This Row],[DEUDOR]],0)</f>
        <v>0</v>
      </c>
      <c r="N2342" s="18">
        <f>IF((OR(tbal[[#This Row],[X]]=0,tbal[[#This Row],[X]]=5)),tbal[[#This Row],[ACREEDOR]],0)</f>
        <v>0</v>
      </c>
    </row>
    <row r="2343" spans="1:14" hidden="1" x14ac:dyDescent="0.3">
      <c r="A2343" s="14">
        <f>+'PLAN DE CUENTAS'!A2343</f>
        <v>0</v>
      </c>
      <c r="B2343" s="13">
        <f>+'PLAN DE CUENTAS'!B2343</f>
        <v>0</v>
      </c>
      <c r="C2343" s="13">
        <f>+'PLAN DE CUENTAS'!C2343</f>
        <v>0</v>
      </c>
      <c r="D2343" t="str">
        <f>IF(tbal[[#This Row],[DEBE]]+tbal[[#This Row],[HABER]]=0,"","X")</f>
        <v/>
      </c>
      <c r="E2343" s="16">
        <f>SUMIF(tdiario[CUENTA],tbal[[#This Row],[CUENTA]],tdiario[DEBE])</f>
        <v>0</v>
      </c>
      <c r="F2343" s="17">
        <f>SUMIF(tdiario[CUENTA],tbal[[#This Row],[CUENTA]],tdiario[HABER])</f>
        <v>0</v>
      </c>
      <c r="G2343" s="16">
        <f>IF(tbal[[#This Row],[DEBE]]-tbal[[#This Row],[HABER]]&gt;0,tbal[[#This Row],[DEBE]]-tbal[[#This Row],[HABER]],0)</f>
        <v>0</v>
      </c>
      <c r="H2343" s="18">
        <f>IF(tbal[[#This Row],[HABER]]-tbal[[#This Row],[DEBE]]&gt;0,tbal[[#This Row],[HABER]]-tbal[[#This Row],[DEBE]],0)</f>
        <v>0</v>
      </c>
      <c r="I2343" s="16">
        <f>IF((OR(tbal[[#This Row],[X]]=1,tbal[[#This Row],[X]]=2)),tbal[[#This Row],[DEUDOR]],0)</f>
        <v>0</v>
      </c>
      <c r="J2343" s="18">
        <f>IF((OR(tbal[[#This Row],[X]]=2,tbal[[#This Row],[X]]=3)),tbal[[#This Row],[ACREEDOR]],0)</f>
        <v>0</v>
      </c>
      <c r="K2343" s="16">
        <f>IF((OR(tbal[[#This Row],[X]]=3,tbal[[#This Row],[X]]=5)),tbal[[#This Row],[DEUDOR]],0)</f>
        <v>0</v>
      </c>
      <c r="L2343" s="18">
        <f>IF((OR(tbal[[#This Row],[X]]=3,tbal[[#This Row],[X]]=4)),tbal[[#This Row],[ACREEDOR]],0)</f>
        <v>0</v>
      </c>
      <c r="M2343" s="16">
        <f>IF((OR(tbal[[#This Row],[X]]=0,tbal[[#This Row],[X]]=6)),tbal[[#This Row],[DEUDOR]],0)</f>
        <v>0</v>
      </c>
      <c r="N2343" s="18">
        <f>IF((OR(tbal[[#This Row],[X]]=0,tbal[[#This Row],[X]]=5)),tbal[[#This Row],[ACREEDOR]],0)</f>
        <v>0</v>
      </c>
    </row>
    <row r="2344" spans="1:14" hidden="1" x14ac:dyDescent="0.3">
      <c r="A2344" s="14">
        <f>+'PLAN DE CUENTAS'!A2344</f>
        <v>0</v>
      </c>
      <c r="B2344" s="13">
        <f>+'PLAN DE CUENTAS'!B2344</f>
        <v>0</v>
      </c>
      <c r="C2344" s="13">
        <f>+'PLAN DE CUENTAS'!C2344</f>
        <v>0</v>
      </c>
      <c r="D2344" t="str">
        <f>IF(tbal[[#This Row],[DEBE]]+tbal[[#This Row],[HABER]]=0,"","X")</f>
        <v/>
      </c>
      <c r="E2344" s="16">
        <f>SUMIF(tdiario[CUENTA],tbal[[#This Row],[CUENTA]],tdiario[DEBE])</f>
        <v>0</v>
      </c>
      <c r="F2344" s="17">
        <f>SUMIF(tdiario[CUENTA],tbal[[#This Row],[CUENTA]],tdiario[HABER])</f>
        <v>0</v>
      </c>
      <c r="G2344" s="16">
        <f>IF(tbal[[#This Row],[DEBE]]-tbal[[#This Row],[HABER]]&gt;0,tbal[[#This Row],[DEBE]]-tbal[[#This Row],[HABER]],0)</f>
        <v>0</v>
      </c>
      <c r="H2344" s="18">
        <f>IF(tbal[[#This Row],[HABER]]-tbal[[#This Row],[DEBE]]&gt;0,tbal[[#This Row],[HABER]]-tbal[[#This Row],[DEBE]],0)</f>
        <v>0</v>
      </c>
      <c r="I2344" s="16">
        <f>IF((OR(tbal[[#This Row],[X]]=1,tbal[[#This Row],[X]]=2)),tbal[[#This Row],[DEUDOR]],0)</f>
        <v>0</v>
      </c>
      <c r="J2344" s="18">
        <f>IF((OR(tbal[[#This Row],[X]]=2,tbal[[#This Row],[X]]=3)),tbal[[#This Row],[ACREEDOR]],0)</f>
        <v>0</v>
      </c>
      <c r="K2344" s="16">
        <f>IF((OR(tbal[[#This Row],[X]]=3,tbal[[#This Row],[X]]=5)),tbal[[#This Row],[DEUDOR]],0)</f>
        <v>0</v>
      </c>
      <c r="L2344" s="18">
        <f>IF((OR(tbal[[#This Row],[X]]=3,tbal[[#This Row],[X]]=4)),tbal[[#This Row],[ACREEDOR]],0)</f>
        <v>0</v>
      </c>
      <c r="M2344" s="16">
        <f>IF((OR(tbal[[#This Row],[X]]=0,tbal[[#This Row],[X]]=6)),tbal[[#This Row],[DEUDOR]],0)</f>
        <v>0</v>
      </c>
      <c r="N2344" s="18">
        <f>IF((OR(tbal[[#This Row],[X]]=0,tbal[[#This Row],[X]]=5)),tbal[[#This Row],[ACREEDOR]],0)</f>
        <v>0</v>
      </c>
    </row>
    <row r="2345" spans="1:14" hidden="1" x14ac:dyDescent="0.3">
      <c r="A2345" s="14">
        <f>+'PLAN DE CUENTAS'!A2345</f>
        <v>0</v>
      </c>
      <c r="B2345" s="13">
        <f>+'PLAN DE CUENTAS'!B2345</f>
        <v>0</v>
      </c>
      <c r="C2345" s="13">
        <f>+'PLAN DE CUENTAS'!C2345</f>
        <v>0</v>
      </c>
      <c r="D2345" t="str">
        <f>IF(tbal[[#This Row],[DEBE]]+tbal[[#This Row],[HABER]]=0,"","X")</f>
        <v/>
      </c>
      <c r="E2345" s="16">
        <f>SUMIF(tdiario[CUENTA],tbal[[#This Row],[CUENTA]],tdiario[DEBE])</f>
        <v>0</v>
      </c>
      <c r="F2345" s="17">
        <f>SUMIF(tdiario[CUENTA],tbal[[#This Row],[CUENTA]],tdiario[HABER])</f>
        <v>0</v>
      </c>
      <c r="G2345" s="16">
        <f>IF(tbal[[#This Row],[DEBE]]-tbal[[#This Row],[HABER]]&gt;0,tbal[[#This Row],[DEBE]]-tbal[[#This Row],[HABER]],0)</f>
        <v>0</v>
      </c>
      <c r="H2345" s="18">
        <f>IF(tbal[[#This Row],[HABER]]-tbal[[#This Row],[DEBE]]&gt;0,tbal[[#This Row],[HABER]]-tbal[[#This Row],[DEBE]],0)</f>
        <v>0</v>
      </c>
      <c r="I2345" s="16">
        <f>IF((OR(tbal[[#This Row],[X]]=1,tbal[[#This Row],[X]]=2)),tbal[[#This Row],[DEUDOR]],0)</f>
        <v>0</v>
      </c>
      <c r="J2345" s="18">
        <f>IF((OR(tbal[[#This Row],[X]]=2,tbal[[#This Row],[X]]=3)),tbal[[#This Row],[ACREEDOR]],0)</f>
        <v>0</v>
      </c>
      <c r="K2345" s="16">
        <f>IF((OR(tbal[[#This Row],[X]]=3,tbal[[#This Row],[X]]=5)),tbal[[#This Row],[DEUDOR]],0)</f>
        <v>0</v>
      </c>
      <c r="L2345" s="18">
        <f>IF((OR(tbal[[#This Row],[X]]=3,tbal[[#This Row],[X]]=4)),tbal[[#This Row],[ACREEDOR]],0)</f>
        <v>0</v>
      </c>
      <c r="M2345" s="16">
        <f>IF((OR(tbal[[#This Row],[X]]=0,tbal[[#This Row],[X]]=6)),tbal[[#This Row],[DEUDOR]],0)</f>
        <v>0</v>
      </c>
      <c r="N2345" s="18">
        <f>IF((OR(tbal[[#This Row],[X]]=0,tbal[[#This Row],[X]]=5)),tbal[[#This Row],[ACREEDOR]],0)</f>
        <v>0</v>
      </c>
    </row>
    <row r="2346" spans="1:14" hidden="1" x14ac:dyDescent="0.3">
      <c r="A2346" s="14">
        <f>+'PLAN DE CUENTAS'!A2346</f>
        <v>0</v>
      </c>
      <c r="B2346" s="13">
        <f>+'PLAN DE CUENTAS'!B2346</f>
        <v>0</v>
      </c>
      <c r="C2346" s="13">
        <f>+'PLAN DE CUENTAS'!C2346</f>
        <v>0</v>
      </c>
      <c r="D2346" t="str">
        <f>IF(tbal[[#This Row],[DEBE]]+tbal[[#This Row],[HABER]]=0,"","X")</f>
        <v/>
      </c>
      <c r="E2346" s="16">
        <f>SUMIF(tdiario[CUENTA],tbal[[#This Row],[CUENTA]],tdiario[DEBE])</f>
        <v>0</v>
      </c>
      <c r="F2346" s="17">
        <f>SUMIF(tdiario[CUENTA],tbal[[#This Row],[CUENTA]],tdiario[HABER])</f>
        <v>0</v>
      </c>
      <c r="G2346" s="16">
        <f>IF(tbal[[#This Row],[DEBE]]-tbal[[#This Row],[HABER]]&gt;0,tbal[[#This Row],[DEBE]]-tbal[[#This Row],[HABER]],0)</f>
        <v>0</v>
      </c>
      <c r="H2346" s="18">
        <f>IF(tbal[[#This Row],[HABER]]-tbal[[#This Row],[DEBE]]&gt;0,tbal[[#This Row],[HABER]]-tbal[[#This Row],[DEBE]],0)</f>
        <v>0</v>
      </c>
      <c r="I2346" s="16">
        <f>IF((OR(tbal[[#This Row],[X]]=1,tbal[[#This Row],[X]]=2)),tbal[[#This Row],[DEUDOR]],0)</f>
        <v>0</v>
      </c>
      <c r="J2346" s="18">
        <f>IF((OR(tbal[[#This Row],[X]]=2,tbal[[#This Row],[X]]=3)),tbal[[#This Row],[ACREEDOR]],0)</f>
        <v>0</v>
      </c>
      <c r="K2346" s="16">
        <f>IF((OR(tbal[[#This Row],[X]]=3,tbal[[#This Row],[X]]=5)),tbal[[#This Row],[DEUDOR]],0)</f>
        <v>0</v>
      </c>
      <c r="L2346" s="18">
        <f>IF((OR(tbal[[#This Row],[X]]=3,tbal[[#This Row],[X]]=4)),tbal[[#This Row],[ACREEDOR]],0)</f>
        <v>0</v>
      </c>
      <c r="M2346" s="16">
        <f>IF((OR(tbal[[#This Row],[X]]=0,tbal[[#This Row],[X]]=6)),tbal[[#This Row],[DEUDOR]],0)</f>
        <v>0</v>
      </c>
      <c r="N2346" s="18">
        <f>IF((OR(tbal[[#This Row],[X]]=0,tbal[[#This Row],[X]]=5)),tbal[[#This Row],[ACREEDOR]],0)</f>
        <v>0</v>
      </c>
    </row>
    <row r="2347" spans="1:14" hidden="1" x14ac:dyDescent="0.3">
      <c r="A2347" s="14">
        <f>+'PLAN DE CUENTAS'!A2347</f>
        <v>0</v>
      </c>
      <c r="B2347" s="13">
        <f>+'PLAN DE CUENTAS'!B2347</f>
        <v>0</v>
      </c>
      <c r="C2347" s="13">
        <f>+'PLAN DE CUENTAS'!C2347</f>
        <v>0</v>
      </c>
      <c r="D2347" t="str">
        <f>IF(tbal[[#This Row],[DEBE]]+tbal[[#This Row],[HABER]]=0,"","X")</f>
        <v/>
      </c>
      <c r="E2347" s="16">
        <f>SUMIF(tdiario[CUENTA],tbal[[#This Row],[CUENTA]],tdiario[DEBE])</f>
        <v>0</v>
      </c>
      <c r="F2347" s="17">
        <f>SUMIF(tdiario[CUENTA],tbal[[#This Row],[CUENTA]],tdiario[HABER])</f>
        <v>0</v>
      </c>
      <c r="G2347" s="16">
        <f>IF(tbal[[#This Row],[DEBE]]-tbal[[#This Row],[HABER]]&gt;0,tbal[[#This Row],[DEBE]]-tbal[[#This Row],[HABER]],0)</f>
        <v>0</v>
      </c>
      <c r="H2347" s="18">
        <f>IF(tbal[[#This Row],[HABER]]-tbal[[#This Row],[DEBE]]&gt;0,tbal[[#This Row],[HABER]]-tbal[[#This Row],[DEBE]],0)</f>
        <v>0</v>
      </c>
      <c r="I2347" s="16">
        <f>IF((OR(tbal[[#This Row],[X]]=1,tbal[[#This Row],[X]]=2)),tbal[[#This Row],[DEUDOR]],0)</f>
        <v>0</v>
      </c>
      <c r="J2347" s="18">
        <f>IF((OR(tbal[[#This Row],[X]]=2,tbal[[#This Row],[X]]=3)),tbal[[#This Row],[ACREEDOR]],0)</f>
        <v>0</v>
      </c>
      <c r="K2347" s="16">
        <f>IF((OR(tbal[[#This Row],[X]]=3,tbal[[#This Row],[X]]=5)),tbal[[#This Row],[DEUDOR]],0)</f>
        <v>0</v>
      </c>
      <c r="L2347" s="18">
        <f>IF((OR(tbal[[#This Row],[X]]=3,tbal[[#This Row],[X]]=4)),tbal[[#This Row],[ACREEDOR]],0)</f>
        <v>0</v>
      </c>
      <c r="M2347" s="16">
        <f>IF((OR(tbal[[#This Row],[X]]=0,tbal[[#This Row],[X]]=6)),tbal[[#This Row],[DEUDOR]],0)</f>
        <v>0</v>
      </c>
      <c r="N2347" s="18">
        <f>IF((OR(tbal[[#This Row],[X]]=0,tbal[[#This Row],[X]]=5)),tbal[[#This Row],[ACREEDOR]],0)</f>
        <v>0</v>
      </c>
    </row>
    <row r="2348" spans="1:14" hidden="1" x14ac:dyDescent="0.3">
      <c r="A2348" s="14">
        <f>+'PLAN DE CUENTAS'!A2348</f>
        <v>0</v>
      </c>
      <c r="B2348" s="13">
        <f>+'PLAN DE CUENTAS'!B2348</f>
        <v>0</v>
      </c>
      <c r="C2348" s="13">
        <f>+'PLAN DE CUENTAS'!C2348</f>
        <v>0</v>
      </c>
      <c r="D2348" t="str">
        <f>IF(tbal[[#This Row],[DEBE]]+tbal[[#This Row],[HABER]]=0,"","X")</f>
        <v/>
      </c>
      <c r="E2348" s="16">
        <f>SUMIF(tdiario[CUENTA],tbal[[#This Row],[CUENTA]],tdiario[DEBE])</f>
        <v>0</v>
      </c>
      <c r="F2348" s="17">
        <f>SUMIF(tdiario[CUENTA],tbal[[#This Row],[CUENTA]],tdiario[HABER])</f>
        <v>0</v>
      </c>
      <c r="G2348" s="16">
        <f>IF(tbal[[#This Row],[DEBE]]-tbal[[#This Row],[HABER]]&gt;0,tbal[[#This Row],[DEBE]]-tbal[[#This Row],[HABER]],0)</f>
        <v>0</v>
      </c>
      <c r="H2348" s="18">
        <f>IF(tbal[[#This Row],[HABER]]-tbal[[#This Row],[DEBE]]&gt;0,tbal[[#This Row],[HABER]]-tbal[[#This Row],[DEBE]],0)</f>
        <v>0</v>
      </c>
      <c r="I2348" s="16">
        <f>IF((OR(tbal[[#This Row],[X]]=1,tbal[[#This Row],[X]]=2)),tbal[[#This Row],[DEUDOR]],0)</f>
        <v>0</v>
      </c>
      <c r="J2348" s="18">
        <f>IF((OR(tbal[[#This Row],[X]]=2,tbal[[#This Row],[X]]=3)),tbal[[#This Row],[ACREEDOR]],0)</f>
        <v>0</v>
      </c>
      <c r="K2348" s="16">
        <f>IF((OR(tbal[[#This Row],[X]]=3,tbal[[#This Row],[X]]=5)),tbal[[#This Row],[DEUDOR]],0)</f>
        <v>0</v>
      </c>
      <c r="L2348" s="18">
        <f>IF((OR(tbal[[#This Row],[X]]=3,tbal[[#This Row],[X]]=4)),tbal[[#This Row],[ACREEDOR]],0)</f>
        <v>0</v>
      </c>
      <c r="M2348" s="16">
        <f>IF((OR(tbal[[#This Row],[X]]=0,tbal[[#This Row],[X]]=6)),tbal[[#This Row],[DEUDOR]],0)</f>
        <v>0</v>
      </c>
      <c r="N2348" s="18">
        <f>IF((OR(tbal[[#This Row],[X]]=0,tbal[[#This Row],[X]]=5)),tbal[[#This Row],[ACREEDOR]],0)</f>
        <v>0</v>
      </c>
    </row>
    <row r="2349" spans="1:14" hidden="1" x14ac:dyDescent="0.3">
      <c r="A2349" s="14">
        <f>+'PLAN DE CUENTAS'!A2349</f>
        <v>0</v>
      </c>
      <c r="B2349" s="13">
        <f>+'PLAN DE CUENTAS'!B2349</f>
        <v>0</v>
      </c>
      <c r="C2349" s="13">
        <f>+'PLAN DE CUENTAS'!C2349</f>
        <v>0</v>
      </c>
      <c r="D2349" t="str">
        <f>IF(tbal[[#This Row],[DEBE]]+tbal[[#This Row],[HABER]]=0,"","X")</f>
        <v/>
      </c>
      <c r="E2349" s="16">
        <f>SUMIF(tdiario[CUENTA],tbal[[#This Row],[CUENTA]],tdiario[DEBE])</f>
        <v>0</v>
      </c>
      <c r="F2349" s="17">
        <f>SUMIF(tdiario[CUENTA],tbal[[#This Row],[CUENTA]],tdiario[HABER])</f>
        <v>0</v>
      </c>
      <c r="G2349" s="16">
        <f>IF(tbal[[#This Row],[DEBE]]-tbal[[#This Row],[HABER]]&gt;0,tbal[[#This Row],[DEBE]]-tbal[[#This Row],[HABER]],0)</f>
        <v>0</v>
      </c>
      <c r="H2349" s="18">
        <f>IF(tbal[[#This Row],[HABER]]-tbal[[#This Row],[DEBE]]&gt;0,tbal[[#This Row],[HABER]]-tbal[[#This Row],[DEBE]],0)</f>
        <v>0</v>
      </c>
      <c r="I2349" s="16">
        <f>IF((OR(tbal[[#This Row],[X]]=1,tbal[[#This Row],[X]]=2)),tbal[[#This Row],[DEUDOR]],0)</f>
        <v>0</v>
      </c>
      <c r="J2349" s="18">
        <f>IF((OR(tbal[[#This Row],[X]]=2,tbal[[#This Row],[X]]=3)),tbal[[#This Row],[ACREEDOR]],0)</f>
        <v>0</v>
      </c>
      <c r="K2349" s="16">
        <f>IF((OR(tbal[[#This Row],[X]]=3,tbal[[#This Row],[X]]=5)),tbal[[#This Row],[DEUDOR]],0)</f>
        <v>0</v>
      </c>
      <c r="L2349" s="18">
        <f>IF((OR(tbal[[#This Row],[X]]=3,tbal[[#This Row],[X]]=4)),tbal[[#This Row],[ACREEDOR]],0)</f>
        <v>0</v>
      </c>
      <c r="M2349" s="16">
        <f>IF((OR(tbal[[#This Row],[X]]=0,tbal[[#This Row],[X]]=6)),tbal[[#This Row],[DEUDOR]],0)</f>
        <v>0</v>
      </c>
      <c r="N2349" s="18">
        <f>IF((OR(tbal[[#This Row],[X]]=0,tbal[[#This Row],[X]]=5)),tbal[[#This Row],[ACREEDOR]],0)</f>
        <v>0</v>
      </c>
    </row>
    <row r="2350" spans="1:14" hidden="1" x14ac:dyDescent="0.3">
      <c r="A2350" s="14">
        <f>+'PLAN DE CUENTAS'!A2350</f>
        <v>0</v>
      </c>
      <c r="B2350" s="13">
        <f>+'PLAN DE CUENTAS'!B2350</f>
        <v>0</v>
      </c>
      <c r="C2350" s="13">
        <f>+'PLAN DE CUENTAS'!C2350</f>
        <v>0</v>
      </c>
      <c r="D2350" t="str">
        <f>IF(tbal[[#This Row],[DEBE]]+tbal[[#This Row],[HABER]]=0,"","X")</f>
        <v/>
      </c>
      <c r="E2350" s="16">
        <f>SUMIF(tdiario[CUENTA],tbal[[#This Row],[CUENTA]],tdiario[DEBE])</f>
        <v>0</v>
      </c>
      <c r="F2350" s="17">
        <f>SUMIF(tdiario[CUENTA],tbal[[#This Row],[CUENTA]],tdiario[HABER])</f>
        <v>0</v>
      </c>
      <c r="G2350" s="16">
        <f>IF(tbal[[#This Row],[DEBE]]-tbal[[#This Row],[HABER]]&gt;0,tbal[[#This Row],[DEBE]]-tbal[[#This Row],[HABER]],0)</f>
        <v>0</v>
      </c>
      <c r="H2350" s="18">
        <f>IF(tbal[[#This Row],[HABER]]-tbal[[#This Row],[DEBE]]&gt;0,tbal[[#This Row],[HABER]]-tbal[[#This Row],[DEBE]],0)</f>
        <v>0</v>
      </c>
      <c r="I2350" s="16">
        <f>IF((OR(tbal[[#This Row],[X]]=1,tbal[[#This Row],[X]]=2)),tbal[[#This Row],[DEUDOR]],0)</f>
        <v>0</v>
      </c>
      <c r="J2350" s="18">
        <f>IF((OR(tbal[[#This Row],[X]]=2,tbal[[#This Row],[X]]=3)),tbal[[#This Row],[ACREEDOR]],0)</f>
        <v>0</v>
      </c>
      <c r="K2350" s="16">
        <f>IF((OR(tbal[[#This Row],[X]]=3,tbal[[#This Row],[X]]=5)),tbal[[#This Row],[DEUDOR]],0)</f>
        <v>0</v>
      </c>
      <c r="L2350" s="18">
        <f>IF((OR(tbal[[#This Row],[X]]=3,tbal[[#This Row],[X]]=4)),tbal[[#This Row],[ACREEDOR]],0)</f>
        <v>0</v>
      </c>
      <c r="M2350" s="16">
        <f>IF((OR(tbal[[#This Row],[X]]=0,tbal[[#This Row],[X]]=6)),tbal[[#This Row],[DEUDOR]],0)</f>
        <v>0</v>
      </c>
      <c r="N2350" s="18">
        <f>IF((OR(tbal[[#This Row],[X]]=0,tbal[[#This Row],[X]]=5)),tbal[[#This Row],[ACREEDOR]],0)</f>
        <v>0</v>
      </c>
    </row>
    <row r="2351" spans="1:14" hidden="1" x14ac:dyDescent="0.3">
      <c r="A2351" s="14">
        <f>+'PLAN DE CUENTAS'!A2351</f>
        <v>0</v>
      </c>
      <c r="B2351" s="13">
        <f>+'PLAN DE CUENTAS'!B2351</f>
        <v>0</v>
      </c>
      <c r="C2351" s="13">
        <f>+'PLAN DE CUENTAS'!C2351</f>
        <v>0</v>
      </c>
      <c r="D2351" t="str">
        <f>IF(tbal[[#This Row],[DEBE]]+tbal[[#This Row],[HABER]]=0,"","X")</f>
        <v/>
      </c>
      <c r="E2351" s="16">
        <f>SUMIF(tdiario[CUENTA],tbal[[#This Row],[CUENTA]],tdiario[DEBE])</f>
        <v>0</v>
      </c>
      <c r="F2351" s="17">
        <f>SUMIF(tdiario[CUENTA],tbal[[#This Row],[CUENTA]],tdiario[HABER])</f>
        <v>0</v>
      </c>
      <c r="G2351" s="16">
        <f>IF(tbal[[#This Row],[DEBE]]-tbal[[#This Row],[HABER]]&gt;0,tbal[[#This Row],[DEBE]]-tbal[[#This Row],[HABER]],0)</f>
        <v>0</v>
      </c>
      <c r="H2351" s="18">
        <f>IF(tbal[[#This Row],[HABER]]-tbal[[#This Row],[DEBE]]&gt;0,tbal[[#This Row],[HABER]]-tbal[[#This Row],[DEBE]],0)</f>
        <v>0</v>
      </c>
      <c r="I2351" s="16">
        <f>IF((OR(tbal[[#This Row],[X]]=1,tbal[[#This Row],[X]]=2)),tbal[[#This Row],[DEUDOR]],0)</f>
        <v>0</v>
      </c>
      <c r="J2351" s="18">
        <f>IF((OR(tbal[[#This Row],[X]]=2,tbal[[#This Row],[X]]=3)),tbal[[#This Row],[ACREEDOR]],0)</f>
        <v>0</v>
      </c>
      <c r="K2351" s="16">
        <f>IF((OR(tbal[[#This Row],[X]]=3,tbal[[#This Row],[X]]=5)),tbal[[#This Row],[DEUDOR]],0)</f>
        <v>0</v>
      </c>
      <c r="L2351" s="18">
        <f>IF((OR(tbal[[#This Row],[X]]=3,tbal[[#This Row],[X]]=4)),tbal[[#This Row],[ACREEDOR]],0)</f>
        <v>0</v>
      </c>
      <c r="M2351" s="16">
        <f>IF((OR(tbal[[#This Row],[X]]=0,tbal[[#This Row],[X]]=6)),tbal[[#This Row],[DEUDOR]],0)</f>
        <v>0</v>
      </c>
      <c r="N2351" s="18">
        <f>IF((OR(tbal[[#This Row],[X]]=0,tbal[[#This Row],[X]]=5)),tbal[[#This Row],[ACREEDOR]],0)</f>
        <v>0</v>
      </c>
    </row>
    <row r="2352" spans="1:14" hidden="1" x14ac:dyDescent="0.3">
      <c r="A2352" s="14">
        <f>+'PLAN DE CUENTAS'!A2352</f>
        <v>0</v>
      </c>
      <c r="B2352" s="13">
        <f>+'PLAN DE CUENTAS'!B2352</f>
        <v>0</v>
      </c>
      <c r="C2352" s="13">
        <f>+'PLAN DE CUENTAS'!C2352</f>
        <v>0</v>
      </c>
      <c r="D2352" t="str">
        <f>IF(tbal[[#This Row],[DEBE]]+tbal[[#This Row],[HABER]]=0,"","X")</f>
        <v/>
      </c>
      <c r="E2352" s="16">
        <f>SUMIF(tdiario[CUENTA],tbal[[#This Row],[CUENTA]],tdiario[DEBE])</f>
        <v>0</v>
      </c>
      <c r="F2352" s="17">
        <f>SUMIF(tdiario[CUENTA],tbal[[#This Row],[CUENTA]],tdiario[HABER])</f>
        <v>0</v>
      </c>
      <c r="G2352" s="16">
        <f>IF(tbal[[#This Row],[DEBE]]-tbal[[#This Row],[HABER]]&gt;0,tbal[[#This Row],[DEBE]]-tbal[[#This Row],[HABER]],0)</f>
        <v>0</v>
      </c>
      <c r="H2352" s="18">
        <f>IF(tbal[[#This Row],[HABER]]-tbal[[#This Row],[DEBE]]&gt;0,tbal[[#This Row],[HABER]]-tbal[[#This Row],[DEBE]],0)</f>
        <v>0</v>
      </c>
      <c r="I2352" s="16">
        <f>IF((OR(tbal[[#This Row],[X]]=1,tbal[[#This Row],[X]]=2)),tbal[[#This Row],[DEUDOR]],0)</f>
        <v>0</v>
      </c>
      <c r="J2352" s="18">
        <f>IF((OR(tbal[[#This Row],[X]]=2,tbal[[#This Row],[X]]=3)),tbal[[#This Row],[ACREEDOR]],0)</f>
        <v>0</v>
      </c>
      <c r="K2352" s="16">
        <f>IF((OR(tbal[[#This Row],[X]]=3,tbal[[#This Row],[X]]=5)),tbal[[#This Row],[DEUDOR]],0)</f>
        <v>0</v>
      </c>
      <c r="L2352" s="18">
        <f>IF((OR(tbal[[#This Row],[X]]=3,tbal[[#This Row],[X]]=4)),tbal[[#This Row],[ACREEDOR]],0)</f>
        <v>0</v>
      </c>
      <c r="M2352" s="16">
        <f>IF((OR(tbal[[#This Row],[X]]=0,tbal[[#This Row],[X]]=6)),tbal[[#This Row],[DEUDOR]],0)</f>
        <v>0</v>
      </c>
      <c r="N2352" s="18">
        <f>IF((OR(tbal[[#This Row],[X]]=0,tbal[[#This Row],[X]]=5)),tbal[[#This Row],[ACREEDOR]],0)</f>
        <v>0</v>
      </c>
    </row>
    <row r="2353" spans="1:14" hidden="1" x14ac:dyDescent="0.3">
      <c r="A2353" s="14">
        <f>+'PLAN DE CUENTAS'!A2353</f>
        <v>0</v>
      </c>
      <c r="B2353" s="13">
        <f>+'PLAN DE CUENTAS'!B2353</f>
        <v>0</v>
      </c>
      <c r="C2353" s="13">
        <f>+'PLAN DE CUENTAS'!C2353</f>
        <v>0</v>
      </c>
      <c r="D2353" t="str">
        <f>IF(tbal[[#This Row],[DEBE]]+tbal[[#This Row],[HABER]]=0,"","X")</f>
        <v/>
      </c>
      <c r="E2353" s="16">
        <f>SUMIF(tdiario[CUENTA],tbal[[#This Row],[CUENTA]],tdiario[DEBE])</f>
        <v>0</v>
      </c>
      <c r="F2353" s="17">
        <f>SUMIF(tdiario[CUENTA],tbal[[#This Row],[CUENTA]],tdiario[HABER])</f>
        <v>0</v>
      </c>
      <c r="G2353" s="16">
        <f>IF(tbal[[#This Row],[DEBE]]-tbal[[#This Row],[HABER]]&gt;0,tbal[[#This Row],[DEBE]]-tbal[[#This Row],[HABER]],0)</f>
        <v>0</v>
      </c>
      <c r="H2353" s="18">
        <f>IF(tbal[[#This Row],[HABER]]-tbal[[#This Row],[DEBE]]&gt;0,tbal[[#This Row],[HABER]]-tbal[[#This Row],[DEBE]],0)</f>
        <v>0</v>
      </c>
      <c r="I2353" s="16">
        <f>IF((OR(tbal[[#This Row],[X]]=1,tbal[[#This Row],[X]]=2)),tbal[[#This Row],[DEUDOR]],0)</f>
        <v>0</v>
      </c>
      <c r="J2353" s="18">
        <f>IF((OR(tbal[[#This Row],[X]]=2,tbal[[#This Row],[X]]=3)),tbal[[#This Row],[ACREEDOR]],0)</f>
        <v>0</v>
      </c>
      <c r="K2353" s="16">
        <f>IF((OR(tbal[[#This Row],[X]]=3,tbal[[#This Row],[X]]=5)),tbal[[#This Row],[DEUDOR]],0)</f>
        <v>0</v>
      </c>
      <c r="L2353" s="18">
        <f>IF((OR(tbal[[#This Row],[X]]=3,tbal[[#This Row],[X]]=4)),tbal[[#This Row],[ACREEDOR]],0)</f>
        <v>0</v>
      </c>
      <c r="M2353" s="16">
        <f>IF((OR(tbal[[#This Row],[X]]=0,tbal[[#This Row],[X]]=6)),tbal[[#This Row],[DEUDOR]],0)</f>
        <v>0</v>
      </c>
      <c r="N2353" s="18">
        <f>IF((OR(tbal[[#This Row],[X]]=0,tbal[[#This Row],[X]]=5)),tbal[[#This Row],[ACREEDOR]],0)</f>
        <v>0</v>
      </c>
    </row>
    <row r="2354" spans="1:14" hidden="1" x14ac:dyDescent="0.3">
      <c r="A2354" s="14">
        <f>+'PLAN DE CUENTAS'!A2354</f>
        <v>0</v>
      </c>
      <c r="B2354" s="13">
        <f>+'PLAN DE CUENTAS'!B2354</f>
        <v>0</v>
      </c>
      <c r="C2354" s="13">
        <f>+'PLAN DE CUENTAS'!C2354</f>
        <v>0</v>
      </c>
      <c r="D2354" t="str">
        <f>IF(tbal[[#This Row],[DEBE]]+tbal[[#This Row],[HABER]]=0,"","X")</f>
        <v/>
      </c>
      <c r="E2354" s="16">
        <f>SUMIF(tdiario[CUENTA],tbal[[#This Row],[CUENTA]],tdiario[DEBE])</f>
        <v>0</v>
      </c>
      <c r="F2354" s="17">
        <f>SUMIF(tdiario[CUENTA],tbal[[#This Row],[CUENTA]],tdiario[HABER])</f>
        <v>0</v>
      </c>
      <c r="G2354" s="16">
        <f>IF(tbal[[#This Row],[DEBE]]-tbal[[#This Row],[HABER]]&gt;0,tbal[[#This Row],[DEBE]]-tbal[[#This Row],[HABER]],0)</f>
        <v>0</v>
      </c>
      <c r="H2354" s="18">
        <f>IF(tbal[[#This Row],[HABER]]-tbal[[#This Row],[DEBE]]&gt;0,tbal[[#This Row],[HABER]]-tbal[[#This Row],[DEBE]],0)</f>
        <v>0</v>
      </c>
      <c r="I2354" s="16">
        <f>IF((OR(tbal[[#This Row],[X]]=1,tbal[[#This Row],[X]]=2)),tbal[[#This Row],[DEUDOR]],0)</f>
        <v>0</v>
      </c>
      <c r="J2354" s="18">
        <f>IF((OR(tbal[[#This Row],[X]]=2,tbal[[#This Row],[X]]=3)),tbal[[#This Row],[ACREEDOR]],0)</f>
        <v>0</v>
      </c>
      <c r="K2354" s="16">
        <f>IF((OR(tbal[[#This Row],[X]]=3,tbal[[#This Row],[X]]=5)),tbal[[#This Row],[DEUDOR]],0)</f>
        <v>0</v>
      </c>
      <c r="L2354" s="18">
        <f>IF((OR(tbal[[#This Row],[X]]=3,tbal[[#This Row],[X]]=4)),tbal[[#This Row],[ACREEDOR]],0)</f>
        <v>0</v>
      </c>
      <c r="M2354" s="16">
        <f>IF((OR(tbal[[#This Row],[X]]=0,tbal[[#This Row],[X]]=6)),tbal[[#This Row],[DEUDOR]],0)</f>
        <v>0</v>
      </c>
      <c r="N2354" s="18">
        <f>IF((OR(tbal[[#This Row],[X]]=0,tbal[[#This Row],[X]]=5)),tbal[[#This Row],[ACREEDOR]],0)</f>
        <v>0</v>
      </c>
    </row>
    <row r="2355" spans="1:14" hidden="1" x14ac:dyDescent="0.3">
      <c r="A2355" s="14">
        <f>+'PLAN DE CUENTAS'!A2355</f>
        <v>0</v>
      </c>
      <c r="B2355" s="13">
        <f>+'PLAN DE CUENTAS'!B2355</f>
        <v>0</v>
      </c>
      <c r="C2355" s="13">
        <f>+'PLAN DE CUENTAS'!C2355</f>
        <v>0</v>
      </c>
      <c r="D2355" t="str">
        <f>IF(tbal[[#This Row],[DEBE]]+tbal[[#This Row],[HABER]]=0,"","X")</f>
        <v/>
      </c>
      <c r="E2355" s="16">
        <f>SUMIF(tdiario[CUENTA],tbal[[#This Row],[CUENTA]],tdiario[DEBE])</f>
        <v>0</v>
      </c>
      <c r="F2355" s="17">
        <f>SUMIF(tdiario[CUENTA],tbal[[#This Row],[CUENTA]],tdiario[HABER])</f>
        <v>0</v>
      </c>
      <c r="G2355" s="16">
        <f>IF(tbal[[#This Row],[DEBE]]-tbal[[#This Row],[HABER]]&gt;0,tbal[[#This Row],[DEBE]]-tbal[[#This Row],[HABER]],0)</f>
        <v>0</v>
      </c>
      <c r="H2355" s="18">
        <f>IF(tbal[[#This Row],[HABER]]-tbal[[#This Row],[DEBE]]&gt;0,tbal[[#This Row],[HABER]]-tbal[[#This Row],[DEBE]],0)</f>
        <v>0</v>
      </c>
      <c r="I2355" s="16">
        <f>IF((OR(tbal[[#This Row],[X]]=1,tbal[[#This Row],[X]]=2)),tbal[[#This Row],[DEUDOR]],0)</f>
        <v>0</v>
      </c>
      <c r="J2355" s="18">
        <f>IF((OR(tbal[[#This Row],[X]]=2,tbal[[#This Row],[X]]=3)),tbal[[#This Row],[ACREEDOR]],0)</f>
        <v>0</v>
      </c>
      <c r="K2355" s="16">
        <f>IF((OR(tbal[[#This Row],[X]]=3,tbal[[#This Row],[X]]=5)),tbal[[#This Row],[DEUDOR]],0)</f>
        <v>0</v>
      </c>
      <c r="L2355" s="18">
        <f>IF((OR(tbal[[#This Row],[X]]=3,tbal[[#This Row],[X]]=4)),tbal[[#This Row],[ACREEDOR]],0)</f>
        <v>0</v>
      </c>
      <c r="M2355" s="16">
        <f>IF((OR(tbal[[#This Row],[X]]=0,tbal[[#This Row],[X]]=6)),tbal[[#This Row],[DEUDOR]],0)</f>
        <v>0</v>
      </c>
      <c r="N2355" s="18">
        <f>IF((OR(tbal[[#This Row],[X]]=0,tbal[[#This Row],[X]]=5)),tbal[[#This Row],[ACREEDOR]],0)</f>
        <v>0</v>
      </c>
    </row>
    <row r="2356" spans="1:14" hidden="1" x14ac:dyDescent="0.3">
      <c r="A2356" s="14">
        <f>+'PLAN DE CUENTAS'!A2356</f>
        <v>0</v>
      </c>
      <c r="B2356" s="13">
        <f>+'PLAN DE CUENTAS'!B2356</f>
        <v>0</v>
      </c>
      <c r="C2356" s="13">
        <f>+'PLAN DE CUENTAS'!C2356</f>
        <v>0</v>
      </c>
      <c r="D2356" t="str">
        <f>IF(tbal[[#This Row],[DEBE]]+tbal[[#This Row],[HABER]]=0,"","X")</f>
        <v/>
      </c>
      <c r="E2356" s="16">
        <f>SUMIF(tdiario[CUENTA],tbal[[#This Row],[CUENTA]],tdiario[DEBE])</f>
        <v>0</v>
      </c>
      <c r="F2356" s="17">
        <f>SUMIF(tdiario[CUENTA],tbal[[#This Row],[CUENTA]],tdiario[HABER])</f>
        <v>0</v>
      </c>
      <c r="G2356" s="16">
        <f>IF(tbal[[#This Row],[DEBE]]-tbal[[#This Row],[HABER]]&gt;0,tbal[[#This Row],[DEBE]]-tbal[[#This Row],[HABER]],0)</f>
        <v>0</v>
      </c>
      <c r="H2356" s="18">
        <f>IF(tbal[[#This Row],[HABER]]-tbal[[#This Row],[DEBE]]&gt;0,tbal[[#This Row],[HABER]]-tbal[[#This Row],[DEBE]],0)</f>
        <v>0</v>
      </c>
      <c r="I2356" s="16">
        <f>IF((OR(tbal[[#This Row],[X]]=1,tbal[[#This Row],[X]]=2)),tbal[[#This Row],[DEUDOR]],0)</f>
        <v>0</v>
      </c>
      <c r="J2356" s="18">
        <f>IF((OR(tbal[[#This Row],[X]]=2,tbal[[#This Row],[X]]=3)),tbal[[#This Row],[ACREEDOR]],0)</f>
        <v>0</v>
      </c>
      <c r="K2356" s="16">
        <f>IF((OR(tbal[[#This Row],[X]]=3,tbal[[#This Row],[X]]=5)),tbal[[#This Row],[DEUDOR]],0)</f>
        <v>0</v>
      </c>
      <c r="L2356" s="18">
        <f>IF((OR(tbal[[#This Row],[X]]=3,tbal[[#This Row],[X]]=4)),tbal[[#This Row],[ACREEDOR]],0)</f>
        <v>0</v>
      </c>
      <c r="M2356" s="16">
        <f>IF((OR(tbal[[#This Row],[X]]=0,tbal[[#This Row],[X]]=6)),tbal[[#This Row],[DEUDOR]],0)</f>
        <v>0</v>
      </c>
      <c r="N2356" s="18">
        <f>IF((OR(tbal[[#This Row],[X]]=0,tbal[[#This Row],[X]]=5)),tbal[[#This Row],[ACREEDOR]],0)</f>
        <v>0</v>
      </c>
    </row>
    <row r="2357" spans="1:14" hidden="1" x14ac:dyDescent="0.3">
      <c r="A2357" s="14">
        <f>+'PLAN DE CUENTAS'!A2357</f>
        <v>0</v>
      </c>
      <c r="B2357" s="13">
        <f>+'PLAN DE CUENTAS'!B2357</f>
        <v>0</v>
      </c>
      <c r="C2357" s="13">
        <f>+'PLAN DE CUENTAS'!C2357</f>
        <v>0</v>
      </c>
      <c r="D2357" t="str">
        <f>IF(tbal[[#This Row],[DEBE]]+tbal[[#This Row],[HABER]]=0,"","X")</f>
        <v/>
      </c>
      <c r="E2357" s="16">
        <f>SUMIF(tdiario[CUENTA],tbal[[#This Row],[CUENTA]],tdiario[DEBE])</f>
        <v>0</v>
      </c>
      <c r="F2357" s="17">
        <f>SUMIF(tdiario[CUENTA],tbal[[#This Row],[CUENTA]],tdiario[HABER])</f>
        <v>0</v>
      </c>
      <c r="G2357" s="16">
        <f>IF(tbal[[#This Row],[DEBE]]-tbal[[#This Row],[HABER]]&gt;0,tbal[[#This Row],[DEBE]]-tbal[[#This Row],[HABER]],0)</f>
        <v>0</v>
      </c>
      <c r="H2357" s="18">
        <f>IF(tbal[[#This Row],[HABER]]-tbal[[#This Row],[DEBE]]&gt;0,tbal[[#This Row],[HABER]]-tbal[[#This Row],[DEBE]],0)</f>
        <v>0</v>
      </c>
      <c r="I2357" s="16">
        <f>IF((OR(tbal[[#This Row],[X]]=1,tbal[[#This Row],[X]]=2)),tbal[[#This Row],[DEUDOR]],0)</f>
        <v>0</v>
      </c>
      <c r="J2357" s="18">
        <f>IF((OR(tbal[[#This Row],[X]]=2,tbal[[#This Row],[X]]=3)),tbal[[#This Row],[ACREEDOR]],0)</f>
        <v>0</v>
      </c>
      <c r="K2357" s="16">
        <f>IF((OR(tbal[[#This Row],[X]]=3,tbal[[#This Row],[X]]=5)),tbal[[#This Row],[DEUDOR]],0)</f>
        <v>0</v>
      </c>
      <c r="L2357" s="18">
        <f>IF((OR(tbal[[#This Row],[X]]=3,tbal[[#This Row],[X]]=4)),tbal[[#This Row],[ACREEDOR]],0)</f>
        <v>0</v>
      </c>
      <c r="M2357" s="16">
        <f>IF((OR(tbal[[#This Row],[X]]=0,tbal[[#This Row],[X]]=6)),tbal[[#This Row],[DEUDOR]],0)</f>
        <v>0</v>
      </c>
      <c r="N2357" s="18">
        <f>IF((OR(tbal[[#This Row],[X]]=0,tbal[[#This Row],[X]]=5)),tbal[[#This Row],[ACREEDOR]],0)</f>
        <v>0</v>
      </c>
    </row>
    <row r="2358" spans="1:14" hidden="1" x14ac:dyDescent="0.3">
      <c r="A2358" s="14">
        <f>+'PLAN DE CUENTAS'!A2358</f>
        <v>0</v>
      </c>
      <c r="B2358" s="13">
        <f>+'PLAN DE CUENTAS'!B2358</f>
        <v>0</v>
      </c>
      <c r="C2358" s="13">
        <f>+'PLAN DE CUENTAS'!C2358</f>
        <v>0</v>
      </c>
      <c r="D2358" t="str">
        <f>IF(tbal[[#This Row],[DEBE]]+tbal[[#This Row],[HABER]]=0,"","X")</f>
        <v/>
      </c>
      <c r="E2358" s="16">
        <f>SUMIF(tdiario[CUENTA],tbal[[#This Row],[CUENTA]],tdiario[DEBE])</f>
        <v>0</v>
      </c>
      <c r="F2358" s="17">
        <f>SUMIF(tdiario[CUENTA],tbal[[#This Row],[CUENTA]],tdiario[HABER])</f>
        <v>0</v>
      </c>
      <c r="G2358" s="16">
        <f>IF(tbal[[#This Row],[DEBE]]-tbal[[#This Row],[HABER]]&gt;0,tbal[[#This Row],[DEBE]]-tbal[[#This Row],[HABER]],0)</f>
        <v>0</v>
      </c>
      <c r="H2358" s="18">
        <f>IF(tbal[[#This Row],[HABER]]-tbal[[#This Row],[DEBE]]&gt;0,tbal[[#This Row],[HABER]]-tbal[[#This Row],[DEBE]],0)</f>
        <v>0</v>
      </c>
      <c r="I2358" s="16">
        <f>IF((OR(tbal[[#This Row],[X]]=1,tbal[[#This Row],[X]]=2)),tbal[[#This Row],[DEUDOR]],0)</f>
        <v>0</v>
      </c>
      <c r="J2358" s="18">
        <f>IF((OR(tbal[[#This Row],[X]]=2,tbal[[#This Row],[X]]=3)),tbal[[#This Row],[ACREEDOR]],0)</f>
        <v>0</v>
      </c>
      <c r="K2358" s="16">
        <f>IF((OR(tbal[[#This Row],[X]]=3,tbal[[#This Row],[X]]=5)),tbal[[#This Row],[DEUDOR]],0)</f>
        <v>0</v>
      </c>
      <c r="L2358" s="18">
        <f>IF((OR(tbal[[#This Row],[X]]=3,tbal[[#This Row],[X]]=4)),tbal[[#This Row],[ACREEDOR]],0)</f>
        <v>0</v>
      </c>
      <c r="M2358" s="16">
        <f>IF((OR(tbal[[#This Row],[X]]=0,tbal[[#This Row],[X]]=6)),tbal[[#This Row],[DEUDOR]],0)</f>
        <v>0</v>
      </c>
      <c r="N2358" s="18">
        <f>IF((OR(tbal[[#This Row],[X]]=0,tbal[[#This Row],[X]]=5)),tbal[[#This Row],[ACREEDOR]],0)</f>
        <v>0</v>
      </c>
    </row>
    <row r="2359" spans="1:14" hidden="1" x14ac:dyDescent="0.3">
      <c r="A2359" s="14">
        <f>+'PLAN DE CUENTAS'!A2359</f>
        <v>0</v>
      </c>
      <c r="B2359" s="13">
        <f>+'PLAN DE CUENTAS'!B2359</f>
        <v>0</v>
      </c>
      <c r="C2359" s="13">
        <f>+'PLAN DE CUENTAS'!C2359</f>
        <v>0</v>
      </c>
      <c r="D2359" t="str">
        <f>IF(tbal[[#This Row],[DEBE]]+tbal[[#This Row],[HABER]]=0,"","X")</f>
        <v/>
      </c>
      <c r="E2359" s="16">
        <f>SUMIF(tdiario[CUENTA],tbal[[#This Row],[CUENTA]],tdiario[DEBE])</f>
        <v>0</v>
      </c>
      <c r="F2359" s="17">
        <f>SUMIF(tdiario[CUENTA],tbal[[#This Row],[CUENTA]],tdiario[HABER])</f>
        <v>0</v>
      </c>
      <c r="G2359" s="16">
        <f>IF(tbal[[#This Row],[DEBE]]-tbal[[#This Row],[HABER]]&gt;0,tbal[[#This Row],[DEBE]]-tbal[[#This Row],[HABER]],0)</f>
        <v>0</v>
      </c>
      <c r="H2359" s="18">
        <f>IF(tbal[[#This Row],[HABER]]-tbal[[#This Row],[DEBE]]&gt;0,tbal[[#This Row],[HABER]]-tbal[[#This Row],[DEBE]],0)</f>
        <v>0</v>
      </c>
      <c r="I2359" s="16">
        <f>IF((OR(tbal[[#This Row],[X]]=1,tbal[[#This Row],[X]]=2)),tbal[[#This Row],[DEUDOR]],0)</f>
        <v>0</v>
      </c>
      <c r="J2359" s="18">
        <f>IF((OR(tbal[[#This Row],[X]]=2,tbal[[#This Row],[X]]=3)),tbal[[#This Row],[ACREEDOR]],0)</f>
        <v>0</v>
      </c>
      <c r="K2359" s="16">
        <f>IF((OR(tbal[[#This Row],[X]]=3,tbal[[#This Row],[X]]=5)),tbal[[#This Row],[DEUDOR]],0)</f>
        <v>0</v>
      </c>
      <c r="L2359" s="18">
        <f>IF((OR(tbal[[#This Row],[X]]=3,tbal[[#This Row],[X]]=4)),tbal[[#This Row],[ACREEDOR]],0)</f>
        <v>0</v>
      </c>
      <c r="M2359" s="16">
        <f>IF((OR(tbal[[#This Row],[X]]=0,tbal[[#This Row],[X]]=6)),tbal[[#This Row],[DEUDOR]],0)</f>
        <v>0</v>
      </c>
      <c r="N2359" s="18">
        <f>IF((OR(tbal[[#This Row],[X]]=0,tbal[[#This Row],[X]]=5)),tbal[[#This Row],[ACREEDOR]],0)</f>
        <v>0</v>
      </c>
    </row>
    <row r="2360" spans="1:14" hidden="1" x14ac:dyDescent="0.3">
      <c r="A2360" s="14">
        <f>+'PLAN DE CUENTAS'!A2360</f>
        <v>0</v>
      </c>
      <c r="B2360" s="13">
        <f>+'PLAN DE CUENTAS'!B2360</f>
        <v>0</v>
      </c>
      <c r="C2360" s="13">
        <f>+'PLAN DE CUENTAS'!C2360</f>
        <v>0</v>
      </c>
      <c r="D2360" t="str">
        <f>IF(tbal[[#This Row],[DEBE]]+tbal[[#This Row],[HABER]]=0,"","X")</f>
        <v/>
      </c>
      <c r="E2360" s="16">
        <f>SUMIF(tdiario[CUENTA],tbal[[#This Row],[CUENTA]],tdiario[DEBE])</f>
        <v>0</v>
      </c>
      <c r="F2360" s="17">
        <f>SUMIF(tdiario[CUENTA],tbal[[#This Row],[CUENTA]],tdiario[HABER])</f>
        <v>0</v>
      </c>
      <c r="G2360" s="16">
        <f>IF(tbal[[#This Row],[DEBE]]-tbal[[#This Row],[HABER]]&gt;0,tbal[[#This Row],[DEBE]]-tbal[[#This Row],[HABER]],0)</f>
        <v>0</v>
      </c>
      <c r="H2360" s="18">
        <f>IF(tbal[[#This Row],[HABER]]-tbal[[#This Row],[DEBE]]&gt;0,tbal[[#This Row],[HABER]]-tbal[[#This Row],[DEBE]],0)</f>
        <v>0</v>
      </c>
      <c r="I2360" s="16">
        <f>IF((OR(tbal[[#This Row],[X]]=1,tbal[[#This Row],[X]]=2)),tbal[[#This Row],[DEUDOR]],0)</f>
        <v>0</v>
      </c>
      <c r="J2360" s="18">
        <f>IF((OR(tbal[[#This Row],[X]]=2,tbal[[#This Row],[X]]=3)),tbal[[#This Row],[ACREEDOR]],0)</f>
        <v>0</v>
      </c>
      <c r="K2360" s="16">
        <f>IF((OR(tbal[[#This Row],[X]]=3,tbal[[#This Row],[X]]=5)),tbal[[#This Row],[DEUDOR]],0)</f>
        <v>0</v>
      </c>
      <c r="L2360" s="18">
        <f>IF((OR(tbal[[#This Row],[X]]=3,tbal[[#This Row],[X]]=4)),tbal[[#This Row],[ACREEDOR]],0)</f>
        <v>0</v>
      </c>
      <c r="M2360" s="16">
        <f>IF((OR(tbal[[#This Row],[X]]=0,tbal[[#This Row],[X]]=6)),tbal[[#This Row],[DEUDOR]],0)</f>
        <v>0</v>
      </c>
      <c r="N2360" s="18">
        <f>IF((OR(tbal[[#This Row],[X]]=0,tbal[[#This Row],[X]]=5)),tbal[[#This Row],[ACREEDOR]],0)</f>
        <v>0</v>
      </c>
    </row>
    <row r="2361" spans="1:14" hidden="1" x14ac:dyDescent="0.3">
      <c r="A2361" s="14">
        <f>+'PLAN DE CUENTAS'!A2361</f>
        <v>0</v>
      </c>
      <c r="B2361" s="13">
        <f>+'PLAN DE CUENTAS'!B2361</f>
        <v>0</v>
      </c>
      <c r="C2361" s="13">
        <f>+'PLAN DE CUENTAS'!C2361</f>
        <v>0</v>
      </c>
      <c r="D2361" t="str">
        <f>IF(tbal[[#This Row],[DEBE]]+tbal[[#This Row],[HABER]]=0,"","X")</f>
        <v/>
      </c>
      <c r="E2361" s="16">
        <f>SUMIF(tdiario[CUENTA],tbal[[#This Row],[CUENTA]],tdiario[DEBE])</f>
        <v>0</v>
      </c>
      <c r="F2361" s="17">
        <f>SUMIF(tdiario[CUENTA],tbal[[#This Row],[CUENTA]],tdiario[HABER])</f>
        <v>0</v>
      </c>
      <c r="G2361" s="16">
        <f>IF(tbal[[#This Row],[DEBE]]-tbal[[#This Row],[HABER]]&gt;0,tbal[[#This Row],[DEBE]]-tbal[[#This Row],[HABER]],0)</f>
        <v>0</v>
      </c>
      <c r="H2361" s="18">
        <f>IF(tbal[[#This Row],[HABER]]-tbal[[#This Row],[DEBE]]&gt;0,tbal[[#This Row],[HABER]]-tbal[[#This Row],[DEBE]],0)</f>
        <v>0</v>
      </c>
      <c r="I2361" s="16">
        <f>IF((OR(tbal[[#This Row],[X]]=1,tbal[[#This Row],[X]]=2)),tbal[[#This Row],[DEUDOR]],0)</f>
        <v>0</v>
      </c>
      <c r="J2361" s="18">
        <f>IF((OR(tbal[[#This Row],[X]]=2,tbal[[#This Row],[X]]=3)),tbal[[#This Row],[ACREEDOR]],0)</f>
        <v>0</v>
      </c>
      <c r="K2361" s="16">
        <f>IF((OR(tbal[[#This Row],[X]]=3,tbal[[#This Row],[X]]=5)),tbal[[#This Row],[DEUDOR]],0)</f>
        <v>0</v>
      </c>
      <c r="L2361" s="18">
        <f>IF((OR(tbal[[#This Row],[X]]=3,tbal[[#This Row],[X]]=4)),tbal[[#This Row],[ACREEDOR]],0)</f>
        <v>0</v>
      </c>
      <c r="M2361" s="16">
        <f>IF((OR(tbal[[#This Row],[X]]=0,tbal[[#This Row],[X]]=6)),tbal[[#This Row],[DEUDOR]],0)</f>
        <v>0</v>
      </c>
      <c r="N2361" s="18">
        <f>IF((OR(tbal[[#This Row],[X]]=0,tbal[[#This Row],[X]]=5)),tbal[[#This Row],[ACREEDOR]],0)</f>
        <v>0</v>
      </c>
    </row>
    <row r="2362" spans="1:14" hidden="1" x14ac:dyDescent="0.3">
      <c r="A2362" s="14">
        <f>+'PLAN DE CUENTAS'!A2362</f>
        <v>0</v>
      </c>
      <c r="B2362" s="13">
        <f>+'PLAN DE CUENTAS'!B2362</f>
        <v>0</v>
      </c>
      <c r="C2362" s="13">
        <f>+'PLAN DE CUENTAS'!C2362</f>
        <v>0</v>
      </c>
      <c r="D2362" t="str">
        <f>IF(tbal[[#This Row],[DEBE]]+tbal[[#This Row],[HABER]]=0,"","X")</f>
        <v/>
      </c>
      <c r="E2362" s="16">
        <f>SUMIF(tdiario[CUENTA],tbal[[#This Row],[CUENTA]],tdiario[DEBE])</f>
        <v>0</v>
      </c>
      <c r="F2362" s="17">
        <f>SUMIF(tdiario[CUENTA],tbal[[#This Row],[CUENTA]],tdiario[HABER])</f>
        <v>0</v>
      </c>
      <c r="G2362" s="16">
        <f>IF(tbal[[#This Row],[DEBE]]-tbal[[#This Row],[HABER]]&gt;0,tbal[[#This Row],[DEBE]]-tbal[[#This Row],[HABER]],0)</f>
        <v>0</v>
      </c>
      <c r="H2362" s="18">
        <f>IF(tbal[[#This Row],[HABER]]-tbal[[#This Row],[DEBE]]&gt;0,tbal[[#This Row],[HABER]]-tbal[[#This Row],[DEBE]],0)</f>
        <v>0</v>
      </c>
      <c r="I2362" s="16">
        <f>IF((OR(tbal[[#This Row],[X]]=1,tbal[[#This Row],[X]]=2)),tbal[[#This Row],[DEUDOR]],0)</f>
        <v>0</v>
      </c>
      <c r="J2362" s="18">
        <f>IF((OR(tbal[[#This Row],[X]]=2,tbal[[#This Row],[X]]=3)),tbal[[#This Row],[ACREEDOR]],0)</f>
        <v>0</v>
      </c>
      <c r="K2362" s="16">
        <f>IF((OR(tbal[[#This Row],[X]]=3,tbal[[#This Row],[X]]=5)),tbal[[#This Row],[DEUDOR]],0)</f>
        <v>0</v>
      </c>
      <c r="L2362" s="18">
        <f>IF((OR(tbal[[#This Row],[X]]=3,tbal[[#This Row],[X]]=4)),tbal[[#This Row],[ACREEDOR]],0)</f>
        <v>0</v>
      </c>
      <c r="M2362" s="16">
        <f>IF((OR(tbal[[#This Row],[X]]=0,tbal[[#This Row],[X]]=6)),tbal[[#This Row],[DEUDOR]],0)</f>
        <v>0</v>
      </c>
      <c r="N2362" s="18">
        <f>IF((OR(tbal[[#This Row],[X]]=0,tbal[[#This Row],[X]]=5)),tbal[[#This Row],[ACREEDOR]],0)</f>
        <v>0</v>
      </c>
    </row>
    <row r="2363" spans="1:14" hidden="1" x14ac:dyDescent="0.3">
      <c r="A2363" s="14">
        <f>+'PLAN DE CUENTAS'!A2363</f>
        <v>0</v>
      </c>
      <c r="B2363" s="13">
        <f>+'PLAN DE CUENTAS'!B2363</f>
        <v>0</v>
      </c>
      <c r="C2363" s="13">
        <f>+'PLAN DE CUENTAS'!C2363</f>
        <v>0</v>
      </c>
      <c r="D2363" t="str">
        <f>IF(tbal[[#This Row],[DEBE]]+tbal[[#This Row],[HABER]]=0,"","X")</f>
        <v/>
      </c>
      <c r="E2363" s="16">
        <f>SUMIF(tdiario[CUENTA],tbal[[#This Row],[CUENTA]],tdiario[DEBE])</f>
        <v>0</v>
      </c>
      <c r="F2363" s="17">
        <f>SUMIF(tdiario[CUENTA],tbal[[#This Row],[CUENTA]],tdiario[HABER])</f>
        <v>0</v>
      </c>
      <c r="G2363" s="16">
        <f>IF(tbal[[#This Row],[DEBE]]-tbal[[#This Row],[HABER]]&gt;0,tbal[[#This Row],[DEBE]]-tbal[[#This Row],[HABER]],0)</f>
        <v>0</v>
      </c>
      <c r="H2363" s="18">
        <f>IF(tbal[[#This Row],[HABER]]-tbal[[#This Row],[DEBE]]&gt;0,tbal[[#This Row],[HABER]]-tbal[[#This Row],[DEBE]],0)</f>
        <v>0</v>
      </c>
      <c r="I2363" s="16">
        <f>IF((OR(tbal[[#This Row],[X]]=1,tbal[[#This Row],[X]]=2)),tbal[[#This Row],[DEUDOR]],0)</f>
        <v>0</v>
      </c>
      <c r="J2363" s="18">
        <f>IF((OR(tbal[[#This Row],[X]]=2,tbal[[#This Row],[X]]=3)),tbal[[#This Row],[ACREEDOR]],0)</f>
        <v>0</v>
      </c>
      <c r="K2363" s="16">
        <f>IF((OR(tbal[[#This Row],[X]]=3,tbal[[#This Row],[X]]=5)),tbal[[#This Row],[DEUDOR]],0)</f>
        <v>0</v>
      </c>
      <c r="L2363" s="18">
        <f>IF((OR(tbal[[#This Row],[X]]=3,tbal[[#This Row],[X]]=4)),tbal[[#This Row],[ACREEDOR]],0)</f>
        <v>0</v>
      </c>
      <c r="M2363" s="16">
        <f>IF((OR(tbal[[#This Row],[X]]=0,tbal[[#This Row],[X]]=6)),tbal[[#This Row],[DEUDOR]],0)</f>
        <v>0</v>
      </c>
      <c r="N2363" s="18">
        <f>IF((OR(tbal[[#This Row],[X]]=0,tbal[[#This Row],[X]]=5)),tbal[[#This Row],[ACREEDOR]],0)</f>
        <v>0</v>
      </c>
    </row>
    <row r="2364" spans="1:14" hidden="1" x14ac:dyDescent="0.3">
      <c r="A2364" s="14">
        <f>+'PLAN DE CUENTAS'!A2364</f>
        <v>0</v>
      </c>
      <c r="B2364" s="13">
        <f>+'PLAN DE CUENTAS'!B2364</f>
        <v>0</v>
      </c>
      <c r="C2364" s="13">
        <f>+'PLAN DE CUENTAS'!C2364</f>
        <v>0</v>
      </c>
      <c r="D2364" t="str">
        <f>IF(tbal[[#This Row],[DEBE]]+tbal[[#This Row],[HABER]]=0,"","X")</f>
        <v/>
      </c>
      <c r="E2364" s="16">
        <f>SUMIF(tdiario[CUENTA],tbal[[#This Row],[CUENTA]],tdiario[DEBE])</f>
        <v>0</v>
      </c>
      <c r="F2364" s="17">
        <f>SUMIF(tdiario[CUENTA],tbal[[#This Row],[CUENTA]],tdiario[HABER])</f>
        <v>0</v>
      </c>
      <c r="G2364" s="16">
        <f>IF(tbal[[#This Row],[DEBE]]-tbal[[#This Row],[HABER]]&gt;0,tbal[[#This Row],[DEBE]]-tbal[[#This Row],[HABER]],0)</f>
        <v>0</v>
      </c>
      <c r="H2364" s="18">
        <f>IF(tbal[[#This Row],[HABER]]-tbal[[#This Row],[DEBE]]&gt;0,tbal[[#This Row],[HABER]]-tbal[[#This Row],[DEBE]],0)</f>
        <v>0</v>
      </c>
      <c r="I2364" s="16">
        <f>IF((OR(tbal[[#This Row],[X]]=1,tbal[[#This Row],[X]]=2)),tbal[[#This Row],[DEUDOR]],0)</f>
        <v>0</v>
      </c>
      <c r="J2364" s="18">
        <f>IF((OR(tbal[[#This Row],[X]]=2,tbal[[#This Row],[X]]=3)),tbal[[#This Row],[ACREEDOR]],0)</f>
        <v>0</v>
      </c>
      <c r="K2364" s="16">
        <f>IF((OR(tbal[[#This Row],[X]]=3,tbal[[#This Row],[X]]=5)),tbal[[#This Row],[DEUDOR]],0)</f>
        <v>0</v>
      </c>
      <c r="L2364" s="18">
        <f>IF((OR(tbal[[#This Row],[X]]=3,tbal[[#This Row],[X]]=4)),tbal[[#This Row],[ACREEDOR]],0)</f>
        <v>0</v>
      </c>
      <c r="M2364" s="16">
        <f>IF((OR(tbal[[#This Row],[X]]=0,tbal[[#This Row],[X]]=6)),tbal[[#This Row],[DEUDOR]],0)</f>
        <v>0</v>
      </c>
      <c r="N2364" s="18">
        <f>IF((OR(tbal[[#This Row],[X]]=0,tbal[[#This Row],[X]]=5)),tbal[[#This Row],[ACREEDOR]],0)</f>
        <v>0</v>
      </c>
    </row>
    <row r="2365" spans="1:14" hidden="1" x14ac:dyDescent="0.3">
      <c r="A2365" s="14">
        <f>+'PLAN DE CUENTAS'!A2365</f>
        <v>0</v>
      </c>
      <c r="B2365" s="13">
        <f>+'PLAN DE CUENTAS'!B2365</f>
        <v>0</v>
      </c>
      <c r="C2365" s="13">
        <f>+'PLAN DE CUENTAS'!C2365</f>
        <v>0</v>
      </c>
      <c r="D2365" t="str">
        <f>IF(tbal[[#This Row],[DEBE]]+tbal[[#This Row],[HABER]]=0,"","X")</f>
        <v/>
      </c>
      <c r="E2365" s="16">
        <f>SUMIF(tdiario[CUENTA],tbal[[#This Row],[CUENTA]],tdiario[DEBE])</f>
        <v>0</v>
      </c>
      <c r="F2365" s="17">
        <f>SUMIF(tdiario[CUENTA],tbal[[#This Row],[CUENTA]],tdiario[HABER])</f>
        <v>0</v>
      </c>
      <c r="G2365" s="16">
        <f>IF(tbal[[#This Row],[DEBE]]-tbal[[#This Row],[HABER]]&gt;0,tbal[[#This Row],[DEBE]]-tbal[[#This Row],[HABER]],0)</f>
        <v>0</v>
      </c>
      <c r="H2365" s="18">
        <f>IF(tbal[[#This Row],[HABER]]-tbal[[#This Row],[DEBE]]&gt;0,tbal[[#This Row],[HABER]]-tbal[[#This Row],[DEBE]],0)</f>
        <v>0</v>
      </c>
      <c r="I2365" s="16">
        <f>IF((OR(tbal[[#This Row],[X]]=1,tbal[[#This Row],[X]]=2)),tbal[[#This Row],[DEUDOR]],0)</f>
        <v>0</v>
      </c>
      <c r="J2365" s="18">
        <f>IF((OR(tbal[[#This Row],[X]]=2,tbal[[#This Row],[X]]=3)),tbal[[#This Row],[ACREEDOR]],0)</f>
        <v>0</v>
      </c>
      <c r="K2365" s="16">
        <f>IF((OR(tbal[[#This Row],[X]]=3,tbal[[#This Row],[X]]=5)),tbal[[#This Row],[DEUDOR]],0)</f>
        <v>0</v>
      </c>
      <c r="L2365" s="18">
        <f>IF((OR(tbal[[#This Row],[X]]=3,tbal[[#This Row],[X]]=4)),tbal[[#This Row],[ACREEDOR]],0)</f>
        <v>0</v>
      </c>
      <c r="M2365" s="16">
        <f>IF((OR(tbal[[#This Row],[X]]=0,tbal[[#This Row],[X]]=6)),tbal[[#This Row],[DEUDOR]],0)</f>
        <v>0</v>
      </c>
      <c r="N2365" s="18">
        <f>IF((OR(tbal[[#This Row],[X]]=0,tbal[[#This Row],[X]]=5)),tbal[[#This Row],[ACREEDOR]],0)</f>
        <v>0</v>
      </c>
    </row>
    <row r="2366" spans="1:14" hidden="1" x14ac:dyDescent="0.3">
      <c r="A2366" s="14">
        <f>+'PLAN DE CUENTAS'!A2366</f>
        <v>0</v>
      </c>
      <c r="B2366" s="13">
        <f>+'PLAN DE CUENTAS'!B2366</f>
        <v>0</v>
      </c>
      <c r="C2366" s="13">
        <f>+'PLAN DE CUENTAS'!C2366</f>
        <v>0</v>
      </c>
      <c r="D2366" t="str">
        <f>IF(tbal[[#This Row],[DEBE]]+tbal[[#This Row],[HABER]]=0,"","X")</f>
        <v/>
      </c>
      <c r="E2366" s="16">
        <f>SUMIF(tdiario[CUENTA],tbal[[#This Row],[CUENTA]],tdiario[DEBE])</f>
        <v>0</v>
      </c>
      <c r="F2366" s="17">
        <f>SUMIF(tdiario[CUENTA],tbal[[#This Row],[CUENTA]],tdiario[HABER])</f>
        <v>0</v>
      </c>
      <c r="G2366" s="16">
        <f>IF(tbal[[#This Row],[DEBE]]-tbal[[#This Row],[HABER]]&gt;0,tbal[[#This Row],[DEBE]]-tbal[[#This Row],[HABER]],0)</f>
        <v>0</v>
      </c>
      <c r="H2366" s="18">
        <f>IF(tbal[[#This Row],[HABER]]-tbal[[#This Row],[DEBE]]&gt;0,tbal[[#This Row],[HABER]]-tbal[[#This Row],[DEBE]],0)</f>
        <v>0</v>
      </c>
      <c r="I2366" s="16">
        <f>IF((OR(tbal[[#This Row],[X]]=1,tbal[[#This Row],[X]]=2)),tbal[[#This Row],[DEUDOR]],0)</f>
        <v>0</v>
      </c>
      <c r="J2366" s="18">
        <f>IF((OR(tbal[[#This Row],[X]]=2,tbal[[#This Row],[X]]=3)),tbal[[#This Row],[ACREEDOR]],0)</f>
        <v>0</v>
      </c>
      <c r="K2366" s="16">
        <f>IF((OR(tbal[[#This Row],[X]]=3,tbal[[#This Row],[X]]=5)),tbal[[#This Row],[DEUDOR]],0)</f>
        <v>0</v>
      </c>
      <c r="L2366" s="18">
        <f>IF((OR(tbal[[#This Row],[X]]=3,tbal[[#This Row],[X]]=4)),tbal[[#This Row],[ACREEDOR]],0)</f>
        <v>0</v>
      </c>
      <c r="M2366" s="16">
        <f>IF((OR(tbal[[#This Row],[X]]=0,tbal[[#This Row],[X]]=6)),tbal[[#This Row],[DEUDOR]],0)</f>
        <v>0</v>
      </c>
      <c r="N2366" s="18">
        <f>IF((OR(tbal[[#This Row],[X]]=0,tbal[[#This Row],[X]]=5)),tbal[[#This Row],[ACREEDOR]],0)</f>
        <v>0</v>
      </c>
    </row>
    <row r="2367" spans="1:14" hidden="1" x14ac:dyDescent="0.3">
      <c r="A2367" s="14">
        <f>+'PLAN DE CUENTAS'!A2367</f>
        <v>0</v>
      </c>
      <c r="B2367" s="13">
        <f>+'PLAN DE CUENTAS'!B2367</f>
        <v>0</v>
      </c>
      <c r="C2367" s="13">
        <f>+'PLAN DE CUENTAS'!C2367</f>
        <v>0</v>
      </c>
      <c r="D2367" t="str">
        <f>IF(tbal[[#This Row],[DEBE]]+tbal[[#This Row],[HABER]]=0,"","X")</f>
        <v/>
      </c>
      <c r="E2367" s="16">
        <f>SUMIF(tdiario[CUENTA],tbal[[#This Row],[CUENTA]],tdiario[DEBE])</f>
        <v>0</v>
      </c>
      <c r="F2367" s="17">
        <f>SUMIF(tdiario[CUENTA],tbal[[#This Row],[CUENTA]],tdiario[HABER])</f>
        <v>0</v>
      </c>
      <c r="G2367" s="16">
        <f>IF(tbal[[#This Row],[DEBE]]-tbal[[#This Row],[HABER]]&gt;0,tbal[[#This Row],[DEBE]]-tbal[[#This Row],[HABER]],0)</f>
        <v>0</v>
      </c>
      <c r="H2367" s="18">
        <f>IF(tbal[[#This Row],[HABER]]-tbal[[#This Row],[DEBE]]&gt;0,tbal[[#This Row],[HABER]]-tbal[[#This Row],[DEBE]],0)</f>
        <v>0</v>
      </c>
      <c r="I2367" s="16">
        <f>IF((OR(tbal[[#This Row],[X]]=1,tbal[[#This Row],[X]]=2)),tbal[[#This Row],[DEUDOR]],0)</f>
        <v>0</v>
      </c>
      <c r="J2367" s="18">
        <f>IF((OR(tbal[[#This Row],[X]]=2,tbal[[#This Row],[X]]=3)),tbal[[#This Row],[ACREEDOR]],0)</f>
        <v>0</v>
      </c>
      <c r="K2367" s="16">
        <f>IF((OR(tbal[[#This Row],[X]]=3,tbal[[#This Row],[X]]=5)),tbal[[#This Row],[DEUDOR]],0)</f>
        <v>0</v>
      </c>
      <c r="L2367" s="18">
        <f>IF((OR(tbal[[#This Row],[X]]=3,tbal[[#This Row],[X]]=4)),tbal[[#This Row],[ACREEDOR]],0)</f>
        <v>0</v>
      </c>
      <c r="M2367" s="16">
        <f>IF((OR(tbal[[#This Row],[X]]=0,tbal[[#This Row],[X]]=6)),tbal[[#This Row],[DEUDOR]],0)</f>
        <v>0</v>
      </c>
      <c r="N2367" s="18">
        <f>IF((OR(tbal[[#This Row],[X]]=0,tbal[[#This Row],[X]]=5)),tbal[[#This Row],[ACREEDOR]],0)</f>
        <v>0</v>
      </c>
    </row>
    <row r="2368" spans="1:14" hidden="1" x14ac:dyDescent="0.3">
      <c r="A2368" s="14">
        <f>+'PLAN DE CUENTAS'!A2368</f>
        <v>0</v>
      </c>
      <c r="B2368" s="13">
        <f>+'PLAN DE CUENTAS'!B2368</f>
        <v>0</v>
      </c>
      <c r="C2368" s="13">
        <f>+'PLAN DE CUENTAS'!C2368</f>
        <v>0</v>
      </c>
      <c r="D2368" t="str">
        <f>IF(tbal[[#This Row],[DEBE]]+tbal[[#This Row],[HABER]]=0,"","X")</f>
        <v/>
      </c>
      <c r="E2368" s="16">
        <f>SUMIF(tdiario[CUENTA],tbal[[#This Row],[CUENTA]],tdiario[DEBE])</f>
        <v>0</v>
      </c>
      <c r="F2368" s="17">
        <f>SUMIF(tdiario[CUENTA],tbal[[#This Row],[CUENTA]],tdiario[HABER])</f>
        <v>0</v>
      </c>
      <c r="G2368" s="16">
        <f>IF(tbal[[#This Row],[DEBE]]-tbal[[#This Row],[HABER]]&gt;0,tbal[[#This Row],[DEBE]]-tbal[[#This Row],[HABER]],0)</f>
        <v>0</v>
      </c>
      <c r="H2368" s="18">
        <f>IF(tbal[[#This Row],[HABER]]-tbal[[#This Row],[DEBE]]&gt;0,tbal[[#This Row],[HABER]]-tbal[[#This Row],[DEBE]],0)</f>
        <v>0</v>
      </c>
      <c r="I2368" s="16">
        <f>IF((OR(tbal[[#This Row],[X]]=1,tbal[[#This Row],[X]]=2)),tbal[[#This Row],[DEUDOR]],0)</f>
        <v>0</v>
      </c>
      <c r="J2368" s="18">
        <f>IF((OR(tbal[[#This Row],[X]]=2,tbal[[#This Row],[X]]=3)),tbal[[#This Row],[ACREEDOR]],0)</f>
        <v>0</v>
      </c>
      <c r="K2368" s="16">
        <f>IF((OR(tbal[[#This Row],[X]]=3,tbal[[#This Row],[X]]=5)),tbal[[#This Row],[DEUDOR]],0)</f>
        <v>0</v>
      </c>
      <c r="L2368" s="18">
        <f>IF((OR(tbal[[#This Row],[X]]=3,tbal[[#This Row],[X]]=4)),tbal[[#This Row],[ACREEDOR]],0)</f>
        <v>0</v>
      </c>
      <c r="M2368" s="16">
        <f>IF((OR(tbal[[#This Row],[X]]=0,tbal[[#This Row],[X]]=6)),tbal[[#This Row],[DEUDOR]],0)</f>
        <v>0</v>
      </c>
      <c r="N2368" s="18">
        <f>IF((OR(tbal[[#This Row],[X]]=0,tbal[[#This Row],[X]]=5)),tbal[[#This Row],[ACREEDOR]],0)</f>
        <v>0</v>
      </c>
    </row>
    <row r="2369" spans="1:14" hidden="1" x14ac:dyDescent="0.3">
      <c r="A2369" s="14">
        <f>+'PLAN DE CUENTAS'!A2369</f>
        <v>0</v>
      </c>
      <c r="B2369" s="13">
        <f>+'PLAN DE CUENTAS'!B2369</f>
        <v>0</v>
      </c>
      <c r="C2369" s="13">
        <f>+'PLAN DE CUENTAS'!C2369</f>
        <v>0</v>
      </c>
      <c r="D2369" t="str">
        <f>IF(tbal[[#This Row],[DEBE]]+tbal[[#This Row],[HABER]]=0,"","X")</f>
        <v/>
      </c>
      <c r="E2369" s="16">
        <f>SUMIF(tdiario[CUENTA],tbal[[#This Row],[CUENTA]],tdiario[DEBE])</f>
        <v>0</v>
      </c>
      <c r="F2369" s="17">
        <f>SUMIF(tdiario[CUENTA],tbal[[#This Row],[CUENTA]],tdiario[HABER])</f>
        <v>0</v>
      </c>
      <c r="G2369" s="16">
        <f>IF(tbal[[#This Row],[DEBE]]-tbal[[#This Row],[HABER]]&gt;0,tbal[[#This Row],[DEBE]]-tbal[[#This Row],[HABER]],0)</f>
        <v>0</v>
      </c>
      <c r="H2369" s="18">
        <f>IF(tbal[[#This Row],[HABER]]-tbal[[#This Row],[DEBE]]&gt;0,tbal[[#This Row],[HABER]]-tbal[[#This Row],[DEBE]],0)</f>
        <v>0</v>
      </c>
      <c r="I2369" s="16">
        <f>IF((OR(tbal[[#This Row],[X]]=1,tbal[[#This Row],[X]]=2)),tbal[[#This Row],[DEUDOR]],0)</f>
        <v>0</v>
      </c>
      <c r="J2369" s="18">
        <f>IF((OR(tbal[[#This Row],[X]]=2,tbal[[#This Row],[X]]=3)),tbal[[#This Row],[ACREEDOR]],0)</f>
        <v>0</v>
      </c>
      <c r="K2369" s="16">
        <f>IF((OR(tbal[[#This Row],[X]]=3,tbal[[#This Row],[X]]=5)),tbal[[#This Row],[DEUDOR]],0)</f>
        <v>0</v>
      </c>
      <c r="L2369" s="18">
        <f>IF((OR(tbal[[#This Row],[X]]=3,tbal[[#This Row],[X]]=4)),tbal[[#This Row],[ACREEDOR]],0)</f>
        <v>0</v>
      </c>
      <c r="M2369" s="16">
        <f>IF((OR(tbal[[#This Row],[X]]=0,tbal[[#This Row],[X]]=6)),tbal[[#This Row],[DEUDOR]],0)</f>
        <v>0</v>
      </c>
      <c r="N2369" s="18">
        <f>IF((OR(tbal[[#This Row],[X]]=0,tbal[[#This Row],[X]]=5)),tbal[[#This Row],[ACREEDOR]],0)</f>
        <v>0</v>
      </c>
    </row>
    <row r="2370" spans="1:14" hidden="1" x14ac:dyDescent="0.3">
      <c r="A2370" s="14">
        <f>+'PLAN DE CUENTAS'!A2370</f>
        <v>0</v>
      </c>
      <c r="B2370" s="13">
        <f>+'PLAN DE CUENTAS'!B2370</f>
        <v>0</v>
      </c>
      <c r="C2370" s="13">
        <f>+'PLAN DE CUENTAS'!C2370</f>
        <v>0</v>
      </c>
      <c r="D2370" t="str">
        <f>IF(tbal[[#This Row],[DEBE]]+tbal[[#This Row],[HABER]]=0,"","X")</f>
        <v/>
      </c>
      <c r="E2370" s="16">
        <f>SUMIF(tdiario[CUENTA],tbal[[#This Row],[CUENTA]],tdiario[DEBE])</f>
        <v>0</v>
      </c>
      <c r="F2370" s="17">
        <f>SUMIF(tdiario[CUENTA],tbal[[#This Row],[CUENTA]],tdiario[HABER])</f>
        <v>0</v>
      </c>
      <c r="G2370" s="16">
        <f>IF(tbal[[#This Row],[DEBE]]-tbal[[#This Row],[HABER]]&gt;0,tbal[[#This Row],[DEBE]]-tbal[[#This Row],[HABER]],0)</f>
        <v>0</v>
      </c>
      <c r="H2370" s="18">
        <f>IF(tbal[[#This Row],[HABER]]-tbal[[#This Row],[DEBE]]&gt;0,tbal[[#This Row],[HABER]]-tbal[[#This Row],[DEBE]],0)</f>
        <v>0</v>
      </c>
      <c r="I2370" s="16">
        <f>IF((OR(tbal[[#This Row],[X]]=1,tbal[[#This Row],[X]]=2)),tbal[[#This Row],[DEUDOR]],0)</f>
        <v>0</v>
      </c>
      <c r="J2370" s="18">
        <f>IF((OR(tbal[[#This Row],[X]]=2,tbal[[#This Row],[X]]=3)),tbal[[#This Row],[ACREEDOR]],0)</f>
        <v>0</v>
      </c>
      <c r="K2370" s="16">
        <f>IF((OR(tbal[[#This Row],[X]]=3,tbal[[#This Row],[X]]=5)),tbal[[#This Row],[DEUDOR]],0)</f>
        <v>0</v>
      </c>
      <c r="L2370" s="18">
        <f>IF((OR(tbal[[#This Row],[X]]=3,tbal[[#This Row],[X]]=4)),tbal[[#This Row],[ACREEDOR]],0)</f>
        <v>0</v>
      </c>
      <c r="M2370" s="16">
        <f>IF((OR(tbal[[#This Row],[X]]=0,tbal[[#This Row],[X]]=6)),tbal[[#This Row],[DEUDOR]],0)</f>
        <v>0</v>
      </c>
      <c r="N2370" s="18">
        <f>IF((OR(tbal[[#This Row],[X]]=0,tbal[[#This Row],[X]]=5)),tbal[[#This Row],[ACREEDOR]],0)</f>
        <v>0</v>
      </c>
    </row>
    <row r="2371" spans="1:14" hidden="1" x14ac:dyDescent="0.3">
      <c r="A2371" s="14">
        <f>+'PLAN DE CUENTAS'!A2371</f>
        <v>0</v>
      </c>
      <c r="B2371" s="13">
        <f>+'PLAN DE CUENTAS'!B2371</f>
        <v>0</v>
      </c>
      <c r="C2371" s="13">
        <f>+'PLAN DE CUENTAS'!C2371</f>
        <v>0</v>
      </c>
      <c r="D2371" t="str">
        <f>IF(tbal[[#This Row],[DEBE]]+tbal[[#This Row],[HABER]]=0,"","X")</f>
        <v/>
      </c>
      <c r="E2371" s="16">
        <f>SUMIF(tdiario[CUENTA],tbal[[#This Row],[CUENTA]],tdiario[DEBE])</f>
        <v>0</v>
      </c>
      <c r="F2371" s="17">
        <f>SUMIF(tdiario[CUENTA],tbal[[#This Row],[CUENTA]],tdiario[HABER])</f>
        <v>0</v>
      </c>
      <c r="G2371" s="16">
        <f>IF(tbal[[#This Row],[DEBE]]-tbal[[#This Row],[HABER]]&gt;0,tbal[[#This Row],[DEBE]]-tbal[[#This Row],[HABER]],0)</f>
        <v>0</v>
      </c>
      <c r="H2371" s="18">
        <f>IF(tbal[[#This Row],[HABER]]-tbal[[#This Row],[DEBE]]&gt;0,tbal[[#This Row],[HABER]]-tbal[[#This Row],[DEBE]],0)</f>
        <v>0</v>
      </c>
      <c r="I2371" s="16">
        <f>IF((OR(tbal[[#This Row],[X]]=1,tbal[[#This Row],[X]]=2)),tbal[[#This Row],[DEUDOR]],0)</f>
        <v>0</v>
      </c>
      <c r="J2371" s="18">
        <f>IF((OR(tbal[[#This Row],[X]]=2,tbal[[#This Row],[X]]=3)),tbal[[#This Row],[ACREEDOR]],0)</f>
        <v>0</v>
      </c>
      <c r="K2371" s="16">
        <f>IF((OR(tbal[[#This Row],[X]]=3,tbal[[#This Row],[X]]=5)),tbal[[#This Row],[DEUDOR]],0)</f>
        <v>0</v>
      </c>
      <c r="L2371" s="18">
        <f>IF((OR(tbal[[#This Row],[X]]=3,tbal[[#This Row],[X]]=4)),tbal[[#This Row],[ACREEDOR]],0)</f>
        <v>0</v>
      </c>
      <c r="M2371" s="16">
        <f>IF((OR(tbal[[#This Row],[X]]=0,tbal[[#This Row],[X]]=6)),tbal[[#This Row],[DEUDOR]],0)</f>
        <v>0</v>
      </c>
      <c r="N2371" s="18">
        <f>IF((OR(tbal[[#This Row],[X]]=0,tbal[[#This Row],[X]]=5)),tbal[[#This Row],[ACREEDOR]],0)</f>
        <v>0</v>
      </c>
    </row>
    <row r="2372" spans="1:14" hidden="1" x14ac:dyDescent="0.3">
      <c r="A2372" s="14">
        <f>+'PLAN DE CUENTAS'!A2372</f>
        <v>0</v>
      </c>
      <c r="B2372" s="13">
        <f>+'PLAN DE CUENTAS'!B2372</f>
        <v>0</v>
      </c>
      <c r="C2372" s="13">
        <f>+'PLAN DE CUENTAS'!C2372</f>
        <v>0</v>
      </c>
      <c r="D2372" t="str">
        <f>IF(tbal[[#This Row],[DEBE]]+tbal[[#This Row],[HABER]]=0,"","X")</f>
        <v/>
      </c>
      <c r="E2372" s="16">
        <f>SUMIF(tdiario[CUENTA],tbal[[#This Row],[CUENTA]],tdiario[DEBE])</f>
        <v>0</v>
      </c>
      <c r="F2372" s="17">
        <f>SUMIF(tdiario[CUENTA],tbal[[#This Row],[CUENTA]],tdiario[HABER])</f>
        <v>0</v>
      </c>
      <c r="G2372" s="16">
        <f>IF(tbal[[#This Row],[DEBE]]-tbal[[#This Row],[HABER]]&gt;0,tbal[[#This Row],[DEBE]]-tbal[[#This Row],[HABER]],0)</f>
        <v>0</v>
      </c>
      <c r="H2372" s="18">
        <f>IF(tbal[[#This Row],[HABER]]-tbal[[#This Row],[DEBE]]&gt;0,tbal[[#This Row],[HABER]]-tbal[[#This Row],[DEBE]],0)</f>
        <v>0</v>
      </c>
      <c r="I2372" s="16">
        <f>IF((OR(tbal[[#This Row],[X]]=1,tbal[[#This Row],[X]]=2)),tbal[[#This Row],[DEUDOR]],0)</f>
        <v>0</v>
      </c>
      <c r="J2372" s="18">
        <f>IF((OR(tbal[[#This Row],[X]]=2,tbal[[#This Row],[X]]=3)),tbal[[#This Row],[ACREEDOR]],0)</f>
        <v>0</v>
      </c>
      <c r="K2372" s="16">
        <f>IF((OR(tbal[[#This Row],[X]]=3,tbal[[#This Row],[X]]=5)),tbal[[#This Row],[DEUDOR]],0)</f>
        <v>0</v>
      </c>
      <c r="L2372" s="18">
        <f>IF((OR(tbal[[#This Row],[X]]=3,tbal[[#This Row],[X]]=4)),tbal[[#This Row],[ACREEDOR]],0)</f>
        <v>0</v>
      </c>
      <c r="M2372" s="16">
        <f>IF((OR(tbal[[#This Row],[X]]=0,tbal[[#This Row],[X]]=6)),tbal[[#This Row],[DEUDOR]],0)</f>
        <v>0</v>
      </c>
      <c r="N2372" s="18">
        <f>IF((OR(tbal[[#This Row],[X]]=0,tbal[[#This Row],[X]]=5)),tbal[[#This Row],[ACREEDOR]],0)</f>
        <v>0</v>
      </c>
    </row>
    <row r="2373" spans="1:14" hidden="1" x14ac:dyDescent="0.3">
      <c r="A2373" s="14">
        <f>+'PLAN DE CUENTAS'!A2373</f>
        <v>0</v>
      </c>
      <c r="B2373" s="13">
        <f>+'PLAN DE CUENTAS'!B2373</f>
        <v>0</v>
      </c>
      <c r="C2373" s="13">
        <f>+'PLAN DE CUENTAS'!C2373</f>
        <v>0</v>
      </c>
      <c r="D2373" t="str">
        <f>IF(tbal[[#This Row],[DEBE]]+tbal[[#This Row],[HABER]]=0,"","X")</f>
        <v/>
      </c>
      <c r="E2373" s="16">
        <f>SUMIF(tdiario[CUENTA],tbal[[#This Row],[CUENTA]],tdiario[DEBE])</f>
        <v>0</v>
      </c>
      <c r="F2373" s="17">
        <f>SUMIF(tdiario[CUENTA],tbal[[#This Row],[CUENTA]],tdiario[HABER])</f>
        <v>0</v>
      </c>
      <c r="G2373" s="16">
        <f>IF(tbal[[#This Row],[DEBE]]-tbal[[#This Row],[HABER]]&gt;0,tbal[[#This Row],[DEBE]]-tbal[[#This Row],[HABER]],0)</f>
        <v>0</v>
      </c>
      <c r="H2373" s="18">
        <f>IF(tbal[[#This Row],[HABER]]-tbal[[#This Row],[DEBE]]&gt;0,tbal[[#This Row],[HABER]]-tbal[[#This Row],[DEBE]],0)</f>
        <v>0</v>
      </c>
      <c r="I2373" s="16">
        <f>IF((OR(tbal[[#This Row],[X]]=1,tbal[[#This Row],[X]]=2)),tbal[[#This Row],[DEUDOR]],0)</f>
        <v>0</v>
      </c>
      <c r="J2373" s="18">
        <f>IF((OR(tbal[[#This Row],[X]]=2,tbal[[#This Row],[X]]=3)),tbal[[#This Row],[ACREEDOR]],0)</f>
        <v>0</v>
      </c>
      <c r="K2373" s="16">
        <f>IF((OR(tbal[[#This Row],[X]]=3,tbal[[#This Row],[X]]=5)),tbal[[#This Row],[DEUDOR]],0)</f>
        <v>0</v>
      </c>
      <c r="L2373" s="18">
        <f>IF((OR(tbal[[#This Row],[X]]=3,tbal[[#This Row],[X]]=4)),tbal[[#This Row],[ACREEDOR]],0)</f>
        <v>0</v>
      </c>
      <c r="M2373" s="16">
        <f>IF((OR(tbal[[#This Row],[X]]=0,tbal[[#This Row],[X]]=6)),tbal[[#This Row],[DEUDOR]],0)</f>
        <v>0</v>
      </c>
      <c r="N2373" s="18">
        <f>IF((OR(tbal[[#This Row],[X]]=0,tbal[[#This Row],[X]]=5)),tbal[[#This Row],[ACREEDOR]],0)</f>
        <v>0</v>
      </c>
    </row>
    <row r="2374" spans="1:14" hidden="1" x14ac:dyDescent="0.3">
      <c r="A2374" s="14">
        <f>+'PLAN DE CUENTAS'!A2374</f>
        <v>0</v>
      </c>
      <c r="B2374" s="13">
        <f>+'PLAN DE CUENTAS'!B2374</f>
        <v>0</v>
      </c>
      <c r="C2374" s="13">
        <f>+'PLAN DE CUENTAS'!C2374</f>
        <v>0</v>
      </c>
      <c r="D2374" t="str">
        <f>IF(tbal[[#This Row],[DEBE]]+tbal[[#This Row],[HABER]]=0,"","X")</f>
        <v/>
      </c>
      <c r="E2374" s="16">
        <f>SUMIF(tdiario[CUENTA],tbal[[#This Row],[CUENTA]],tdiario[DEBE])</f>
        <v>0</v>
      </c>
      <c r="F2374" s="17">
        <f>SUMIF(tdiario[CUENTA],tbal[[#This Row],[CUENTA]],tdiario[HABER])</f>
        <v>0</v>
      </c>
      <c r="G2374" s="16">
        <f>IF(tbal[[#This Row],[DEBE]]-tbal[[#This Row],[HABER]]&gt;0,tbal[[#This Row],[DEBE]]-tbal[[#This Row],[HABER]],0)</f>
        <v>0</v>
      </c>
      <c r="H2374" s="18">
        <f>IF(tbal[[#This Row],[HABER]]-tbal[[#This Row],[DEBE]]&gt;0,tbal[[#This Row],[HABER]]-tbal[[#This Row],[DEBE]],0)</f>
        <v>0</v>
      </c>
      <c r="I2374" s="16">
        <f>IF((OR(tbal[[#This Row],[X]]=1,tbal[[#This Row],[X]]=2)),tbal[[#This Row],[DEUDOR]],0)</f>
        <v>0</v>
      </c>
      <c r="J2374" s="18">
        <f>IF((OR(tbal[[#This Row],[X]]=2,tbal[[#This Row],[X]]=3)),tbal[[#This Row],[ACREEDOR]],0)</f>
        <v>0</v>
      </c>
      <c r="K2374" s="16">
        <f>IF((OR(tbal[[#This Row],[X]]=3,tbal[[#This Row],[X]]=5)),tbal[[#This Row],[DEUDOR]],0)</f>
        <v>0</v>
      </c>
      <c r="L2374" s="18">
        <f>IF((OR(tbal[[#This Row],[X]]=3,tbal[[#This Row],[X]]=4)),tbal[[#This Row],[ACREEDOR]],0)</f>
        <v>0</v>
      </c>
      <c r="M2374" s="16">
        <f>IF((OR(tbal[[#This Row],[X]]=0,tbal[[#This Row],[X]]=6)),tbal[[#This Row],[DEUDOR]],0)</f>
        <v>0</v>
      </c>
      <c r="N2374" s="18">
        <f>IF((OR(tbal[[#This Row],[X]]=0,tbal[[#This Row],[X]]=5)),tbal[[#This Row],[ACREEDOR]],0)</f>
        <v>0</v>
      </c>
    </row>
    <row r="2375" spans="1:14" hidden="1" x14ac:dyDescent="0.3">
      <c r="A2375" s="14">
        <f>+'PLAN DE CUENTAS'!A2375</f>
        <v>0</v>
      </c>
      <c r="B2375" s="13">
        <f>+'PLAN DE CUENTAS'!B2375</f>
        <v>0</v>
      </c>
      <c r="C2375" s="13">
        <f>+'PLAN DE CUENTAS'!C2375</f>
        <v>0</v>
      </c>
      <c r="D2375" t="str">
        <f>IF(tbal[[#This Row],[DEBE]]+tbal[[#This Row],[HABER]]=0,"","X")</f>
        <v/>
      </c>
      <c r="E2375" s="16">
        <f>SUMIF(tdiario[CUENTA],tbal[[#This Row],[CUENTA]],tdiario[DEBE])</f>
        <v>0</v>
      </c>
      <c r="F2375" s="17">
        <f>SUMIF(tdiario[CUENTA],tbal[[#This Row],[CUENTA]],tdiario[HABER])</f>
        <v>0</v>
      </c>
      <c r="G2375" s="16">
        <f>IF(tbal[[#This Row],[DEBE]]-tbal[[#This Row],[HABER]]&gt;0,tbal[[#This Row],[DEBE]]-tbal[[#This Row],[HABER]],0)</f>
        <v>0</v>
      </c>
      <c r="H2375" s="18">
        <f>IF(tbal[[#This Row],[HABER]]-tbal[[#This Row],[DEBE]]&gt;0,tbal[[#This Row],[HABER]]-tbal[[#This Row],[DEBE]],0)</f>
        <v>0</v>
      </c>
      <c r="I2375" s="16">
        <f>IF((OR(tbal[[#This Row],[X]]=1,tbal[[#This Row],[X]]=2)),tbal[[#This Row],[DEUDOR]],0)</f>
        <v>0</v>
      </c>
      <c r="J2375" s="18">
        <f>IF((OR(tbal[[#This Row],[X]]=2,tbal[[#This Row],[X]]=3)),tbal[[#This Row],[ACREEDOR]],0)</f>
        <v>0</v>
      </c>
      <c r="K2375" s="16">
        <f>IF((OR(tbal[[#This Row],[X]]=3,tbal[[#This Row],[X]]=5)),tbal[[#This Row],[DEUDOR]],0)</f>
        <v>0</v>
      </c>
      <c r="L2375" s="18">
        <f>IF((OR(tbal[[#This Row],[X]]=3,tbal[[#This Row],[X]]=4)),tbal[[#This Row],[ACREEDOR]],0)</f>
        <v>0</v>
      </c>
      <c r="M2375" s="16">
        <f>IF((OR(tbal[[#This Row],[X]]=0,tbal[[#This Row],[X]]=6)),tbal[[#This Row],[DEUDOR]],0)</f>
        <v>0</v>
      </c>
      <c r="N2375" s="18">
        <f>IF((OR(tbal[[#This Row],[X]]=0,tbal[[#This Row],[X]]=5)),tbal[[#This Row],[ACREEDOR]],0)</f>
        <v>0</v>
      </c>
    </row>
    <row r="2376" spans="1:14" hidden="1" x14ac:dyDescent="0.3">
      <c r="A2376" s="14">
        <f>+'PLAN DE CUENTAS'!A2376</f>
        <v>0</v>
      </c>
      <c r="B2376" s="13">
        <f>+'PLAN DE CUENTAS'!B2376</f>
        <v>0</v>
      </c>
      <c r="C2376" s="13">
        <f>+'PLAN DE CUENTAS'!C2376</f>
        <v>0</v>
      </c>
      <c r="D2376" t="str">
        <f>IF(tbal[[#This Row],[DEBE]]+tbal[[#This Row],[HABER]]=0,"","X")</f>
        <v/>
      </c>
      <c r="E2376" s="16">
        <f>SUMIF(tdiario[CUENTA],tbal[[#This Row],[CUENTA]],tdiario[DEBE])</f>
        <v>0</v>
      </c>
      <c r="F2376" s="17">
        <f>SUMIF(tdiario[CUENTA],tbal[[#This Row],[CUENTA]],tdiario[HABER])</f>
        <v>0</v>
      </c>
      <c r="G2376" s="16">
        <f>IF(tbal[[#This Row],[DEBE]]-tbal[[#This Row],[HABER]]&gt;0,tbal[[#This Row],[DEBE]]-tbal[[#This Row],[HABER]],0)</f>
        <v>0</v>
      </c>
      <c r="H2376" s="18">
        <f>IF(tbal[[#This Row],[HABER]]-tbal[[#This Row],[DEBE]]&gt;0,tbal[[#This Row],[HABER]]-tbal[[#This Row],[DEBE]],0)</f>
        <v>0</v>
      </c>
      <c r="I2376" s="16">
        <f>IF((OR(tbal[[#This Row],[X]]=1,tbal[[#This Row],[X]]=2)),tbal[[#This Row],[DEUDOR]],0)</f>
        <v>0</v>
      </c>
      <c r="J2376" s="18">
        <f>IF((OR(tbal[[#This Row],[X]]=2,tbal[[#This Row],[X]]=3)),tbal[[#This Row],[ACREEDOR]],0)</f>
        <v>0</v>
      </c>
      <c r="K2376" s="16">
        <f>IF((OR(tbal[[#This Row],[X]]=3,tbal[[#This Row],[X]]=5)),tbal[[#This Row],[DEUDOR]],0)</f>
        <v>0</v>
      </c>
      <c r="L2376" s="18">
        <f>IF((OR(tbal[[#This Row],[X]]=3,tbal[[#This Row],[X]]=4)),tbal[[#This Row],[ACREEDOR]],0)</f>
        <v>0</v>
      </c>
      <c r="M2376" s="16">
        <f>IF((OR(tbal[[#This Row],[X]]=0,tbal[[#This Row],[X]]=6)),tbal[[#This Row],[DEUDOR]],0)</f>
        <v>0</v>
      </c>
      <c r="N2376" s="18">
        <f>IF((OR(tbal[[#This Row],[X]]=0,tbal[[#This Row],[X]]=5)),tbal[[#This Row],[ACREEDOR]],0)</f>
        <v>0</v>
      </c>
    </row>
    <row r="2377" spans="1:14" hidden="1" x14ac:dyDescent="0.3">
      <c r="A2377" s="14">
        <f>+'PLAN DE CUENTAS'!A2377</f>
        <v>0</v>
      </c>
      <c r="B2377" s="13">
        <f>+'PLAN DE CUENTAS'!B2377</f>
        <v>0</v>
      </c>
      <c r="C2377" s="13">
        <f>+'PLAN DE CUENTAS'!C2377</f>
        <v>0</v>
      </c>
      <c r="D2377" t="str">
        <f>IF(tbal[[#This Row],[DEBE]]+tbal[[#This Row],[HABER]]=0,"","X")</f>
        <v/>
      </c>
      <c r="E2377" s="16">
        <f>SUMIF(tdiario[CUENTA],tbal[[#This Row],[CUENTA]],tdiario[DEBE])</f>
        <v>0</v>
      </c>
      <c r="F2377" s="17">
        <f>SUMIF(tdiario[CUENTA],tbal[[#This Row],[CUENTA]],tdiario[HABER])</f>
        <v>0</v>
      </c>
      <c r="G2377" s="16">
        <f>IF(tbal[[#This Row],[DEBE]]-tbal[[#This Row],[HABER]]&gt;0,tbal[[#This Row],[DEBE]]-tbal[[#This Row],[HABER]],0)</f>
        <v>0</v>
      </c>
      <c r="H2377" s="18">
        <f>IF(tbal[[#This Row],[HABER]]-tbal[[#This Row],[DEBE]]&gt;0,tbal[[#This Row],[HABER]]-tbal[[#This Row],[DEBE]],0)</f>
        <v>0</v>
      </c>
      <c r="I2377" s="16">
        <f>IF((OR(tbal[[#This Row],[X]]=1,tbal[[#This Row],[X]]=2)),tbal[[#This Row],[DEUDOR]],0)</f>
        <v>0</v>
      </c>
      <c r="J2377" s="18">
        <f>IF((OR(tbal[[#This Row],[X]]=2,tbal[[#This Row],[X]]=3)),tbal[[#This Row],[ACREEDOR]],0)</f>
        <v>0</v>
      </c>
      <c r="K2377" s="16">
        <f>IF((OR(tbal[[#This Row],[X]]=3,tbal[[#This Row],[X]]=5)),tbal[[#This Row],[DEUDOR]],0)</f>
        <v>0</v>
      </c>
      <c r="L2377" s="18">
        <f>IF((OR(tbal[[#This Row],[X]]=3,tbal[[#This Row],[X]]=4)),tbal[[#This Row],[ACREEDOR]],0)</f>
        <v>0</v>
      </c>
      <c r="M2377" s="16">
        <f>IF((OR(tbal[[#This Row],[X]]=0,tbal[[#This Row],[X]]=6)),tbal[[#This Row],[DEUDOR]],0)</f>
        <v>0</v>
      </c>
      <c r="N2377" s="18">
        <f>IF((OR(tbal[[#This Row],[X]]=0,tbal[[#This Row],[X]]=5)),tbal[[#This Row],[ACREEDOR]],0)</f>
        <v>0</v>
      </c>
    </row>
    <row r="2378" spans="1:14" hidden="1" x14ac:dyDescent="0.3">
      <c r="A2378" s="14">
        <f>+'PLAN DE CUENTAS'!A2378</f>
        <v>0</v>
      </c>
      <c r="B2378" s="13">
        <f>+'PLAN DE CUENTAS'!B2378</f>
        <v>0</v>
      </c>
      <c r="C2378" s="13">
        <f>+'PLAN DE CUENTAS'!C2378</f>
        <v>0</v>
      </c>
      <c r="D2378" t="str">
        <f>IF(tbal[[#This Row],[DEBE]]+tbal[[#This Row],[HABER]]=0,"","X")</f>
        <v/>
      </c>
      <c r="E2378" s="16">
        <f>SUMIF(tdiario[CUENTA],tbal[[#This Row],[CUENTA]],tdiario[DEBE])</f>
        <v>0</v>
      </c>
      <c r="F2378" s="17">
        <f>SUMIF(tdiario[CUENTA],tbal[[#This Row],[CUENTA]],tdiario[HABER])</f>
        <v>0</v>
      </c>
      <c r="G2378" s="16">
        <f>IF(tbal[[#This Row],[DEBE]]-tbal[[#This Row],[HABER]]&gt;0,tbal[[#This Row],[DEBE]]-tbal[[#This Row],[HABER]],0)</f>
        <v>0</v>
      </c>
      <c r="H2378" s="18">
        <f>IF(tbal[[#This Row],[HABER]]-tbal[[#This Row],[DEBE]]&gt;0,tbal[[#This Row],[HABER]]-tbal[[#This Row],[DEBE]],0)</f>
        <v>0</v>
      </c>
      <c r="I2378" s="16">
        <f>IF((OR(tbal[[#This Row],[X]]=1,tbal[[#This Row],[X]]=2)),tbal[[#This Row],[DEUDOR]],0)</f>
        <v>0</v>
      </c>
      <c r="J2378" s="18">
        <f>IF((OR(tbal[[#This Row],[X]]=2,tbal[[#This Row],[X]]=3)),tbal[[#This Row],[ACREEDOR]],0)</f>
        <v>0</v>
      </c>
      <c r="K2378" s="16">
        <f>IF((OR(tbal[[#This Row],[X]]=3,tbal[[#This Row],[X]]=5)),tbal[[#This Row],[DEUDOR]],0)</f>
        <v>0</v>
      </c>
      <c r="L2378" s="18">
        <f>IF((OR(tbal[[#This Row],[X]]=3,tbal[[#This Row],[X]]=4)),tbal[[#This Row],[ACREEDOR]],0)</f>
        <v>0</v>
      </c>
      <c r="M2378" s="16">
        <f>IF((OR(tbal[[#This Row],[X]]=0,tbal[[#This Row],[X]]=6)),tbal[[#This Row],[DEUDOR]],0)</f>
        <v>0</v>
      </c>
      <c r="N2378" s="18">
        <f>IF((OR(tbal[[#This Row],[X]]=0,tbal[[#This Row],[X]]=5)),tbal[[#This Row],[ACREEDOR]],0)</f>
        <v>0</v>
      </c>
    </row>
    <row r="2379" spans="1:14" hidden="1" x14ac:dyDescent="0.3">
      <c r="A2379" s="14">
        <f>+'PLAN DE CUENTAS'!A2379</f>
        <v>0</v>
      </c>
      <c r="B2379" s="13">
        <f>+'PLAN DE CUENTAS'!B2379</f>
        <v>0</v>
      </c>
      <c r="C2379" s="13">
        <f>+'PLAN DE CUENTAS'!C2379</f>
        <v>0</v>
      </c>
      <c r="D2379" t="str">
        <f>IF(tbal[[#This Row],[DEBE]]+tbal[[#This Row],[HABER]]=0,"","X")</f>
        <v/>
      </c>
      <c r="E2379" s="16">
        <f>SUMIF(tdiario[CUENTA],tbal[[#This Row],[CUENTA]],tdiario[DEBE])</f>
        <v>0</v>
      </c>
      <c r="F2379" s="17">
        <f>SUMIF(tdiario[CUENTA],tbal[[#This Row],[CUENTA]],tdiario[HABER])</f>
        <v>0</v>
      </c>
      <c r="G2379" s="16">
        <f>IF(tbal[[#This Row],[DEBE]]-tbal[[#This Row],[HABER]]&gt;0,tbal[[#This Row],[DEBE]]-tbal[[#This Row],[HABER]],0)</f>
        <v>0</v>
      </c>
      <c r="H2379" s="18">
        <f>IF(tbal[[#This Row],[HABER]]-tbal[[#This Row],[DEBE]]&gt;0,tbal[[#This Row],[HABER]]-tbal[[#This Row],[DEBE]],0)</f>
        <v>0</v>
      </c>
      <c r="I2379" s="16">
        <f>IF((OR(tbal[[#This Row],[X]]=1,tbal[[#This Row],[X]]=2)),tbal[[#This Row],[DEUDOR]],0)</f>
        <v>0</v>
      </c>
      <c r="J2379" s="18">
        <f>IF((OR(tbal[[#This Row],[X]]=2,tbal[[#This Row],[X]]=3)),tbal[[#This Row],[ACREEDOR]],0)</f>
        <v>0</v>
      </c>
      <c r="K2379" s="16">
        <f>IF((OR(tbal[[#This Row],[X]]=3,tbal[[#This Row],[X]]=5)),tbal[[#This Row],[DEUDOR]],0)</f>
        <v>0</v>
      </c>
      <c r="L2379" s="18">
        <f>IF((OR(tbal[[#This Row],[X]]=3,tbal[[#This Row],[X]]=4)),tbal[[#This Row],[ACREEDOR]],0)</f>
        <v>0</v>
      </c>
      <c r="M2379" s="16">
        <f>IF((OR(tbal[[#This Row],[X]]=0,tbal[[#This Row],[X]]=6)),tbal[[#This Row],[DEUDOR]],0)</f>
        <v>0</v>
      </c>
      <c r="N2379" s="18">
        <f>IF((OR(tbal[[#This Row],[X]]=0,tbal[[#This Row],[X]]=5)),tbal[[#This Row],[ACREEDOR]],0)</f>
        <v>0</v>
      </c>
    </row>
    <row r="2380" spans="1:14" hidden="1" x14ac:dyDescent="0.3">
      <c r="A2380" s="14">
        <f>+'PLAN DE CUENTAS'!A2380</f>
        <v>0</v>
      </c>
      <c r="B2380" s="13">
        <f>+'PLAN DE CUENTAS'!B2380</f>
        <v>0</v>
      </c>
      <c r="C2380" s="13">
        <f>+'PLAN DE CUENTAS'!C2380</f>
        <v>0</v>
      </c>
      <c r="D2380" t="str">
        <f>IF(tbal[[#This Row],[DEBE]]+tbal[[#This Row],[HABER]]=0,"","X")</f>
        <v/>
      </c>
      <c r="E2380" s="16">
        <f>SUMIF(tdiario[CUENTA],tbal[[#This Row],[CUENTA]],tdiario[DEBE])</f>
        <v>0</v>
      </c>
      <c r="F2380" s="17">
        <f>SUMIF(tdiario[CUENTA],tbal[[#This Row],[CUENTA]],tdiario[HABER])</f>
        <v>0</v>
      </c>
      <c r="G2380" s="16">
        <f>IF(tbal[[#This Row],[DEBE]]-tbal[[#This Row],[HABER]]&gt;0,tbal[[#This Row],[DEBE]]-tbal[[#This Row],[HABER]],0)</f>
        <v>0</v>
      </c>
      <c r="H2380" s="18">
        <f>IF(tbal[[#This Row],[HABER]]-tbal[[#This Row],[DEBE]]&gt;0,tbal[[#This Row],[HABER]]-tbal[[#This Row],[DEBE]],0)</f>
        <v>0</v>
      </c>
      <c r="I2380" s="16">
        <f>IF((OR(tbal[[#This Row],[X]]=1,tbal[[#This Row],[X]]=2)),tbal[[#This Row],[DEUDOR]],0)</f>
        <v>0</v>
      </c>
      <c r="J2380" s="18">
        <f>IF((OR(tbal[[#This Row],[X]]=2,tbal[[#This Row],[X]]=3)),tbal[[#This Row],[ACREEDOR]],0)</f>
        <v>0</v>
      </c>
      <c r="K2380" s="16">
        <f>IF((OR(tbal[[#This Row],[X]]=3,tbal[[#This Row],[X]]=5)),tbal[[#This Row],[DEUDOR]],0)</f>
        <v>0</v>
      </c>
      <c r="L2380" s="18">
        <f>IF((OR(tbal[[#This Row],[X]]=3,tbal[[#This Row],[X]]=4)),tbal[[#This Row],[ACREEDOR]],0)</f>
        <v>0</v>
      </c>
      <c r="M2380" s="16">
        <f>IF((OR(tbal[[#This Row],[X]]=0,tbal[[#This Row],[X]]=6)),tbal[[#This Row],[DEUDOR]],0)</f>
        <v>0</v>
      </c>
      <c r="N2380" s="18">
        <f>IF((OR(tbal[[#This Row],[X]]=0,tbal[[#This Row],[X]]=5)),tbal[[#This Row],[ACREEDOR]],0)</f>
        <v>0</v>
      </c>
    </row>
    <row r="2381" spans="1:14" hidden="1" x14ac:dyDescent="0.3">
      <c r="A2381" s="14">
        <f>+'PLAN DE CUENTAS'!A2381</f>
        <v>0</v>
      </c>
      <c r="B2381" s="13">
        <f>+'PLAN DE CUENTAS'!B2381</f>
        <v>0</v>
      </c>
      <c r="C2381" s="13">
        <f>+'PLAN DE CUENTAS'!C2381</f>
        <v>0</v>
      </c>
      <c r="D2381" t="str">
        <f>IF(tbal[[#This Row],[DEBE]]+tbal[[#This Row],[HABER]]=0,"","X")</f>
        <v/>
      </c>
      <c r="E2381" s="16">
        <f>SUMIF(tdiario[CUENTA],tbal[[#This Row],[CUENTA]],tdiario[DEBE])</f>
        <v>0</v>
      </c>
      <c r="F2381" s="17">
        <f>SUMIF(tdiario[CUENTA],tbal[[#This Row],[CUENTA]],tdiario[HABER])</f>
        <v>0</v>
      </c>
      <c r="G2381" s="16">
        <f>IF(tbal[[#This Row],[DEBE]]-tbal[[#This Row],[HABER]]&gt;0,tbal[[#This Row],[DEBE]]-tbal[[#This Row],[HABER]],0)</f>
        <v>0</v>
      </c>
      <c r="H2381" s="18">
        <f>IF(tbal[[#This Row],[HABER]]-tbal[[#This Row],[DEBE]]&gt;0,tbal[[#This Row],[HABER]]-tbal[[#This Row],[DEBE]],0)</f>
        <v>0</v>
      </c>
      <c r="I2381" s="16">
        <f>IF((OR(tbal[[#This Row],[X]]=1,tbal[[#This Row],[X]]=2)),tbal[[#This Row],[DEUDOR]],0)</f>
        <v>0</v>
      </c>
      <c r="J2381" s="18">
        <f>IF((OR(tbal[[#This Row],[X]]=2,tbal[[#This Row],[X]]=3)),tbal[[#This Row],[ACREEDOR]],0)</f>
        <v>0</v>
      </c>
      <c r="K2381" s="16">
        <f>IF((OR(tbal[[#This Row],[X]]=3,tbal[[#This Row],[X]]=5)),tbal[[#This Row],[DEUDOR]],0)</f>
        <v>0</v>
      </c>
      <c r="L2381" s="18">
        <f>IF((OR(tbal[[#This Row],[X]]=3,tbal[[#This Row],[X]]=4)),tbal[[#This Row],[ACREEDOR]],0)</f>
        <v>0</v>
      </c>
      <c r="M2381" s="16">
        <f>IF((OR(tbal[[#This Row],[X]]=0,tbal[[#This Row],[X]]=6)),tbal[[#This Row],[DEUDOR]],0)</f>
        <v>0</v>
      </c>
      <c r="N2381" s="18">
        <f>IF((OR(tbal[[#This Row],[X]]=0,tbal[[#This Row],[X]]=5)),tbal[[#This Row],[ACREEDOR]],0)</f>
        <v>0</v>
      </c>
    </row>
    <row r="2382" spans="1:14" hidden="1" x14ac:dyDescent="0.3">
      <c r="A2382" s="14">
        <f>+'PLAN DE CUENTAS'!A2382</f>
        <v>0</v>
      </c>
      <c r="B2382" s="13">
        <f>+'PLAN DE CUENTAS'!B2382</f>
        <v>0</v>
      </c>
      <c r="C2382" s="13">
        <f>+'PLAN DE CUENTAS'!C2382</f>
        <v>0</v>
      </c>
      <c r="D2382" t="str">
        <f>IF(tbal[[#This Row],[DEBE]]+tbal[[#This Row],[HABER]]=0,"","X")</f>
        <v/>
      </c>
      <c r="E2382" s="16">
        <f>SUMIF(tdiario[CUENTA],tbal[[#This Row],[CUENTA]],tdiario[DEBE])</f>
        <v>0</v>
      </c>
      <c r="F2382" s="17">
        <f>SUMIF(tdiario[CUENTA],tbal[[#This Row],[CUENTA]],tdiario[HABER])</f>
        <v>0</v>
      </c>
      <c r="G2382" s="16">
        <f>IF(tbal[[#This Row],[DEBE]]-tbal[[#This Row],[HABER]]&gt;0,tbal[[#This Row],[DEBE]]-tbal[[#This Row],[HABER]],0)</f>
        <v>0</v>
      </c>
      <c r="H2382" s="18">
        <f>IF(tbal[[#This Row],[HABER]]-tbal[[#This Row],[DEBE]]&gt;0,tbal[[#This Row],[HABER]]-tbal[[#This Row],[DEBE]],0)</f>
        <v>0</v>
      </c>
      <c r="I2382" s="16">
        <f>IF((OR(tbal[[#This Row],[X]]=1,tbal[[#This Row],[X]]=2)),tbal[[#This Row],[DEUDOR]],0)</f>
        <v>0</v>
      </c>
      <c r="J2382" s="18">
        <f>IF((OR(tbal[[#This Row],[X]]=2,tbal[[#This Row],[X]]=3)),tbal[[#This Row],[ACREEDOR]],0)</f>
        <v>0</v>
      </c>
      <c r="K2382" s="16">
        <f>IF((OR(tbal[[#This Row],[X]]=3,tbal[[#This Row],[X]]=5)),tbal[[#This Row],[DEUDOR]],0)</f>
        <v>0</v>
      </c>
      <c r="L2382" s="18">
        <f>IF((OR(tbal[[#This Row],[X]]=3,tbal[[#This Row],[X]]=4)),tbal[[#This Row],[ACREEDOR]],0)</f>
        <v>0</v>
      </c>
      <c r="M2382" s="16">
        <f>IF((OR(tbal[[#This Row],[X]]=0,tbal[[#This Row],[X]]=6)),tbal[[#This Row],[DEUDOR]],0)</f>
        <v>0</v>
      </c>
      <c r="N2382" s="18">
        <f>IF((OR(tbal[[#This Row],[X]]=0,tbal[[#This Row],[X]]=5)),tbal[[#This Row],[ACREEDOR]],0)</f>
        <v>0</v>
      </c>
    </row>
    <row r="2383" spans="1:14" hidden="1" x14ac:dyDescent="0.3">
      <c r="A2383" s="14">
        <f>+'PLAN DE CUENTAS'!A2383</f>
        <v>0</v>
      </c>
      <c r="B2383" s="13">
        <f>+'PLAN DE CUENTAS'!B2383</f>
        <v>0</v>
      </c>
      <c r="C2383" s="13">
        <f>+'PLAN DE CUENTAS'!C2383</f>
        <v>0</v>
      </c>
      <c r="D2383" t="str">
        <f>IF(tbal[[#This Row],[DEBE]]+tbal[[#This Row],[HABER]]=0,"","X")</f>
        <v/>
      </c>
      <c r="E2383" s="16">
        <f>SUMIF(tdiario[CUENTA],tbal[[#This Row],[CUENTA]],tdiario[DEBE])</f>
        <v>0</v>
      </c>
      <c r="F2383" s="17">
        <f>SUMIF(tdiario[CUENTA],tbal[[#This Row],[CUENTA]],tdiario[HABER])</f>
        <v>0</v>
      </c>
      <c r="G2383" s="16">
        <f>IF(tbal[[#This Row],[DEBE]]-tbal[[#This Row],[HABER]]&gt;0,tbal[[#This Row],[DEBE]]-tbal[[#This Row],[HABER]],0)</f>
        <v>0</v>
      </c>
      <c r="H2383" s="18">
        <f>IF(tbal[[#This Row],[HABER]]-tbal[[#This Row],[DEBE]]&gt;0,tbal[[#This Row],[HABER]]-tbal[[#This Row],[DEBE]],0)</f>
        <v>0</v>
      </c>
      <c r="I2383" s="16">
        <f>IF((OR(tbal[[#This Row],[X]]=1,tbal[[#This Row],[X]]=2)),tbal[[#This Row],[DEUDOR]],0)</f>
        <v>0</v>
      </c>
      <c r="J2383" s="18">
        <f>IF((OR(tbal[[#This Row],[X]]=2,tbal[[#This Row],[X]]=3)),tbal[[#This Row],[ACREEDOR]],0)</f>
        <v>0</v>
      </c>
      <c r="K2383" s="16">
        <f>IF((OR(tbal[[#This Row],[X]]=3,tbal[[#This Row],[X]]=5)),tbal[[#This Row],[DEUDOR]],0)</f>
        <v>0</v>
      </c>
      <c r="L2383" s="18">
        <f>IF((OR(tbal[[#This Row],[X]]=3,tbal[[#This Row],[X]]=4)),tbal[[#This Row],[ACREEDOR]],0)</f>
        <v>0</v>
      </c>
      <c r="M2383" s="16">
        <f>IF((OR(tbal[[#This Row],[X]]=0,tbal[[#This Row],[X]]=6)),tbal[[#This Row],[DEUDOR]],0)</f>
        <v>0</v>
      </c>
      <c r="N2383" s="18">
        <f>IF((OR(tbal[[#This Row],[X]]=0,tbal[[#This Row],[X]]=5)),tbal[[#This Row],[ACREEDOR]],0)</f>
        <v>0</v>
      </c>
    </row>
    <row r="2384" spans="1:14" hidden="1" x14ac:dyDescent="0.3">
      <c r="A2384" s="14">
        <f>+'PLAN DE CUENTAS'!A2384</f>
        <v>0</v>
      </c>
      <c r="B2384" s="13">
        <f>+'PLAN DE CUENTAS'!B2384</f>
        <v>0</v>
      </c>
      <c r="C2384" s="13">
        <f>+'PLAN DE CUENTAS'!C2384</f>
        <v>0</v>
      </c>
      <c r="D2384" t="str">
        <f>IF(tbal[[#This Row],[DEBE]]+tbal[[#This Row],[HABER]]=0,"","X")</f>
        <v/>
      </c>
      <c r="E2384" s="16">
        <f>SUMIF(tdiario[CUENTA],tbal[[#This Row],[CUENTA]],tdiario[DEBE])</f>
        <v>0</v>
      </c>
      <c r="F2384" s="17">
        <f>SUMIF(tdiario[CUENTA],tbal[[#This Row],[CUENTA]],tdiario[HABER])</f>
        <v>0</v>
      </c>
      <c r="G2384" s="16">
        <f>IF(tbal[[#This Row],[DEBE]]-tbal[[#This Row],[HABER]]&gt;0,tbal[[#This Row],[DEBE]]-tbal[[#This Row],[HABER]],0)</f>
        <v>0</v>
      </c>
      <c r="H2384" s="18">
        <f>IF(tbal[[#This Row],[HABER]]-tbal[[#This Row],[DEBE]]&gt;0,tbal[[#This Row],[HABER]]-tbal[[#This Row],[DEBE]],0)</f>
        <v>0</v>
      </c>
      <c r="I2384" s="16">
        <f>IF((OR(tbal[[#This Row],[X]]=1,tbal[[#This Row],[X]]=2)),tbal[[#This Row],[DEUDOR]],0)</f>
        <v>0</v>
      </c>
      <c r="J2384" s="18">
        <f>IF((OR(tbal[[#This Row],[X]]=2,tbal[[#This Row],[X]]=3)),tbal[[#This Row],[ACREEDOR]],0)</f>
        <v>0</v>
      </c>
      <c r="K2384" s="16">
        <f>IF((OR(tbal[[#This Row],[X]]=3,tbal[[#This Row],[X]]=5)),tbal[[#This Row],[DEUDOR]],0)</f>
        <v>0</v>
      </c>
      <c r="L2384" s="18">
        <f>IF((OR(tbal[[#This Row],[X]]=3,tbal[[#This Row],[X]]=4)),tbal[[#This Row],[ACREEDOR]],0)</f>
        <v>0</v>
      </c>
      <c r="M2384" s="16">
        <f>IF((OR(tbal[[#This Row],[X]]=0,tbal[[#This Row],[X]]=6)),tbal[[#This Row],[DEUDOR]],0)</f>
        <v>0</v>
      </c>
      <c r="N2384" s="18">
        <f>IF((OR(tbal[[#This Row],[X]]=0,tbal[[#This Row],[X]]=5)),tbal[[#This Row],[ACREEDOR]],0)</f>
        <v>0</v>
      </c>
    </row>
    <row r="2385" spans="1:14" hidden="1" x14ac:dyDescent="0.3">
      <c r="A2385" s="14">
        <f>+'PLAN DE CUENTAS'!A2385</f>
        <v>0</v>
      </c>
      <c r="B2385" s="13">
        <f>+'PLAN DE CUENTAS'!B2385</f>
        <v>0</v>
      </c>
      <c r="C2385" s="13">
        <f>+'PLAN DE CUENTAS'!C2385</f>
        <v>0</v>
      </c>
      <c r="D2385" t="str">
        <f>IF(tbal[[#This Row],[DEBE]]+tbal[[#This Row],[HABER]]=0,"","X")</f>
        <v/>
      </c>
      <c r="E2385" s="16">
        <f>SUMIF(tdiario[CUENTA],tbal[[#This Row],[CUENTA]],tdiario[DEBE])</f>
        <v>0</v>
      </c>
      <c r="F2385" s="17">
        <f>SUMIF(tdiario[CUENTA],tbal[[#This Row],[CUENTA]],tdiario[HABER])</f>
        <v>0</v>
      </c>
      <c r="G2385" s="16">
        <f>IF(tbal[[#This Row],[DEBE]]-tbal[[#This Row],[HABER]]&gt;0,tbal[[#This Row],[DEBE]]-tbal[[#This Row],[HABER]],0)</f>
        <v>0</v>
      </c>
      <c r="H2385" s="18">
        <f>IF(tbal[[#This Row],[HABER]]-tbal[[#This Row],[DEBE]]&gt;0,tbal[[#This Row],[HABER]]-tbal[[#This Row],[DEBE]],0)</f>
        <v>0</v>
      </c>
      <c r="I2385" s="16">
        <f>IF((OR(tbal[[#This Row],[X]]=1,tbal[[#This Row],[X]]=2)),tbal[[#This Row],[DEUDOR]],0)</f>
        <v>0</v>
      </c>
      <c r="J2385" s="18">
        <f>IF((OR(tbal[[#This Row],[X]]=2,tbal[[#This Row],[X]]=3)),tbal[[#This Row],[ACREEDOR]],0)</f>
        <v>0</v>
      </c>
      <c r="K2385" s="16">
        <f>IF((OR(tbal[[#This Row],[X]]=3,tbal[[#This Row],[X]]=5)),tbal[[#This Row],[DEUDOR]],0)</f>
        <v>0</v>
      </c>
      <c r="L2385" s="18">
        <f>IF((OR(tbal[[#This Row],[X]]=3,tbal[[#This Row],[X]]=4)),tbal[[#This Row],[ACREEDOR]],0)</f>
        <v>0</v>
      </c>
      <c r="M2385" s="16">
        <f>IF((OR(tbal[[#This Row],[X]]=0,tbal[[#This Row],[X]]=6)),tbal[[#This Row],[DEUDOR]],0)</f>
        <v>0</v>
      </c>
      <c r="N2385" s="18">
        <f>IF((OR(tbal[[#This Row],[X]]=0,tbal[[#This Row],[X]]=5)),tbal[[#This Row],[ACREEDOR]],0)</f>
        <v>0</v>
      </c>
    </row>
    <row r="2386" spans="1:14" hidden="1" x14ac:dyDescent="0.3">
      <c r="A2386" s="14">
        <f>+'PLAN DE CUENTAS'!A2386</f>
        <v>0</v>
      </c>
      <c r="B2386" s="13">
        <f>+'PLAN DE CUENTAS'!B2386</f>
        <v>0</v>
      </c>
      <c r="C2386" s="13">
        <f>+'PLAN DE CUENTAS'!C2386</f>
        <v>0</v>
      </c>
      <c r="D2386" t="str">
        <f>IF(tbal[[#This Row],[DEBE]]+tbal[[#This Row],[HABER]]=0,"","X")</f>
        <v/>
      </c>
      <c r="E2386" s="16">
        <f>SUMIF(tdiario[CUENTA],tbal[[#This Row],[CUENTA]],tdiario[DEBE])</f>
        <v>0</v>
      </c>
      <c r="F2386" s="17">
        <f>SUMIF(tdiario[CUENTA],tbal[[#This Row],[CUENTA]],tdiario[HABER])</f>
        <v>0</v>
      </c>
      <c r="G2386" s="16">
        <f>IF(tbal[[#This Row],[DEBE]]-tbal[[#This Row],[HABER]]&gt;0,tbal[[#This Row],[DEBE]]-tbal[[#This Row],[HABER]],0)</f>
        <v>0</v>
      </c>
      <c r="H2386" s="18">
        <f>IF(tbal[[#This Row],[HABER]]-tbal[[#This Row],[DEBE]]&gt;0,tbal[[#This Row],[HABER]]-tbal[[#This Row],[DEBE]],0)</f>
        <v>0</v>
      </c>
      <c r="I2386" s="16">
        <f>IF((OR(tbal[[#This Row],[X]]=1,tbal[[#This Row],[X]]=2)),tbal[[#This Row],[DEUDOR]],0)</f>
        <v>0</v>
      </c>
      <c r="J2386" s="18">
        <f>IF((OR(tbal[[#This Row],[X]]=2,tbal[[#This Row],[X]]=3)),tbal[[#This Row],[ACREEDOR]],0)</f>
        <v>0</v>
      </c>
      <c r="K2386" s="16">
        <f>IF((OR(tbal[[#This Row],[X]]=3,tbal[[#This Row],[X]]=5)),tbal[[#This Row],[DEUDOR]],0)</f>
        <v>0</v>
      </c>
      <c r="L2386" s="18">
        <f>IF((OR(tbal[[#This Row],[X]]=3,tbal[[#This Row],[X]]=4)),tbal[[#This Row],[ACREEDOR]],0)</f>
        <v>0</v>
      </c>
      <c r="M2386" s="16">
        <f>IF((OR(tbal[[#This Row],[X]]=0,tbal[[#This Row],[X]]=6)),tbal[[#This Row],[DEUDOR]],0)</f>
        <v>0</v>
      </c>
      <c r="N2386" s="18">
        <f>IF((OR(tbal[[#This Row],[X]]=0,tbal[[#This Row],[X]]=5)),tbal[[#This Row],[ACREEDOR]],0)</f>
        <v>0</v>
      </c>
    </row>
    <row r="2387" spans="1:14" hidden="1" x14ac:dyDescent="0.3">
      <c r="A2387" s="14">
        <f>+'PLAN DE CUENTAS'!A2387</f>
        <v>0</v>
      </c>
      <c r="B2387" s="13">
        <f>+'PLAN DE CUENTAS'!B2387</f>
        <v>0</v>
      </c>
      <c r="C2387" s="13">
        <f>+'PLAN DE CUENTAS'!C2387</f>
        <v>0</v>
      </c>
      <c r="D2387" t="str">
        <f>IF(tbal[[#This Row],[DEBE]]+tbal[[#This Row],[HABER]]=0,"","X")</f>
        <v/>
      </c>
      <c r="E2387" s="16">
        <f>SUMIF(tdiario[CUENTA],tbal[[#This Row],[CUENTA]],tdiario[DEBE])</f>
        <v>0</v>
      </c>
      <c r="F2387" s="17">
        <f>SUMIF(tdiario[CUENTA],tbal[[#This Row],[CUENTA]],tdiario[HABER])</f>
        <v>0</v>
      </c>
      <c r="G2387" s="16">
        <f>IF(tbal[[#This Row],[DEBE]]-tbal[[#This Row],[HABER]]&gt;0,tbal[[#This Row],[DEBE]]-tbal[[#This Row],[HABER]],0)</f>
        <v>0</v>
      </c>
      <c r="H2387" s="18">
        <f>IF(tbal[[#This Row],[HABER]]-tbal[[#This Row],[DEBE]]&gt;0,tbal[[#This Row],[HABER]]-tbal[[#This Row],[DEBE]],0)</f>
        <v>0</v>
      </c>
      <c r="I2387" s="16">
        <f>IF((OR(tbal[[#This Row],[X]]=1,tbal[[#This Row],[X]]=2)),tbal[[#This Row],[DEUDOR]],0)</f>
        <v>0</v>
      </c>
      <c r="J2387" s="18">
        <f>IF((OR(tbal[[#This Row],[X]]=2,tbal[[#This Row],[X]]=3)),tbal[[#This Row],[ACREEDOR]],0)</f>
        <v>0</v>
      </c>
      <c r="K2387" s="16">
        <f>IF((OR(tbal[[#This Row],[X]]=3,tbal[[#This Row],[X]]=5)),tbal[[#This Row],[DEUDOR]],0)</f>
        <v>0</v>
      </c>
      <c r="L2387" s="18">
        <f>IF((OR(tbal[[#This Row],[X]]=3,tbal[[#This Row],[X]]=4)),tbal[[#This Row],[ACREEDOR]],0)</f>
        <v>0</v>
      </c>
      <c r="M2387" s="16">
        <f>IF((OR(tbal[[#This Row],[X]]=0,tbal[[#This Row],[X]]=6)),tbal[[#This Row],[DEUDOR]],0)</f>
        <v>0</v>
      </c>
      <c r="N2387" s="18">
        <f>IF((OR(tbal[[#This Row],[X]]=0,tbal[[#This Row],[X]]=5)),tbal[[#This Row],[ACREEDOR]],0)</f>
        <v>0</v>
      </c>
    </row>
    <row r="2388" spans="1:14" hidden="1" x14ac:dyDescent="0.3">
      <c r="A2388" s="14">
        <f>+'PLAN DE CUENTAS'!A2388</f>
        <v>0</v>
      </c>
      <c r="B2388" s="13">
        <f>+'PLAN DE CUENTAS'!B2388</f>
        <v>0</v>
      </c>
      <c r="C2388" s="13">
        <f>+'PLAN DE CUENTAS'!C2388</f>
        <v>0</v>
      </c>
      <c r="D2388" t="str">
        <f>IF(tbal[[#This Row],[DEBE]]+tbal[[#This Row],[HABER]]=0,"","X")</f>
        <v/>
      </c>
      <c r="E2388" s="16">
        <f>SUMIF(tdiario[CUENTA],tbal[[#This Row],[CUENTA]],tdiario[DEBE])</f>
        <v>0</v>
      </c>
      <c r="F2388" s="17">
        <f>SUMIF(tdiario[CUENTA],tbal[[#This Row],[CUENTA]],tdiario[HABER])</f>
        <v>0</v>
      </c>
      <c r="G2388" s="16">
        <f>IF(tbal[[#This Row],[DEBE]]-tbal[[#This Row],[HABER]]&gt;0,tbal[[#This Row],[DEBE]]-tbal[[#This Row],[HABER]],0)</f>
        <v>0</v>
      </c>
      <c r="H2388" s="18">
        <f>IF(tbal[[#This Row],[HABER]]-tbal[[#This Row],[DEBE]]&gt;0,tbal[[#This Row],[HABER]]-tbal[[#This Row],[DEBE]],0)</f>
        <v>0</v>
      </c>
      <c r="I2388" s="16">
        <f>IF((OR(tbal[[#This Row],[X]]=1,tbal[[#This Row],[X]]=2)),tbal[[#This Row],[DEUDOR]],0)</f>
        <v>0</v>
      </c>
      <c r="J2388" s="18">
        <f>IF((OR(tbal[[#This Row],[X]]=2,tbal[[#This Row],[X]]=3)),tbal[[#This Row],[ACREEDOR]],0)</f>
        <v>0</v>
      </c>
      <c r="K2388" s="16">
        <f>IF((OR(tbal[[#This Row],[X]]=3,tbal[[#This Row],[X]]=5)),tbal[[#This Row],[DEUDOR]],0)</f>
        <v>0</v>
      </c>
      <c r="L2388" s="18">
        <f>IF((OR(tbal[[#This Row],[X]]=3,tbal[[#This Row],[X]]=4)),tbal[[#This Row],[ACREEDOR]],0)</f>
        <v>0</v>
      </c>
      <c r="M2388" s="16">
        <f>IF((OR(tbal[[#This Row],[X]]=0,tbal[[#This Row],[X]]=6)),tbal[[#This Row],[DEUDOR]],0)</f>
        <v>0</v>
      </c>
      <c r="N2388" s="18">
        <f>IF((OR(tbal[[#This Row],[X]]=0,tbal[[#This Row],[X]]=5)),tbal[[#This Row],[ACREEDOR]],0)</f>
        <v>0</v>
      </c>
    </row>
    <row r="2389" spans="1:14" hidden="1" x14ac:dyDescent="0.3">
      <c r="A2389" s="14">
        <f>+'PLAN DE CUENTAS'!A2389</f>
        <v>0</v>
      </c>
      <c r="B2389" s="13">
        <f>+'PLAN DE CUENTAS'!B2389</f>
        <v>0</v>
      </c>
      <c r="C2389" s="13">
        <f>+'PLAN DE CUENTAS'!C2389</f>
        <v>0</v>
      </c>
      <c r="D2389" t="str">
        <f>IF(tbal[[#This Row],[DEBE]]+tbal[[#This Row],[HABER]]=0,"","X")</f>
        <v/>
      </c>
      <c r="E2389" s="16">
        <f>SUMIF(tdiario[CUENTA],tbal[[#This Row],[CUENTA]],tdiario[DEBE])</f>
        <v>0</v>
      </c>
      <c r="F2389" s="17">
        <f>SUMIF(tdiario[CUENTA],tbal[[#This Row],[CUENTA]],tdiario[HABER])</f>
        <v>0</v>
      </c>
      <c r="G2389" s="16">
        <f>IF(tbal[[#This Row],[DEBE]]-tbal[[#This Row],[HABER]]&gt;0,tbal[[#This Row],[DEBE]]-tbal[[#This Row],[HABER]],0)</f>
        <v>0</v>
      </c>
      <c r="H2389" s="18">
        <f>IF(tbal[[#This Row],[HABER]]-tbal[[#This Row],[DEBE]]&gt;0,tbal[[#This Row],[HABER]]-tbal[[#This Row],[DEBE]],0)</f>
        <v>0</v>
      </c>
      <c r="I2389" s="16">
        <f>IF((OR(tbal[[#This Row],[X]]=1,tbal[[#This Row],[X]]=2)),tbal[[#This Row],[DEUDOR]],0)</f>
        <v>0</v>
      </c>
      <c r="J2389" s="18">
        <f>IF((OR(tbal[[#This Row],[X]]=2,tbal[[#This Row],[X]]=3)),tbal[[#This Row],[ACREEDOR]],0)</f>
        <v>0</v>
      </c>
      <c r="K2389" s="16">
        <f>IF((OR(tbal[[#This Row],[X]]=3,tbal[[#This Row],[X]]=5)),tbal[[#This Row],[DEUDOR]],0)</f>
        <v>0</v>
      </c>
      <c r="L2389" s="18">
        <f>IF((OR(tbal[[#This Row],[X]]=3,tbal[[#This Row],[X]]=4)),tbal[[#This Row],[ACREEDOR]],0)</f>
        <v>0</v>
      </c>
      <c r="M2389" s="16">
        <f>IF((OR(tbal[[#This Row],[X]]=0,tbal[[#This Row],[X]]=6)),tbal[[#This Row],[DEUDOR]],0)</f>
        <v>0</v>
      </c>
      <c r="N2389" s="18">
        <f>IF((OR(tbal[[#This Row],[X]]=0,tbal[[#This Row],[X]]=5)),tbal[[#This Row],[ACREEDOR]],0)</f>
        <v>0</v>
      </c>
    </row>
    <row r="2390" spans="1:14" hidden="1" x14ac:dyDescent="0.3">
      <c r="A2390" s="14">
        <f>+'PLAN DE CUENTAS'!A2390</f>
        <v>0</v>
      </c>
      <c r="B2390" s="13">
        <f>+'PLAN DE CUENTAS'!B2390</f>
        <v>0</v>
      </c>
      <c r="C2390" s="13">
        <f>+'PLAN DE CUENTAS'!C2390</f>
        <v>0</v>
      </c>
      <c r="D2390" t="str">
        <f>IF(tbal[[#This Row],[DEBE]]+tbal[[#This Row],[HABER]]=0,"","X")</f>
        <v/>
      </c>
      <c r="E2390" s="16">
        <f>SUMIF(tdiario[CUENTA],tbal[[#This Row],[CUENTA]],tdiario[DEBE])</f>
        <v>0</v>
      </c>
      <c r="F2390" s="17">
        <f>SUMIF(tdiario[CUENTA],tbal[[#This Row],[CUENTA]],tdiario[HABER])</f>
        <v>0</v>
      </c>
      <c r="G2390" s="16">
        <f>IF(tbal[[#This Row],[DEBE]]-tbal[[#This Row],[HABER]]&gt;0,tbal[[#This Row],[DEBE]]-tbal[[#This Row],[HABER]],0)</f>
        <v>0</v>
      </c>
      <c r="H2390" s="18">
        <f>IF(tbal[[#This Row],[HABER]]-tbal[[#This Row],[DEBE]]&gt;0,tbal[[#This Row],[HABER]]-tbal[[#This Row],[DEBE]],0)</f>
        <v>0</v>
      </c>
      <c r="I2390" s="16">
        <f>IF((OR(tbal[[#This Row],[X]]=1,tbal[[#This Row],[X]]=2)),tbal[[#This Row],[DEUDOR]],0)</f>
        <v>0</v>
      </c>
      <c r="J2390" s="18">
        <f>IF((OR(tbal[[#This Row],[X]]=2,tbal[[#This Row],[X]]=3)),tbal[[#This Row],[ACREEDOR]],0)</f>
        <v>0</v>
      </c>
      <c r="K2390" s="16">
        <f>IF((OR(tbal[[#This Row],[X]]=3,tbal[[#This Row],[X]]=5)),tbal[[#This Row],[DEUDOR]],0)</f>
        <v>0</v>
      </c>
      <c r="L2390" s="18">
        <f>IF((OR(tbal[[#This Row],[X]]=3,tbal[[#This Row],[X]]=4)),tbal[[#This Row],[ACREEDOR]],0)</f>
        <v>0</v>
      </c>
      <c r="M2390" s="16">
        <f>IF((OR(tbal[[#This Row],[X]]=0,tbal[[#This Row],[X]]=6)),tbal[[#This Row],[DEUDOR]],0)</f>
        <v>0</v>
      </c>
      <c r="N2390" s="18">
        <f>IF((OR(tbal[[#This Row],[X]]=0,tbal[[#This Row],[X]]=5)),tbal[[#This Row],[ACREEDOR]],0)</f>
        <v>0</v>
      </c>
    </row>
    <row r="2391" spans="1:14" hidden="1" x14ac:dyDescent="0.3">
      <c r="A2391" s="14">
        <f>+'PLAN DE CUENTAS'!A2391</f>
        <v>0</v>
      </c>
      <c r="B2391" s="13">
        <f>+'PLAN DE CUENTAS'!B2391</f>
        <v>0</v>
      </c>
      <c r="C2391" s="13">
        <f>+'PLAN DE CUENTAS'!C2391</f>
        <v>0</v>
      </c>
      <c r="D2391" t="str">
        <f>IF(tbal[[#This Row],[DEBE]]+tbal[[#This Row],[HABER]]=0,"","X")</f>
        <v/>
      </c>
      <c r="E2391" s="16">
        <f>SUMIF(tdiario[CUENTA],tbal[[#This Row],[CUENTA]],tdiario[DEBE])</f>
        <v>0</v>
      </c>
      <c r="F2391" s="17">
        <f>SUMIF(tdiario[CUENTA],tbal[[#This Row],[CUENTA]],tdiario[HABER])</f>
        <v>0</v>
      </c>
      <c r="G2391" s="16">
        <f>IF(tbal[[#This Row],[DEBE]]-tbal[[#This Row],[HABER]]&gt;0,tbal[[#This Row],[DEBE]]-tbal[[#This Row],[HABER]],0)</f>
        <v>0</v>
      </c>
      <c r="H2391" s="18">
        <f>IF(tbal[[#This Row],[HABER]]-tbal[[#This Row],[DEBE]]&gt;0,tbal[[#This Row],[HABER]]-tbal[[#This Row],[DEBE]],0)</f>
        <v>0</v>
      </c>
      <c r="I2391" s="16">
        <f>IF((OR(tbal[[#This Row],[X]]=1,tbal[[#This Row],[X]]=2)),tbal[[#This Row],[DEUDOR]],0)</f>
        <v>0</v>
      </c>
      <c r="J2391" s="18">
        <f>IF((OR(tbal[[#This Row],[X]]=2,tbal[[#This Row],[X]]=3)),tbal[[#This Row],[ACREEDOR]],0)</f>
        <v>0</v>
      </c>
      <c r="K2391" s="16">
        <f>IF((OR(tbal[[#This Row],[X]]=3,tbal[[#This Row],[X]]=5)),tbal[[#This Row],[DEUDOR]],0)</f>
        <v>0</v>
      </c>
      <c r="L2391" s="18">
        <f>IF((OR(tbal[[#This Row],[X]]=3,tbal[[#This Row],[X]]=4)),tbal[[#This Row],[ACREEDOR]],0)</f>
        <v>0</v>
      </c>
      <c r="M2391" s="16">
        <f>IF((OR(tbal[[#This Row],[X]]=0,tbal[[#This Row],[X]]=6)),tbal[[#This Row],[DEUDOR]],0)</f>
        <v>0</v>
      </c>
      <c r="N2391" s="18">
        <f>IF((OR(tbal[[#This Row],[X]]=0,tbal[[#This Row],[X]]=5)),tbal[[#This Row],[ACREEDOR]],0)</f>
        <v>0</v>
      </c>
    </row>
    <row r="2392" spans="1:14" hidden="1" x14ac:dyDescent="0.3">
      <c r="A2392" s="14">
        <f>+'PLAN DE CUENTAS'!A2392</f>
        <v>0</v>
      </c>
      <c r="B2392" s="13">
        <f>+'PLAN DE CUENTAS'!B2392</f>
        <v>0</v>
      </c>
      <c r="C2392" s="13">
        <f>+'PLAN DE CUENTAS'!C2392</f>
        <v>0</v>
      </c>
      <c r="D2392" t="str">
        <f>IF(tbal[[#This Row],[DEBE]]+tbal[[#This Row],[HABER]]=0,"","X")</f>
        <v/>
      </c>
      <c r="E2392" s="16">
        <f>SUMIF(tdiario[CUENTA],tbal[[#This Row],[CUENTA]],tdiario[DEBE])</f>
        <v>0</v>
      </c>
      <c r="F2392" s="17">
        <f>SUMIF(tdiario[CUENTA],tbal[[#This Row],[CUENTA]],tdiario[HABER])</f>
        <v>0</v>
      </c>
      <c r="G2392" s="16">
        <f>IF(tbal[[#This Row],[DEBE]]-tbal[[#This Row],[HABER]]&gt;0,tbal[[#This Row],[DEBE]]-tbal[[#This Row],[HABER]],0)</f>
        <v>0</v>
      </c>
      <c r="H2392" s="18">
        <f>IF(tbal[[#This Row],[HABER]]-tbal[[#This Row],[DEBE]]&gt;0,tbal[[#This Row],[HABER]]-tbal[[#This Row],[DEBE]],0)</f>
        <v>0</v>
      </c>
      <c r="I2392" s="16">
        <f>IF((OR(tbal[[#This Row],[X]]=1,tbal[[#This Row],[X]]=2)),tbal[[#This Row],[DEUDOR]],0)</f>
        <v>0</v>
      </c>
      <c r="J2392" s="18">
        <f>IF((OR(tbal[[#This Row],[X]]=2,tbal[[#This Row],[X]]=3)),tbal[[#This Row],[ACREEDOR]],0)</f>
        <v>0</v>
      </c>
      <c r="K2392" s="16">
        <f>IF((OR(tbal[[#This Row],[X]]=3,tbal[[#This Row],[X]]=5)),tbal[[#This Row],[DEUDOR]],0)</f>
        <v>0</v>
      </c>
      <c r="L2392" s="18">
        <f>IF((OR(tbal[[#This Row],[X]]=3,tbal[[#This Row],[X]]=4)),tbal[[#This Row],[ACREEDOR]],0)</f>
        <v>0</v>
      </c>
      <c r="M2392" s="16">
        <f>IF((OR(tbal[[#This Row],[X]]=0,tbal[[#This Row],[X]]=6)),tbal[[#This Row],[DEUDOR]],0)</f>
        <v>0</v>
      </c>
      <c r="N2392" s="18">
        <f>IF((OR(tbal[[#This Row],[X]]=0,tbal[[#This Row],[X]]=5)),tbal[[#This Row],[ACREEDOR]],0)</f>
        <v>0</v>
      </c>
    </row>
    <row r="2393" spans="1:14" hidden="1" x14ac:dyDescent="0.3">
      <c r="A2393" s="14">
        <f>+'PLAN DE CUENTAS'!A2393</f>
        <v>0</v>
      </c>
      <c r="B2393" s="13">
        <f>+'PLAN DE CUENTAS'!B2393</f>
        <v>0</v>
      </c>
      <c r="C2393" s="13">
        <f>+'PLAN DE CUENTAS'!C2393</f>
        <v>0</v>
      </c>
      <c r="D2393" t="str">
        <f>IF(tbal[[#This Row],[DEBE]]+tbal[[#This Row],[HABER]]=0,"","X")</f>
        <v/>
      </c>
      <c r="E2393" s="16">
        <f>SUMIF(tdiario[CUENTA],tbal[[#This Row],[CUENTA]],tdiario[DEBE])</f>
        <v>0</v>
      </c>
      <c r="F2393" s="17">
        <f>SUMIF(tdiario[CUENTA],tbal[[#This Row],[CUENTA]],tdiario[HABER])</f>
        <v>0</v>
      </c>
      <c r="G2393" s="16">
        <f>IF(tbal[[#This Row],[DEBE]]-tbal[[#This Row],[HABER]]&gt;0,tbal[[#This Row],[DEBE]]-tbal[[#This Row],[HABER]],0)</f>
        <v>0</v>
      </c>
      <c r="H2393" s="18">
        <f>IF(tbal[[#This Row],[HABER]]-tbal[[#This Row],[DEBE]]&gt;0,tbal[[#This Row],[HABER]]-tbal[[#This Row],[DEBE]],0)</f>
        <v>0</v>
      </c>
      <c r="I2393" s="16">
        <f>IF((OR(tbal[[#This Row],[X]]=1,tbal[[#This Row],[X]]=2)),tbal[[#This Row],[DEUDOR]],0)</f>
        <v>0</v>
      </c>
      <c r="J2393" s="18">
        <f>IF((OR(tbal[[#This Row],[X]]=2,tbal[[#This Row],[X]]=3)),tbal[[#This Row],[ACREEDOR]],0)</f>
        <v>0</v>
      </c>
      <c r="K2393" s="16">
        <f>IF((OR(tbal[[#This Row],[X]]=3,tbal[[#This Row],[X]]=5)),tbal[[#This Row],[DEUDOR]],0)</f>
        <v>0</v>
      </c>
      <c r="L2393" s="18">
        <f>IF((OR(tbal[[#This Row],[X]]=3,tbal[[#This Row],[X]]=4)),tbal[[#This Row],[ACREEDOR]],0)</f>
        <v>0</v>
      </c>
      <c r="M2393" s="16">
        <f>IF((OR(tbal[[#This Row],[X]]=0,tbal[[#This Row],[X]]=6)),tbal[[#This Row],[DEUDOR]],0)</f>
        <v>0</v>
      </c>
      <c r="N2393" s="18">
        <f>IF((OR(tbal[[#This Row],[X]]=0,tbal[[#This Row],[X]]=5)),tbal[[#This Row],[ACREEDOR]],0)</f>
        <v>0</v>
      </c>
    </row>
    <row r="2394" spans="1:14" hidden="1" x14ac:dyDescent="0.3">
      <c r="A2394" s="14">
        <f>+'PLAN DE CUENTAS'!A2394</f>
        <v>0</v>
      </c>
      <c r="B2394" s="13">
        <f>+'PLAN DE CUENTAS'!B2394</f>
        <v>0</v>
      </c>
      <c r="C2394" s="13">
        <f>+'PLAN DE CUENTAS'!C2394</f>
        <v>0</v>
      </c>
      <c r="D2394" t="str">
        <f>IF(tbal[[#This Row],[DEBE]]+tbal[[#This Row],[HABER]]=0,"","X")</f>
        <v/>
      </c>
      <c r="E2394" s="16">
        <f>SUMIF(tdiario[CUENTA],tbal[[#This Row],[CUENTA]],tdiario[DEBE])</f>
        <v>0</v>
      </c>
      <c r="F2394" s="17">
        <f>SUMIF(tdiario[CUENTA],tbal[[#This Row],[CUENTA]],tdiario[HABER])</f>
        <v>0</v>
      </c>
      <c r="G2394" s="16">
        <f>IF(tbal[[#This Row],[DEBE]]-tbal[[#This Row],[HABER]]&gt;0,tbal[[#This Row],[DEBE]]-tbal[[#This Row],[HABER]],0)</f>
        <v>0</v>
      </c>
      <c r="H2394" s="18">
        <f>IF(tbal[[#This Row],[HABER]]-tbal[[#This Row],[DEBE]]&gt;0,tbal[[#This Row],[HABER]]-tbal[[#This Row],[DEBE]],0)</f>
        <v>0</v>
      </c>
      <c r="I2394" s="16">
        <f>IF((OR(tbal[[#This Row],[X]]=1,tbal[[#This Row],[X]]=2)),tbal[[#This Row],[DEUDOR]],0)</f>
        <v>0</v>
      </c>
      <c r="J2394" s="18">
        <f>IF((OR(tbal[[#This Row],[X]]=2,tbal[[#This Row],[X]]=3)),tbal[[#This Row],[ACREEDOR]],0)</f>
        <v>0</v>
      </c>
      <c r="K2394" s="16">
        <f>IF((OR(tbal[[#This Row],[X]]=3,tbal[[#This Row],[X]]=5)),tbal[[#This Row],[DEUDOR]],0)</f>
        <v>0</v>
      </c>
      <c r="L2394" s="18">
        <f>IF((OR(tbal[[#This Row],[X]]=3,tbal[[#This Row],[X]]=4)),tbal[[#This Row],[ACREEDOR]],0)</f>
        <v>0</v>
      </c>
      <c r="M2394" s="16">
        <f>IF((OR(tbal[[#This Row],[X]]=0,tbal[[#This Row],[X]]=6)),tbal[[#This Row],[DEUDOR]],0)</f>
        <v>0</v>
      </c>
      <c r="N2394" s="18">
        <f>IF((OR(tbal[[#This Row],[X]]=0,tbal[[#This Row],[X]]=5)),tbal[[#This Row],[ACREEDOR]],0)</f>
        <v>0</v>
      </c>
    </row>
    <row r="2395" spans="1:14" hidden="1" x14ac:dyDescent="0.3">
      <c r="A2395" s="14">
        <f>+'PLAN DE CUENTAS'!A2395</f>
        <v>0</v>
      </c>
      <c r="B2395" s="13">
        <f>+'PLAN DE CUENTAS'!B2395</f>
        <v>0</v>
      </c>
      <c r="C2395" s="13">
        <f>+'PLAN DE CUENTAS'!C2395</f>
        <v>0</v>
      </c>
      <c r="D2395" t="str">
        <f>IF(tbal[[#This Row],[DEBE]]+tbal[[#This Row],[HABER]]=0,"","X")</f>
        <v/>
      </c>
      <c r="E2395" s="16">
        <f>SUMIF(tdiario[CUENTA],tbal[[#This Row],[CUENTA]],tdiario[DEBE])</f>
        <v>0</v>
      </c>
      <c r="F2395" s="17">
        <f>SUMIF(tdiario[CUENTA],tbal[[#This Row],[CUENTA]],tdiario[HABER])</f>
        <v>0</v>
      </c>
      <c r="G2395" s="16">
        <f>IF(tbal[[#This Row],[DEBE]]-tbal[[#This Row],[HABER]]&gt;0,tbal[[#This Row],[DEBE]]-tbal[[#This Row],[HABER]],0)</f>
        <v>0</v>
      </c>
      <c r="H2395" s="18">
        <f>IF(tbal[[#This Row],[HABER]]-tbal[[#This Row],[DEBE]]&gt;0,tbal[[#This Row],[HABER]]-tbal[[#This Row],[DEBE]],0)</f>
        <v>0</v>
      </c>
      <c r="I2395" s="16">
        <f>IF((OR(tbal[[#This Row],[X]]=1,tbal[[#This Row],[X]]=2)),tbal[[#This Row],[DEUDOR]],0)</f>
        <v>0</v>
      </c>
      <c r="J2395" s="18">
        <f>IF((OR(tbal[[#This Row],[X]]=2,tbal[[#This Row],[X]]=3)),tbal[[#This Row],[ACREEDOR]],0)</f>
        <v>0</v>
      </c>
      <c r="K2395" s="16">
        <f>IF((OR(tbal[[#This Row],[X]]=3,tbal[[#This Row],[X]]=5)),tbal[[#This Row],[DEUDOR]],0)</f>
        <v>0</v>
      </c>
      <c r="L2395" s="18">
        <f>IF((OR(tbal[[#This Row],[X]]=3,tbal[[#This Row],[X]]=4)),tbal[[#This Row],[ACREEDOR]],0)</f>
        <v>0</v>
      </c>
      <c r="M2395" s="16">
        <f>IF((OR(tbal[[#This Row],[X]]=0,tbal[[#This Row],[X]]=6)),tbal[[#This Row],[DEUDOR]],0)</f>
        <v>0</v>
      </c>
      <c r="N2395" s="18">
        <f>IF((OR(tbal[[#This Row],[X]]=0,tbal[[#This Row],[X]]=5)),tbal[[#This Row],[ACREEDOR]],0)</f>
        <v>0</v>
      </c>
    </row>
    <row r="2396" spans="1:14" hidden="1" x14ac:dyDescent="0.3">
      <c r="A2396" s="14">
        <f>+'PLAN DE CUENTAS'!A2396</f>
        <v>0</v>
      </c>
      <c r="B2396" s="13">
        <f>+'PLAN DE CUENTAS'!B2396</f>
        <v>0</v>
      </c>
      <c r="C2396" s="13">
        <f>+'PLAN DE CUENTAS'!C2396</f>
        <v>0</v>
      </c>
      <c r="D2396" t="str">
        <f>IF(tbal[[#This Row],[DEBE]]+tbal[[#This Row],[HABER]]=0,"","X")</f>
        <v/>
      </c>
      <c r="E2396" s="16">
        <f>SUMIF(tdiario[CUENTA],tbal[[#This Row],[CUENTA]],tdiario[DEBE])</f>
        <v>0</v>
      </c>
      <c r="F2396" s="17">
        <f>SUMIF(tdiario[CUENTA],tbal[[#This Row],[CUENTA]],tdiario[HABER])</f>
        <v>0</v>
      </c>
      <c r="G2396" s="16">
        <f>IF(tbal[[#This Row],[DEBE]]-tbal[[#This Row],[HABER]]&gt;0,tbal[[#This Row],[DEBE]]-tbal[[#This Row],[HABER]],0)</f>
        <v>0</v>
      </c>
      <c r="H2396" s="18">
        <f>IF(tbal[[#This Row],[HABER]]-tbal[[#This Row],[DEBE]]&gt;0,tbal[[#This Row],[HABER]]-tbal[[#This Row],[DEBE]],0)</f>
        <v>0</v>
      </c>
      <c r="I2396" s="16">
        <f>IF((OR(tbal[[#This Row],[X]]=1,tbal[[#This Row],[X]]=2)),tbal[[#This Row],[DEUDOR]],0)</f>
        <v>0</v>
      </c>
      <c r="J2396" s="18">
        <f>IF((OR(tbal[[#This Row],[X]]=2,tbal[[#This Row],[X]]=3)),tbal[[#This Row],[ACREEDOR]],0)</f>
        <v>0</v>
      </c>
      <c r="K2396" s="16">
        <f>IF((OR(tbal[[#This Row],[X]]=3,tbal[[#This Row],[X]]=5)),tbal[[#This Row],[DEUDOR]],0)</f>
        <v>0</v>
      </c>
      <c r="L2396" s="18">
        <f>IF((OR(tbal[[#This Row],[X]]=3,tbal[[#This Row],[X]]=4)),tbal[[#This Row],[ACREEDOR]],0)</f>
        <v>0</v>
      </c>
      <c r="M2396" s="16">
        <f>IF((OR(tbal[[#This Row],[X]]=0,tbal[[#This Row],[X]]=6)),tbal[[#This Row],[DEUDOR]],0)</f>
        <v>0</v>
      </c>
      <c r="N2396" s="18">
        <f>IF((OR(tbal[[#This Row],[X]]=0,tbal[[#This Row],[X]]=5)),tbal[[#This Row],[ACREEDOR]],0)</f>
        <v>0</v>
      </c>
    </row>
    <row r="2397" spans="1:14" hidden="1" x14ac:dyDescent="0.3">
      <c r="A2397" s="14">
        <f>+'PLAN DE CUENTAS'!A2397</f>
        <v>0</v>
      </c>
      <c r="B2397" s="13">
        <f>+'PLAN DE CUENTAS'!B2397</f>
        <v>0</v>
      </c>
      <c r="C2397" s="13">
        <f>+'PLAN DE CUENTAS'!C2397</f>
        <v>0</v>
      </c>
      <c r="D2397" t="str">
        <f>IF(tbal[[#This Row],[DEBE]]+tbal[[#This Row],[HABER]]=0,"","X")</f>
        <v/>
      </c>
      <c r="E2397" s="16">
        <f>SUMIF(tdiario[CUENTA],tbal[[#This Row],[CUENTA]],tdiario[DEBE])</f>
        <v>0</v>
      </c>
      <c r="F2397" s="17">
        <f>SUMIF(tdiario[CUENTA],tbal[[#This Row],[CUENTA]],tdiario[HABER])</f>
        <v>0</v>
      </c>
      <c r="G2397" s="16">
        <f>IF(tbal[[#This Row],[DEBE]]-tbal[[#This Row],[HABER]]&gt;0,tbal[[#This Row],[DEBE]]-tbal[[#This Row],[HABER]],0)</f>
        <v>0</v>
      </c>
      <c r="H2397" s="18">
        <f>IF(tbal[[#This Row],[HABER]]-tbal[[#This Row],[DEBE]]&gt;0,tbal[[#This Row],[HABER]]-tbal[[#This Row],[DEBE]],0)</f>
        <v>0</v>
      </c>
      <c r="I2397" s="16">
        <f>IF((OR(tbal[[#This Row],[X]]=1,tbal[[#This Row],[X]]=2)),tbal[[#This Row],[DEUDOR]],0)</f>
        <v>0</v>
      </c>
      <c r="J2397" s="18">
        <f>IF((OR(tbal[[#This Row],[X]]=2,tbal[[#This Row],[X]]=3)),tbal[[#This Row],[ACREEDOR]],0)</f>
        <v>0</v>
      </c>
      <c r="K2397" s="16">
        <f>IF((OR(tbal[[#This Row],[X]]=3,tbal[[#This Row],[X]]=5)),tbal[[#This Row],[DEUDOR]],0)</f>
        <v>0</v>
      </c>
      <c r="L2397" s="18">
        <f>IF((OR(tbal[[#This Row],[X]]=3,tbal[[#This Row],[X]]=4)),tbal[[#This Row],[ACREEDOR]],0)</f>
        <v>0</v>
      </c>
      <c r="M2397" s="16">
        <f>IF((OR(tbal[[#This Row],[X]]=0,tbal[[#This Row],[X]]=6)),tbal[[#This Row],[DEUDOR]],0)</f>
        <v>0</v>
      </c>
      <c r="N2397" s="18">
        <f>IF((OR(tbal[[#This Row],[X]]=0,tbal[[#This Row],[X]]=5)),tbal[[#This Row],[ACREEDOR]],0)</f>
        <v>0</v>
      </c>
    </row>
    <row r="2398" spans="1:14" hidden="1" x14ac:dyDescent="0.3">
      <c r="A2398" s="14">
        <f>+'PLAN DE CUENTAS'!A2398</f>
        <v>0</v>
      </c>
      <c r="B2398" s="13">
        <f>+'PLAN DE CUENTAS'!B2398</f>
        <v>0</v>
      </c>
      <c r="C2398" s="13">
        <f>+'PLAN DE CUENTAS'!C2398</f>
        <v>0</v>
      </c>
      <c r="D2398" t="str">
        <f>IF(tbal[[#This Row],[DEBE]]+tbal[[#This Row],[HABER]]=0,"","X")</f>
        <v/>
      </c>
      <c r="E2398" s="16">
        <f>SUMIF(tdiario[CUENTA],tbal[[#This Row],[CUENTA]],tdiario[DEBE])</f>
        <v>0</v>
      </c>
      <c r="F2398" s="17">
        <f>SUMIF(tdiario[CUENTA],tbal[[#This Row],[CUENTA]],tdiario[HABER])</f>
        <v>0</v>
      </c>
      <c r="G2398" s="16">
        <f>IF(tbal[[#This Row],[DEBE]]-tbal[[#This Row],[HABER]]&gt;0,tbal[[#This Row],[DEBE]]-tbal[[#This Row],[HABER]],0)</f>
        <v>0</v>
      </c>
      <c r="H2398" s="18">
        <f>IF(tbal[[#This Row],[HABER]]-tbal[[#This Row],[DEBE]]&gt;0,tbal[[#This Row],[HABER]]-tbal[[#This Row],[DEBE]],0)</f>
        <v>0</v>
      </c>
      <c r="I2398" s="16">
        <f>IF((OR(tbal[[#This Row],[X]]=1,tbal[[#This Row],[X]]=2)),tbal[[#This Row],[DEUDOR]],0)</f>
        <v>0</v>
      </c>
      <c r="J2398" s="18">
        <f>IF((OR(tbal[[#This Row],[X]]=2,tbal[[#This Row],[X]]=3)),tbal[[#This Row],[ACREEDOR]],0)</f>
        <v>0</v>
      </c>
      <c r="K2398" s="16">
        <f>IF((OR(tbal[[#This Row],[X]]=3,tbal[[#This Row],[X]]=5)),tbal[[#This Row],[DEUDOR]],0)</f>
        <v>0</v>
      </c>
      <c r="L2398" s="18">
        <f>IF((OR(tbal[[#This Row],[X]]=3,tbal[[#This Row],[X]]=4)),tbal[[#This Row],[ACREEDOR]],0)</f>
        <v>0</v>
      </c>
      <c r="M2398" s="16">
        <f>IF((OR(tbal[[#This Row],[X]]=0,tbal[[#This Row],[X]]=6)),tbal[[#This Row],[DEUDOR]],0)</f>
        <v>0</v>
      </c>
      <c r="N2398" s="18">
        <f>IF((OR(tbal[[#This Row],[X]]=0,tbal[[#This Row],[X]]=5)),tbal[[#This Row],[ACREEDOR]],0)</f>
        <v>0</v>
      </c>
    </row>
    <row r="2399" spans="1:14" hidden="1" x14ac:dyDescent="0.3">
      <c r="A2399" s="14">
        <f>+'PLAN DE CUENTAS'!A2399</f>
        <v>0</v>
      </c>
      <c r="B2399" s="13">
        <f>+'PLAN DE CUENTAS'!B2399</f>
        <v>0</v>
      </c>
      <c r="C2399" s="13">
        <f>+'PLAN DE CUENTAS'!C2399</f>
        <v>0</v>
      </c>
      <c r="D2399" t="str">
        <f>IF(tbal[[#This Row],[DEBE]]+tbal[[#This Row],[HABER]]=0,"","X")</f>
        <v/>
      </c>
      <c r="E2399" s="16">
        <f>SUMIF(tdiario[CUENTA],tbal[[#This Row],[CUENTA]],tdiario[DEBE])</f>
        <v>0</v>
      </c>
      <c r="F2399" s="17">
        <f>SUMIF(tdiario[CUENTA],tbal[[#This Row],[CUENTA]],tdiario[HABER])</f>
        <v>0</v>
      </c>
      <c r="G2399" s="16">
        <f>IF(tbal[[#This Row],[DEBE]]-tbal[[#This Row],[HABER]]&gt;0,tbal[[#This Row],[DEBE]]-tbal[[#This Row],[HABER]],0)</f>
        <v>0</v>
      </c>
      <c r="H2399" s="18">
        <f>IF(tbal[[#This Row],[HABER]]-tbal[[#This Row],[DEBE]]&gt;0,tbal[[#This Row],[HABER]]-tbal[[#This Row],[DEBE]],0)</f>
        <v>0</v>
      </c>
      <c r="I2399" s="16">
        <f>IF((OR(tbal[[#This Row],[X]]=1,tbal[[#This Row],[X]]=2)),tbal[[#This Row],[DEUDOR]],0)</f>
        <v>0</v>
      </c>
      <c r="J2399" s="18">
        <f>IF((OR(tbal[[#This Row],[X]]=2,tbal[[#This Row],[X]]=3)),tbal[[#This Row],[ACREEDOR]],0)</f>
        <v>0</v>
      </c>
      <c r="K2399" s="16">
        <f>IF((OR(tbal[[#This Row],[X]]=3,tbal[[#This Row],[X]]=5)),tbal[[#This Row],[DEUDOR]],0)</f>
        <v>0</v>
      </c>
      <c r="L2399" s="18">
        <f>IF((OR(tbal[[#This Row],[X]]=3,tbal[[#This Row],[X]]=4)),tbal[[#This Row],[ACREEDOR]],0)</f>
        <v>0</v>
      </c>
      <c r="M2399" s="16">
        <f>IF((OR(tbal[[#This Row],[X]]=0,tbal[[#This Row],[X]]=6)),tbal[[#This Row],[DEUDOR]],0)</f>
        <v>0</v>
      </c>
      <c r="N2399" s="18">
        <f>IF((OR(tbal[[#This Row],[X]]=0,tbal[[#This Row],[X]]=5)),tbal[[#This Row],[ACREEDOR]],0)</f>
        <v>0</v>
      </c>
    </row>
    <row r="2400" spans="1:14" hidden="1" x14ac:dyDescent="0.3">
      <c r="A2400" s="14">
        <f>+'PLAN DE CUENTAS'!A2400</f>
        <v>0</v>
      </c>
      <c r="B2400" s="13">
        <f>+'PLAN DE CUENTAS'!B2400</f>
        <v>0</v>
      </c>
      <c r="C2400" s="13">
        <f>+'PLAN DE CUENTAS'!C2400</f>
        <v>0</v>
      </c>
      <c r="D2400" t="str">
        <f>IF(tbal[[#This Row],[DEBE]]+tbal[[#This Row],[HABER]]=0,"","X")</f>
        <v/>
      </c>
      <c r="E2400" s="16">
        <f>SUMIF(tdiario[CUENTA],tbal[[#This Row],[CUENTA]],tdiario[DEBE])</f>
        <v>0</v>
      </c>
      <c r="F2400" s="17">
        <f>SUMIF(tdiario[CUENTA],tbal[[#This Row],[CUENTA]],tdiario[HABER])</f>
        <v>0</v>
      </c>
      <c r="G2400" s="16">
        <f>IF(tbal[[#This Row],[DEBE]]-tbal[[#This Row],[HABER]]&gt;0,tbal[[#This Row],[DEBE]]-tbal[[#This Row],[HABER]],0)</f>
        <v>0</v>
      </c>
      <c r="H2400" s="18">
        <f>IF(tbal[[#This Row],[HABER]]-tbal[[#This Row],[DEBE]]&gt;0,tbal[[#This Row],[HABER]]-tbal[[#This Row],[DEBE]],0)</f>
        <v>0</v>
      </c>
      <c r="I2400" s="16">
        <f>IF((OR(tbal[[#This Row],[X]]=1,tbal[[#This Row],[X]]=2)),tbal[[#This Row],[DEUDOR]],0)</f>
        <v>0</v>
      </c>
      <c r="J2400" s="18">
        <f>IF((OR(tbal[[#This Row],[X]]=2,tbal[[#This Row],[X]]=3)),tbal[[#This Row],[ACREEDOR]],0)</f>
        <v>0</v>
      </c>
      <c r="K2400" s="16">
        <f>IF((OR(tbal[[#This Row],[X]]=3,tbal[[#This Row],[X]]=5)),tbal[[#This Row],[DEUDOR]],0)</f>
        <v>0</v>
      </c>
      <c r="L2400" s="18">
        <f>IF((OR(tbal[[#This Row],[X]]=3,tbal[[#This Row],[X]]=4)),tbal[[#This Row],[ACREEDOR]],0)</f>
        <v>0</v>
      </c>
      <c r="M2400" s="16">
        <f>IF((OR(tbal[[#This Row],[X]]=0,tbal[[#This Row],[X]]=6)),tbal[[#This Row],[DEUDOR]],0)</f>
        <v>0</v>
      </c>
      <c r="N2400" s="18">
        <f>IF((OR(tbal[[#This Row],[X]]=0,tbal[[#This Row],[X]]=5)),tbal[[#This Row],[ACREEDOR]],0)</f>
        <v>0</v>
      </c>
    </row>
    <row r="2401" spans="1:14" hidden="1" x14ac:dyDescent="0.3">
      <c r="A2401" s="14">
        <f>+'PLAN DE CUENTAS'!A2401</f>
        <v>0</v>
      </c>
      <c r="B2401" s="13">
        <f>+'PLAN DE CUENTAS'!B2401</f>
        <v>0</v>
      </c>
      <c r="C2401" s="13">
        <f>+'PLAN DE CUENTAS'!C2401</f>
        <v>0</v>
      </c>
      <c r="D2401" t="str">
        <f>IF(tbal[[#This Row],[DEBE]]+tbal[[#This Row],[HABER]]=0,"","X")</f>
        <v/>
      </c>
      <c r="E2401" s="16">
        <f>SUMIF(tdiario[CUENTA],tbal[[#This Row],[CUENTA]],tdiario[DEBE])</f>
        <v>0</v>
      </c>
      <c r="F2401" s="17">
        <f>SUMIF(tdiario[CUENTA],tbal[[#This Row],[CUENTA]],tdiario[HABER])</f>
        <v>0</v>
      </c>
      <c r="G2401" s="16">
        <f>IF(tbal[[#This Row],[DEBE]]-tbal[[#This Row],[HABER]]&gt;0,tbal[[#This Row],[DEBE]]-tbal[[#This Row],[HABER]],0)</f>
        <v>0</v>
      </c>
      <c r="H2401" s="18">
        <f>IF(tbal[[#This Row],[HABER]]-tbal[[#This Row],[DEBE]]&gt;0,tbal[[#This Row],[HABER]]-tbal[[#This Row],[DEBE]],0)</f>
        <v>0</v>
      </c>
      <c r="I2401" s="16">
        <f>IF((OR(tbal[[#This Row],[X]]=1,tbal[[#This Row],[X]]=2)),tbal[[#This Row],[DEUDOR]],0)</f>
        <v>0</v>
      </c>
      <c r="J2401" s="18">
        <f>IF((OR(tbal[[#This Row],[X]]=2,tbal[[#This Row],[X]]=3)),tbal[[#This Row],[ACREEDOR]],0)</f>
        <v>0</v>
      </c>
      <c r="K2401" s="16">
        <f>IF((OR(tbal[[#This Row],[X]]=3,tbal[[#This Row],[X]]=5)),tbal[[#This Row],[DEUDOR]],0)</f>
        <v>0</v>
      </c>
      <c r="L2401" s="18">
        <f>IF((OR(tbal[[#This Row],[X]]=3,tbal[[#This Row],[X]]=4)),tbal[[#This Row],[ACREEDOR]],0)</f>
        <v>0</v>
      </c>
      <c r="M2401" s="16">
        <f>IF((OR(tbal[[#This Row],[X]]=0,tbal[[#This Row],[X]]=6)),tbal[[#This Row],[DEUDOR]],0)</f>
        <v>0</v>
      </c>
      <c r="N2401" s="18">
        <f>IF((OR(tbal[[#This Row],[X]]=0,tbal[[#This Row],[X]]=5)),tbal[[#This Row],[ACREEDOR]],0)</f>
        <v>0</v>
      </c>
    </row>
    <row r="2402" spans="1:14" hidden="1" x14ac:dyDescent="0.3">
      <c r="A2402" s="14">
        <f>+'PLAN DE CUENTAS'!A2402</f>
        <v>0</v>
      </c>
      <c r="B2402" s="13">
        <f>+'PLAN DE CUENTAS'!B2402</f>
        <v>0</v>
      </c>
      <c r="C2402" s="13">
        <f>+'PLAN DE CUENTAS'!C2402</f>
        <v>0</v>
      </c>
      <c r="D2402" t="str">
        <f>IF(tbal[[#This Row],[DEBE]]+tbal[[#This Row],[HABER]]=0,"","X")</f>
        <v/>
      </c>
      <c r="E2402" s="16">
        <f>SUMIF(tdiario[CUENTA],tbal[[#This Row],[CUENTA]],tdiario[DEBE])</f>
        <v>0</v>
      </c>
      <c r="F2402" s="17">
        <f>SUMIF(tdiario[CUENTA],tbal[[#This Row],[CUENTA]],tdiario[HABER])</f>
        <v>0</v>
      </c>
      <c r="G2402" s="16">
        <f>IF(tbal[[#This Row],[DEBE]]-tbal[[#This Row],[HABER]]&gt;0,tbal[[#This Row],[DEBE]]-tbal[[#This Row],[HABER]],0)</f>
        <v>0</v>
      </c>
      <c r="H2402" s="18">
        <f>IF(tbal[[#This Row],[HABER]]-tbal[[#This Row],[DEBE]]&gt;0,tbal[[#This Row],[HABER]]-tbal[[#This Row],[DEBE]],0)</f>
        <v>0</v>
      </c>
      <c r="I2402" s="16">
        <f>IF((OR(tbal[[#This Row],[X]]=1,tbal[[#This Row],[X]]=2)),tbal[[#This Row],[DEUDOR]],0)</f>
        <v>0</v>
      </c>
      <c r="J2402" s="18">
        <f>IF((OR(tbal[[#This Row],[X]]=2,tbal[[#This Row],[X]]=3)),tbal[[#This Row],[ACREEDOR]],0)</f>
        <v>0</v>
      </c>
      <c r="K2402" s="16">
        <f>IF((OR(tbal[[#This Row],[X]]=3,tbal[[#This Row],[X]]=5)),tbal[[#This Row],[DEUDOR]],0)</f>
        <v>0</v>
      </c>
      <c r="L2402" s="18">
        <f>IF((OR(tbal[[#This Row],[X]]=3,tbal[[#This Row],[X]]=4)),tbal[[#This Row],[ACREEDOR]],0)</f>
        <v>0</v>
      </c>
      <c r="M2402" s="16">
        <f>IF((OR(tbal[[#This Row],[X]]=0,tbal[[#This Row],[X]]=6)),tbal[[#This Row],[DEUDOR]],0)</f>
        <v>0</v>
      </c>
      <c r="N2402" s="18">
        <f>IF((OR(tbal[[#This Row],[X]]=0,tbal[[#This Row],[X]]=5)),tbal[[#This Row],[ACREEDOR]],0)</f>
        <v>0</v>
      </c>
    </row>
    <row r="2403" spans="1:14" hidden="1" x14ac:dyDescent="0.3">
      <c r="A2403" s="14">
        <f>+'PLAN DE CUENTAS'!A2403</f>
        <v>0</v>
      </c>
      <c r="B2403" s="13">
        <f>+'PLAN DE CUENTAS'!B2403</f>
        <v>0</v>
      </c>
      <c r="C2403" s="13">
        <f>+'PLAN DE CUENTAS'!C2403</f>
        <v>0</v>
      </c>
      <c r="D2403" t="str">
        <f>IF(tbal[[#This Row],[DEBE]]+tbal[[#This Row],[HABER]]=0,"","X")</f>
        <v/>
      </c>
      <c r="E2403" s="16">
        <f>SUMIF(tdiario[CUENTA],tbal[[#This Row],[CUENTA]],tdiario[DEBE])</f>
        <v>0</v>
      </c>
      <c r="F2403" s="17">
        <f>SUMIF(tdiario[CUENTA],tbal[[#This Row],[CUENTA]],tdiario[HABER])</f>
        <v>0</v>
      </c>
      <c r="G2403" s="16">
        <f>IF(tbal[[#This Row],[DEBE]]-tbal[[#This Row],[HABER]]&gt;0,tbal[[#This Row],[DEBE]]-tbal[[#This Row],[HABER]],0)</f>
        <v>0</v>
      </c>
      <c r="H2403" s="18">
        <f>IF(tbal[[#This Row],[HABER]]-tbal[[#This Row],[DEBE]]&gt;0,tbal[[#This Row],[HABER]]-tbal[[#This Row],[DEBE]],0)</f>
        <v>0</v>
      </c>
      <c r="I2403" s="16">
        <f>IF((OR(tbal[[#This Row],[X]]=1,tbal[[#This Row],[X]]=2)),tbal[[#This Row],[DEUDOR]],0)</f>
        <v>0</v>
      </c>
      <c r="J2403" s="18">
        <f>IF((OR(tbal[[#This Row],[X]]=2,tbal[[#This Row],[X]]=3)),tbal[[#This Row],[ACREEDOR]],0)</f>
        <v>0</v>
      </c>
      <c r="K2403" s="16">
        <f>IF((OR(tbal[[#This Row],[X]]=3,tbal[[#This Row],[X]]=5)),tbal[[#This Row],[DEUDOR]],0)</f>
        <v>0</v>
      </c>
      <c r="L2403" s="18">
        <f>IF((OR(tbal[[#This Row],[X]]=3,tbal[[#This Row],[X]]=4)),tbal[[#This Row],[ACREEDOR]],0)</f>
        <v>0</v>
      </c>
      <c r="M2403" s="16">
        <f>IF((OR(tbal[[#This Row],[X]]=0,tbal[[#This Row],[X]]=6)),tbal[[#This Row],[DEUDOR]],0)</f>
        <v>0</v>
      </c>
      <c r="N2403" s="18">
        <f>IF((OR(tbal[[#This Row],[X]]=0,tbal[[#This Row],[X]]=5)),tbal[[#This Row],[ACREEDOR]],0)</f>
        <v>0</v>
      </c>
    </row>
    <row r="2404" spans="1:14" hidden="1" x14ac:dyDescent="0.3">
      <c r="A2404" s="14">
        <f>+'PLAN DE CUENTAS'!A2404</f>
        <v>0</v>
      </c>
      <c r="B2404" s="13">
        <f>+'PLAN DE CUENTAS'!B2404</f>
        <v>0</v>
      </c>
      <c r="C2404" s="13">
        <f>+'PLAN DE CUENTAS'!C2404</f>
        <v>0</v>
      </c>
      <c r="D2404" t="str">
        <f>IF(tbal[[#This Row],[DEBE]]+tbal[[#This Row],[HABER]]=0,"","X")</f>
        <v/>
      </c>
      <c r="E2404" s="16">
        <f>SUMIF(tdiario[CUENTA],tbal[[#This Row],[CUENTA]],tdiario[DEBE])</f>
        <v>0</v>
      </c>
      <c r="F2404" s="17">
        <f>SUMIF(tdiario[CUENTA],tbal[[#This Row],[CUENTA]],tdiario[HABER])</f>
        <v>0</v>
      </c>
      <c r="G2404" s="16">
        <f>IF(tbal[[#This Row],[DEBE]]-tbal[[#This Row],[HABER]]&gt;0,tbal[[#This Row],[DEBE]]-tbal[[#This Row],[HABER]],0)</f>
        <v>0</v>
      </c>
      <c r="H2404" s="18">
        <f>IF(tbal[[#This Row],[HABER]]-tbal[[#This Row],[DEBE]]&gt;0,tbal[[#This Row],[HABER]]-tbal[[#This Row],[DEBE]],0)</f>
        <v>0</v>
      </c>
      <c r="I2404" s="16">
        <f>IF((OR(tbal[[#This Row],[X]]=1,tbal[[#This Row],[X]]=2)),tbal[[#This Row],[DEUDOR]],0)</f>
        <v>0</v>
      </c>
      <c r="J2404" s="18">
        <f>IF((OR(tbal[[#This Row],[X]]=2,tbal[[#This Row],[X]]=3)),tbal[[#This Row],[ACREEDOR]],0)</f>
        <v>0</v>
      </c>
      <c r="K2404" s="16">
        <f>IF((OR(tbal[[#This Row],[X]]=3,tbal[[#This Row],[X]]=5)),tbal[[#This Row],[DEUDOR]],0)</f>
        <v>0</v>
      </c>
      <c r="L2404" s="18">
        <f>IF((OR(tbal[[#This Row],[X]]=3,tbal[[#This Row],[X]]=4)),tbal[[#This Row],[ACREEDOR]],0)</f>
        <v>0</v>
      </c>
      <c r="M2404" s="16">
        <f>IF((OR(tbal[[#This Row],[X]]=0,tbal[[#This Row],[X]]=6)),tbal[[#This Row],[DEUDOR]],0)</f>
        <v>0</v>
      </c>
      <c r="N2404" s="18">
        <f>IF((OR(tbal[[#This Row],[X]]=0,tbal[[#This Row],[X]]=5)),tbal[[#This Row],[ACREEDOR]],0)</f>
        <v>0</v>
      </c>
    </row>
    <row r="2405" spans="1:14" hidden="1" x14ac:dyDescent="0.3">
      <c r="A2405" s="14">
        <f>+'PLAN DE CUENTAS'!A2405</f>
        <v>0</v>
      </c>
      <c r="B2405" s="13">
        <f>+'PLAN DE CUENTAS'!B2405</f>
        <v>0</v>
      </c>
      <c r="C2405" s="13">
        <f>+'PLAN DE CUENTAS'!C2405</f>
        <v>0</v>
      </c>
      <c r="D2405" t="str">
        <f>IF(tbal[[#This Row],[DEBE]]+tbal[[#This Row],[HABER]]=0,"","X")</f>
        <v/>
      </c>
      <c r="E2405" s="16">
        <f>SUMIF(tdiario[CUENTA],tbal[[#This Row],[CUENTA]],tdiario[DEBE])</f>
        <v>0</v>
      </c>
      <c r="F2405" s="17">
        <f>SUMIF(tdiario[CUENTA],tbal[[#This Row],[CUENTA]],tdiario[HABER])</f>
        <v>0</v>
      </c>
      <c r="G2405" s="16">
        <f>IF(tbal[[#This Row],[DEBE]]-tbal[[#This Row],[HABER]]&gt;0,tbal[[#This Row],[DEBE]]-tbal[[#This Row],[HABER]],0)</f>
        <v>0</v>
      </c>
      <c r="H2405" s="18">
        <f>IF(tbal[[#This Row],[HABER]]-tbal[[#This Row],[DEBE]]&gt;0,tbal[[#This Row],[HABER]]-tbal[[#This Row],[DEBE]],0)</f>
        <v>0</v>
      </c>
      <c r="I2405" s="16">
        <f>IF((OR(tbal[[#This Row],[X]]=1,tbal[[#This Row],[X]]=2)),tbal[[#This Row],[DEUDOR]],0)</f>
        <v>0</v>
      </c>
      <c r="J2405" s="18">
        <f>IF((OR(tbal[[#This Row],[X]]=2,tbal[[#This Row],[X]]=3)),tbal[[#This Row],[ACREEDOR]],0)</f>
        <v>0</v>
      </c>
      <c r="K2405" s="16">
        <f>IF((OR(tbal[[#This Row],[X]]=3,tbal[[#This Row],[X]]=5)),tbal[[#This Row],[DEUDOR]],0)</f>
        <v>0</v>
      </c>
      <c r="L2405" s="18">
        <f>IF((OR(tbal[[#This Row],[X]]=3,tbal[[#This Row],[X]]=4)),tbal[[#This Row],[ACREEDOR]],0)</f>
        <v>0</v>
      </c>
      <c r="M2405" s="16">
        <f>IF((OR(tbal[[#This Row],[X]]=0,tbal[[#This Row],[X]]=6)),tbal[[#This Row],[DEUDOR]],0)</f>
        <v>0</v>
      </c>
      <c r="N2405" s="18">
        <f>IF((OR(tbal[[#This Row],[X]]=0,tbal[[#This Row],[X]]=5)),tbal[[#This Row],[ACREEDOR]],0)</f>
        <v>0</v>
      </c>
    </row>
    <row r="2406" spans="1:14" hidden="1" x14ac:dyDescent="0.3">
      <c r="A2406" s="14">
        <f>+'PLAN DE CUENTAS'!A2406</f>
        <v>0</v>
      </c>
      <c r="B2406" s="13">
        <f>+'PLAN DE CUENTAS'!B2406</f>
        <v>0</v>
      </c>
      <c r="C2406" s="13">
        <f>+'PLAN DE CUENTAS'!C2406</f>
        <v>0</v>
      </c>
      <c r="D2406" t="str">
        <f>IF(tbal[[#This Row],[DEBE]]+tbal[[#This Row],[HABER]]=0,"","X")</f>
        <v/>
      </c>
      <c r="E2406" s="16">
        <f>SUMIF(tdiario[CUENTA],tbal[[#This Row],[CUENTA]],tdiario[DEBE])</f>
        <v>0</v>
      </c>
      <c r="F2406" s="17">
        <f>SUMIF(tdiario[CUENTA],tbal[[#This Row],[CUENTA]],tdiario[HABER])</f>
        <v>0</v>
      </c>
      <c r="G2406" s="16">
        <f>IF(tbal[[#This Row],[DEBE]]-tbal[[#This Row],[HABER]]&gt;0,tbal[[#This Row],[DEBE]]-tbal[[#This Row],[HABER]],0)</f>
        <v>0</v>
      </c>
      <c r="H2406" s="18">
        <f>IF(tbal[[#This Row],[HABER]]-tbal[[#This Row],[DEBE]]&gt;0,tbal[[#This Row],[HABER]]-tbal[[#This Row],[DEBE]],0)</f>
        <v>0</v>
      </c>
      <c r="I2406" s="16">
        <f>IF((OR(tbal[[#This Row],[X]]=1,tbal[[#This Row],[X]]=2)),tbal[[#This Row],[DEUDOR]],0)</f>
        <v>0</v>
      </c>
      <c r="J2406" s="18">
        <f>IF((OR(tbal[[#This Row],[X]]=2,tbal[[#This Row],[X]]=3)),tbal[[#This Row],[ACREEDOR]],0)</f>
        <v>0</v>
      </c>
      <c r="K2406" s="16">
        <f>IF((OR(tbal[[#This Row],[X]]=3,tbal[[#This Row],[X]]=5)),tbal[[#This Row],[DEUDOR]],0)</f>
        <v>0</v>
      </c>
      <c r="L2406" s="18">
        <f>IF((OR(tbal[[#This Row],[X]]=3,tbal[[#This Row],[X]]=4)),tbal[[#This Row],[ACREEDOR]],0)</f>
        <v>0</v>
      </c>
      <c r="M2406" s="16">
        <f>IF((OR(tbal[[#This Row],[X]]=0,tbal[[#This Row],[X]]=6)),tbal[[#This Row],[DEUDOR]],0)</f>
        <v>0</v>
      </c>
      <c r="N2406" s="18">
        <f>IF((OR(tbal[[#This Row],[X]]=0,tbal[[#This Row],[X]]=5)),tbal[[#This Row],[ACREEDOR]],0)</f>
        <v>0</v>
      </c>
    </row>
    <row r="2407" spans="1:14" hidden="1" x14ac:dyDescent="0.3">
      <c r="A2407" s="14">
        <f>+'PLAN DE CUENTAS'!A2407</f>
        <v>0</v>
      </c>
      <c r="B2407" s="13">
        <f>+'PLAN DE CUENTAS'!B2407</f>
        <v>0</v>
      </c>
      <c r="C2407" s="13">
        <f>+'PLAN DE CUENTAS'!C2407</f>
        <v>0</v>
      </c>
      <c r="D2407" t="str">
        <f>IF(tbal[[#This Row],[DEBE]]+tbal[[#This Row],[HABER]]=0,"","X")</f>
        <v/>
      </c>
      <c r="E2407" s="16">
        <f>SUMIF(tdiario[CUENTA],tbal[[#This Row],[CUENTA]],tdiario[DEBE])</f>
        <v>0</v>
      </c>
      <c r="F2407" s="17">
        <f>SUMIF(tdiario[CUENTA],tbal[[#This Row],[CUENTA]],tdiario[HABER])</f>
        <v>0</v>
      </c>
      <c r="G2407" s="16">
        <f>IF(tbal[[#This Row],[DEBE]]-tbal[[#This Row],[HABER]]&gt;0,tbal[[#This Row],[DEBE]]-tbal[[#This Row],[HABER]],0)</f>
        <v>0</v>
      </c>
      <c r="H2407" s="18">
        <f>IF(tbal[[#This Row],[HABER]]-tbal[[#This Row],[DEBE]]&gt;0,tbal[[#This Row],[HABER]]-tbal[[#This Row],[DEBE]],0)</f>
        <v>0</v>
      </c>
      <c r="I2407" s="16">
        <f>IF((OR(tbal[[#This Row],[X]]=1,tbal[[#This Row],[X]]=2)),tbal[[#This Row],[DEUDOR]],0)</f>
        <v>0</v>
      </c>
      <c r="J2407" s="18">
        <f>IF((OR(tbal[[#This Row],[X]]=2,tbal[[#This Row],[X]]=3)),tbal[[#This Row],[ACREEDOR]],0)</f>
        <v>0</v>
      </c>
      <c r="K2407" s="16">
        <f>IF((OR(tbal[[#This Row],[X]]=3,tbal[[#This Row],[X]]=5)),tbal[[#This Row],[DEUDOR]],0)</f>
        <v>0</v>
      </c>
      <c r="L2407" s="18">
        <f>IF((OR(tbal[[#This Row],[X]]=3,tbal[[#This Row],[X]]=4)),tbal[[#This Row],[ACREEDOR]],0)</f>
        <v>0</v>
      </c>
      <c r="M2407" s="16">
        <f>IF((OR(tbal[[#This Row],[X]]=0,tbal[[#This Row],[X]]=6)),tbal[[#This Row],[DEUDOR]],0)</f>
        <v>0</v>
      </c>
      <c r="N2407" s="18">
        <f>IF((OR(tbal[[#This Row],[X]]=0,tbal[[#This Row],[X]]=5)),tbal[[#This Row],[ACREEDOR]],0)</f>
        <v>0</v>
      </c>
    </row>
    <row r="2408" spans="1:14" hidden="1" x14ac:dyDescent="0.3">
      <c r="A2408" s="14">
        <f>+'PLAN DE CUENTAS'!A2408</f>
        <v>0</v>
      </c>
      <c r="B2408" s="13">
        <f>+'PLAN DE CUENTAS'!B2408</f>
        <v>0</v>
      </c>
      <c r="C2408" s="13">
        <f>+'PLAN DE CUENTAS'!C2408</f>
        <v>0</v>
      </c>
      <c r="D2408" t="str">
        <f>IF(tbal[[#This Row],[DEBE]]+tbal[[#This Row],[HABER]]=0,"","X")</f>
        <v/>
      </c>
      <c r="E2408" s="16">
        <f>SUMIF(tdiario[CUENTA],tbal[[#This Row],[CUENTA]],tdiario[DEBE])</f>
        <v>0</v>
      </c>
      <c r="F2408" s="17">
        <f>SUMIF(tdiario[CUENTA],tbal[[#This Row],[CUENTA]],tdiario[HABER])</f>
        <v>0</v>
      </c>
      <c r="G2408" s="16">
        <f>IF(tbal[[#This Row],[DEBE]]-tbal[[#This Row],[HABER]]&gt;0,tbal[[#This Row],[DEBE]]-tbal[[#This Row],[HABER]],0)</f>
        <v>0</v>
      </c>
      <c r="H2408" s="18">
        <f>IF(tbal[[#This Row],[HABER]]-tbal[[#This Row],[DEBE]]&gt;0,tbal[[#This Row],[HABER]]-tbal[[#This Row],[DEBE]],0)</f>
        <v>0</v>
      </c>
      <c r="I2408" s="16">
        <f>IF((OR(tbal[[#This Row],[X]]=1,tbal[[#This Row],[X]]=2)),tbal[[#This Row],[DEUDOR]],0)</f>
        <v>0</v>
      </c>
      <c r="J2408" s="18">
        <f>IF((OR(tbal[[#This Row],[X]]=2,tbal[[#This Row],[X]]=3)),tbal[[#This Row],[ACREEDOR]],0)</f>
        <v>0</v>
      </c>
      <c r="K2408" s="16">
        <f>IF((OR(tbal[[#This Row],[X]]=3,tbal[[#This Row],[X]]=5)),tbal[[#This Row],[DEUDOR]],0)</f>
        <v>0</v>
      </c>
      <c r="L2408" s="18">
        <f>IF((OR(tbal[[#This Row],[X]]=3,tbal[[#This Row],[X]]=4)),tbal[[#This Row],[ACREEDOR]],0)</f>
        <v>0</v>
      </c>
      <c r="M2408" s="16">
        <f>IF((OR(tbal[[#This Row],[X]]=0,tbal[[#This Row],[X]]=6)),tbal[[#This Row],[DEUDOR]],0)</f>
        <v>0</v>
      </c>
      <c r="N2408" s="18">
        <f>IF((OR(tbal[[#This Row],[X]]=0,tbal[[#This Row],[X]]=5)),tbal[[#This Row],[ACREEDOR]],0)</f>
        <v>0</v>
      </c>
    </row>
    <row r="2409" spans="1:14" hidden="1" x14ac:dyDescent="0.3">
      <c r="A2409" s="14">
        <f>+'PLAN DE CUENTAS'!A2409</f>
        <v>0</v>
      </c>
      <c r="B2409" s="13">
        <f>+'PLAN DE CUENTAS'!B2409</f>
        <v>0</v>
      </c>
      <c r="C2409" s="13">
        <f>+'PLAN DE CUENTAS'!C2409</f>
        <v>0</v>
      </c>
      <c r="D2409" t="str">
        <f>IF(tbal[[#This Row],[DEBE]]+tbal[[#This Row],[HABER]]=0,"","X")</f>
        <v/>
      </c>
      <c r="E2409" s="16">
        <f>SUMIF(tdiario[CUENTA],tbal[[#This Row],[CUENTA]],tdiario[DEBE])</f>
        <v>0</v>
      </c>
      <c r="F2409" s="17">
        <f>SUMIF(tdiario[CUENTA],tbal[[#This Row],[CUENTA]],tdiario[HABER])</f>
        <v>0</v>
      </c>
      <c r="G2409" s="16">
        <f>IF(tbal[[#This Row],[DEBE]]-tbal[[#This Row],[HABER]]&gt;0,tbal[[#This Row],[DEBE]]-tbal[[#This Row],[HABER]],0)</f>
        <v>0</v>
      </c>
      <c r="H2409" s="18">
        <f>IF(tbal[[#This Row],[HABER]]-tbal[[#This Row],[DEBE]]&gt;0,tbal[[#This Row],[HABER]]-tbal[[#This Row],[DEBE]],0)</f>
        <v>0</v>
      </c>
      <c r="I2409" s="16">
        <f>IF((OR(tbal[[#This Row],[X]]=1,tbal[[#This Row],[X]]=2)),tbal[[#This Row],[DEUDOR]],0)</f>
        <v>0</v>
      </c>
      <c r="J2409" s="18">
        <f>IF((OR(tbal[[#This Row],[X]]=2,tbal[[#This Row],[X]]=3)),tbal[[#This Row],[ACREEDOR]],0)</f>
        <v>0</v>
      </c>
      <c r="K2409" s="16">
        <f>IF((OR(tbal[[#This Row],[X]]=3,tbal[[#This Row],[X]]=5)),tbal[[#This Row],[DEUDOR]],0)</f>
        <v>0</v>
      </c>
      <c r="L2409" s="18">
        <f>IF((OR(tbal[[#This Row],[X]]=3,tbal[[#This Row],[X]]=4)),tbal[[#This Row],[ACREEDOR]],0)</f>
        <v>0</v>
      </c>
      <c r="M2409" s="16">
        <f>IF((OR(tbal[[#This Row],[X]]=0,tbal[[#This Row],[X]]=6)),tbal[[#This Row],[DEUDOR]],0)</f>
        <v>0</v>
      </c>
      <c r="N2409" s="18">
        <f>IF((OR(tbal[[#This Row],[X]]=0,tbal[[#This Row],[X]]=5)),tbal[[#This Row],[ACREEDOR]],0)</f>
        <v>0</v>
      </c>
    </row>
    <row r="2410" spans="1:14" hidden="1" x14ac:dyDescent="0.3">
      <c r="A2410" s="14">
        <f>+'PLAN DE CUENTAS'!A2410</f>
        <v>0</v>
      </c>
      <c r="B2410" s="13">
        <f>+'PLAN DE CUENTAS'!B2410</f>
        <v>0</v>
      </c>
      <c r="C2410" s="13">
        <f>+'PLAN DE CUENTAS'!C2410</f>
        <v>0</v>
      </c>
      <c r="D2410" t="str">
        <f>IF(tbal[[#This Row],[DEBE]]+tbal[[#This Row],[HABER]]=0,"","X")</f>
        <v/>
      </c>
      <c r="E2410" s="16">
        <f>SUMIF(tdiario[CUENTA],tbal[[#This Row],[CUENTA]],tdiario[DEBE])</f>
        <v>0</v>
      </c>
      <c r="F2410" s="17">
        <f>SUMIF(tdiario[CUENTA],tbal[[#This Row],[CUENTA]],tdiario[HABER])</f>
        <v>0</v>
      </c>
      <c r="G2410" s="16">
        <f>IF(tbal[[#This Row],[DEBE]]-tbal[[#This Row],[HABER]]&gt;0,tbal[[#This Row],[DEBE]]-tbal[[#This Row],[HABER]],0)</f>
        <v>0</v>
      </c>
      <c r="H2410" s="18">
        <f>IF(tbal[[#This Row],[HABER]]-tbal[[#This Row],[DEBE]]&gt;0,tbal[[#This Row],[HABER]]-tbal[[#This Row],[DEBE]],0)</f>
        <v>0</v>
      </c>
      <c r="I2410" s="16">
        <f>IF((OR(tbal[[#This Row],[X]]=1,tbal[[#This Row],[X]]=2)),tbal[[#This Row],[DEUDOR]],0)</f>
        <v>0</v>
      </c>
      <c r="J2410" s="18">
        <f>IF((OR(tbal[[#This Row],[X]]=2,tbal[[#This Row],[X]]=3)),tbal[[#This Row],[ACREEDOR]],0)</f>
        <v>0</v>
      </c>
      <c r="K2410" s="16">
        <f>IF((OR(tbal[[#This Row],[X]]=3,tbal[[#This Row],[X]]=5)),tbal[[#This Row],[DEUDOR]],0)</f>
        <v>0</v>
      </c>
      <c r="L2410" s="18">
        <f>IF((OR(tbal[[#This Row],[X]]=3,tbal[[#This Row],[X]]=4)),tbal[[#This Row],[ACREEDOR]],0)</f>
        <v>0</v>
      </c>
      <c r="M2410" s="16">
        <f>IF((OR(tbal[[#This Row],[X]]=0,tbal[[#This Row],[X]]=6)),tbal[[#This Row],[DEUDOR]],0)</f>
        <v>0</v>
      </c>
      <c r="N2410" s="18">
        <f>IF((OR(tbal[[#This Row],[X]]=0,tbal[[#This Row],[X]]=5)),tbal[[#This Row],[ACREEDOR]],0)</f>
        <v>0</v>
      </c>
    </row>
    <row r="2411" spans="1:14" hidden="1" x14ac:dyDescent="0.3">
      <c r="A2411" s="14">
        <f>+'PLAN DE CUENTAS'!A2411</f>
        <v>0</v>
      </c>
      <c r="B2411" s="13">
        <f>+'PLAN DE CUENTAS'!B2411</f>
        <v>0</v>
      </c>
      <c r="C2411" s="13">
        <f>+'PLAN DE CUENTAS'!C2411</f>
        <v>0</v>
      </c>
      <c r="D2411" t="str">
        <f>IF(tbal[[#This Row],[DEBE]]+tbal[[#This Row],[HABER]]=0,"","X")</f>
        <v/>
      </c>
      <c r="E2411" s="16">
        <f>SUMIF(tdiario[CUENTA],tbal[[#This Row],[CUENTA]],tdiario[DEBE])</f>
        <v>0</v>
      </c>
      <c r="F2411" s="17">
        <f>SUMIF(tdiario[CUENTA],tbal[[#This Row],[CUENTA]],tdiario[HABER])</f>
        <v>0</v>
      </c>
      <c r="G2411" s="16">
        <f>IF(tbal[[#This Row],[DEBE]]-tbal[[#This Row],[HABER]]&gt;0,tbal[[#This Row],[DEBE]]-tbal[[#This Row],[HABER]],0)</f>
        <v>0</v>
      </c>
      <c r="H2411" s="18">
        <f>IF(tbal[[#This Row],[HABER]]-tbal[[#This Row],[DEBE]]&gt;0,tbal[[#This Row],[HABER]]-tbal[[#This Row],[DEBE]],0)</f>
        <v>0</v>
      </c>
      <c r="I2411" s="16">
        <f>IF((OR(tbal[[#This Row],[X]]=1,tbal[[#This Row],[X]]=2)),tbal[[#This Row],[DEUDOR]],0)</f>
        <v>0</v>
      </c>
      <c r="J2411" s="18">
        <f>IF((OR(tbal[[#This Row],[X]]=2,tbal[[#This Row],[X]]=3)),tbal[[#This Row],[ACREEDOR]],0)</f>
        <v>0</v>
      </c>
      <c r="K2411" s="16">
        <f>IF((OR(tbal[[#This Row],[X]]=3,tbal[[#This Row],[X]]=5)),tbal[[#This Row],[DEUDOR]],0)</f>
        <v>0</v>
      </c>
      <c r="L2411" s="18">
        <f>IF((OR(tbal[[#This Row],[X]]=3,tbal[[#This Row],[X]]=4)),tbal[[#This Row],[ACREEDOR]],0)</f>
        <v>0</v>
      </c>
      <c r="M2411" s="16">
        <f>IF((OR(tbal[[#This Row],[X]]=0,tbal[[#This Row],[X]]=6)),tbal[[#This Row],[DEUDOR]],0)</f>
        <v>0</v>
      </c>
      <c r="N2411" s="18">
        <f>IF((OR(tbal[[#This Row],[X]]=0,tbal[[#This Row],[X]]=5)),tbal[[#This Row],[ACREEDOR]],0)</f>
        <v>0</v>
      </c>
    </row>
    <row r="2412" spans="1:14" hidden="1" x14ac:dyDescent="0.3">
      <c r="A2412" s="14">
        <f>+'PLAN DE CUENTAS'!A2412</f>
        <v>0</v>
      </c>
      <c r="B2412" s="13">
        <f>+'PLAN DE CUENTAS'!B2412</f>
        <v>0</v>
      </c>
      <c r="C2412" s="13">
        <f>+'PLAN DE CUENTAS'!C2412</f>
        <v>0</v>
      </c>
      <c r="D2412" t="str">
        <f>IF(tbal[[#This Row],[DEBE]]+tbal[[#This Row],[HABER]]=0,"","X")</f>
        <v/>
      </c>
      <c r="E2412" s="16">
        <f>SUMIF(tdiario[CUENTA],tbal[[#This Row],[CUENTA]],tdiario[DEBE])</f>
        <v>0</v>
      </c>
      <c r="F2412" s="17">
        <f>SUMIF(tdiario[CUENTA],tbal[[#This Row],[CUENTA]],tdiario[HABER])</f>
        <v>0</v>
      </c>
      <c r="G2412" s="16">
        <f>IF(tbal[[#This Row],[DEBE]]-tbal[[#This Row],[HABER]]&gt;0,tbal[[#This Row],[DEBE]]-tbal[[#This Row],[HABER]],0)</f>
        <v>0</v>
      </c>
      <c r="H2412" s="18">
        <f>IF(tbal[[#This Row],[HABER]]-tbal[[#This Row],[DEBE]]&gt;0,tbal[[#This Row],[HABER]]-tbal[[#This Row],[DEBE]],0)</f>
        <v>0</v>
      </c>
      <c r="I2412" s="16">
        <f>IF((OR(tbal[[#This Row],[X]]=1,tbal[[#This Row],[X]]=2)),tbal[[#This Row],[DEUDOR]],0)</f>
        <v>0</v>
      </c>
      <c r="J2412" s="18">
        <f>IF((OR(tbal[[#This Row],[X]]=2,tbal[[#This Row],[X]]=3)),tbal[[#This Row],[ACREEDOR]],0)</f>
        <v>0</v>
      </c>
      <c r="K2412" s="16">
        <f>IF((OR(tbal[[#This Row],[X]]=3,tbal[[#This Row],[X]]=5)),tbal[[#This Row],[DEUDOR]],0)</f>
        <v>0</v>
      </c>
      <c r="L2412" s="18">
        <f>IF((OR(tbal[[#This Row],[X]]=3,tbal[[#This Row],[X]]=4)),tbal[[#This Row],[ACREEDOR]],0)</f>
        <v>0</v>
      </c>
      <c r="M2412" s="16">
        <f>IF((OR(tbal[[#This Row],[X]]=0,tbal[[#This Row],[X]]=6)),tbal[[#This Row],[DEUDOR]],0)</f>
        <v>0</v>
      </c>
      <c r="N2412" s="18">
        <f>IF((OR(tbal[[#This Row],[X]]=0,tbal[[#This Row],[X]]=5)),tbal[[#This Row],[ACREEDOR]],0)</f>
        <v>0</v>
      </c>
    </row>
    <row r="2413" spans="1:14" hidden="1" x14ac:dyDescent="0.3">
      <c r="A2413" s="14">
        <f>+'PLAN DE CUENTAS'!A2413</f>
        <v>0</v>
      </c>
      <c r="B2413" s="13">
        <f>+'PLAN DE CUENTAS'!B2413</f>
        <v>0</v>
      </c>
      <c r="C2413" s="13">
        <f>+'PLAN DE CUENTAS'!C2413</f>
        <v>0</v>
      </c>
      <c r="D2413" t="str">
        <f>IF(tbal[[#This Row],[DEBE]]+tbal[[#This Row],[HABER]]=0,"","X")</f>
        <v/>
      </c>
      <c r="E2413" s="16">
        <f>SUMIF(tdiario[CUENTA],tbal[[#This Row],[CUENTA]],tdiario[DEBE])</f>
        <v>0</v>
      </c>
      <c r="F2413" s="17">
        <f>SUMIF(tdiario[CUENTA],tbal[[#This Row],[CUENTA]],tdiario[HABER])</f>
        <v>0</v>
      </c>
      <c r="G2413" s="16">
        <f>IF(tbal[[#This Row],[DEBE]]-tbal[[#This Row],[HABER]]&gt;0,tbal[[#This Row],[DEBE]]-tbal[[#This Row],[HABER]],0)</f>
        <v>0</v>
      </c>
      <c r="H2413" s="18">
        <f>IF(tbal[[#This Row],[HABER]]-tbal[[#This Row],[DEBE]]&gt;0,tbal[[#This Row],[HABER]]-tbal[[#This Row],[DEBE]],0)</f>
        <v>0</v>
      </c>
      <c r="I2413" s="16">
        <f>IF((OR(tbal[[#This Row],[X]]=1,tbal[[#This Row],[X]]=2)),tbal[[#This Row],[DEUDOR]],0)</f>
        <v>0</v>
      </c>
      <c r="J2413" s="18">
        <f>IF((OR(tbal[[#This Row],[X]]=2,tbal[[#This Row],[X]]=3)),tbal[[#This Row],[ACREEDOR]],0)</f>
        <v>0</v>
      </c>
      <c r="K2413" s="16">
        <f>IF((OR(tbal[[#This Row],[X]]=3,tbal[[#This Row],[X]]=5)),tbal[[#This Row],[DEUDOR]],0)</f>
        <v>0</v>
      </c>
      <c r="L2413" s="18">
        <f>IF((OR(tbal[[#This Row],[X]]=3,tbal[[#This Row],[X]]=4)),tbal[[#This Row],[ACREEDOR]],0)</f>
        <v>0</v>
      </c>
      <c r="M2413" s="16">
        <f>IF((OR(tbal[[#This Row],[X]]=0,tbal[[#This Row],[X]]=6)),tbal[[#This Row],[DEUDOR]],0)</f>
        <v>0</v>
      </c>
      <c r="N2413" s="18">
        <f>IF((OR(tbal[[#This Row],[X]]=0,tbal[[#This Row],[X]]=5)),tbal[[#This Row],[ACREEDOR]],0)</f>
        <v>0</v>
      </c>
    </row>
    <row r="2414" spans="1:14" hidden="1" x14ac:dyDescent="0.3">
      <c r="A2414" s="14">
        <f>+'PLAN DE CUENTAS'!A2414</f>
        <v>0</v>
      </c>
      <c r="B2414" s="13">
        <f>+'PLAN DE CUENTAS'!B2414</f>
        <v>0</v>
      </c>
      <c r="C2414" s="13">
        <f>+'PLAN DE CUENTAS'!C2414</f>
        <v>0</v>
      </c>
      <c r="D2414" t="str">
        <f>IF(tbal[[#This Row],[DEBE]]+tbal[[#This Row],[HABER]]=0,"","X")</f>
        <v/>
      </c>
      <c r="E2414" s="16">
        <f>SUMIF(tdiario[CUENTA],tbal[[#This Row],[CUENTA]],tdiario[DEBE])</f>
        <v>0</v>
      </c>
      <c r="F2414" s="17">
        <f>SUMIF(tdiario[CUENTA],tbal[[#This Row],[CUENTA]],tdiario[HABER])</f>
        <v>0</v>
      </c>
      <c r="G2414" s="16">
        <f>IF(tbal[[#This Row],[DEBE]]-tbal[[#This Row],[HABER]]&gt;0,tbal[[#This Row],[DEBE]]-tbal[[#This Row],[HABER]],0)</f>
        <v>0</v>
      </c>
      <c r="H2414" s="18">
        <f>IF(tbal[[#This Row],[HABER]]-tbal[[#This Row],[DEBE]]&gt;0,tbal[[#This Row],[HABER]]-tbal[[#This Row],[DEBE]],0)</f>
        <v>0</v>
      </c>
      <c r="I2414" s="16">
        <f>IF((OR(tbal[[#This Row],[X]]=1,tbal[[#This Row],[X]]=2)),tbal[[#This Row],[DEUDOR]],0)</f>
        <v>0</v>
      </c>
      <c r="J2414" s="18">
        <f>IF((OR(tbal[[#This Row],[X]]=2,tbal[[#This Row],[X]]=3)),tbal[[#This Row],[ACREEDOR]],0)</f>
        <v>0</v>
      </c>
      <c r="K2414" s="16">
        <f>IF((OR(tbal[[#This Row],[X]]=3,tbal[[#This Row],[X]]=5)),tbal[[#This Row],[DEUDOR]],0)</f>
        <v>0</v>
      </c>
      <c r="L2414" s="18">
        <f>IF((OR(tbal[[#This Row],[X]]=3,tbal[[#This Row],[X]]=4)),tbal[[#This Row],[ACREEDOR]],0)</f>
        <v>0</v>
      </c>
      <c r="M2414" s="16">
        <f>IF((OR(tbal[[#This Row],[X]]=0,tbal[[#This Row],[X]]=6)),tbal[[#This Row],[DEUDOR]],0)</f>
        <v>0</v>
      </c>
      <c r="N2414" s="18">
        <f>IF((OR(tbal[[#This Row],[X]]=0,tbal[[#This Row],[X]]=5)),tbal[[#This Row],[ACREEDOR]],0)</f>
        <v>0</v>
      </c>
    </row>
    <row r="2415" spans="1:14" hidden="1" x14ac:dyDescent="0.3">
      <c r="A2415" s="14">
        <f>+'PLAN DE CUENTAS'!A2415</f>
        <v>0</v>
      </c>
      <c r="B2415" s="13">
        <f>+'PLAN DE CUENTAS'!B2415</f>
        <v>0</v>
      </c>
      <c r="C2415" s="13">
        <f>+'PLAN DE CUENTAS'!C2415</f>
        <v>0</v>
      </c>
      <c r="D2415" t="str">
        <f>IF(tbal[[#This Row],[DEBE]]+tbal[[#This Row],[HABER]]=0,"","X")</f>
        <v/>
      </c>
      <c r="E2415" s="16">
        <f>SUMIF(tdiario[CUENTA],tbal[[#This Row],[CUENTA]],tdiario[DEBE])</f>
        <v>0</v>
      </c>
      <c r="F2415" s="17">
        <f>SUMIF(tdiario[CUENTA],tbal[[#This Row],[CUENTA]],tdiario[HABER])</f>
        <v>0</v>
      </c>
      <c r="G2415" s="16">
        <f>IF(tbal[[#This Row],[DEBE]]-tbal[[#This Row],[HABER]]&gt;0,tbal[[#This Row],[DEBE]]-tbal[[#This Row],[HABER]],0)</f>
        <v>0</v>
      </c>
      <c r="H2415" s="18">
        <f>IF(tbal[[#This Row],[HABER]]-tbal[[#This Row],[DEBE]]&gt;0,tbal[[#This Row],[HABER]]-tbal[[#This Row],[DEBE]],0)</f>
        <v>0</v>
      </c>
      <c r="I2415" s="16">
        <f>IF((OR(tbal[[#This Row],[X]]=1,tbal[[#This Row],[X]]=2)),tbal[[#This Row],[DEUDOR]],0)</f>
        <v>0</v>
      </c>
      <c r="J2415" s="18">
        <f>IF((OR(tbal[[#This Row],[X]]=2,tbal[[#This Row],[X]]=3)),tbal[[#This Row],[ACREEDOR]],0)</f>
        <v>0</v>
      </c>
      <c r="K2415" s="16">
        <f>IF((OR(tbal[[#This Row],[X]]=3,tbal[[#This Row],[X]]=5)),tbal[[#This Row],[DEUDOR]],0)</f>
        <v>0</v>
      </c>
      <c r="L2415" s="18">
        <f>IF((OR(tbal[[#This Row],[X]]=3,tbal[[#This Row],[X]]=4)),tbal[[#This Row],[ACREEDOR]],0)</f>
        <v>0</v>
      </c>
      <c r="M2415" s="16">
        <f>IF((OR(tbal[[#This Row],[X]]=0,tbal[[#This Row],[X]]=6)),tbal[[#This Row],[DEUDOR]],0)</f>
        <v>0</v>
      </c>
      <c r="N2415" s="18">
        <f>IF((OR(tbal[[#This Row],[X]]=0,tbal[[#This Row],[X]]=5)),tbal[[#This Row],[ACREEDOR]],0)</f>
        <v>0</v>
      </c>
    </row>
    <row r="2416" spans="1:14" hidden="1" x14ac:dyDescent="0.3">
      <c r="A2416" s="14">
        <f>+'PLAN DE CUENTAS'!A2416</f>
        <v>0</v>
      </c>
      <c r="B2416" s="13">
        <f>+'PLAN DE CUENTAS'!B2416</f>
        <v>0</v>
      </c>
      <c r="C2416" s="13">
        <f>+'PLAN DE CUENTAS'!C2416</f>
        <v>0</v>
      </c>
      <c r="D2416" t="str">
        <f>IF(tbal[[#This Row],[DEBE]]+tbal[[#This Row],[HABER]]=0,"","X")</f>
        <v/>
      </c>
      <c r="E2416" s="16">
        <f>SUMIF(tdiario[CUENTA],tbal[[#This Row],[CUENTA]],tdiario[DEBE])</f>
        <v>0</v>
      </c>
      <c r="F2416" s="17">
        <f>SUMIF(tdiario[CUENTA],tbal[[#This Row],[CUENTA]],tdiario[HABER])</f>
        <v>0</v>
      </c>
      <c r="G2416" s="16">
        <f>IF(tbal[[#This Row],[DEBE]]-tbal[[#This Row],[HABER]]&gt;0,tbal[[#This Row],[DEBE]]-tbal[[#This Row],[HABER]],0)</f>
        <v>0</v>
      </c>
      <c r="H2416" s="18">
        <f>IF(tbal[[#This Row],[HABER]]-tbal[[#This Row],[DEBE]]&gt;0,tbal[[#This Row],[HABER]]-tbal[[#This Row],[DEBE]],0)</f>
        <v>0</v>
      </c>
      <c r="I2416" s="16">
        <f>IF((OR(tbal[[#This Row],[X]]=1,tbal[[#This Row],[X]]=2)),tbal[[#This Row],[DEUDOR]],0)</f>
        <v>0</v>
      </c>
      <c r="J2416" s="18">
        <f>IF((OR(tbal[[#This Row],[X]]=2,tbal[[#This Row],[X]]=3)),tbal[[#This Row],[ACREEDOR]],0)</f>
        <v>0</v>
      </c>
      <c r="K2416" s="16">
        <f>IF((OR(tbal[[#This Row],[X]]=3,tbal[[#This Row],[X]]=5)),tbal[[#This Row],[DEUDOR]],0)</f>
        <v>0</v>
      </c>
      <c r="L2416" s="18">
        <f>IF((OR(tbal[[#This Row],[X]]=3,tbal[[#This Row],[X]]=4)),tbal[[#This Row],[ACREEDOR]],0)</f>
        <v>0</v>
      </c>
      <c r="M2416" s="16">
        <f>IF((OR(tbal[[#This Row],[X]]=0,tbal[[#This Row],[X]]=6)),tbal[[#This Row],[DEUDOR]],0)</f>
        <v>0</v>
      </c>
      <c r="N2416" s="18">
        <f>IF((OR(tbal[[#This Row],[X]]=0,tbal[[#This Row],[X]]=5)),tbal[[#This Row],[ACREEDOR]],0)</f>
        <v>0</v>
      </c>
    </row>
    <row r="2417" spans="1:14" hidden="1" x14ac:dyDescent="0.3">
      <c r="A2417" s="14">
        <f>+'PLAN DE CUENTAS'!A2417</f>
        <v>0</v>
      </c>
      <c r="B2417" s="13">
        <f>+'PLAN DE CUENTAS'!B2417</f>
        <v>0</v>
      </c>
      <c r="C2417" s="13">
        <f>+'PLAN DE CUENTAS'!C2417</f>
        <v>0</v>
      </c>
      <c r="D2417" t="str">
        <f>IF(tbal[[#This Row],[DEBE]]+tbal[[#This Row],[HABER]]=0,"","X")</f>
        <v/>
      </c>
      <c r="E2417" s="16">
        <f>SUMIF(tdiario[CUENTA],tbal[[#This Row],[CUENTA]],tdiario[DEBE])</f>
        <v>0</v>
      </c>
      <c r="F2417" s="17">
        <f>SUMIF(tdiario[CUENTA],tbal[[#This Row],[CUENTA]],tdiario[HABER])</f>
        <v>0</v>
      </c>
      <c r="G2417" s="16">
        <f>IF(tbal[[#This Row],[DEBE]]-tbal[[#This Row],[HABER]]&gt;0,tbal[[#This Row],[DEBE]]-tbal[[#This Row],[HABER]],0)</f>
        <v>0</v>
      </c>
      <c r="H2417" s="18">
        <f>IF(tbal[[#This Row],[HABER]]-tbal[[#This Row],[DEBE]]&gt;0,tbal[[#This Row],[HABER]]-tbal[[#This Row],[DEBE]],0)</f>
        <v>0</v>
      </c>
      <c r="I2417" s="16">
        <f>IF((OR(tbal[[#This Row],[X]]=1,tbal[[#This Row],[X]]=2)),tbal[[#This Row],[DEUDOR]],0)</f>
        <v>0</v>
      </c>
      <c r="J2417" s="18">
        <f>IF((OR(tbal[[#This Row],[X]]=2,tbal[[#This Row],[X]]=3)),tbal[[#This Row],[ACREEDOR]],0)</f>
        <v>0</v>
      </c>
      <c r="K2417" s="16">
        <f>IF((OR(tbal[[#This Row],[X]]=3,tbal[[#This Row],[X]]=5)),tbal[[#This Row],[DEUDOR]],0)</f>
        <v>0</v>
      </c>
      <c r="L2417" s="18">
        <f>IF((OR(tbal[[#This Row],[X]]=3,tbal[[#This Row],[X]]=4)),tbal[[#This Row],[ACREEDOR]],0)</f>
        <v>0</v>
      </c>
      <c r="M2417" s="16">
        <f>IF((OR(tbal[[#This Row],[X]]=0,tbal[[#This Row],[X]]=6)),tbal[[#This Row],[DEUDOR]],0)</f>
        <v>0</v>
      </c>
      <c r="N2417" s="18">
        <f>IF((OR(tbal[[#This Row],[X]]=0,tbal[[#This Row],[X]]=5)),tbal[[#This Row],[ACREEDOR]],0)</f>
        <v>0</v>
      </c>
    </row>
    <row r="2418" spans="1:14" hidden="1" x14ac:dyDescent="0.3">
      <c r="A2418" s="14">
        <f>+'PLAN DE CUENTAS'!A2418</f>
        <v>0</v>
      </c>
      <c r="B2418" s="13">
        <f>+'PLAN DE CUENTAS'!B2418</f>
        <v>0</v>
      </c>
      <c r="C2418" s="13">
        <f>+'PLAN DE CUENTAS'!C2418</f>
        <v>0</v>
      </c>
      <c r="D2418" t="str">
        <f>IF(tbal[[#This Row],[DEBE]]+tbal[[#This Row],[HABER]]=0,"","X")</f>
        <v/>
      </c>
      <c r="E2418" s="16">
        <f>SUMIF(tdiario[CUENTA],tbal[[#This Row],[CUENTA]],tdiario[DEBE])</f>
        <v>0</v>
      </c>
      <c r="F2418" s="17">
        <f>SUMIF(tdiario[CUENTA],tbal[[#This Row],[CUENTA]],tdiario[HABER])</f>
        <v>0</v>
      </c>
      <c r="G2418" s="16">
        <f>IF(tbal[[#This Row],[DEBE]]-tbal[[#This Row],[HABER]]&gt;0,tbal[[#This Row],[DEBE]]-tbal[[#This Row],[HABER]],0)</f>
        <v>0</v>
      </c>
      <c r="H2418" s="18">
        <f>IF(tbal[[#This Row],[HABER]]-tbal[[#This Row],[DEBE]]&gt;0,tbal[[#This Row],[HABER]]-tbal[[#This Row],[DEBE]],0)</f>
        <v>0</v>
      </c>
      <c r="I2418" s="16">
        <f>IF((OR(tbal[[#This Row],[X]]=1,tbal[[#This Row],[X]]=2)),tbal[[#This Row],[DEUDOR]],0)</f>
        <v>0</v>
      </c>
      <c r="J2418" s="18">
        <f>IF((OR(tbal[[#This Row],[X]]=2,tbal[[#This Row],[X]]=3)),tbal[[#This Row],[ACREEDOR]],0)</f>
        <v>0</v>
      </c>
      <c r="K2418" s="16">
        <f>IF((OR(tbal[[#This Row],[X]]=3,tbal[[#This Row],[X]]=5)),tbal[[#This Row],[DEUDOR]],0)</f>
        <v>0</v>
      </c>
      <c r="L2418" s="18">
        <f>IF((OR(tbal[[#This Row],[X]]=3,tbal[[#This Row],[X]]=4)),tbal[[#This Row],[ACREEDOR]],0)</f>
        <v>0</v>
      </c>
      <c r="M2418" s="16">
        <f>IF((OR(tbal[[#This Row],[X]]=0,tbal[[#This Row],[X]]=6)),tbal[[#This Row],[DEUDOR]],0)</f>
        <v>0</v>
      </c>
      <c r="N2418" s="18">
        <f>IF((OR(tbal[[#This Row],[X]]=0,tbal[[#This Row],[X]]=5)),tbal[[#This Row],[ACREEDOR]],0)</f>
        <v>0</v>
      </c>
    </row>
    <row r="2419" spans="1:14" hidden="1" x14ac:dyDescent="0.3">
      <c r="A2419" s="14">
        <f>+'PLAN DE CUENTAS'!A2419</f>
        <v>0</v>
      </c>
      <c r="B2419" s="13">
        <f>+'PLAN DE CUENTAS'!B2419</f>
        <v>0</v>
      </c>
      <c r="C2419" s="13">
        <f>+'PLAN DE CUENTAS'!C2419</f>
        <v>0</v>
      </c>
      <c r="D2419" t="str">
        <f>IF(tbal[[#This Row],[DEBE]]+tbal[[#This Row],[HABER]]=0,"","X")</f>
        <v/>
      </c>
      <c r="E2419" s="16">
        <f>SUMIF(tdiario[CUENTA],tbal[[#This Row],[CUENTA]],tdiario[DEBE])</f>
        <v>0</v>
      </c>
      <c r="F2419" s="17">
        <f>SUMIF(tdiario[CUENTA],tbal[[#This Row],[CUENTA]],tdiario[HABER])</f>
        <v>0</v>
      </c>
      <c r="G2419" s="16">
        <f>IF(tbal[[#This Row],[DEBE]]-tbal[[#This Row],[HABER]]&gt;0,tbal[[#This Row],[DEBE]]-tbal[[#This Row],[HABER]],0)</f>
        <v>0</v>
      </c>
      <c r="H2419" s="18">
        <f>IF(tbal[[#This Row],[HABER]]-tbal[[#This Row],[DEBE]]&gt;0,tbal[[#This Row],[HABER]]-tbal[[#This Row],[DEBE]],0)</f>
        <v>0</v>
      </c>
      <c r="I2419" s="16">
        <f>IF((OR(tbal[[#This Row],[X]]=1,tbal[[#This Row],[X]]=2)),tbal[[#This Row],[DEUDOR]],0)</f>
        <v>0</v>
      </c>
      <c r="J2419" s="18">
        <f>IF((OR(tbal[[#This Row],[X]]=2,tbal[[#This Row],[X]]=3)),tbal[[#This Row],[ACREEDOR]],0)</f>
        <v>0</v>
      </c>
      <c r="K2419" s="16">
        <f>IF((OR(tbal[[#This Row],[X]]=3,tbal[[#This Row],[X]]=5)),tbal[[#This Row],[DEUDOR]],0)</f>
        <v>0</v>
      </c>
      <c r="L2419" s="18">
        <f>IF((OR(tbal[[#This Row],[X]]=3,tbal[[#This Row],[X]]=4)),tbal[[#This Row],[ACREEDOR]],0)</f>
        <v>0</v>
      </c>
      <c r="M2419" s="16">
        <f>IF((OR(tbal[[#This Row],[X]]=0,tbal[[#This Row],[X]]=6)),tbal[[#This Row],[DEUDOR]],0)</f>
        <v>0</v>
      </c>
      <c r="N2419" s="18">
        <f>IF((OR(tbal[[#This Row],[X]]=0,tbal[[#This Row],[X]]=5)),tbal[[#This Row],[ACREEDOR]],0)</f>
        <v>0</v>
      </c>
    </row>
    <row r="2420" spans="1:14" hidden="1" x14ac:dyDescent="0.3">
      <c r="A2420" s="14">
        <f>+'PLAN DE CUENTAS'!A2420</f>
        <v>0</v>
      </c>
      <c r="B2420" s="13">
        <f>+'PLAN DE CUENTAS'!B2420</f>
        <v>0</v>
      </c>
      <c r="C2420" s="13">
        <f>+'PLAN DE CUENTAS'!C2420</f>
        <v>0</v>
      </c>
      <c r="D2420" t="str">
        <f>IF(tbal[[#This Row],[DEBE]]+tbal[[#This Row],[HABER]]=0,"","X")</f>
        <v/>
      </c>
      <c r="E2420" s="16">
        <f>SUMIF(tdiario[CUENTA],tbal[[#This Row],[CUENTA]],tdiario[DEBE])</f>
        <v>0</v>
      </c>
      <c r="F2420" s="17">
        <f>SUMIF(tdiario[CUENTA],tbal[[#This Row],[CUENTA]],tdiario[HABER])</f>
        <v>0</v>
      </c>
      <c r="G2420" s="16">
        <f>IF(tbal[[#This Row],[DEBE]]-tbal[[#This Row],[HABER]]&gt;0,tbal[[#This Row],[DEBE]]-tbal[[#This Row],[HABER]],0)</f>
        <v>0</v>
      </c>
      <c r="H2420" s="18">
        <f>IF(tbal[[#This Row],[HABER]]-tbal[[#This Row],[DEBE]]&gt;0,tbal[[#This Row],[HABER]]-tbal[[#This Row],[DEBE]],0)</f>
        <v>0</v>
      </c>
      <c r="I2420" s="16">
        <f>IF((OR(tbal[[#This Row],[X]]=1,tbal[[#This Row],[X]]=2)),tbal[[#This Row],[DEUDOR]],0)</f>
        <v>0</v>
      </c>
      <c r="J2420" s="18">
        <f>IF((OR(tbal[[#This Row],[X]]=2,tbal[[#This Row],[X]]=3)),tbal[[#This Row],[ACREEDOR]],0)</f>
        <v>0</v>
      </c>
      <c r="K2420" s="16">
        <f>IF((OR(tbal[[#This Row],[X]]=3,tbal[[#This Row],[X]]=5)),tbal[[#This Row],[DEUDOR]],0)</f>
        <v>0</v>
      </c>
      <c r="L2420" s="18">
        <f>IF((OR(tbal[[#This Row],[X]]=3,tbal[[#This Row],[X]]=4)),tbal[[#This Row],[ACREEDOR]],0)</f>
        <v>0</v>
      </c>
      <c r="M2420" s="16">
        <f>IF((OR(tbal[[#This Row],[X]]=0,tbal[[#This Row],[X]]=6)),tbal[[#This Row],[DEUDOR]],0)</f>
        <v>0</v>
      </c>
      <c r="N2420" s="18">
        <f>IF((OR(tbal[[#This Row],[X]]=0,tbal[[#This Row],[X]]=5)),tbal[[#This Row],[ACREEDOR]],0)</f>
        <v>0</v>
      </c>
    </row>
    <row r="2421" spans="1:14" hidden="1" x14ac:dyDescent="0.3">
      <c r="A2421" s="14">
        <f>+'PLAN DE CUENTAS'!A2421</f>
        <v>0</v>
      </c>
      <c r="B2421" s="13">
        <f>+'PLAN DE CUENTAS'!B2421</f>
        <v>0</v>
      </c>
      <c r="C2421" s="13">
        <f>+'PLAN DE CUENTAS'!C2421</f>
        <v>0</v>
      </c>
      <c r="D2421" t="str">
        <f>IF(tbal[[#This Row],[DEBE]]+tbal[[#This Row],[HABER]]=0,"","X")</f>
        <v/>
      </c>
      <c r="E2421" s="16">
        <f>SUMIF(tdiario[CUENTA],tbal[[#This Row],[CUENTA]],tdiario[DEBE])</f>
        <v>0</v>
      </c>
      <c r="F2421" s="17">
        <f>SUMIF(tdiario[CUENTA],tbal[[#This Row],[CUENTA]],tdiario[HABER])</f>
        <v>0</v>
      </c>
      <c r="G2421" s="16">
        <f>IF(tbal[[#This Row],[DEBE]]-tbal[[#This Row],[HABER]]&gt;0,tbal[[#This Row],[DEBE]]-tbal[[#This Row],[HABER]],0)</f>
        <v>0</v>
      </c>
      <c r="H2421" s="18">
        <f>IF(tbal[[#This Row],[HABER]]-tbal[[#This Row],[DEBE]]&gt;0,tbal[[#This Row],[HABER]]-tbal[[#This Row],[DEBE]],0)</f>
        <v>0</v>
      </c>
      <c r="I2421" s="16">
        <f>IF((OR(tbal[[#This Row],[X]]=1,tbal[[#This Row],[X]]=2)),tbal[[#This Row],[DEUDOR]],0)</f>
        <v>0</v>
      </c>
      <c r="J2421" s="18">
        <f>IF((OR(tbal[[#This Row],[X]]=2,tbal[[#This Row],[X]]=3)),tbal[[#This Row],[ACREEDOR]],0)</f>
        <v>0</v>
      </c>
      <c r="K2421" s="16">
        <f>IF((OR(tbal[[#This Row],[X]]=3,tbal[[#This Row],[X]]=5)),tbal[[#This Row],[DEUDOR]],0)</f>
        <v>0</v>
      </c>
      <c r="L2421" s="18">
        <f>IF((OR(tbal[[#This Row],[X]]=3,tbal[[#This Row],[X]]=4)),tbal[[#This Row],[ACREEDOR]],0)</f>
        <v>0</v>
      </c>
      <c r="M2421" s="16">
        <f>IF((OR(tbal[[#This Row],[X]]=0,tbal[[#This Row],[X]]=6)),tbal[[#This Row],[DEUDOR]],0)</f>
        <v>0</v>
      </c>
      <c r="N2421" s="18">
        <f>IF((OR(tbal[[#This Row],[X]]=0,tbal[[#This Row],[X]]=5)),tbal[[#This Row],[ACREEDOR]],0)</f>
        <v>0</v>
      </c>
    </row>
    <row r="2422" spans="1:14" hidden="1" x14ac:dyDescent="0.3">
      <c r="A2422" s="14">
        <f>+'PLAN DE CUENTAS'!A2422</f>
        <v>0</v>
      </c>
      <c r="B2422" s="13">
        <f>+'PLAN DE CUENTAS'!B2422</f>
        <v>0</v>
      </c>
      <c r="C2422" s="13">
        <f>+'PLAN DE CUENTAS'!C2422</f>
        <v>0</v>
      </c>
      <c r="D2422" t="str">
        <f>IF(tbal[[#This Row],[DEBE]]+tbal[[#This Row],[HABER]]=0,"","X")</f>
        <v/>
      </c>
      <c r="E2422" s="16">
        <f>SUMIF(tdiario[CUENTA],tbal[[#This Row],[CUENTA]],tdiario[DEBE])</f>
        <v>0</v>
      </c>
      <c r="F2422" s="17">
        <f>SUMIF(tdiario[CUENTA],tbal[[#This Row],[CUENTA]],tdiario[HABER])</f>
        <v>0</v>
      </c>
      <c r="G2422" s="16">
        <f>IF(tbal[[#This Row],[DEBE]]-tbal[[#This Row],[HABER]]&gt;0,tbal[[#This Row],[DEBE]]-tbal[[#This Row],[HABER]],0)</f>
        <v>0</v>
      </c>
      <c r="H2422" s="18">
        <f>IF(tbal[[#This Row],[HABER]]-tbal[[#This Row],[DEBE]]&gt;0,tbal[[#This Row],[HABER]]-tbal[[#This Row],[DEBE]],0)</f>
        <v>0</v>
      </c>
      <c r="I2422" s="16">
        <f>IF((OR(tbal[[#This Row],[X]]=1,tbal[[#This Row],[X]]=2)),tbal[[#This Row],[DEUDOR]],0)</f>
        <v>0</v>
      </c>
      <c r="J2422" s="18">
        <f>IF((OR(tbal[[#This Row],[X]]=2,tbal[[#This Row],[X]]=3)),tbal[[#This Row],[ACREEDOR]],0)</f>
        <v>0</v>
      </c>
      <c r="K2422" s="16">
        <f>IF((OR(tbal[[#This Row],[X]]=3,tbal[[#This Row],[X]]=5)),tbal[[#This Row],[DEUDOR]],0)</f>
        <v>0</v>
      </c>
      <c r="L2422" s="18">
        <f>IF((OR(tbal[[#This Row],[X]]=3,tbal[[#This Row],[X]]=4)),tbal[[#This Row],[ACREEDOR]],0)</f>
        <v>0</v>
      </c>
      <c r="M2422" s="16">
        <f>IF((OR(tbal[[#This Row],[X]]=0,tbal[[#This Row],[X]]=6)),tbal[[#This Row],[DEUDOR]],0)</f>
        <v>0</v>
      </c>
      <c r="N2422" s="18">
        <f>IF((OR(tbal[[#This Row],[X]]=0,tbal[[#This Row],[X]]=5)),tbal[[#This Row],[ACREEDOR]],0)</f>
        <v>0</v>
      </c>
    </row>
    <row r="2423" spans="1:14" hidden="1" x14ac:dyDescent="0.3">
      <c r="A2423" s="14">
        <f>+'PLAN DE CUENTAS'!A2423</f>
        <v>0</v>
      </c>
      <c r="B2423" s="13">
        <f>+'PLAN DE CUENTAS'!B2423</f>
        <v>0</v>
      </c>
      <c r="C2423" s="13">
        <f>+'PLAN DE CUENTAS'!C2423</f>
        <v>0</v>
      </c>
      <c r="D2423" t="str">
        <f>IF(tbal[[#This Row],[DEBE]]+tbal[[#This Row],[HABER]]=0,"","X")</f>
        <v/>
      </c>
      <c r="E2423" s="16">
        <f>SUMIF(tdiario[CUENTA],tbal[[#This Row],[CUENTA]],tdiario[DEBE])</f>
        <v>0</v>
      </c>
      <c r="F2423" s="17">
        <f>SUMIF(tdiario[CUENTA],tbal[[#This Row],[CUENTA]],tdiario[HABER])</f>
        <v>0</v>
      </c>
      <c r="G2423" s="16">
        <f>IF(tbal[[#This Row],[DEBE]]-tbal[[#This Row],[HABER]]&gt;0,tbal[[#This Row],[DEBE]]-tbal[[#This Row],[HABER]],0)</f>
        <v>0</v>
      </c>
      <c r="H2423" s="18">
        <f>IF(tbal[[#This Row],[HABER]]-tbal[[#This Row],[DEBE]]&gt;0,tbal[[#This Row],[HABER]]-tbal[[#This Row],[DEBE]],0)</f>
        <v>0</v>
      </c>
      <c r="I2423" s="16">
        <f>IF((OR(tbal[[#This Row],[X]]=1,tbal[[#This Row],[X]]=2)),tbal[[#This Row],[DEUDOR]],0)</f>
        <v>0</v>
      </c>
      <c r="J2423" s="18">
        <f>IF((OR(tbal[[#This Row],[X]]=2,tbal[[#This Row],[X]]=3)),tbal[[#This Row],[ACREEDOR]],0)</f>
        <v>0</v>
      </c>
      <c r="K2423" s="16">
        <f>IF((OR(tbal[[#This Row],[X]]=3,tbal[[#This Row],[X]]=5)),tbal[[#This Row],[DEUDOR]],0)</f>
        <v>0</v>
      </c>
      <c r="L2423" s="18">
        <f>IF((OR(tbal[[#This Row],[X]]=3,tbal[[#This Row],[X]]=4)),tbal[[#This Row],[ACREEDOR]],0)</f>
        <v>0</v>
      </c>
      <c r="M2423" s="16">
        <f>IF((OR(tbal[[#This Row],[X]]=0,tbal[[#This Row],[X]]=6)),tbal[[#This Row],[DEUDOR]],0)</f>
        <v>0</v>
      </c>
      <c r="N2423" s="18">
        <f>IF((OR(tbal[[#This Row],[X]]=0,tbal[[#This Row],[X]]=5)),tbal[[#This Row],[ACREEDOR]],0)</f>
        <v>0</v>
      </c>
    </row>
    <row r="2424" spans="1:14" hidden="1" x14ac:dyDescent="0.3">
      <c r="A2424" s="14">
        <f>+'PLAN DE CUENTAS'!A2424</f>
        <v>0</v>
      </c>
      <c r="B2424" s="13">
        <f>+'PLAN DE CUENTAS'!B2424</f>
        <v>0</v>
      </c>
      <c r="C2424" s="13">
        <f>+'PLAN DE CUENTAS'!C2424</f>
        <v>0</v>
      </c>
      <c r="D2424" t="str">
        <f>IF(tbal[[#This Row],[DEBE]]+tbal[[#This Row],[HABER]]=0,"","X")</f>
        <v/>
      </c>
      <c r="E2424" s="16">
        <f>SUMIF(tdiario[CUENTA],tbal[[#This Row],[CUENTA]],tdiario[DEBE])</f>
        <v>0</v>
      </c>
      <c r="F2424" s="17">
        <f>SUMIF(tdiario[CUENTA],tbal[[#This Row],[CUENTA]],tdiario[HABER])</f>
        <v>0</v>
      </c>
      <c r="G2424" s="16">
        <f>IF(tbal[[#This Row],[DEBE]]-tbal[[#This Row],[HABER]]&gt;0,tbal[[#This Row],[DEBE]]-tbal[[#This Row],[HABER]],0)</f>
        <v>0</v>
      </c>
      <c r="H2424" s="18">
        <f>IF(tbal[[#This Row],[HABER]]-tbal[[#This Row],[DEBE]]&gt;0,tbal[[#This Row],[HABER]]-tbal[[#This Row],[DEBE]],0)</f>
        <v>0</v>
      </c>
      <c r="I2424" s="16">
        <f>IF((OR(tbal[[#This Row],[X]]=1,tbal[[#This Row],[X]]=2)),tbal[[#This Row],[DEUDOR]],0)</f>
        <v>0</v>
      </c>
      <c r="J2424" s="18">
        <f>IF((OR(tbal[[#This Row],[X]]=2,tbal[[#This Row],[X]]=3)),tbal[[#This Row],[ACREEDOR]],0)</f>
        <v>0</v>
      </c>
      <c r="K2424" s="16">
        <f>IF((OR(tbal[[#This Row],[X]]=3,tbal[[#This Row],[X]]=5)),tbal[[#This Row],[DEUDOR]],0)</f>
        <v>0</v>
      </c>
      <c r="L2424" s="18">
        <f>IF((OR(tbal[[#This Row],[X]]=3,tbal[[#This Row],[X]]=4)),tbal[[#This Row],[ACREEDOR]],0)</f>
        <v>0</v>
      </c>
      <c r="M2424" s="16">
        <f>IF((OR(tbal[[#This Row],[X]]=0,tbal[[#This Row],[X]]=6)),tbal[[#This Row],[DEUDOR]],0)</f>
        <v>0</v>
      </c>
      <c r="N2424" s="18">
        <f>IF((OR(tbal[[#This Row],[X]]=0,tbal[[#This Row],[X]]=5)),tbal[[#This Row],[ACREEDOR]],0)</f>
        <v>0</v>
      </c>
    </row>
    <row r="2425" spans="1:14" hidden="1" x14ac:dyDescent="0.3">
      <c r="A2425" s="14">
        <f>+'PLAN DE CUENTAS'!A2425</f>
        <v>0</v>
      </c>
      <c r="B2425" s="13">
        <f>+'PLAN DE CUENTAS'!B2425</f>
        <v>0</v>
      </c>
      <c r="C2425" s="13">
        <f>+'PLAN DE CUENTAS'!C2425</f>
        <v>0</v>
      </c>
      <c r="D2425" t="str">
        <f>IF(tbal[[#This Row],[DEBE]]+tbal[[#This Row],[HABER]]=0,"","X")</f>
        <v/>
      </c>
      <c r="E2425" s="16">
        <f>SUMIF(tdiario[CUENTA],tbal[[#This Row],[CUENTA]],tdiario[DEBE])</f>
        <v>0</v>
      </c>
      <c r="F2425" s="17">
        <f>SUMIF(tdiario[CUENTA],tbal[[#This Row],[CUENTA]],tdiario[HABER])</f>
        <v>0</v>
      </c>
      <c r="G2425" s="16">
        <f>IF(tbal[[#This Row],[DEBE]]-tbal[[#This Row],[HABER]]&gt;0,tbal[[#This Row],[DEBE]]-tbal[[#This Row],[HABER]],0)</f>
        <v>0</v>
      </c>
      <c r="H2425" s="18">
        <f>IF(tbal[[#This Row],[HABER]]-tbal[[#This Row],[DEBE]]&gt;0,tbal[[#This Row],[HABER]]-tbal[[#This Row],[DEBE]],0)</f>
        <v>0</v>
      </c>
      <c r="I2425" s="16">
        <f>IF((OR(tbal[[#This Row],[X]]=1,tbal[[#This Row],[X]]=2)),tbal[[#This Row],[DEUDOR]],0)</f>
        <v>0</v>
      </c>
      <c r="J2425" s="18">
        <f>IF((OR(tbal[[#This Row],[X]]=2,tbal[[#This Row],[X]]=3)),tbal[[#This Row],[ACREEDOR]],0)</f>
        <v>0</v>
      </c>
      <c r="K2425" s="16">
        <f>IF((OR(tbal[[#This Row],[X]]=3,tbal[[#This Row],[X]]=5)),tbal[[#This Row],[DEUDOR]],0)</f>
        <v>0</v>
      </c>
      <c r="L2425" s="18">
        <f>IF((OR(tbal[[#This Row],[X]]=3,tbal[[#This Row],[X]]=4)),tbal[[#This Row],[ACREEDOR]],0)</f>
        <v>0</v>
      </c>
      <c r="M2425" s="16">
        <f>IF((OR(tbal[[#This Row],[X]]=0,tbal[[#This Row],[X]]=6)),tbal[[#This Row],[DEUDOR]],0)</f>
        <v>0</v>
      </c>
      <c r="N2425" s="18">
        <f>IF((OR(tbal[[#This Row],[X]]=0,tbal[[#This Row],[X]]=5)),tbal[[#This Row],[ACREEDOR]],0)</f>
        <v>0</v>
      </c>
    </row>
    <row r="2426" spans="1:14" hidden="1" x14ac:dyDescent="0.3">
      <c r="A2426" s="14">
        <f>+'PLAN DE CUENTAS'!A2426</f>
        <v>0</v>
      </c>
      <c r="B2426" s="13">
        <f>+'PLAN DE CUENTAS'!B2426</f>
        <v>0</v>
      </c>
      <c r="C2426" s="13">
        <f>+'PLAN DE CUENTAS'!C2426</f>
        <v>0</v>
      </c>
      <c r="D2426" t="str">
        <f>IF(tbal[[#This Row],[DEBE]]+tbal[[#This Row],[HABER]]=0,"","X")</f>
        <v/>
      </c>
      <c r="E2426" s="16">
        <f>SUMIF(tdiario[CUENTA],tbal[[#This Row],[CUENTA]],tdiario[DEBE])</f>
        <v>0</v>
      </c>
      <c r="F2426" s="17">
        <f>SUMIF(tdiario[CUENTA],tbal[[#This Row],[CUENTA]],tdiario[HABER])</f>
        <v>0</v>
      </c>
      <c r="G2426" s="16">
        <f>IF(tbal[[#This Row],[DEBE]]-tbal[[#This Row],[HABER]]&gt;0,tbal[[#This Row],[DEBE]]-tbal[[#This Row],[HABER]],0)</f>
        <v>0</v>
      </c>
      <c r="H2426" s="18">
        <f>IF(tbal[[#This Row],[HABER]]-tbal[[#This Row],[DEBE]]&gt;0,tbal[[#This Row],[HABER]]-tbal[[#This Row],[DEBE]],0)</f>
        <v>0</v>
      </c>
      <c r="I2426" s="16">
        <f>IF((OR(tbal[[#This Row],[X]]=1,tbal[[#This Row],[X]]=2)),tbal[[#This Row],[DEUDOR]],0)</f>
        <v>0</v>
      </c>
      <c r="J2426" s="18">
        <f>IF((OR(tbal[[#This Row],[X]]=2,tbal[[#This Row],[X]]=3)),tbal[[#This Row],[ACREEDOR]],0)</f>
        <v>0</v>
      </c>
      <c r="K2426" s="16">
        <f>IF((OR(tbal[[#This Row],[X]]=3,tbal[[#This Row],[X]]=5)),tbal[[#This Row],[DEUDOR]],0)</f>
        <v>0</v>
      </c>
      <c r="L2426" s="18">
        <f>IF((OR(tbal[[#This Row],[X]]=3,tbal[[#This Row],[X]]=4)),tbal[[#This Row],[ACREEDOR]],0)</f>
        <v>0</v>
      </c>
      <c r="M2426" s="16">
        <f>IF((OR(tbal[[#This Row],[X]]=0,tbal[[#This Row],[X]]=6)),tbal[[#This Row],[DEUDOR]],0)</f>
        <v>0</v>
      </c>
      <c r="N2426" s="18">
        <f>IF((OR(tbal[[#This Row],[X]]=0,tbal[[#This Row],[X]]=5)),tbal[[#This Row],[ACREEDOR]],0)</f>
        <v>0</v>
      </c>
    </row>
    <row r="2427" spans="1:14" hidden="1" x14ac:dyDescent="0.3">
      <c r="A2427" s="14">
        <f>+'PLAN DE CUENTAS'!A2427</f>
        <v>0</v>
      </c>
      <c r="B2427" s="13">
        <f>+'PLAN DE CUENTAS'!B2427</f>
        <v>0</v>
      </c>
      <c r="C2427" s="13">
        <f>+'PLAN DE CUENTAS'!C2427</f>
        <v>0</v>
      </c>
      <c r="D2427" t="str">
        <f>IF(tbal[[#This Row],[DEBE]]+tbal[[#This Row],[HABER]]=0,"","X")</f>
        <v/>
      </c>
      <c r="E2427" s="16">
        <f>SUMIF(tdiario[CUENTA],tbal[[#This Row],[CUENTA]],tdiario[DEBE])</f>
        <v>0</v>
      </c>
      <c r="F2427" s="17">
        <f>SUMIF(tdiario[CUENTA],tbal[[#This Row],[CUENTA]],tdiario[HABER])</f>
        <v>0</v>
      </c>
      <c r="G2427" s="16">
        <f>IF(tbal[[#This Row],[DEBE]]-tbal[[#This Row],[HABER]]&gt;0,tbal[[#This Row],[DEBE]]-tbal[[#This Row],[HABER]],0)</f>
        <v>0</v>
      </c>
      <c r="H2427" s="18">
        <f>IF(tbal[[#This Row],[HABER]]-tbal[[#This Row],[DEBE]]&gt;0,tbal[[#This Row],[HABER]]-tbal[[#This Row],[DEBE]],0)</f>
        <v>0</v>
      </c>
      <c r="I2427" s="16">
        <f>IF((OR(tbal[[#This Row],[X]]=1,tbal[[#This Row],[X]]=2)),tbal[[#This Row],[DEUDOR]],0)</f>
        <v>0</v>
      </c>
      <c r="J2427" s="18">
        <f>IF((OR(tbal[[#This Row],[X]]=2,tbal[[#This Row],[X]]=3)),tbal[[#This Row],[ACREEDOR]],0)</f>
        <v>0</v>
      </c>
      <c r="K2427" s="16">
        <f>IF((OR(tbal[[#This Row],[X]]=3,tbal[[#This Row],[X]]=5)),tbal[[#This Row],[DEUDOR]],0)</f>
        <v>0</v>
      </c>
      <c r="L2427" s="18">
        <f>IF((OR(tbal[[#This Row],[X]]=3,tbal[[#This Row],[X]]=4)),tbal[[#This Row],[ACREEDOR]],0)</f>
        <v>0</v>
      </c>
      <c r="M2427" s="16">
        <f>IF((OR(tbal[[#This Row],[X]]=0,tbal[[#This Row],[X]]=6)),tbal[[#This Row],[DEUDOR]],0)</f>
        <v>0</v>
      </c>
      <c r="N2427" s="18">
        <f>IF((OR(tbal[[#This Row],[X]]=0,tbal[[#This Row],[X]]=5)),tbal[[#This Row],[ACREEDOR]],0)</f>
        <v>0</v>
      </c>
    </row>
    <row r="2428" spans="1:14" hidden="1" x14ac:dyDescent="0.3">
      <c r="A2428" s="14">
        <f>+'PLAN DE CUENTAS'!A2428</f>
        <v>0</v>
      </c>
      <c r="B2428" s="13">
        <f>+'PLAN DE CUENTAS'!B2428</f>
        <v>0</v>
      </c>
      <c r="C2428" s="13">
        <f>+'PLAN DE CUENTAS'!C2428</f>
        <v>0</v>
      </c>
      <c r="D2428" t="str">
        <f>IF(tbal[[#This Row],[DEBE]]+tbal[[#This Row],[HABER]]=0,"","X")</f>
        <v/>
      </c>
      <c r="E2428" s="16">
        <f>SUMIF(tdiario[CUENTA],tbal[[#This Row],[CUENTA]],tdiario[DEBE])</f>
        <v>0</v>
      </c>
      <c r="F2428" s="17">
        <f>SUMIF(tdiario[CUENTA],tbal[[#This Row],[CUENTA]],tdiario[HABER])</f>
        <v>0</v>
      </c>
      <c r="G2428" s="16">
        <f>IF(tbal[[#This Row],[DEBE]]-tbal[[#This Row],[HABER]]&gt;0,tbal[[#This Row],[DEBE]]-tbal[[#This Row],[HABER]],0)</f>
        <v>0</v>
      </c>
      <c r="H2428" s="18">
        <f>IF(tbal[[#This Row],[HABER]]-tbal[[#This Row],[DEBE]]&gt;0,tbal[[#This Row],[HABER]]-tbal[[#This Row],[DEBE]],0)</f>
        <v>0</v>
      </c>
      <c r="I2428" s="16">
        <f>IF((OR(tbal[[#This Row],[X]]=1,tbal[[#This Row],[X]]=2)),tbal[[#This Row],[DEUDOR]],0)</f>
        <v>0</v>
      </c>
      <c r="J2428" s="18">
        <f>IF((OR(tbal[[#This Row],[X]]=2,tbal[[#This Row],[X]]=3)),tbal[[#This Row],[ACREEDOR]],0)</f>
        <v>0</v>
      </c>
      <c r="K2428" s="16">
        <f>IF((OR(tbal[[#This Row],[X]]=3,tbal[[#This Row],[X]]=5)),tbal[[#This Row],[DEUDOR]],0)</f>
        <v>0</v>
      </c>
      <c r="L2428" s="18">
        <f>IF((OR(tbal[[#This Row],[X]]=3,tbal[[#This Row],[X]]=4)),tbal[[#This Row],[ACREEDOR]],0)</f>
        <v>0</v>
      </c>
      <c r="M2428" s="16">
        <f>IF((OR(tbal[[#This Row],[X]]=0,tbal[[#This Row],[X]]=6)),tbal[[#This Row],[DEUDOR]],0)</f>
        <v>0</v>
      </c>
      <c r="N2428" s="18">
        <f>IF((OR(tbal[[#This Row],[X]]=0,tbal[[#This Row],[X]]=5)),tbal[[#This Row],[ACREEDOR]],0)</f>
        <v>0</v>
      </c>
    </row>
    <row r="2429" spans="1:14" hidden="1" x14ac:dyDescent="0.3">
      <c r="A2429" s="14">
        <f>+'PLAN DE CUENTAS'!A2429</f>
        <v>0</v>
      </c>
      <c r="B2429" s="13">
        <f>+'PLAN DE CUENTAS'!B2429</f>
        <v>0</v>
      </c>
      <c r="C2429" s="13">
        <f>+'PLAN DE CUENTAS'!C2429</f>
        <v>0</v>
      </c>
      <c r="D2429" t="str">
        <f>IF(tbal[[#This Row],[DEBE]]+tbal[[#This Row],[HABER]]=0,"","X")</f>
        <v/>
      </c>
      <c r="E2429" s="16">
        <f>SUMIF(tdiario[CUENTA],tbal[[#This Row],[CUENTA]],tdiario[DEBE])</f>
        <v>0</v>
      </c>
      <c r="F2429" s="17">
        <f>SUMIF(tdiario[CUENTA],tbal[[#This Row],[CUENTA]],tdiario[HABER])</f>
        <v>0</v>
      </c>
      <c r="G2429" s="16">
        <f>IF(tbal[[#This Row],[DEBE]]-tbal[[#This Row],[HABER]]&gt;0,tbal[[#This Row],[DEBE]]-tbal[[#This Row],[HABER]],0)</f>
        <v>0</v>
      </c>
      <c r="H2429" s="18">
        <f>IF(tbal[[#This Row],[HABER]]-tbal[[#This Row],[DEBE]]&gt;0,tbal[[#This Row],[HABER]]-tbal[[#This Row],[DEBE]],0)</f>
        <v>0</v>
      </c>
      <c r="I2429" s="16">
        <f>IF((OR(tbal[[#This Row],[X]]=1,tbal[[#This Row],[X]]=2)),tbal[[#This Row],[DEUDOR]],0)</f>
        <v>0</v>
      </c>
      <c r="J2429" s="18">
        <f>IF((OR(tbal[[#This Row],[X]]=2,tbal[[#This Row],[X]]=3)),tbal[[#This Row],[ACREEDOR]],0)</f>
        <v>0</v>
      </c>
      <c r="K2429" s="16">
        <f>IF((OR(tbal[[#This Row],[X]]=3,tbal[[#This Row],[X]]=5)),tbal[[#This Row],[DEUDOR]],0)</f>
        <v>0</v>
      </c>
      <c r="L2429" s="18">
        <f>IF((OR(tbal[[#This Row],[X]]=3,tbal[[#This Row],[X]]=4)),tbal[[#This Row],[ACREEDOR]],0)</f>
        <v>0</v>
      </c>
      <c r="M2429" s="16">
        <f>IF((OR(tbal[[#This Row],[X]]=0,tbal[[#This Row],[X]]=6)),tbal[[#This Row],[DEUDOR]],0)</f>
        <v>0</v>
      </c>
      <c r="N2429" s="18">
        <f>IF((OR(tbal[[#This Row],[X]]=0,tbal[[#This Row],[X]]=5)),tbal[[#This Row],[ACREEDOR]],0)</f>
        <v>0</v>
      </c>
    </row>
    <row r="2430" spans="1:14" hidden="1" x14ac:dyDescent="0.3">
      <c r="A2430" s="14">
        <f>+'PLAN DE CUENTAS'!A2430</f>
        <v>0</v>
      </c>
      <c r="B2430" s="13">
        <f>+'PLAN DE CUENTAS'!B2430</f>
        <v>0</v>
      </c>
      <c r="C2430" s="13">
        <f>+'PLAN DE CUENTAS'!C2430</f>
        <v>0</v>
      </c>
      <c r="D2430" t="str">
        <f>IF(tbal[[#This Row],[DEBE]]+tbal[[#This Row],[HABER]]=0,"","X")</f>
        <v/>
      </c>
      <c r="E2430" s="16">
        <f>SUMIF(tdiario[CUENTA],tbal[[#This Row],[CUENTA]],tdiario[DEBE])</f>
        <v>0</v>
      </c>
      <c r="F2430" s="17">
        <f>SUMIF(tdiario[CUENTA],tbal[[#This Row],[CUENTA]],tdiario[HABER])</f>
        <v>0</v>
      </c>
      <c r="G2430" s="16">
        <f>IF(tbal[[#This Row],[DEBE]]-tbal[[#This Row],[HABER]]&gt;0,tbal[[#This Row],[DEBE]]-tbal[[#This Row],[HABER]],0)</f>
        <v>0</v>
      </c>
      <c r="H2430" s="18">
        <f>IF(tbal[[#This Row],[HABER]]-tbal[[#This Row],[DEBE]]&gt;0,tbal[[#This Row],[HABER]]-tbal[[#This Row],[DEBE]],0)</f>
        <v>0</v>
      </c>
      <c r="I2430" s="16">
        <f>IF((OR(tbal[[#This Row],[X]]=1,tbal[[#This Row],[X]]=2)),tbal[[#This Row],[DEUDOR]],0)</f>
        <v>0</v>
      </c>
      <c r="J2430" s="18">
        <f>IF((OR(tbal[[#This Row],[X]]=2,tbal[[#This Row],[X]]=3)),tbal[[#This Row],[ACREEDOR]],0)</f>
        <v>0</v>
      </c>
      <c r="K2430" s="16">
        <f>IF((OR(tbal[[#This Row],[X]]=3,tbal[[#This Row],[X]]=5)),tbal[[#This Row],[DEUDOR]],0)</f>
        <v>0</v>
      </c>
      <c r="L2430" s="18">
        <f>IF((OR(tbal[[#This Row],[X]]=3,tbal[[#This Row],[X]]=4)),tbal[[#This Row],[ACREEDOR]],0)</f>
        <v>0</v>
      </c>
      <c r="M2430" s="16">
        <f>IF((OR(tbal[[#This Row],[X]]=0,tbal[[#This Row],[X]]=6)),tbal[[#This Row],[DEUDOR]],0)</f>
        <v>0</v>
      </c>
      <c r="N2430" s="18">
        <f>IF((OR(tbal[[#This Row],[X]]=0,tbal[[#This Row],[X]]=5)),tbal[[#This Row],[ACREEDOR]],0)</f>
        <v>0</v>
      </c>
    </row>
    <row r="2431" spans="1:14" hidden="1" x14ac:dyDescent="0.3">
      <c r="A2431" s="14">
        <f>+'PLAN DE CUENTAS'!A2431</f>
        <v>0</v>
      </c>
      <c r="B2431" s="13">
        <f>+'PLAN DE CUENTAS'!B2431</f>
        <v>0</v>
      </c>
      <c r="C2431" s="13">
        <f>+'PLAN DE CUENTAS'!C2431</f>
        <v>0</v>
      </c>
      <c r="D2431" t="str">
        <f>IF(tbal[[#This Row],[DEBE]]+tbal[[#This Row],[HABER]]=0,"","X")</f>
        <v/>
      </c>
      <c r="E2431" s="16">
        <f>SUMIF(tdiario[CUENTA],tbal[[#This Row],[CUENTA]],tdiario[DEBE])</f>
        <v>0</v>
      </c>
      <c r="F2431" s="17">
        <f>SUMIF(tdiario[CUENTA],tbal[[#This Row],[CUENTA]],tdiario[HABER])</f>
        <v>0</v>
      </c>
      <c r="G2431" s="16">
        <f>IF(tbal[[#This Row],[DEBE]]-tbal[[#This Row],[HABER]]&gt;0,tbal[[#This Row],[DEBE]]-tbal[[#This Row],[HABER]],0)</f>
        <v>0</v>
      </c>
      <c r="H2431" s="18">
        <f>IF(tbal[[#This Row],[HABER]]-tbal[[#This Row],[DEBE]]&gt;0,tbal[[#This Row],[HABER]]-tbal[[#This Row],[DEBE]],0)</f>
        <v>0</v>
      </c>
      <c r="I2431" s="16">
        <f>IF((OR(tbal[[#This Row],[X]]=1,tbal[[#This Row],[X]]=2)),tbal[[#This Row],[DEUDOR]],0)</f>
        <v>0</v>
      </c>
      <c r="J2431" s="18">
        <f>IF((OR(tbal[[#This Row],[X]]=2,tbal[[#This Row],[X]]=3)),tbal[[#This Row],[ACREEDOR]],0)</f>
        <v>0</v>
      </c>
      <c r="K2431" s="16">
        <f>IF((OR(tbal[[#This Row],[X]]=3,tbal[[#This Row],[X]]=5)),tbal[[#This Row],[DEUDOR]],0)</f>
        <v>0</v>
      </c>
      <c r="L2431" s="18">
        <f>IF((OR(tbal[[#This Row],[X]]=3,tbal[[#This Row],[X]]=4)),tbal[[#This Row],[ACREEDOR]],0)</f>
        <v>0</v>
      </c>
      <c r="M2431" s="16">
        <f>IF((OR(tbal[[#This Row],[X]]=0,tbal[[#This Row],[X]]=6)),tbal[[#This Row],[DEUDOR]],0)</f>
        <v>0</v>
      </c>
      <c r="N2431" s="18">
        <f>IF((OR(tbal[[#This Row],[X]]=0,tbal[[#This Row],[X]]=5)),tbal[[#This Row],[ACREEDOR]],0)</f>
        <v>0</v>
      </c>
    </row>
    <row r="2432" spans="1:14" hidden="1" x14ac:dyDescent="0.3">
      <c r="A2432" s="14">
        <f>+'PLAN DE CUENTAS'!A2432</f>
        <v>0</v>
      </c>
      <c r="B2432" s="13">
        <f>+'PLAN DE CUENTAS'!B2432</f>
        <v>0</v>
      </c>
      <c r="C2432" s="13">
        <f>+'PLAN DE CUENTAS'!C2432</f>
        <v>0</v>
      </c>
      <c r="D2432" t="str">
        <f>IF(tbal[[#This Row],[DEBE]]+tbal[[#This Row],[HABER]]=0,"","X")</f>
        <v/>
      </c>
      <c r="E2432" s="16">
        <f>SUMIF(tdiario[CUENTA],tbal[[#This Row],[CUENTA]],tdiario[DEBE])</f>
        <v>0</v>
      </c>
      <c r="F2432" s="17">
        <f>SUMIF(tdiario[CUENTA],tbal[[#This Row],[CUENTA]],tdiario[HABER])</f>
        <v>0</v>
      </c>
      <c r="G2432" s="16">
        <f>IF(tbal[[#This Row],[DEBE]]-tbal[[#This Row],[HABER]]&gt;0,tbal[[#This Row],[DEBE]]-tbal[[#This Row],[HABER]],0)</f>
        <v>0</v>
      </c>
      <c r="H2432" s="18">
        <f>IF(tbal[[#This Row],[HABER]]-tbal[[#This Row],[DEBE]]&gt;0,tbal[[#This Row],[HABER]]-tbal[[#This Row],[DEBE]],0)</f>
        <v>0</v>
      </c>
      <c r="I2432" s="16">
        <f>IF((OR(tbal[[#This Row],[X]]=1,tbal[[#This Row],[X]]=2)),tbal[[#This Row],[DEUDOR]],0)</f>
        <v>0</v>
      </c>
      <c r="J2432" s="18">
        <f>IF((OR(tbal[[#This Row],[X]]=2,tbal[[#This Row],[X]]=3)),tbal[[#This Row],[ACREEDOR]],0)</f>
        <v>0</v>
      </c>
      <c r="K2432" s="16">
        <f>IF((OR(tbal[[#This Row],[X]]=3,tbal[[#This Row],[X]]=5)),tbal[[#This Row],[DEUDOR]],0)</f>
        <v>0</v>
      </c>
      <c r="L2432" s="18">
        <f>IF((OR(tbal[[#This Row],[X]]=3,tbal[[#This Row],[X]]=4)),tbal[[#This Row],[ACREEDOR]],0)</f>
        <v>0</v>
      </c>
      <c r="M2432" s="16">
        <f>IF((OR(tbal[[#This Row],[X]]=0,tbal[[#This Row],[X]]=6)),tbal[[#This Row],[DEUDOR]],0)</f>
        <v>0</v>
      </c>
      <c r="N2432" s="18">
        <f>IF((OR(tbal[[#This Row],[X]]=0,tbal[[#This Row],[X]]=5)),tbal[[#This Row],[ACREEDOR]],0)</f>
        <v>0</v>
      </c>
    </row>
    <row r="2433" spans="1:14" hidden="1" x14ac:dyDescent="0.3">
      <c r="A2433" s="14">
        <f>+'PLAN DE CUENTAS'!A2433</f>
        <v>0</v>
      </c>
      <c r="B2433" s="13">
        <f>+'PLAN DE CUENTAS'!B2433</f>
        <v>0</v>
      </c>
      <c r="C2433" s="13">
        <f>+'PLAN DE CUENTAS'!C2433</f>
        <v>0</v>
      </c>
      <c r="D2433" t="str">
        <f>IF(tbal[[#This Row],[DEBE]]+tbal[[#This Row],[HABER]]=0,"","X")</f>
        <v/>
      </c>
      <c r="E2433" s="16">
        <f>SUMIF(tdiario[CUENTA],tbal[[#This Row],[CUENTA]],tdiario[DEBE])</f>
        <v>0</v>
      </c>
      <c r="F2433" s="17">
        <f>SUMIF(tdiario[CUENTA],tbal[[#This Row],[CUENTA]],tdiario[HABER])</f>
        <v>0</v>
      </c>
      <c r="G2433" s="16">
        <f>IF(tbal[[#This Row],[DEBE]]-tbal[[#This Row],[HABER]]&gt;0,tbal[[#This Row],[DEBE]]-tbal[[#This Row],[HABER]],0)</f>
        <v>0</v>
      </c>
      <c r="H2433" s="18">
        <f>IF(tbal[[#This Row],[HABER]]-tbal[[#This Row],[DEBE]]&gt;0,tbal[[#This Row],[HABER]]-tbal[[#This Row],[DEBE]],0)</f>
        <v>0</v>
      </c>
      <c r="I2433" s="16">
        <f>IF((OR(tbal[[#This Row],[X]]=1,tbal[[#This Row],[X]]=2)),tbal[[#This Row],[DEUDOR]],0)</f>
        <v>0</v>
      </c>
      <c r="J2433" s="18">
        <f>IF((OR(tbal[[#This Row],[X]]=2,tbal[[#This Row],[X]]=3)),tbal[[#This Row],[ACREEDOR]],0)</f>
        <v>0</v>
      </c>
      <c r="K2433" s="16">
        <f>IF((OR(tbal[[#This Row],[X]]=3,tbal[[#This Row],[X]]=5)),tbal[[#This Row],[DEUDOR]],0)</f>
        <v>0</v>
      </c>
      <c r="L2433" s="18">
        <f>IF((OR(tbal[[#This Row],[X]]=3,tbal[[#This Row],[X]]=4)),tbal[[#This Row],[ACREEDOR]],0)</f>
        <v>0</v>
      </c>
      <c r="M2433" s="16">
        <f>IF((OR(tbal[[#This Row],[X]]=0,tbal[[#This Row],[X]]=6)),tbal[[#This Row],[DEUDOR]],0)</f>
        <v>0</v>
      </c>
      <c r="N2433" s="18">
        <f>IF((OR(tbal[[#This Row],[X]]=0,tbal[[#This Row],[X]]=5)),tbal[[#This Row],[ACREEDOR]],0)</f>
        <v>0</v>
      </c>
    </row>
    <row r="2434" spans="1:14" hidden="1" x14ac:dyDescent="0.3">
      <c r="A2434" s="14">
        <f>+'PLAN DE CUENTAS'!A2434</f>
        <v>0</v>
      </c>
      <c r="B2434" s="13">
        <f>+'PLAN DE CUENTAS'!B2434</f>
        <v>0</v>
      </c>
      <c r="C2434" s="13">
        <f>+'PLAN DE CUENTAS'!C2434</f>
        <v>0</v>
      </c>
      <c r="D2434" t="str">
        <f>IF(tbal[[#This Row],[DEBE]]+tbal[[#This Row],[HABER]]=0,"","X")</f>
        <v/>
      </c>
      <c r="E2434" s="16">
        <f>SUMIF(tdiario[CUENTA],tbal[[#This Row],[CUENTA]],tdiario[DEBE])</f>
        <v>0</v>
      </c>
      <c r="F2434" s="17">
        <f>SUMIF(tdiario[CUENTA],tbal[[#This Row],[CUENTA]],tdiario[HABER])</f>
        <v>0</v>
      </c>
      <c r="G2434" s="16">
        <f>IF(tbal[[#This Row],[DEBE]]-tbal[[#This Row],[HABER]]&gt;0,tbal[[#This Row],[DEBE]]-tbal[[#This Row],[HABER]],0)</f>
        <v>0</v>
      </c>
      <c r="H2434" s="18">
        <f>IF(tbal[[#This Row],[HABER]]-tbal[[#This Row],[DEBE]]&gt;0,tbal[[#This Row],[HABER]]-tbal[[#This Row],[DEBE]],0)</f>
        <v>0</v>
      </c>
      <c r="I2434" s="16">
        <f>IF((OR(tbal[[#This Row],[X]]=1,tbal[[#This Row],[X]]=2)),tbal[[#This Row],[DEUDOR]],0)</f>
        <v>0</v>
      </c>
      <c r="J2434" s="18">
        <f>IF((OR(tbal[[#This Row],[X]]=2,tbal[[#This Row],[X]]=3)),tbal[[#This Row],[ACREEDOR]],0)</f>
        <v>0</v>
      </c>
      <c r="K2434" s="16">
        <f>IF((OR(tbal[[#This Row],[X]]=3,tbal[[#This Row],[X]]=5)),tbal[[#This Row],[DEUDOR]],0)</f>
        <v>0</v>
      </c>
      <c r="L2434" s="18">
        <f>IF((OR(tbal[[#This Row],[X]]=3,tbal[[#This Row],[X]]=4)),tbal[[#This Row],[ACREEDOR]],0)</f>
        <v>0</v>
      </c>
      <c r="M2434" s="16">
        <f>IF((OR(tbal[[#This Row],[X]]=0,tbal[[#This Row],[X]]=6)),tbal[[#This Row],[DEUDOR]],0)</f>
        <v>0</v>
      </c>
      <c r="N2434" s="18">
        <f>IF((OR(tbal[[#This Row],[X]]=0,tbal[[#This Row],[X]]=5)),tbal[[#This Row],[ACREEDOR]],0)</f>
        <v>0</v>
      </c>
    </row>
    <row r="2435" spans="1:14" hidden="1" x14ac:dyDescent="0.3">
      <c r="A2435" s="14">
        <f>+'PLAN DE CUENTAS'!A2435</f>
        <v>0</v>
      </c>
      <c r="B2435" s="13">
        <f>+'PLAN DE CUENTAS'!B2435</f>
        <v>0</v>
      </c>
      <c r="C2435" s="13">
        <f>+'PLAN DE CUENTAS'!C2435</f>
        <v>0</v>
      </c>
      <c r="D2435" t="str">
        <f>IF(tbal[[#This Row],[DEBE]]+tbal[[#This Row],[HABER]]=0,"","X")</f>
        <v/>
      </c>
      <c r="E2435" s="16">
        <f>SUMIF(tdiario[CUENTA],tbal[[#This Row],[CUENTA]],tdiario[DEBE])</f>
        <v>0</v>
      </c>
      <c r="F2435" s="17">
        <f>SUMIF(tdiario[CUENTA],tbal[[#This Row],[CUENTA]],tdiario[HABER])</f>
        <v>0</v>
      </c>
      <c r="G2435" s="16">
        <f>IF(tbal[[#This Row],[DEBE]]-tbal[[#This Row],[HABER]]&gt;0,tbal[[#This Row],[DEBE]]-tbal[[#This Row],[HABER]],0)</f>
        <v>0</v>
      </c>
      <c r="H2435" s="18">
        <f>IF(tbal[[#This Row],[HABER]]-tbal[[#This Row],[DEBE]]&gt;0,tbal[[#This Row],[HABER]]-tbal[[#This Row],[DEBE]],0)</f>
        <v>0</v>
      </c>
      <c r="I2435" s="16">
        <f>IF((OR(tbal[[#This Row],[X]]=1,tbal[[#This Row],[X]]=2)),tbal[[#This Row],[DEUDOR]],0)</f>
        <v>0</v>
      </c>
      <c r="J2435" s="18">
        <f>IF((OR(tbal[[#This Row],[X]]=2,tbal[[#This Row],[X]]=3)),tbal[[#This Row],[ACREEDOR]],0)</f>
        <v>0</v>
      </c>
      <c r="K2435" s="16">
        <f>IF((OR(tbal[[#This Row],[X]]=3,tbal[[#This Row],[X]]=5)),tbal[[#This Row],[DEUDOR]],0)</f>
        <v>0</v>
      </c>
      <c r="L2435" s="18">
        <f>IF((OR(tbal[[#This Row],[X]]=3,tbal[[#This Row],[X]]=4)),tbal[[#This Row],[ACREEDOR]],0)</f>
        <v>0</v>
      </c>
      <c r="M2435" s="16">
        <f>IF((OR(tbal[[#This Row],[X]]=0,tbal[[#This Row],[X]]=6)),tbal[[#This Row],[DEUDOR]],0)</f>
        <v>0</v>
      </c>
      <c r="N2435" s="18">
        <f>IF((OR(tbal[[#This Row],[X]]=0,tbal[[#This Row],[X]]=5)),tbal[[#This Row],[ACREEDOR]],0)</f>
        <v>0</v>
      </c>
    </row>
    <row r="2436" spans="1:14" hidden="1" x14ac:dyDescent="0.3">
      <c r="A2436" s="14">
        <f>+'PLAN DE CUENTAS'!A2436</f>
        <v>0</v>
      </c>
      <c r="B2436" s="13">
        <f>+'PLAN DE CUENTAS'!B2436</f>
        <v>0</v>
      </c>
      <c r="C2436" s="13">
        <f>+'PLAN DE CUENTAS'!C2436</f>
        <v>0</v>
      </c>
      <c r="D2436" t="str">
        <f>IF(tbal[[#This Row],[DEBE]]+tbal[[#This Row],[HABER]]=0,"","X")</f>
        <v/>
      </c>
      <c r="E2436" s="16">
        <f>SUMIF(tdiario[CUENTA],tbal[[#This Row],[CUENTA]],tdiario[DEBE])</f>
        <v>0</v>
      </c>
      <c r="F2436" s="17">
        <f>SUMIF(tdiario[CUENTA],tbal[[#This Row],[CUENTA]],tdiario[HABER])</f>
        <v>0</v>
      </c>
      <c r="G2436" s="16">
        <f>IF(tbal[[#This Row],[DEBE]]-tbal[[#This Row],[HABER]]&gt;0,tbal[[#This Row],[DEBE]]-tbal[[#This Row],[HABER]],0)</f>
        <v>0</v>
      </c>
      <c r="H2436" s="18">
        <f>IF(tbal[[#This Row],[HABER]]-tbal[[#This Row],[DEBE]]&gt;0,tbal[[#This Row],[HABER]]-tbal[[#This Row],[DEBE]],0)</f>
        <v>0</v>
      </c>
      <c r="I2436" s="16">
        <f>IF((OR(tbal[[#This Row],[X]]=1,tbal[[#This Row],[X]]=2)),tbal[[#This Row],[DEUDOR]],0)</f>
        <v>0</v>
      </c>
      <c r="J2436" s="18">
        <f>IF((OR(tbal[[#This Row],[X]]=2,tbal[[#This Row],[X]]=3)),tbal[[#This Row],[ACREEDOR]],0)</f>
        <v>0</v>
      </c>
      <c r="K2436" s="16">
        <f>IF((OR(tbal[[#This Row],[X]]=3,tbal[[#This Row],[X]]=5)),tbal[[#This Row],[DEUDOR]],0)</f>
        <v>0</v>
      </c>
      <c r="L2436" s="18">
        <f>IF((OR(tbal[[#This Row],[X]]=3,tbal[[#This Row],[X]]=4)),tbal[[#This Row],[ACREEDOR]],0)</f>
        <v>0</v>
      </c>
      <c r="M2436" s="16">
        <f>IF((OR(tbal[[#This Row],[X]]=0,tbal[[#This Row],[X]]=6)),tbal[[#This Row],[DEUDOR]],0)</f>
        <v>0</v>
      </c>
      <c r="N2436" s="18">
        <f>IF((OR(tbal[[#This Row],[X]]=0,tbal[[#This Row],[X]]=5)),tbal[[#This Row],[ACREEDOR]],0)</f>
        <v>0</v>
      </c>
    </row>
    <row r="2437" spans="1:14" hidden="1" x14ac:dyDescent="0.3">
      <c r="A2437" s="14">
        <f>+'PLAN DE CUENTAS'!A2437</f>
        <v>0</v>
      </c>
      <c r="B2437" s="13">
        <f>+'PLAN DE CUENTAS'!B2437</f>
        <v>0</v>
      </c>
      <c r="C2437" s="13">
        <f>+'PLAN DE CUENTAS'!C2437</f>
        <v>0</v>
      </c>
      <c r="D2437" t="str">
        <f>IF(tbal[[#This Row],[DEBE]]+tbal[[#This Row],[HABER]]=0,"","X")</f>
        <v/>
      </c>
      <c r="E2437" s="16">
        <f>SUMIF(tdiario[CUENTA],tbal[[#This Row],[CUENTA]],tdiario[DEBE])</f>
        <v>0</v>
      </c>
      <c r="F2437" s="17">
        <f>SUMIF(tdiario[CUENTA],tbal[[#This Row],[CUENTA]],tdiario[HABER])</f>
        <v>0</v>
      </c>
      <c r="G2437" s="16">
        <f>IF(tbal[[#This Row],[DEBE]]-tbal[[#This Row],[HABER]]&gt;0,tbal[[#This Row],[DEBE]]-tbal[[#This Row],[HABER]],0)</f>
        <v>0</v>
      </c>
      <c r="H2437" s="18">
        <f>IF(tbal[[#This Row],[HABER]]-tbal[[#This Row],[DEBE]]&gt;0,tbal[[#This Row],[HABER]]-tbal[[#This Row],[DEBE]],0)</f>
        <v>0</v>
      </c>
      <c r="I2437" s="16">
        <f>IF((OR(tbal[[#This Row],[X]]=1,tbal[[#This Row],[X]]=2)),tbal[[#This Row],[DEUDOR]],0)</f>
        <v>0</v>
      </c>
      <c r="J2437" s="18">
        <f>IF((OR(tbal[[#This Row],[X]]=2,tbal[[#This Row],[X]]=3)),tbal[[#This Row],[ACREEDOR]],0)</f>
        <v>0</v>
      </c>
      <c r="K2437" s="16">
        <f>IF((OR(tbal[[#This Row],[X]]=3,tbal[[#This Row],[X]]=5)),tbal[[#This Row],[DEUDOR]],0)</f>
        <v>0</v>
      </c>
      <c r="L2437" s="18">
        <f>IF((OR(tbal[[#This Row],[X]]=3,tbal[[#This Row],[X]]=4)),tbal[[#This Row],[ACREEDOR]],0)</f>
        <v>0</v>
      </c>
      <c r="M2437" s="16">
        <f>IF((OR(tbal[[#This Row],[X]]=0,tbal[[#This Row],[X]]=6)),tbal[[#This Row],[DEUDOR]],0)</f>
        <v>0</v>
      </c>
      <c r="N2437" s="18">
        <f>IF((OR(tbal[[#This Row],[X]]=0,tbal[[#This Row],[X]]=5)),tbal[[#This Row],[ACREEDOR]],0)</f>
        <v>0</v>
      </c>
    </row>
    <row r="2438" spans="1:14" hidden="1" x14ac:dyDescent="0.3">
      <c r="A2438" s="14">
        <f>+'PLAN DE CUENTAS'!A2438</f>
        <v>0</v>
      </c>
      <c r="B2438" s="13">
        <f>+'PLAN DE CUENTAS'!B2438</f>
        <v>0</v>
      </c>
      <c r="C2438" s="13">
        <f>+'PLAN DE CUENTAS'!C2438</f>
        <v>0</v>
      </c>
      <c r="D2438" t="str">
        <f>IF(tbal[[#This Row],[DEBE]]+tbal[[#This Row],[HABER]]=0,"","X")</f>
        <v/>
      </c>
      <c r="E2438" s="16">
        <f>SUMIF(tdiario[CUENTA],tbal[[#This Row],[CUENTA]],tdiario[DEBE])</f>
        <v>0</v>
      </c>
      <c r="F2438" s="17">
        <f>SUMIF(tdiario[CUENTA],tbal[[#This Row],[CUENTA]],tdiario[HABER])</f>
        <v>0</v>
      </c>
      <c r="G2438" s="16">
        <f>IF(tbal[[#This Row],[DEBE]]-tbal[[#This Row],[HABER]]&gt;0,tbal[[#This Row],[DEBE]]-tbal[[#This Row],[HABER]],0)</f>
        <v>0</v>
      </c>
      <c r="H2438" s="18">
        <f>IF(tbal[[#This Row],[HABER]]-tbal[[#This Row],[DEBE]]&gt;0,tbal[[#This Row],[HABER]]-tbal[[#This Row],[DEBE]],0)</f>
        <v>0</v>
      </c>
      <c r="I2438" s="16">
        <f>IF((OR(tbal[[#This Row],[X]]=1,tbal[[#This Row],[X]]=2)),tbal[[#This Row],[DEUDOR]],0)</f>
        <v>0</v>
      </c>
      <c r="J2438" s="18">
        <f>IF((OR(tbal[[#This Row],[X]]=2,tbal[[#This Row],[X]]=3)),tbal[[#This Row],[ACREEDOR]],0)</f>
        <v>0</v>
      </c>
      <c r="K2438" s="16">
        <f>IF((OR(tbal[[#This Row],[X]]=3,tbal[[#This Row],[X]]=5)),tbal[[#This Row],[DEUDOR]],0)</f>
        <v>0</v>
      </c>
      <c r="L2438" s="18">
        <f>IF((OR(tbal[[#This Row],[X]]=3,tbal[[#This Row],[X]]=4)),tbal[[#This Row],[ACREEDOR]],0)</f>
        <v>0</v>
      </c>
      <c r="M2438" s="16">
        <f>IF((OR(tbal[[#This Row],[X]]=0,tbal[[#This Row],[X]]=6)),tbal[[#This Row],[DEUDOR]],0)</f>
        <v>0</v>
      </c>
      <c r="N2438" s="18">
        <f>IF((OR(tbal[[#This Row],[X]]=0,tbal[[#This Row],[X]]=5)),tbal[[#This Row],[ACREEDOR]],0)</f>
        <v>0</v>
      </c>
    </row>
    <row r="2439" spans="1:14" hidden="1" x14ac:dyDescent="0.3">
      <c r="A2439" s="14">
        <f>+'PLAN DE CUENTAS'!A2439</f>
        <v>0</v>
      </c>
      <c r="B2439" s="13">
        <f>+'PLAN DE CUENTAS'!B2439</f>
        <v>0</v>
      </c>
      <c r="C2439" s="13">
        <f>+'PLAN DE CUENTAS'!C2439</f>
        <v>0</v>
      </c>
      <c r="D2439" t="str">
        <f>IF(tbal[[#This Row],[DEBE]]+tbal[[#This Row],[HABER]]=0,"","X")</f>
        <v/>
      </c>
      <c r="E2439" s="16">
        <f>SUMIF(tdiario[CUENTA],tbal[[#This Row],[CUENTA]],tdiario[DEBE])</f>
        <v>0</v>
      </c>
      <c r="F2439" s="17">
        <f>SUMIF(tdiario[CUENTA],tbal[[#This Row],[CUENTA]],tdiario[HABER])</f>
        <v>0</v>
      </c>
      <c r="G2439" s="16">
        <f>IF(tbal[[#This Row],[DEBE]]-tbal[[#This Row],[HABER]]&gt;0,tbal[[#This Row],[DEBE]]-tbal[[#This Row],[HABER]],0)</f>
        <v>0</v>
      </c>
      <c r="H2439" s="18">
        <f>IF(tbal[[#This Row],[HABER]]-tbal[[#This Row],[DEBE]]&gt;0,tbal[[#This Row],[HABER]]-tbal[[#This Row],[DEBE]],0)</f>
        <v>0</v>
      </c>
      <c r="I2439" s="16">
        <f>IF((OR(tbal[[#This Row],[X]]=1,tbal[[#This Row],[X]]=2)),tbal[[#This Row],[DEUDOR]],0)</f>
        <v>0</v>
      </c>
      <c r="J2439" s="18">
        <f>IF((OR(tbal[[#This Row],[X]]=2,tbal[[#This Row],[X]]=3)),tbal[[#This Row],[ACREEDOR]],0)</f>
        <v>0</v>
      </c>
      <c r="K2439" s="16">
        <f>IF((OR(tbal[[#This Row],[X]]=3,tbal[[#This Row],[X]]=5)),tbal[[#This Row],[DEUDOR]],0)</f>
        <v>0</v>
      </c>
      <c r="L2439" s="18">
        <f>IF((OR(tbal[[#This Row],[X]]=3,tbal[[#This Row],[X]]=4)),tbal[[#This Row],[ACREEDOR]],0)</f>
        <v>0</v>
      </c>
      <c r="M2439" s="16">
        <f>IF((OR(tbal[[#This Row],[X]]=0,tbal[[#This Row],[X]]=6)),tbal[[#This Row],[DEUDOR]],0)</f>
        <v>0</v>
      </c>
      <c r="N2439" s="18">
        <f>IF((OR(tbal[[#This Row],[X]]=0,tbal[[#This Row],[X]]=5)),tbal[[#This Row],[ACREEDOR]],0)</f>
        <v>0</v>
      </c>
    </row>
    <row r="2440" spans="1:14" hidden="1" x14ac:dyDescent="0.3">
      <c r="A2440" s="14">
        <f>+'PLAN DE CUENTAS'!A2440</f>
        <v>0</v>
      </c>
      <c r="B2440" s="13">
        <f>+'PLAN DE CUENTAS'!B2440</f>
        <v>0</v>
      </c>
      <c r="C2440" s="13">
        <f>+'PLAN DE CUENTAS'!C2440</f>
        <v>0</v>
      </c>
      <c r="D2440" t="str">
        <f>IF(tbal[[#This Row],[DEBE]]+tbal[[#This Row],[HABER]]=0,"","X")</f>
        <v/>
      </c>
      <c r="E2440" s="16">
        <f>SUMIF(tdiario[CUENTA],tbal[[#This Row],[CUENTA]],tdiario[DEBE])</f>
        <v>0</v>
      </c>
      <c r="F2440" s="17">
        <f>SUMIF(tdiario[CUENTA],tbal[[#This Row],[CUENTA]],tdiario[HABER])</f>
        <v>0</v>
      </c>
      <c r="G2440" s="16">
        <f>IF(tbal[[#This Row],[DEBE]]-tbal[[#This Row],[HABER]]&gt;0,tbal[[#This Row],[DEBE]]-tbal[[#This Row],[HABER]],0)</f>
        <v>0</v>
      </c>
      <c r="H2440" s="18">
        <f>IF(tbal[[#This Row],[HABER]]-tbal[[#This Row],[DEBE]]&gt;0,tbal[[#This Row],[HABER]]-tbal[[#This Row],[DEBE]],0)</f>
        <v>0</v>
      </c>
      <c r="I2440" s="16">
        <f>IF((OR(tbal[[#This Row],[X]]=1,tbal[[#This Row],[X]]=2)),tbal[[#This Row],[DEUDOR]],0)</f>
        <v>0</v>
      </c>
      <c r="J2440" s="18">
        <f>IF((OR(tbal[[#This Row],[X]]=2,tbal[[#This Row],[X]]=3)),tbal[[#This Row],[ACREEDOR]],0)</f>
        <v>0</v>
      </c>
      <c r="K2440" s="16">
        <f>IF((OR(tbal[[#This Row],[X]]=3,tbal[[#This Row],[X]]=5)),tbal[[#This Row],[DEUDOR]],0)</f>
        <v>0</v>
      </c>
      <c r="L2440" s="18">
        <f>IF((OR(tbal[[#This Row],[X]]=3,tbal[[#This Row],[X]]=4)),tbal[[#This Row],[ACREEDOR]],0)</f>
        <v>0</v>
      </c>
      <c r="M2440" s="16">
        <f>IF((OR(tbal[[#This Row],[X]]=0,tbal[[#This Row],[X]]=6)),tbal[[#This Row],[DEUDOR]],0)</f>
        <v>0</v>
      </c>
      <c r="N2440" s="18">
        <f>IF((OR(tbal[[#This Row],[X]]=0,tbal[[#This Row],[X]]=5)),tbal[[#This Row],[ACREEDOR]],0)</f>
        <v>0</v>
      </c>
    </row>
    <row r="2441" spans="1:14" hidden="1" x14ac:dyDescent="0.3">
      <c r="A2441" s="14">
        <f>+'PLAN DE CUENTAS'!A2441</f>
        <v>0</v>
      </c>
      <c r="B2441" s="13">
        <f>+'PLAN DE CUENTAS'!B2441</f>
        <v>0</v>
      </c>
      <c r="C2441" s="13">
        <f>+'PLAN DE CUENTAS'!C2441</f>
        <v>0</v>
      </c>
      <c r="D2441" t="str">
        <f>IF(tbal[[#This Row],[DEBE]]+tbal[[#This Row],[HABER]]=0,"","X")</f>
        <v/>
      </c>
      <c r="E2441" s="16">
        <f>SUMIF(tdiario[CUENTA],tbal[[#This Row],[CUENTA]],tdiario[DEBE])</f>
        <v>0</v>
      </c>
      <c r="F2441" s="17">
        <f>SUMIF(tdiario[CUENTA],tbal[[#This Row],[CUENTA]],tdiario[HABER])</f>
        <v>0</v>
      </c>
      <c r="G2441" s="16">
        <f>IF(tbal[[#This Row],[DEBE]]-tbal[[#This Row],[HABER]]&gt;0,tbal[[#This Row],[DEBE]]-tbal[[#This Row],[HABER]],0)</f>
        <v>0</v>
      </c>
      <c r="H2441" s="18">
        <f>IF(tbal[[#This Row],[HABER]]-tbal[[#This Row],[DEBE]]&gt;0,tbal[[#This Row],[HABER]]-tbal[[#This Row],[DEBE]],0)</f>
        <v>0</v>
      </c>
      <c r="I2441" s="16">
        <f>IF((OR(tbal[[#This Row],[X]]=1,tbal[[#This Row],[X]]=2)),tbal[[#This Row],[DEUDOR]],0)</f>
        <v>0</v>
      </c>
      <c r="J2441" s="18">
        <f>IF((OR(tbal[[#This Row],[X]]=2,tbal[[#This Row],[X]]=3)),tbal[[#This Row],[ACREEDOR]],0)</f>
        <v>0</v>
      </c>
      <c r="K2441" s="16">
        <f>IF((OR(tbal[[#This Row],[X]]=3,tbal[[#This Row],[X]]=5)),tbal[[#This Row],[DEUDOR]],0)</f>
        <v>0</v>
      </c>
      <c r="L2441" s="18">
        <f>IF((OR(tbal[[#This Row],[X]]=3,tbal[[#This Row],[X]]=4)),tbal[[#This Row],[ACREEDOR]],0)</f>
        <v>0</v>
      </c>
      <c r="M2441" s="16">
        <f>IF((OR(tbal[[#This Row],[X]]=0,tbal[[#This Row],[X]]=6)),tbal[[#This Row],[DEUDOR]],0)</f>
        <v>0</v>
      </c>
      <c r="N2441" s="18">
        <f>IF((OR(tbal[[#This Row],[X]]=0,tbal[[#This Row],[X]]=5)),tbal[[#This Row],[ACREEDOR]],0)</f>
        <v>0</v>
      </c>
    </row>
    <row r="2442" spans="1:14" hidden="1" x14ac:dyDescent="0.3">
      <c r="A2442" s="14">
        <f>+'PLAN DE CUENTAS'!A2442</f>
        <v>0</v>
      </c>
      <c r="B2442" s="13">
        <f>+'PLAN DE CUENTAS'!B2442</f>
        <v>0</v>
      </c>
      <c r="C2442" s="13">
        <f>+'PLAN DE CUENTAS'!C2442</f>
        <v>0</v>
      </c>
      <c r="D2442" t="str">
        <f>IF(tbal[[#This Row],[DEBE]]+tbal[[#This Row],[HABER]]=0,"","X")</f>
        <v/>
      </c>
      <c r="E2442" s="16">
        <f>SUMIF(tdiario[CUENTA],tbal[[#This Row],[CUENTA]],tdiario[DEBE])</f>
        <v>0</v>
      </c>
      <c r="F2442" s="17">
        <f>SUMIF(tdiario[CUENTA],tbal[[#This Row],[CUENTA]],tdiario[HABER])</f>
        <v>0</v>
      </c>
      <c r="G2442" s="16">
        <f>IF(tbal[[#This Row],[DEBE]]-tbal[[#This Row],[HABER]]&gt;0,tbal[[#This Row],[DEBE]]-tbal[[#This Row],[HABER]],0)</f>
        <v>0</v>
      </c>
      <c r="H2442" s="18">
        <f>IF(tbal[[#This Row],[HABER]]-tbal[[#This Row],[DEBE]]&gt;0,tbal[[#This Row],[HABER]]-tbal[[#This Row],[DEBE]],0)</f>
        <v>0</v>
      </c>
      <c r="I2442" s="16">
        <f>IF((OR(tbal[[#This Row],[X]]=1,tbal[[#This Row],[X]]=2)),tbal[[#This Row],[DEUDOR]],0)</f>
        <v>0</v>
      </c>
      <c r="J2442" s="18">
        <f>IF((OR(tbal[[#This Row],[X]]=2,tbal[[#This Row],[X]]=3)),tbal[[#This Row],[ACREEDOR]],0)</f>
        <v>0</v>
      </c>
      <c r="K2442" s="16">
        <f>IF((OR(tbal[[#This Row],[X]]=3,tbal[[#This Row],[X]]=5)),tbal[[#This Row],[DEUDOR]],0)</f>
        <v>0</v>
      </c>
      <c r="L2442" s="18">
        <f>IF((OR(tbal[[#This Row],[X]]=3,tbal[[#This Row],[X]]=4)),tbal[[#This Row],[ACREEDOR]],0)</f>
        <v>0</v>
      </c>
      <c r="M2442" s="16">
        <f>IF((OR(tbal[[#This Row],[X]]=0,tbal[[#This Row],[X]]=6)),tbal[[#This Row],[DEUDOR]],0)</f>
        <v>0</v>
      </c>
      <c r="N2442" s="18">
        <f>IF((OR(tbal[[#This Row],[X]]=0,tbal[[#This Row],[X]]=5)),tbal[[#This Row],[ACREEDOR]],0)</f>
        <v>0</v>
      </c>
    </row>
    <row r="2443" spans="1:14" hidden="1" x14ac:dyDescent="0.3">
      <c r="A2443" s="14">
        <f>+'PLAN DE CUENTAS'!A2443</f>
        <v>0</v>
      </c>
      <c r="B2443" s="13">
        <f>+'PLAN DE CUENTAS'!B2443</f>
        <v>0</v>
      </c>
      <c r="C2443" s="13">
        <f>+'PLAN DE CUENTAS'!C2443</f>
        <v>0</v>
      </c>
      <c r="D2443" t="str">
        <f>IF(tbal[[#This Row],[DEBE]]+tbal[[#This Row],[HABER]]=0,"","X")</f>
        <v/>
      </c>
      <c r="E2443" s="16">
        <f>SUMIF(tdiario[CUENTA],tbal[[#This Row],[CUENTA]],tdiario[DEBE])</f>
        <v>0</v>
      </c>
      <c r="F2443" s="17">
        <f>SUMIF(tdiario[CUENTA],tbal[[#This Row],[CUENTA]],tdiario[HABER])</f>
        <v>0</v>
      </c>
      <c r="G2443" s="16">
        <f>IF(tbal[[#This Row],[DEBE]]-tbal[[#This Row],[HABER]]&gt;0,tbal[[#This Row],[DEBE]]-tbal[[#This Row],[HABER]],0)</f>
        <v>0</v>
      </c>
      <c r="H2443" s="18">
        <f>IF(tbal[[#This Row],[HABER]]-tbal[[#This Row],[DEBE]]&gt;0,tbal[[#This Row],[HABER]]-tbal[[#This Row],[DEBE]],0)</f>
        <v>0</v>
      </c>
      <c r="I2443" s="16">
        <f>IF((OR(tbal[[#This Row],[X]]=1,tbal[[#This Row],[X]]=2)),tbal[[#This Row],[DEUDOR]],0)</f>
        <v>0</v>
      </c>
      <c r="J2443" s="18">
        <f>IF((OR(tbal[[#This Row],[X]]=2,tbal[[#This Row],[X]]=3)),tbal[[#This Row],[ACREEDOR]],0)</f>
        <v>0</v>
      </c>
      <c r="K2443" s="16">
        <f>IF((OR(tbal[[#This Row],[X]]=3,tbal[[#This Row],[X]]=5)),tbal[[#This Row],[DEUDOR]],0)</f>
        <v>0</v>
      </c>
      <c r="L2443" s="18">
        <f>IF((OR(tbal[[#This Row],[X]]=3,tbal[[#This Row],[X]]=4)),tbal[[#This Row],[ACREEDOR]],0)</f>
        <v>0</v>
      </c>
      <c r="M2443" s="16">
        <f>IF((OR(tbal[[#This Row],[X]]=0,tbal[[#This Row],[X]]=6)),tbal[[#This Row],[DEUDOR]],0)</f>
        <v>0</v>
      </c>
      <c r="N2443" s="18">
        <f>IF((OR(tbal[[#This Row],[X]]=0,tbal[[#This Row],[X]]=5)),tbal[[#This Row],[ACREEDOR]],0)</f>
        <v>0</v>
      </c>
    </row>
    <row r="2444" spans="1:14" hidden="1" x14ac:dyDescent="0.3">
      <c r="A2444" s="14">
        <f>+'PLAN DE CUENTAS'!A2444</f>
        <v>0</v>
      </c>
      <c r="B2444" s="13">
        <f>+'PLAN DE CUENTAS'!B2444</f>
        <v>0</v>
      </c>
      <c r="C2444" s="13">
        <f>+'PLAN DE CUENTAS'!C2444</f>
        <v>0</v>
      </c>
      <c r="D2444" t="str">
        <f>IF(tbal[[#This Row],[DEBE]]+tbal[[#This Row],[HABER]]=0,"","X")</f>
        <v/>
      </c>
      <c r="E2444" s="16">
        <f>SUMIF(tdiario[CUENTA],tbal[[#This Row],[CUENTA]],tdiario[DEBE])</f>
        <v>0</v>
      </c>
      <c r="F2444" s="17">
        <f>SUMIF(tdiario[CUENTA],tbal[[#This Row],[CUENTA]],tdiario[HABER])</f>
        <v>0</v>
      </c>
      <c r="G2444" s="16">
        <f>IF(tbal[[#This Row],[DEBE]]-tbal[[#This Row],[HABER]]&gt;0,tbal[[#This Row],[DEBE]]-tbal[[#This Row],[HABER]],0)</f>
        <v>0</v>
      </c>
      <c r="H2444" s="18">
        <f>IF(tbal[[#This Row],[HABER]]-tbal[[#This Row],[DEBE]]&gt;0,tbal[[#This Row],[HABER]]-tbal[[#This Row],[DEBE]],0)</f>
        <v>0</v>
      </c>
      <c r="I2444" s="16">
        <f>IF((OR(tbal[[#This Row],[X]]=1,tbal[[#This Row],[X]]=2)),tbal[[#This Row],[DEUDOR]],0)</f>
        <v>0</v>
      </c>
      <c r="J2444" s="18">
        <f>IF((OR(tbal[[#This Row],[X]]=2,tbal[[#This Row],[X]]=3)),tbal[[#This Row],[ACREEDOR]],0)</f>
        <v>0</v>
      </c>
      <c r="K2444" s="16">
        <f>IF((OR(tbal[[#This Row],[X]]=3,tbal[[#This Row],[X]]=5)),tbal[[#This Row],[DEUDOR]],0)</f>
        <v>0</v>
      </c>
      <c r="L2444" s="18">
        <f>IF((OR(tbal[[#This Row],[X]]=3,tbal[[#This Row],[X]]=4)),tbal[[#This Row],[ACREEDOR]],0)</f>
        <v>0</v>
      </c>
      <c r="M2444" s="16">
        <f>IF((OR(tbal[[#This Row],[X]]=0,tbal[[#This Row],[X]]=6)),tbal[[#This Row],[DEUDOR]],0)</f>
        <v>0</v>
      </c>
      <c r="N2444" s="18">
        <f>IF((OR(tbal[[#This Row],[X]]=0,tbal[[#This Row],[X]]=5)),tbal[[#This Row],[ACREEDOR]],0)</f>
        <v>0</v>
      </c>
    </row>
    <row r="2445" spans="1:14" hidden="1" x14ac:dyDescent="0.3">
      <c r="A2445" s="14">
        <f>+'PLAN DE CUENTAS'!A2445</f>
        <v>0</v>
      </c>
      <c r="B2445" s="13">
        <f>+'PLAN DE CUENTAS'!B2445</f>
        <v>0</v>
      </c>
      <c r="C2445" s="13">
        <f>+'PLAN DE CUENTAS'!C2445</f>
        <v>0</v>
      </c>
      <c r="D2445" t="str">
        <f>IF(tbal[[#This Row],[DEBE]]+tbal[[#This Row],[HABER]]=0,"","X")</f>
        <v/>
      </c>
      <c r="E2445" s="16">
        <f>SUMIF(tdiario[CUENTA],tbal[[#This Row],[CUENTA]],tdiario[DEBE])</f>
        <v>0</v>
      </c>
      <c r="F2445" s="17">
        <f>SUMIF(tdiario[CUENTA],tbal[[#This Row],[CUENTA]],tdiario[HABER])</f>
        <v>0</v>
      </c>
      <c r="G2445" s="16">
        <f>IF(tbal[[#This Row],[DEBE]]-tbal[[#This Row],[HABER]]&gt;0,tbal[[#This Row],[DEBE]]-tbal[[#This Row],[HABER]],0)</f>
        <v>0</v>
      </c>
      <c r="H2445" s="18">
        <f>IF(tbal[[#This Row],[HABER]]-tbal[[#This Row],[DEBE]]&gt;0,tbal[[#This Row],[HABER]]-tbal[[#This Row],[DEBE]],0)</f>
        <v>0</v>
      </c>
      <c r="I2445" s="16">
        <f>IF((OR(tbal[[#This Row],[X]]=1,tbal[[#This Row],[X]]=2)),tbal[[#This Row],[DEUDOR]],0)</f>
        <v>0</v>
      </c>
      <c r="J2445" s="18">
        <f>IF((OR(tbal[[#This Row],[X]]=2,tbal[[#This Row],[X]]=3)),tbal[[#This Row],[ACREEDOR]],0)</f>
        <v>0</v>
      </c>
      <c r="K2445" s="16">
        <f>IF((OR(tbal[[#This Row],[X]]=3,tbal[[#This Row],[X]]=5)),tbal[[#This Row],[DEUDOR]],0)</f>
        <v>0</v>
      </c>
      <c r="L2445" s="18">
        <f>IF((OR(tbal[[#This Row],[X]]=3,tbal[[#This Row],[X]]=4)),tbal[[#This Row],[ACREEDOR]],0)</f>
        <v>0</v>
      </c>
      <c r="M2445" s="16">
        <f>IF((OR(tbal[[#This Row],[X]]=0,tbal[[#This Row],[X]]=6)),tbal[[#This Row],[DEUDOR]],0)</f>
        <v>0</v>
      </c>
      <c r="N2445" s="18">
        <f>IF((OR(tbal[[#This Row],[X]]=0,tbal[[#This Row],[X]]=5)),tbal[[#This Row],[ACREEDOR]],0)</f>
        <v>0</v>
      </c>
    </row>
    <row r="2446" spans="1:14" hidden="1" x14ac:dyDescent="0.3">
      <c r="A2446" s="14">
        <f>+'PLAN DE CUENTAS'!A2446</f>
        <v>0</v>
      </c>
      <c r="B2446" s="13">
        <f>+'PLAN DE CUENTAS'!B2446</f>
        <v>0</v>
      </c>
      <c r="C2446" s="13">
        <f>+'PLAN DE CUENTAS'!C2446</f>
        <v>0</v>
      </c>
      <c r="D2446" t="str">
        <f>IF(tbal[[#This Row],[DEBE]]+tbal[[#This Row],[HABER]]=0,"","X")</f>
        <v/>
      </c>
      <c r="E2446" s="16">
        <f>SUMIF(tdiario[CUENTA],tbal[[#This Row],[CUENTA]],tdiario[DEBE])</f>
        <v>0</v>
      </c>
      <c r="F2446" s="17">
        <f>SUMIF(tdiario[CUENTA],tbal[[#This Row],[CUENTA]],tdiario[HABER])</f>
        <v>0</v>
      </c>
      <c r="G2446" s="16">
        <f>IF(tbal[[#This Row],[DEBE]]-tbal[[#This Row],[HABER]]&gt;0,tbal[[#This Row],[DEBE]]-tbal[[#This Row],[HABER]],0)</f>
        <v>0</v>
      </c>
      <c r="H2446" s="18">
        <f>IF(tbal[[#This Row],[HABER]]-tbal[[#This Row],[DEBE]]&gt;0,tbal[[#This Row],[HABER]]-tbal[[#This Row],[DEBE]],0)</f>
        <v>0</v>
      </c>
      <c r="I2446" s="16">
        <f>IF((OR(tbal[[#This Row],[X]]=1,tbal[[#This Row],[X]]=2)),tbal[[#This Row],[DEUDOR]],0)</f>
        <v>0</v>
      </c>
      <c r="J2446" s="18">
        <f>IF((OR(tbal[[#This Row],[X]]=2,tbal[[#This Row],[X]]=3)),tbal[[#This Row],[ACREEDOR]],0)</f>
        <v>0</v>
      </c>
      <c r="K2446" s="16">
        <f>IF((OR(tbal[[#This Row],[X]]=3,tbal[[#This Row],[X]]=5)),tbal[[#This Row],[DEUDOR]],0)</f>
        <v>0</v>
      </c>
      <c r="L2446" s="18">
        <f>IF((OR(tbal[[#This Row],[X]]=3,tbal[[#This Row],[X]]=4)),tbal[[#This Row],[ACREEDOR]],0)</f>
        <v>0</v>
      </c>
      <c r="M2446" s="16">
        <f>IF((OR(tbal[[#This Row],[X]]=0,tbal[[#This Row],[X]]=6)),tbal[[#This Row],[DEUDOR]],0)</f>
        <v>0</v>
      </c>
      <c r="N2446" s="18">
        <f>IF((OR(tbal[[#This Row],[X]]=0,tbal[[#This Row],[X]]=5)),tbal[[#This Row],[ACREEDOR]],0)</f>
        <v>0</v>
      </c>
    </row>
    <row r="2447" spans="1:14" hidden="1" x14ac:dyDescent="0.3">
      <c r="A2447" s="14">
        <f>+'PLAN DE CUENTAS'!A2447</f>
        <v>0</v>
      </c>
      <c r="B2447" s="13">
        <f>+'PLAN DE CUENTAS'!B2447</f>
        <v>0</v>
      </c>
      <c r="C2447" s="13">
        <f>+'PLAN DE CUENTAS'!C2447</f>
        <v>0</v>
      </c>
      <c r="D2447" t="str">
        <f>IF(tbal[[#This Row],[DEBE]]+tbal[[#This Row],[HABER]]=0,"","X")</f>
        <v/>
      </c>
      <c r="E2447" s="16">
        <f>SUMIF(tdiario[CUENTA],tbal[[#This Row],[CUENTA]],tdiario[DEBE])</f>
        <v>0</v>
      </c>
      <c r="F2447" s="17">
        <f>SUMIF(tdiario[CUENTA],tbal[[#This Row],[CUENTA]],tdiario[HABER])</f>
        <v>0</v>
      </c>
      <c r="G2447" s="16">
        <f>IF(tbal[[#This Row],[DEBE]]-tbal[[#This Row],[HABER]]&gt;0,tbal[[#This Row],[DEBE]]-tbal[[#This Row],[HABER]],0)</f>
        <v>0</v>
      </c>
      <c r="H2447" s="18">
        <f>IF(tbal[[#This Row],[HABER]]-tbal[[#This Row],[DEBE]]&gt;0,tbal[[#This Row],[HABER]]-tbal[[#This Row],[DEBE]],0)</f>
        <v>0</v>
      </c>
      <c r="I2447" s="16">
        <f>IF((OR(tbal[[#This Row],[X]]=1,tbal[[#This Row],[X]]=2)),tbal[[#This Row],[DEUDOR]],0)</f>
        <v>0</v>
      </c>
      <c r="J2447" s="18">
        <f>IF((OR(tbal[[#This Row],[X]]=2,tbal[[#This Row],[X]]=3)),tbal[[#This Row],[ACREEDOR]],0)</f>
        <v>0</v>
      </c>
      <c r="K2447" s="16">
        <f>IF((OR(tbal[[#This Row],[X]]=3,tbal[[#This Row],[X]]=5)),tbal[[#This Row],[DEUDOR]],0)</f>
        <v>0</v>
      </c>
      <c r="L2447" s="18">
        <f>IF((OR(tbal[[#This Row],[X]]=3,tbal[[#This Row],[X]]=4)),tbal[[#This Row],[ACREEDOR]],0)</f>
        <v>0</v>
      </c>
      <c r="M2447" s="16">
        <f>IF((OR(tbal[[#This Row],[X]]=0,tbal[[#This Row],[X]]=6)),tbal[[#This Row],[DEUDOR]],0)</f>
        <v>0</v>
      </c>
      <c r="N2447" s="18">
        <f>IF((OR(tbal[[#This Row],[X]]=0,tbal[[#This Row],[X]]=5)),tbal[[#This Row],[ACREEDOR]],0)</f>
        <v>0</v>
      </c>
    </row>
    <row r="2448" spans="1:14" hidden="1" x14ac:dyDescent="0.3">
      <c r="A2448" s="14">
        <f>+'PLAN DE CUENTAS'!A2448</f>
        <v>0</v>
      </c>
      <c r="B2448" s="13">
        <f>+'PLAN DE CUENTAS'!B2448</f>
        <v>0</v>
      </c>
      <c r="C2448" s="13">
        <f>+'PLAN DE CUENTAS'!C2448</f>
        <v>0</v>
      </c>
      <c r="D2448" t="str">
        <f>IF(tbal[[#This Row],[DEBE]]+tbal[[#This Row],[HABER]]=0,"","X")</f>
        <v/>
      </c>
      <c r="E2448" s="16">
        <f>SUMIF(tdiario[CUENTA],tbal[[#This Row],[CUENTA]],tdiario[DEBE])</f>
        <v>0</v>
      </c>
      <c r="F2448" s="17">
        <f>SUMIF(tdiario[CUENTA],tbal[[#This Row],[CUENTA]],tdiario[HABER])</f>
        <v>0</v>
      </c>
      <c r="G2448" s="16">
        <f>IF(tbal[[#This Row],[DEBE]]-tbal[[#This Row],[HABER]]&gt;0,tbal[[#This Row],[DEBE]]-tbal[[#This Row],[HABER]],0)</f>
        <v>0</v>
      </c>
      <c r="H2448" s="18">
        <f>IF(tbal[[#This Row],[HABER]]-tbal[[#This Row],[DEBE]]&gt;0,tbal[[#This Row],[HABER]]-tbal[[#This Row],[DEBE]],0)</f>
        <v>0</v>
      </c>
      <c r="I2448" s="16">
        <f>IF((OR(tbal[[#This Row],[X]]=1,tbal[[#This Row],[X]]=2)),tbal[[#This Row],[DEUDOR]],0)</f>
        <v>0</v>
      </c>
      <c r="J2448" s="18">
        <f>IF((OR(tbal[[#This Row],[X]]=2,tbal[[#This Row],[X]]=3)),tbal[[#This Row],[ACREEDOR]],0)</f>
        <v>0</v>
      </c>
      <c r="K2448" s="16">
        <f>IF((OR(tbal[[#This Row],[X]]=3,tbal[[#This Row],[X]]=5)),tbal[[#This Row],[DEUDOR]],0)</f>
        <v>0</v>
      </c>
      <c r="L2448" s="18">
        <f>IF((OR(tbal[[#This Row],[X]]=3,tbal[[#This Row],[X]]=4)),tbal[[#This Row],[ACREEDOR]],0)</f>
        <v>0</v>
      </c>
      <c r="M2448" s="16">
        <f>IF((OR(tbal[[#This Row],[X]]=0,tbal[[#This Row],[X]]=6)),tbal[[#This Row],[DEUDOR]],0)</f>
        <v>0</v>
      </c>
      <c r="N2448" s="18">
        <f>IF((OR(tbal[[#This Row],[X]]=0,tbal[[#This Row],[X]]=5)),tbal[[#This Row],[ACREEDOR]],0)</f>
        <v>0</v>
      </c>
    </row>
    <row r="2449" spans="1:14" hidden="1" x14ac:dyDescent="0.3">
      <c r="A2449" s="14">
        <f>+'PLAN DE CUENTAS'!A2449</f>
        <v>0</v>
      </c>
      <c r="B2449" s="13">
        <f>+'PLAN DE CUENTAS'!B2449</f>
        <v>0</v>
      </c>
      <c r="C2449" s="13">
        <f>+'PLAN DE CUENTAS'!C2449</f>
        <v>0</v>
      </c>
      <c r="D2449" t="str">
        <f>IF(tbal[[#This Row],[DEBE]]+tbal[[#This Row],[HABER]]=0,"","X")</f>
        <v/>
      </c>
      <c r="E2449" s="16">
        <f>SUMIF(tdiario[CUENTA],tbal[[#This Row],[CUENTA]],tdiario[DEBE])</f>
        <v>0</v>
      </c>
      <c r="F2449" s="17">
        <f>SUMIF(tdiario[CUENTA],tbal[[#This Row],[CUENTA]],tdiario[HABER])</f>
        <v>0</v>
      </c>
      <c r="G2449" s="16">
        <f>IF(tbal[[#This Row],[DEBE]]-tbal[[#This Row],[HABER]]&gt;0,tbal[[#This Row],[DEBE]]-tbal[[#This Row],[HABER]],0)</f>
        <v>0</v>
      </c>
      <c r="H2449" s="18">
        <f>IF(tbal[[#This Row],[HABER]]-tbal[[#This Row],[DEBE]]&gt;0,tbal[[#This Row],[HABER]]-tbal[[#This Row],[DEBE]],0)</f>
        <v>0</v>
      </c>
      <c r="I2449" s="16">
        <f>IF((OR(tbal[[#This Row],[X]]=1,tbal[[#This Row],[X]]=2)),tbal[[#This Row],[DEUDOR]],0)</f>
        <v>0</v>
      </c>
      <c r="J2449" s="18">
        <f>IF((OR(tbal[[#This Row],[X]]=2,tbal[[#This Row],[X]]=3)),tbal[[#This Row],[ACREEDOR]],0)</f>
        <v>0</v>
      </c>
      <c r="K2449" s="16">
        <f>IF((OR(tbal[[#This Row],[X]]=3,tbal[[#This Row],[X]]=5)),tbal[[#This Row],[DEUDOR]],0)</f>
        <v>0</v>
      </c>
      <c r="L2449" s="18">
        <f>IF((OR(tbal[[#This Row],[X]]=3,tbal[[#This Row],[X]]=4)),tbal[[#This Row],[ACREEDOR]],0)</f>
        <v>0</v>
      </c>
      <c r="M2449" s="16">
        <f>IF((OR(tbal[[#This Row],[X]]=0,tbal[[#This Row],[X]]=6)),tbal[[#This Row],[DEUDOR]],0)</f>
        <v>0</v>
      </c>
      <c r="N2449" s="18">
        <f>IF((OR(tbal[[#This Row],[X]]=0,tbal[[#This Row],[X]]=5)),tbal[[#This Row],[ACREEDOR]],0)</f>
        <v>0</v>
      </c>
    </row>
    <row r="2450" spans="1:14" hidden="1" x14ac:dyDescent="0.3">
      <c r="A2450" s="14">
        <f>+'PLAN DE CUENTAS'!A2450</f>
        <v>0</v>
      </c>
      <c r="B2450" s="13">
        <f>+'PLAN DE CUENTAS'!B2450</f>
        <v>0</v>
      </c>
      <c r="C2450" s="13">
        <f>+'PLAN DE CUENTAS'!C2450</f>
        <v>0</v>
      </c>
      <c r="D2450" t="str">
        <f>IF(tbal[[#This Row],[DEBE]]+tbal[[#This Row],[HABER]]=0,"","X")</f>
        <v/>
      </c>
      <c r="E2450" s="16">
        <f>SUMIF(tdiario[CUENTA],tbal[[#This Row],[CUENTA]],tdiario[DEBE])</f>
        <v>0</v>
      </c>
      <c r="F2450" s="17">
        <f>SUMIF(tdiario[CUENTA],tbal[[#This Row],[CUENTA]],tdiario[HABER])</f>
        <v>0</v>
      </c>
      <c r="G2450" s="16">
        <f>IF(tbal[[#This Row],[DEBE]]-tbal[[#This Row],[HABER]]&gt;0,tbal[[#This Row],[DEBE]]-tbal[[#This Row],[HABER]],0)</f>
        <v>0</v>
      </c>
      <c r="H2450" s="18">
        <f>IF(tbal[[#This Row],[HABER]]-tbal[[#This Row],[DEBE]]&gt;0,tbal[[#This Row],[HABER]]-tbal[[#This Row],[DEBE]],0)</f>
        <v>0</v>
      </c>
      <c r="I2450" s="16">
        <f>IF((OR(tbal[[#This Row],[X]]=1,tbal[[#This Row],[X]]=2)),tbal[[#This Row],[DEUDOR]],0)</f>
        <v>0</v>
      </c>
      <c r="J2450" s="18">
        <f>IF((OR(tbal[[#This Row],[X]]=2,tbal[[#This Row],[X]]=3)),tbal[[#This Row],[ACREEDOR]],0)</f>
        <v>0</v>
      </c>
      <c r="K2450" s="16">
        <f>IF((OR(tbal[[#This Row],[X]]=3,tbal[[#This Row],[X]]=5)),tbal[[#This Row],[DEUDOR]],0)</f>
        <v>0</v>
      </c>
      <c r="L2450" s="18">
        <f>IF((OR(tbal[[#This Row],[X]]=3,tbal[[#This Row],[X]]=4)),tbal[[#This Row],[ACREEDOR]],0)</f>
        <v>0</v>
      </c>
      <c r="M2450" s="16">
        <f>IF((OR(tbal[[#This Row],[X]]=0,tbal[[#This Row],[X]]=6)),tbal[[#This Row],[DEUDOR]],0)</f>
        <v>0</v>
      </c>
      <c r="N2450" s="18">
        <f>IF((OR(tbal[[#This Row],[X]]=0,tbal[[#This Row],[X]]=5)),tbal[[#This Row],[ACREEDOR]],0)</f>
        <v>0</v>
      </c>
    </row>
    <row r="2451" spans="1:14" hidden="1" x14ac:dyDescent="0.3">
      <c r="A2451" s="14">
        <f>+'PLAN DE CUENTAS'!A2451</f>
        <v>0</v>
      </c>
      <c r="B2451" s="13">
        <f>+'PLAN DE CUENTAS'!B2451</f>
        <v>0</v>
      </c>
      <c r="C2451" s="13">
        <f>+'PLAN DE CUENTAS'!C2451</f>
        <v>0</v>
      </c>
      <c r="D2451" t="str">
        <f>IF(tbal[[#This Row],[DEBE]]+tbal[[#This Row],[HABER]]=0,"","X")</f>
        <v/>
      </c>
      <c r="E2451" s="16">
        <f>SUMIF(tdiario[CUENTA],tbal[[#This Row],[CUENTA]],tdiario[DEBE])</f>
        <v>0</v>
      </c>
      <c r="F2451" s="17">
        <f>SUMIF(tdiario[CUENTA],tbal[[#This Row],[CUENTA]],tdiario[HABER])</f>
        <v>0</v>
      </c>
      <c r="G2451" s="16">
        <f>IF(tbal[[#This Row],[DEBE]]-tbal[[#This Row],[HABER]]&gt;0,tbal[[#This Row],[DEBE]]-tbal[[#This Row],[HABER]],0)</f>
        <v>0</v>
      </c>
      <c r="H2451" s="18">
        <f>IF(tbal[[#This Row],[HABER]]-tbal[[#This Row],[DEBE]]&gt;0,tbal[[#This Row],[HABER]]-tbal[[#This Row],[DEBE]],0)</f>
        <v>0</v>
      </c>
      <c r="I2451" s="16">
        <f>IF((OR(tbal[[#This Row],[X]]=1,tbal[[#This Row],[X]]=2)),tbal[[#This Row],[DEUDOR]],0)</f>
        <v>0</v>
      </c>
      <c r="J2451" s="18">
        <f>IF((OR(tbal[[#This Row],[X]]=2,tbal[[#This Row],[X]]=3)),tbal[[#This Row],[ACREEDOR]],0)</f>
        <v>0</v>
      </c>
      <c r="K2451" s="16">
        <f>IF((OR(tbal[[#This Row],[X]]=3,tbal[[#This Row],[X]]=5)),tbal[[#This Row],[DEUDOR]],0)</f>
        <v>0</v>
      </c>
      <c r="L2451" s="18">
        <f>IF((OR(tbal[[#This Row],[X]]=3,tbal[[#This Row],[X]]=4)),tbal[[#This Row],[ACREEDOR]],0)</f>
        <v>0</v>
      </c>
      <c r="M2451" s="16">
        <f>IF((OR(tbal[[#This Row],[X]]=0,tbal[[#This Row],[X]]=6)),tbal[[#This Row],[DEUDOR]],0)</f>
        <v>0</v>
      </c>
      <c r="N2451" s="18">
        <f>IF((OR(tbal[[#This Row],[X]]=0,tbal[[#This Row],[X]]=5)),tbal[[#This Row],[ACREEDOR]],0)</f>
        <v>0</v>
      </c>
    </row>
    <row r="2452" spans="1:14" hidden="1" x14ac:dyDescent="0.3">
      <c r="A2452" s="14">
        <f>+'PLAN DE CUENTAS'!A2452</f>
        <v>0</v>
      </c>
      <c r="B2452" s="13">
        <f>+'PLAN DE CUENTAS'!B2452</f>
        <v>0</v>
      </c>
      <c r="C2452" s="13">
        <f>+'PLAN DE CUENTAS'!C2452</f>
        <v>0</v>
      </c>
      <c r="D2452" t="str">
        <f>IF(tbal[[#This Row],[DEBE]]+tbal[[#This Row],[HABER]]=0,"","X")</f>
        <v/>
      </c>
      <c r="E2452" s="16">
        <f>SUMIF(tdiario[CUENTA],tbal[[#This Row],[CUENTA]],tdiario[DEBE])</f>
        <v>0</v>
      </c>
      <c r="F2452" s="17">
        <f>SUMIF(tdiario[CUENTA],tbal[[#This Row],[CUENTA]],tdiario[HABER])</f>
        <v>0</v>
      </c>
      <c r="G2452" s="16">
        <f>IF(tbal[[#This Row],[DEBE]]-tbal[[#This Row],[HABER]]&gt;0,tbal[[#This Row],[DEBE]]-tbal[[#This Row],[HABER]],0)</f>
        <v>0</v>
      </c>
      <c r="H2452" s="18">
        <f>IF(tbal[[#This Row],[HABER]]-tbal[[#This Row],[DEBE]]&gt;0,tbal[[#This Row],[HABER]]-tbal[[#This Row],[DEBE]],0)</f>
        <v>0</v>
      </c>
      <c r="I2452" s="16">
        <f>IF((OR(tbal[[#This Row],[X]]=1,tbal[[#This Row],[X]]=2)),tbal[[#This Row],[DEUDOR]],0)</f>
        <v>0</v>
      </c>
      <c r="J2452" s="18">
        <f>IF((OR(tbal[[#This Row],[X]]=2,tbal[[#This Row],[X]]=3)),tbal[[#This Row],[ACREEDOR]],0)</f>
        <v>0</v>
      </c>
      <c r="K2452" s="16">
        <f>IF((OR(tbal[[#This Row],[X]]=3,tbal[[#This Row],[X]]=5)),tbal[[#This Row],[DEUDOR]],0)</f>
        <v>0</v>
      </c>
      <c r="L2452" s="18">
        <f>IF((OR(tbal[[#This Row],[X]]=3,tbal[[#This Row],[X]]=4)),tbal[[#This Row],[ACREEDOR]],0)</f>
        <v>0</v>
      </c>
      <c r="M2452" s="16">
        <f>IF((OR(tbal[[#This Row],[X]]=0,tbal[[#This Row],[X]]=6)),tbal[[#This Row],[DEUDOR]],0)</f>
        <v>0</v>
      </c>
      <c r="N2452" s="18">
        <f>IF((OR(tbal[[#This Row],[X]]=0,tbal[[#This Row],[X]]=5)),tbal[[#This Row],[ACREEDOR]],0)</f>
        <v>0</v>
      </c>
    </row>
    <row r="2453" spans="1:14" hidden="1" x14ac:dyDescent="0.3">
      <c r="A2453" s="14">
        <f>+'PLAN DE CUENTAS'!A2453</f>
        <v>0</v>
      </c>
      <c r="B2453" s="13">
        <f>+'PLAN DE CUENTAS'!B2453</f>
        <v>0</v>
      </c>
      <c r="C2453" s="13">
        <f>+'PLAN DE CUENTAS'!C2453</f>
        <v>0</v>
      </c>
      <c r="D2453" t="str">
        <f>IF(tbal[[#This Row],[DEBE]]+tbal[[#This Row],[HABER]]=0,"","X")</f>
        <v/>
      </c>
      <c r="E2453" s="16">
        <f>SUMIF(tdiario[CUENTA],tbal[[#This Row],[CUENTA]],tdiario[DEBE])</f>
        <v>0</v>
      </c>
      <c r="F2453" s="17">
        <f>SUMIF(tdiario[CUENTA],tbal[[#This Row],[CUENTA]],tdiario[HABER])</f>
        <v>0</v>
      </c>
      <c r="G2453" s="16">
        <f>IF(tbal[[#This Row],[DEBE]]-tbal[[#This Row],[HABER]]&gt;0,tbal[[#This Row],[DEBE]]-tbal[[#This Row],[HABER]],0)</f>
        <v>0</v>
      </c>
      <c r="H2453" s="18">
        <f>IF(tbal[[#This Row],[HABER]]-tbal[[#This Row],[DEBE]]&gt;0,tbal[[#This Row],[HABER]]-tbal[[#This Row],[DEBE]],0)</f>
        <v>0</v>
      </c>
      <c r="I2453" s="16">
        <f>IF((OR(tbal[[#This Row],[X]]=1,tbal[[#This Row],[X]]=2)),tbal[[#This Row],[DEUDOR]],0)</f>
        <v>0</v>
      </c>
      <c r="J2453" s="18">
        <f>IF((OR(tbal[[#This Row],[X]]=2,tbal[[#This Row],[X]]=3)),tbal[[#This Row],[ACREEDOR]],0)</f>
        <v>0</v>
      </c>
      <c r="K2453" s="16">
        <f>IF((OR(tbal[[#This Row],[X]]=3,tbal[[#This Row],[X]]=5)),tbal[[#This Row],[DEUDOR]],0)</f>
        <v>0</v>
      </c>
      <c r="L2453" s="18">
        <f>IF((OR(tbal[[#This Row],[X]]=3,tbal[[#This Row],[X]]=4)),tbal[[#This Row],[ACREEDOR]],0)</f>
        <v>0</v>
      </c>
      <c r="M2453" s="16">
        <f>IF((OR(tbal[[#This Row],[X]]=0,tbal[[#This Row],[X]]=6)),tbal[[#This Row],[DEUDOR]],0)</f>
        <v>0</v>
      </c>
      <c r="N2453" s="18">
        <f>IF((OR(tbal[[#This Row],[X]]=0,tbal[[#This Row],[X]]=5)),tbal[[#This Row],[ACREEDOR]],0)</f>
        <v>0</v>
      </c>
    </row>
    <row r="2454" spans="1:14" hidden="1" x14ac:dyDescent="0.3">
      <c r="A2454" s="14">
        <f>+'PLAN DE CUENTAS'!A2454</f>
        <v>0</v>
      </c>
      <c r="B2454" s="13">
        <f>+'PLAN DE CUENTAS'!B2454</f>
        <v>0</v>
      </c>
      <c r="C2454" s="13">
        <f>+'PLAN DE CUENTAS'!C2454</f>
        <v>0</v>
      </c>
      <c r="D2454" t="str">
        <f>IF(tbal[[#This Row],[DEBE]]+tbal[[#This Row],[HABER]]=0,"","X")</f>
        <v/>
      </c>
      <c r="E2454" s="16">
        <f>SUMIF(tdiario[CUENTA],tbal[[#This Row],[CUENTA]],tdiario[DEBE])</f>
        <v>0</v>
      </c>
      <c r="F2454" s="17">
        <f>SUMIF(tdiario[CUENTA],tbal[[#This Row],[CUENTA]],tdiario[HABER])</f>
        <v>0</v>
      </c>
      <c r="G2454" s="16">
        <f>IF(tbal[[#This Row],[DEBE]]-tbal[[#This Row],[HABER]]&gt;0,tbal[[#This Row],[DEBE]]-tbal[[#This Row],[HABER]],0)</f>
        <v>0</v>
      </c>
      <c r="H2454" s="18">
        <f>IF(tbal[[#This Row],[HABER]]-tbal[[#This Row],[DEBE]]&gt;0,tbal[[#This Row],[HABER]]-tbal[[#This Row],[DEBE]],0)</f>
        <v>0</v>
      </c>
      <c r="I2454" s="16">
        <f>IF((OR(tbal[[#This Row],[X]]=1,tbal[[#This Row],[X]]=2)),tbal[[#This Row],[DEUDOR]],0)</f>
        <v>0</v>
      </c>
      <c r="J2454" s="18">
        <f>IF((OR(tbal[[#This Row],[X]]=2,tbal[[#This Row],[X]]=3)),tbal[[#This Row],[ACREEDOR]],0)</f>
        <v>0</v>
      </c>
      <c r="K2454" s="16">
        <f>IF((OR(tbal[[#This Row],[X]]=3,tbal[[#This Row],[X]]=5)),tbal[[#This Row],[DEUDOR]],0)</f>
        <v>0</v>
      </c>
      <c r="L2454" s="18">
        <f>IF((OR(tbal[[#This Row],[X]]=3,tbal[[#This Row],[X]]=4)),tbal[[#This Row],[ACREEDOR]],0)</f>
        <v>0</v>
      </c>
      <c r="M2454" s="16">
        <f>IF((OR(tbal[[#This Row],[X]]=0,tbal[[#This Row],[X]]=6)),tbal[[#This Row],[DEUDOR]],0)</f>
        <v>0</v>
      </c>
      <c r="N2454" s="18">
        <f>IF((OR(tbal[[#This Row],[X]]=0,tbal[[#This Row],[X]]=5)),tbal[[#This Row],[ACREEDOR]],0)</f>
        <v>0</v>
      </c>
    </row>
    <row r="2455" spans="1:14" hidden="1" x14ac:dyDescent="0.3">
      <c r="A2455" s="14">
        <f>+'PLAN DE CUENTAS'!A2455</f>
        <v>0</v>
      </c>
      <c r="B2455" s="13">
        <f>+'PLAN DE CUENTAS'!B2455</f>
        <v>0</v>
      </c>
      <c r="C2455" s="13">
        <f>+'PLAN DE CUENTAS'!C2455</f>
        <v>0</v>
      </c>
      <c r="D2455" t="str">
        <f>IF(tbal[[#This Row],[DEBE]]+tbal[[#This Row],[HABER]]=0,"","X")</f>
        <v/>
      </c>
      <c r="E2455" s="16">
        <f>SUMIF(tdiario[CUENTA],tbal[[#This Row],[CUENTA]],tdiario[DEBE])</f>
        <v>0</v>
      </c>
      <c r="F2455" s="17">
        <f>SUMIF(tdiario[CUENTA],tbal[[#This Row],[CUENTA]],tdiario[HABER])</f>
        <v>0</v>
      </c>
      <c r="G2455" s="16">
        <f>IF(tbal[[#This Row],[DEBE]]-tbal[[#This Row],[HABER]]&gt;0,tbal[[#This Row],[DEBE]]-tbal[[#This Row],[HABER]],0)</f>
        <v>0</v>
      </c>
      <c r="H2455" s="18">
        <f>IF(tbal[[#This Row],[HABER]]-tbal[[#This Row],[DEBE]]&gt;0,tbal[[#This Row],[HABER]]-tbal[[#This Row],[DEBE]],0)</f>
        <v>0</v>
      </c>
      <c r="I2455" s="16">
        <f>IF((OR(tbal[[#This Row],[X]]=1,tbal[[#This Row],[X]]=2)),tbal[[#This Row],[DEUDOR]],0)</f>
        <v>0</v>
      </c>
      <c r="J2455" s="18">
        <f>IF((OR(tbal[[#This Row],[X]]=2,tbal[[#This Row],[X]]=3)),tbal[[#This Row],[ACREEDOR]],0)</f>
        <v>0</v>
      </c>
      <c r="K2455" s="16">
        <f>IF((OR(tbal[[#This Row],[X]]=3,tbal[[#This Row],[X]]=5)),tbal[[#This Row],[DEUDOR]],0)</f>
        <v>0</v>
      </c>
      <c r="L2455" s="18">
        <f>IF((OR(tbal[[#This Row],[X]]=3,tbal[[#This Row],[X]]=4)),tbal[[#This Row],[ACREEDOR]],0)</f>
        <v>0</v>
      </c>
      <c r="M2455" s="16">
        <f>IF((OR(tbal[[#This Row],[X]]=0,tbal[[#This Row],[X]]=6)),tbal[[#This Row],[DEUDOR]],0)</f>
        <v>0</v>
      </c>
      <c r="N2455" s="18">
        <f>IF((OR(tbal[[#This Row],[X]]=0,tbal[[#This Row],[X]]=5)),tbal[[#This Row],[ACREEDOR]],0)</f>
        <v>0</v>
      </c>
    </row>
    <row r="2456" spans="1:14" hidden="1" x14ac:dyDescent="0.3">
      <c r="A2456" s="14">
        <f>+'PLAN DE CUENTAS'!A2456</f>
        <v>0</v>
      </c>
      <c r="B2456" s="13">
        <f>+'PLAN DE CUENTAS'!B2456</f>
        <v>0</v>
      </c>
      <c r="C2456" s="13">
        <f>+'PLAN DE CUENTAS'!C2456</f>
        <v>0</v>
      </c>
      <c r="D2456" t="str">
        <f>IF(tbal[[#This Row],[DEBE]]+tbal[[#This Row],[HABER]]=0,"","X")</f>
        <v/>
      </c>
      <c r="E2456" s="16">
        <f>SUMIF(tdiario[CUENTA],tbal[[#This Row],[CUENTA]],tdiario[DEBE])</f>
        <v>0</v>
      </c>
      <c r="F2456" s="17">
        <f>SUMIF(tdiario[CUENTA],tbal[[#This Row],[CUENTA]],tdiario[HABER])</f>
        <v>0</v>
      </c>
      <c r="G2456" s="16">
        <f>IF(tbal[[#This Row],[DEBE]]-tbal[[#This Row],[HABER]]&gt;0,tbal[[#This Row],[DEBE]]-tbal[[#This Row],[HABER]],0)</f>
        <v>0</v>
      </c>
      <c r="H2456" s="18">
        <f>IF(tbal[[#This Row],[HABER]]-tbal[[#This Row],[DEBE]]&gt;0,tbal[[#This Row],[HABER]]-tbal[[#This Row],[DEBE]],0)</f>
        <v>0</v>
      </c>
      <c r="I2456" s="16">
        <f>IF((OR(tbal[[#This Row],[X]]=1,tbal[[#This Row],[X]]=2)),tbal[[#This Row],[DEUDOR]],0)</f>
        <v>0</v>
      </c>
      <c r="J2456" s="18">
        <f>IF((OR(tbal[[#This Row],[X]]=2,tbal[[#This Row],[X]]=3)),tbal[[#This Row],[ACREEDOR]],0)</f>
        <v>0</v>
      </c>
      <c r="K2456" s="16">
        <f>IF((OR(tbal[[#This Row],[X]]=3,tbal[[#This Row],[X]]=5)),tbal[[#This Row],[DEUDOR]],0)</f>
        <v>0</v>
      </c>
      <c r="L2456" s="18">
        <f>IF((OR(tbal[[#This Row],[X]]=3,tbal[[#This Row],[X]]=4)),tbal[[#This Row],[ACREEDOR]],0)</f>
        <v>0</v>
      </c>
      <c r="M2456" s="16">
        <f>IF((OR(tbal[[#This Row],[X]]=0,tbal[[#This Row],[X]]=6)),tbal[[#This Row],[DEUDOR]],0)</f>
        <v>0</v>
      </c>
      <c r="N2456" s="18">
        <f>IF((OR(tbal[[#This Row],[X]]=0,tbal[[#This Row],[X]]=5)),tbal[[#This Row],[ACREEDOR]],0)</f>
        <v>0</v>
      </c>
    </row>
    <row r="2457" spans="1:14" hidden="1" x14ac:dyDescent="0.3">
      <c r="A2457" s="14">
        <f>+'PLAN DE CUENTAS'!A2457</f>
        <v>0</v>
      </c>
      <c r="B2457" s="13">
        <f>+'PLAN DE CUENTAS'!B2457</f>
        <v>0</v>
      </c>
      <c r="C2457" s="13">
        <f>+'PLAN DE CUENTAS'!C2457</f>
        <v>0</v>
      </c>
      <c r="D2457" t="str">
        <f>IF(tbal[[#This Row],[DEBE]]+tbal[[#This Row],[HABER]]=0,"","X")</f>
        <v/>
      </c>
      <c r="E2457" s="16">
        <f>SUMIF(tdiario[CUENTA],tbal[[#This Row],[CUENTA]],tdiario[DEBE])</f>
        <v>0</v>
      </c>
      <c r="F2457" s="17">
        <f>SUMIF(tdiario[CUENTA],tbal[[#This Row],[CUENTA]],tdiario[HABER])</f>
        <v>0</v>
      </c>
      <c r="G2457" s="16">
        <f>IF(tbal[[#This Row],[DEBE]]-tbal[[#This Row],[HABER]]&gt;0,tbal[[#This Row],[DEBE]]-tbal[[#This Row],[HABER]],0)</f>
        <v>0</v>
      </c>
      <c r="H2457" s="18">
        <f>IF(tbal[[#This Row],[HABER]]-tbal[[#This Row],[DEBE]]&gt;0,tbal[[#This Row],[HABER]]-tbal[[#This Row],[DEBE]],0)</f>
        <v>0</v>
      </c>
      <c r="I2457" s="16">
        <f>IF((OR(tbal[[#This Row],[X]]=1,tbal[[#This Row],[X]]=2)),tbal[[#This Row],[DEUDOR]],0)</f>
        <v>0</v>
      </c>
      <c r="J2457" s="18">
        <f>IF((OR(tbal[[#This Row],[X]]=2,tbal[[#This Row],[X]]=3)),tbal[[#This Row],[ACREEDOR]],0)</f>
        <v>0</v>
      </c>
      <c r="K2457" s="16">
        <f>IF((OR(tbal[[#This Row],[X]]=3,tbal[[#This Row],[X]]=5)),tbal[[#This Row],[DEUDOR]],0)</f>
        <v>0</v>
      </c>
      <c r="L2457" s="18">
        <f>IF((OR(tbal[[#This Row],[X]]=3,tbal[[#This Row],[X]]=4)),tbal[[#This Row],[ACREEDOR]],0)</f>
        <v>0</v>
      </c>
      <c r="M2457" s="16">
        <f>IF((OR(tbal[[#This Row],[X]]=0,tbal[[#This Row],[X]]=6)),tbal[[#This Row],[DEUDOR]],0)</f>
        <v>0</v>
      </c>
      <c r="N2457" s="18">
        <f>IF((OR(tbal[[#This Row],[X]]=0,tbal[[#This Row],[X]]=5)),tbal[[#This Row],[ACREEDOR]],0)</f>
        <v>0</v>
      </c>
    </row>
    <row r="2458" spans="1:14" hidden="1" x14ac:dyDescent="0.3">
      <c r="A2458" s="14">
        <f>+'PLAN DE CUENTAS'!A2458</f>
        <v>0</v>
      </c>
      <c r="B2458" s="13">
        <f>+'PLAN DE CUENTAS'!B2458</f>
        <v>0</v>
      </c>
      <c r="C2458" s="13">
        <f>+'PLAN DE CUENTAS'!C2458</f>
        <v>0</v>
      </c>
      <c r="D2458" t="str">
        <f>IF(tbal[[#This Row],[DEBE]]+tbal[[#This Row],[HABER]]=0,"","X")</f>
        <v/>
      </c>
      <c r="E2458" s="16">
        <f>SUMIF(tdiario[CUENTA],tbal[[#This Row],[CUENTA]],tdiario[DEBE])</f>
        <v>0</v>
      </c>
      <c r="F2458" s="17">
        <f>SUMIF(tdiario[CUENTA],tbal[[#This Row],[CUENTA]],tdiario[HABER])</f>
        <v>0</v>
      </c>
      <c r="G2458" s="16">
        <f>IF(tbal[[#This Row],[DEBE]]-tbal[[#This Row],[HABER]]&gt;0,tbal[[#This Row],[DEBE]]-tbal[[#This Row],[HABER]],0)</f>
        <v>0</v>
      </c>
      <c r="H2458" s="18">
        <f>IF(tbal[[#This Row],[HABER]]-tbal[[#This Row],[DEBE]]&gt;0,tbal[[#This Row],[HABER]]-tbal[[#This Row],[DEBE]],0)</f>
        <v>0</v>
      </c>
      <c r="I2458" s="16">
        <f>IF((OR(tbal[[#This Row],[X]]=1,tbal[[#This Row],[X]]=2)),tbal[[#This Row],[DEUDOR]],0)</f>
        <v>0</v>
      </c>
      <c r="J2458" s="18">
        <f>IF((OR(tbal[[#This Row],[X]]=2,tbal[[#This Row],[X]]=3)),tbal[[#This Row],[ACREEDOR]],0)</f>
        <v>0</v>
      </c>
      <c r="K2458" s="16">
        <f>IF((OR(tbal[[#This Row],[X]]=3,tbal[[#This Row],[X]]=5)),tbal[[#This Row],[DEUDOR]],0)</f>
        <v>0</v>
      </c>
      <c r="L2458" s="18">
        <f>IF((OR(tbal[[#This Row],[X]]=3,tbal[[#This Row],[X]]=4)),tbal[[#This Row],[ACREEDOR]],0)</f>
        <v>0</v>
      </c>
      <c r="M2458" s="16">
        <f>IF((OR(tbal[[#This Row],[X]]=0,tbal[[#This Row],[X]]=6)),tbal[[#This Row],[DEUDOR]],0)</f>
        <v>0</v>
      </c>
      <c r="N2458" s="18">
        <f>IF((OR(tbal[[#This Row],[X]]=0,tbal[[#This Row],[X]]=5)),tbal[[#This Row],[ACREEDOR]],0)</f>
        <v>0</v>
      </c>
    </row>
    <row r="2459" spans="1:14" hidden="1" x14ac:dyDescent="0.3">
      <c r="A2459" s="14">
        <f>+'PLAN DE CUENTAS'!A2459</f>
        <v>0</v>
      </c>
      <c r="B2459" s="13">
        <f>+'PLAN DE CUENTAS'!B2459</f>
        <v>0</v>
      </c>
      <c r="C2459" s="13">
        <f>+'PLAN DE CUENTAS'!C2459</f>
        <v>0</v>
      </c>
      <c r="D2459" t="str">
        <f>IF(tbal[[#This Row],[DEBE]]+tbal[[#This Row],[HABER]]=0,"","X")</f>
        <v/>
      </c>
      <c r="E2459" s="16">
        <f>SUMIF(tdiario[CUENTA],tbal[[#This Row],[CUENTA]],tdiario[DEBE])</f>
        <v>0</v>
      </c>
      <c r="F2459" s="17">
        <f>SUMIF(tdiario[CUENTA],tbal[[#This Row],[CUENTA]],tdiario[HABER])</f>
        <v>0</v>
      </c>
      <c r="G2459" s="16">
        <f>IF(tbal[[#This Row],[DEBE]]-tbal[[#This Row],[HABER]]&gt;0,tbal[[#This Row],[DEBE]]-tbal[[#This Row],[HABER]],0)</f>
        <v>0</v>
      </c>
      <c r="H2459" s="18">
        <f>IF(tbal[[#This Row],[HABER]]-tbal[[#This Row],[DEBE]]&gt;0,tbal[[#This Row],[HABER]]-tbal[[#This Row],[DEBE]],0)</f>
        <v>0</v>
      </c>
      <c r="I2459" s="16">
        <f>IF((OR(tbal[[#This Row],[X]]=1,tbal[[#This Row],[X]]=2)),tbal[[#This Row],[DEUDOR]],0)</f>
        <v>0</v>
      </c>
      <c r="J2459" s="18">
        <f>IF((OR(tbal[[#This Row],[X]]=2,tbal[[#This Row],[X]]=3)),tbal[[#This Row],[ACREEDOR]],0)</f>
        <v>0</v>
      </c>
      <c r="K2459" s="16">
        <f>IF((OR(tbal[[#This Row],[X]]=3,tbal[[#This Row],[X]]=5)),tbal[[#This Row],[DEUDOR]],0)</f>
        <v>0</v>
      </c>
      <c r="L2459" s="18">
        <f>IF((OR(tbal[[#This Row],[X]]=3,tbal[[#This Row],[X]]=4)),tbal[[#This Row],[ACREEDOR]],0)</f>
        <v>0</v>
      </c>
      <c r="M2459" s="16">
        <f>IF((OR(tbal[[#This Row],[X]]=0,tbal[[#This Row],[X]]=6)),tbal[[#This Row],[DEUDOR]],0)</f>
        <v>0</v>
      </c>
      <c r="N2459" s="18">
        <f>IF((OR(tbal[[#This Row],[X]]=0,tbal[[#This Row],[X]]=5)),tbal[[#This Row],[ACREEDOR]],0)</f>
        <v>0</v>
      </c>
    </row>
    <row r="2460" spans="1:14" hidden="1" x14ac:dyDescent="0.3">
      <c r="A2460" s="14">
        <f>+'PLAN DE CUENTAS'!A2460</f>
        <v>0</v>
      </c>
      <c r="B2460" s="13">
        <f>+'PLAN DE CUENTAS'!B2460</f>
        <v>0</v>
      </c>
      <c r="C2460" s="13">
        <f>+'PLAN DE CUENTAS'!C2460</f>
        <v>0</v>
      </c>
      <c r="D2460" t="str">
        <f>IF(tbal[[#This Row],[DEBE]]+tbal[[#This Row],[HABER]]=0,"","X")</f>
        <v/>
      </c>
      <c r="E2460" s="16">
        <f>SUMIF(tdiario[CUENTA],tbal[[#This Row],[CUENTA]],tdiario[DEBE])</f>
        <v>0</v>
      </c>
      <c r="F2460" s="17">
        <f>SUMIF(tdiario[CUENTA],tbal[[#This Row],[CUENTA]],tdiario[HABER])</f>
        <v>0</v>
      </c>
      <c r="G2460" s="16">
        <f>IF(tbal[[#This Row],[DEBE]]-tbal[[#This Row],[HABER]]&gt;0,tbal[[#This Row],[DEBE]]-tbal[[#This Row],[HABER]],0)</f>
        <v>0</v>
      </c>
      <c r="H2460" s="18">
        <f>IF(tbal[[#This Row],[HABER]]-tbal[[#This Row],[DEBE]]&gt;0,tbal[[#This Row],[HABER]]-tbal[[#This Row],[DEBE]],0)</f>
        <v>0</v>
      </c>
      <c r="I2460" s="16">
        <f>IF((OR(tbal[[#This Row],[X]]=1,tbal[[#This Row],[X]]=2)),tbal[[#This Row],[DEUDOR]],0)</f>
        <v>0</v>
      </c>
      <c r="J2460" s="18">
        <f>IF((OR(tbal[[#This Row],[X]]=2,tbal[[#This Row],[X]]=3)),tbal[[#This Row],[ACREEDOR]],0)</f>
        <v>0</v>
      </c>
      <c r="K2460" s="16">
        <f>IF((OR(tbal[[#This Row],[X]]=3,tbal[[#This Row],[X]]=5)),tbal[[#This Row],[DEUDOR]],0)</f>
        <v>0</v>
      </c>
      <c r="L2460" s="18">
        <f>IF((OR(tbal[[#This Row],[X]]=3,tbal[[#This Row],[X]]=4)),tbal[[#This Row],[ACREEDOR]],0)</f>
        <v>0</v>
      </c>
      <c r="M2460" s="16">
        <f>IF((OR(tbal[[#This Row],[X]]=0,tbal[[#This Row],[X]]=6)),tbal[[#This Row],[DEUDOR]],0)</f>
        <v>0</v>
      </c>
      <c r="N2460" s="18">
        <f>IF((OR(tbal[[#This Row],[X]]=0,tbal[[#This Row],[X]]=5)),tbal[[#This Row],[ACREEDOR]],0)</f>
        <v>0</v>
      </c>
    </row>
    <row r="2461" spans="1:14" hidden="1" x14ac:dyDescent="0.3">
      <c r="A2461" s="14">
        <f>+'PLAN DE CUENTAS'!A2461</f>
        <v>0</v>
      </c>
      <c r="B2461" s="13">
        <f>+'PLAN DE CUENTAS'!B2461</f>
        <v>0</v>
      </c>
      <c r="C2461" s="13">
        <f>+'PLAN DE CUENTAS'!C2461</f>
        <v>0</v>
      </c>
      <c r="D2461" t="str">
        <f>IF(tbal[[#This Row],[DEBE]]+tbal[[#This Row],[HABER]]=0,"","X")</f>
        <v/>
      </c>
      <c r="E2461" s="16">
        <f>SUMIF(tdiario[CUENTA],tbal[[#This Row],[CUENTA]],tdiario[DEBE])</f>
        <v>0</v>
      </c>
      <c r="F2461" s="17">
        <f>SUMIF(tdiario[CUENTA],tbal[[#This Row],[CUENTA]],tdiario[HABER])</f>
        <v>0</v>
      </c>
      <c r="G2461" s="16">
        <f>IF(tbal[[#This Row],[DEBE]]-tbal[[#This Row],[HABER]]&gt;0,tbal[[#This Row],[DEBE]]-tbal[[#This Row],[HABER]],0)</f>
        <v>0</v>
      </c>
      <c r="H2461" s="18">
        <f>IF(tbal[[#This Row],[HABER]]-tbal[[#This Row],[DEBE]]&gt;0,tbal[[#This Row],[HABER]]-tbal[[#This Row],[DEBE]],0)</f>
        <v>0</v>
      </c>
      <c r="I2461" s="16">
        <f>IF((OR(tbal[[#This Row],[X]]=1,tbal[[#This Row],[X]]=2)),tbal[[#This Row],[DEUDOR]],0)</f>
        <v>0</v>
      </c>
      <c r="J2461" s="18">
        <f>IF((OR(tbal[[#This Row],[X]]=2,tbal[[#This Row],[X]]=3)),tbal[[#This Row],[ACREEDOR]],0)</f>
        <v>0</v>
      </c>
      <c r="K2461" s="16">
        <f>IF((OR(tbal[[#This Row],[X]]=3,tbal[[#This Row],[X]]=5)),tbal[[#This Row],[DEUDOR]],0)</f>
        <v>0</v>
      </c>
      <c r="L2461" s="18">
        <f>IF((OR(tbal[[#This Row],[X]]=3,tbal[[#This Row],[X]]=4)),tbal[[#This Row],[ACREEDOR]],0)</f>
        <v>0</v>
      </c>
      <c r="M2461" s="16">
        <f>IF((OR(tbal[[#This Row],[X]]=0,tbal[[#This Row],[X]]=6)),tbal[[#This Row],[DEUDOR]],0)</f>
        <v>0</v>
      </c>
      <c r="N2461" s="18">
        <f>IF((OR(tbal[[#This Row],[X]]=0,tbal[[#This Row],[X]]=5)),tbal[[#This Row],[ACREEDOR]],0)</f>
        <v>0</v>
      </c>
    </row>
    <row r="2462" spans="1:14" hidden="1" x14ac:dyDescent="0.3">
      <c r="A2462" s="14">
        <f>+'PLAN DE CUENTAS'!A2462</f>
        <v>0</v>
      </c>
      <c r="B2462" s="13">
        <f>+'PLAN DE CUENTAS'!B2462</f>
        <v>0</v>
      </c>
      <c r="C2462" s="13">
        <f>+'PLAN DE CUENTAS'!C2462</f>
        <v>0</v>
      </c>
      <c r="D2462" t="str">
        <f>IF(tbal[[#This Row],[DEBE]]+tbal[[#This Row],[HABER]]=0,"","X")</f>
        <v/>
      </c>
      <c r="E2462" s="16">
        <f>SUMIF(tdiario[CUENTA],tbal[[#This Row],[CUENTA]],tdiario[DEBE])</f>
        <v>0</v>
      </c>
      <c r="F2462" s="17">
        <f>SUMIF(tdiario[CUENTA],tbal[[#This Row],[CUENTA]],tdiario[HABER])</f>
        <v>0</v>
      </c>
      <c r="G2462" s="16">
        <f>IF(tbal[[#This Row],[DEBE]]-tbal[[#This Row],[HABER]]&gt;0,tbal[[#This Row],[DEBE]]-tbal[[#This Row],[HABER]],0)</f>
        <v>0</v>
      </c>
      <c r="H2462" s="18">
        <f>IF(tbal[[#This Row],[HABER]]-tbal[[#This Row],[DEBE]]&gt;0,tbal[[#This Row],[HABER]]-tbal[[#This Row],[DEBE]],0)</f>
        <v>0</v>
      </c>
      <c r="I2462" s="16">
        <f>IF((OR(tbal[[#This Row],[X]]=1,tbal[[#This Row],[X]]=2)),tbal[[#This Row],[DEUDOR]],0)</f>
        <v>0</v>
      </c>
      <c r="J2462" s="18">
        <f>IF((OR(tbal[[#This Row],[X]]=2,tbal[[#This Row],[X]]=3)),tbal[[#This Row],[ACREEDOR]],0)</f>
        <v>0</v>
      </c>
      <c r="K2462" s="16">
        <f>IF((OR(tbal[[#This Row],[X]]=3,tbal[[#This Row],[X]]=5)),tbal[[#This Row],[DEUDOR]],0)</f>
        <v>0</v>
      </c>
      <c r="L2462" s="18">
        <f>IF((OR(tbal[[#This Row],[X]]=3,tbal[[#This Row],[X]]=4)),tbal[[#This Row],[ACREEDOR]],0)</f>
        <v>0</v>
      </c>
      <c r="M2462" s="16">
        <f>IF((OR(tbal[[#This Row],[X]]=0,tbal[[#This Row],[X]]=6)),tbal[[#This Row],[DEUDOR]],0)</f>
        <v>0</v>
      </c>
      <c r="N2462" s="18">
        <f>IF((OR(tbal[[#This Row],[X]]=0,tbal[[#This Row],[X]]=5)),tbal[[#This Row],[ACREEDOR]],0)</f>
        <v>0</v>
      </c>
    </row>
    <row r="2463" spans="1:14" hidden="1" x14ac:dyDescent="0.3">
      <c r="A2463" s="14">
        <f>+'PLAN DE CUENTAS'!A2463</f>
        <v>0</v>
      </c>
      <c r="B2463" s="13">
        <f>+'PLAN DE CUENTAS'!B2463</f>
        <v>0</v>
      </c>
      <c r="C2463" s="13">
        <f>+'PLAN DE CUENTAS'!C2463</f>
        <v>0</v>
      </c>
      <c r="D2463" t="str">
        <f>IF(tbal[[#This Row],[DEBE]]+tbal[[#This Row],[HABER]]=0,"","X")</f>
        <v/>
      </c>
      <c r="E2463" s="16">
        <f>SUMIF(tdiario[CUENTA],tbal[[#This Row],[CUENTA]],tdiario[DEBE])</f>
        <v>0</v>
      </c>
      <c r="F2463" s="17">
        <f>SUMIF(tdiario[CUENTA],tbal[[#This Row],[CUENTA]],tdiario[HABER])</f>
        <v>0</v>
      </c>
      <c r="G2463" s="16">
        <f>IF(tbal[[#This Row],[DEBE]]-tbal[[#This Row],[HABER]]&gt;0,tbal[[#This Row],[DEBE]]-tbal[[#This Row],[HABER]],0)</f>
        <v>0</v>
      </c>
      <c r="H2463" s="18">
        <f>IF(tbal[[#This Row],[HABER]]-tbal[[#This Row],[DEBE]]&gt;0,tbal[[#This Row],[HABER]]-tbal[[#This Row],[DEBE]],0)</f>
        <v>0</v>
      </c>
      <c r="I2463" s="16">
        <f>IF((OR(tbal[[#This Row],[X]]=1,tbal[[#This Row],[X]]=2)),tbal[[#This Row],[DEUDOR]],0)</f>
        <v>0</v>
      </c>
      <c r="J2463" s="18">
        <f>IF((OR(tbal[[#This Row],[X]]=2,tbal[[#This Row],[X]]=3)),tbal[[#This Row],[ACREEDOR]],0)</f>
        <v>0</v>
      </c>
      <c r="K2463" s="16">
        <f>IF((OR(tbal[[#This Row],[X]]=3,tbal[[#This Row],[X]]=5)),tbal[[#This Row],[DEUDOR]],0)</f>
        <v>0</v>
      </c>
      <c r="L2463" s="18">
        <f>IF((OR(tbal[[#This Row],[X]]=3,tbal[[#This Row],[X]]=4)),tbal[[#This Row],[ACREEDOR]],0)</f>
        <v>0</v>
      </c>
      <c r="M2463" s="16">
        <f>IF((OR(tbal[[#This Row],[X]]=0,tbal[[#This Row],[X]]=6)),tbal[[#This Row],[DEUDOR]],0)</f>
        <v>0</v>
      </c>
      <c r="N2463" s="18">
        <f>IF((OR(tbal[[#This Row],[X]]=0,tbal[[#This Row],[X]]=5)),tbal[[#This Row],[ACREEDOR]],0)</f>
        <v>0</v>
      </c>
    </row>
    <row r="2464" spans="1:14" hidden="1" x14ac:dyDescent="0.3">
      <c r="A2464" s="14">
        <f>+'PLAN DE CUENTAS'!A2464</f>
        <v>0</v>
      </c>
      <c r="B2464" s="13">
        <f>+'PLAN DE CUENTAS'!B2464</f>
        <v>0</v>
      </c>
      <c r="C2464" s="13">
        <f>+'PLAN DE CUENTAS'!C2464</f>
        <v>0</v>
      </c>
      <c r="D2464" t="str">
        <f>IF(tbal[[#This Row],[DEBE]]+tbal[[#This Row],[HABER]]=0,"","X")</f>
        <v/>
      </c>
      <c r="E2464" s="16">
        <f>SUMIF(tdiario[CUENTA],tbal[[#This Row],[CUENTA]],tdiario[DEBE])</f>
        <v>0</v>
      </c>
      <c r="F2464" s="17">
        <f>SUMIF(tdiario[CUENTA],tbal[[#This Row],[CUENTA]],tdiario[HABER])</f>
        <v>0</v>
      </c>
      <c r="G2464" s="16">
        <f>IF(tbal[[#This Row],[DEBE]]-tbal[[#This Row],[HABER]]&gt;0,tbal[[#This Row],[DEBE]]-tbal[[#This Row],[HABER]],0)</f>
        <v>0</v>
      </c>
      <c r="H2464" s="18">
        <f>IF(tbal[[#This Row],[HABER]]-tbal[[#This Row],[DEBE]]&gt;0,tbal[[#This Row],[HABER]]-tbal[[#This Row],[DEBE]],0)</f>
        <v>0</v>
      </c>
      <c r="I2464" s="16">
        <f>IF((OR(tbal[[#This Row],[X]]=1,tbal[[#This Row],[X]]=2)),tbal[[#This Row],[DEUDOR]],0)</f>
        <v>0</v>
      </c>
      <c r="J2464" s="18">
        <f>IF((OR(tbal[[#This Row],[X]]=2,tbal[[#This Row],[X]]=3)),tbal[[#This Row],[ACREEDOR]],0)</f>
        <v>0</v>
      </c>
      <c r="K2464" s="16">
        <f>IF((OR(tbal[[#This Row],[X]]=3,tbal[[#This Row],[X]]=5)),tbal[[#This Row],[DEUDOR]],0)</f>
        <v>0</v>
      </c>
      <c r="L2464" s="18">
        <f>IF((OR(tbal[[#This Row],[X]]=3,tbal[[#This Row],[X]]=4)),tbal[[#This Row],[ACREEDOR]],0)</f>
        <v>0</v>
      </c>
      <c r="M2464" s="16">
        <f>IF((OR(tbal[[#This Row],[X]]=0,tbal[[#This Row],[X]]=6)),tbal[[#This Row],[DEUDOR]],0)</f>
        <v>0</v>
      </c>
      <c r="N2464" s="18">
        <f>IF((OR(tbal[[#This Row],[X]]=0,tbal[[#This Row],[X]]=5)),tbal[[#This Row],[ACREEDOR]],0)</f>
        <v>0</v>
      </c>
    </row>
    <row r="2465" spans="1:14" hidden="1" x14ac:dyDescent="0.3">
      <c r="A2465" s="14">
        <f>+'PLAN DE CUENTAS'!A2465</f>
        <v>0</v>
      </c>
      <c r="B2465" s="13">
        <f>+'PLAN DE CUENTAS'!B2465</f>
        <v>0</v>
      </c>
      <c r="C2465" s="13">
        <f>+'PLAN DE CUENTAS'!C2465</f>
        <v>0</v>
      </c>
      <c r="D2465" t="str">
        <f>IF(tbal[[#This Row],[DEBE]]+tbal[[#This Row],[HABER]]=0,"","X")</f>
        <v/>
      </c>
      <c r="E2465" s="16">
        <f>SUMIF(tdiario[CUENTA],tbal[[#This Row],[CUENTA]],tdiario[DEBE])</f>
        <v>0</v>
      </c>
      <c r="F2465" s="17">
        <f>SUMIF(tdiario[CUENTA],tbal[[#This Row],[CUENTA]],tdiario[HABER])</f>
        <v>0</v>
      </c>
      <c r="G2465" s="16">
        <f>IF(tbal[[#This Row],[DEBE]]-tbal[[#This Row],[HABER]]&gt;0,tbal[[#This Row],[DEBE]]-tbal[[#This Row],[HABER]],0)</f>
        <v>0</v>
      </c>
      <c r="H2465" s="18">
        <f>IF(tbal[[#This Row],[HABER]]-tbal[[#This Row],[DEBE]]&gt;0,tbal[[#This Row],[HABER]]-tbal[[#This Row],[DEBE]],0)</f>
        <v>0</v>
      </c>
      <c r="I2465" s="16">
        <f>IF((OR(tbal[[#This Row],[X]]=1,tbal[[#This Row],[X]]=2)),tbal[[#This Row],[DEUDOR]],0)</f>
        <v>0</v>
      </c>
      <c r="J2465" s="18">
        <f>IF((OR(tbal[[#This Row],[X]]=2,tbal[[#This Row],[X]]=3)),tbal[[#This Row],[ACREEDOR]],0)</f>
        <v>0</v>
      </c>
      <c r="K2465" s="16">
        <f>IF((OR(tbal[[#This Row],[X]]=3,tbal[[#This Row],[X]]=5)),tbal[[#This Row],[DEUDOR]],0)</f>
        <v>0</v>
      </c>
      <c r="L2465" s="18">
        <f>IF((OR(tbal[[#This Row],[X]]=3,tbal[[#This Row],[X]]=4)),tbal[[#This Row],[ACREEDOR]],0)</f>
        <v>0</v>
      </c>
      <c r="M2465" s="16">
        <f>IF((OR(tbal[[#This Row],[X]]=0,tbal[[#This Row],[X]]=6)),tbal[[#This Row],[DEUDOR]],0)</f>
        <v>0</v>
      </c>
      <c r="N2465" s="18">
        <f>IF((OR(tbal[[#This Row],[X]]=0,tbal[[#This Row],[X]]=5)),tbal[[#This Row],[ACREEDOR]],0)</f>
        <v>0</v>
      </c>
    </row>
    <row r="2466" spans="1:14" hidden="1" x14ac:dyDescent="0.3">
      <c r="A2466" s="14">
        <f>+'PLAN DE CUENTAS'!A2466</f>
        <v>0</v>
      </c>
      <c r="B2466" s="13">
        <f>+'PLAN DE CUENTAS'!B2466</f>
        <v>0</v>
      </c>
      <c r="C2466" s="13">
        <f>+'PLAN DE CUENTAS'!C2466</f>
        <v>0</v>
      </c>
      <c r="D2466" t="str">
        <f>IF(tbal[[#This Row],[DEBE]]+tbal[[#This Row],[HABER]]=0,"","X")</f>
        <v/>
      </c>
      <c r="E2466" s="16">
        <f>SUMIF(tdiario[CUENTA],tbal[[#This Row],[CUENTA]],tdiario[DEBE])</f>
        <v>0</v>
      </c>
      <c r="F2466" s="17">
        <f>SUMIF(tdiario[CUENTA],tbal[[#This Row],[CUENTA]],tdiario[HABER])</f>
        <v>0</v>
      </c>
      <c r="G2466" s="16">
        <f>IF(tbal[[#This Row],[DEBE]]-tbal[[#This Row],[HABER]]&gt;0,tbal[[#This Row],[DEBE]]-tbal[[#This Row],[HABER]],0)</f>
        <v>0</v>
      </c>
      <c r="H2466" s="18">
        <f>IF(tbal[[#This Row],[HABER]]-tbal[[#This Row],[DEBE]]&gt;0,tbal[[#This Row],[HABER]]-tbal[[#This Row],[DEBE]],0)</f>
        <v>0</v>
      </c>
      <c r="I2466" s="16">
        <f>IF((OR(tbal[[#This Row],[X]]=1,tbal[[#This Row],[X]]=2)),tbal[[#This Row],[DEUDOR]],0)</f>
        <v>0</v>
      </c>
      <c r="J2466" s="18">
        <f>IF((OR(tbal[[#This Row],[X]]=2,tbal[[#This Row],[X]]=3)),tbal[[#This Row],[ACREEDOR]],0)</f>
        <v>0</v>
      </c>
      <c r="K2466" s="16">
        <f>IF((OR(tbal[[#This Row],[X]]=3,tbal[[#This Row],[X]]=5)),tbal[[#This Row],[DEUDOR]],0)</f>
        <v>0</v>
      </c>
      <c r="L2466" s="18">
        <f>IF((OR(tbal[[#This Row],[X]]=3,tbal[[#This Row],[X]]=4)),tbal[[#This Row],[ACREEDOR]],0)</f>
        <v>0</v>
      </c>
      <c r="M2466" s="16">
        <f>IF((OR(tbal[[#This Row],[X]]=0,tbal[[#This Row],[X]]=6)),tbal[[#This Row],[DEUDOR]],0)</f>
        <v>0</v>
      </c>
      <c r="N2466" s="18">
        <f>IF((OR(tbal[[#This Row],[X]]=0,tbal[[#This Row],[X]]=5)),tbal[[#This Row],[ACREEDOR]],0)</f>
        <v>0</v>
      </c>
    </row>
    <row r="2467" spans="1:14" hidden="1" x14ac:dyDescent="0.3">
      <c r="A2467" s="14">
        <f>+'PLAN DE CUENTAS'!A2467</f>
        <v>0</v>
      </c>
      <c r="B2467" s="13">
        <f>+'PLAN DE CUENTAS'!B2467</f>
        <v>0</v>
      </c>
      <c r="C2467" s="13">
        <f>+'PLAN DE CUENTAS'!C2467</f>
        <v>0</v>
      </c>
      <c r="D2467" t="str">
        <f>IF(tbal[[#This Row],[DEBE]]+tbal[[#This Row],[HABER]]=0,"","X")</f>
        <v/>
      </c>
      <c r="E2467" s="16">
        <f>SUMIF(tdiario[CUENTA],tbal[[#This Row],[CUENTA]],tdiario[DEBE])</f>
        <v>0</v>
      </c>
      <c r="F2467" s="17">
        <f>SUMIF(tdiario[CUENTA],tbal[[#This Row],[CUENTA]],tdiario[HABER])</f>
        <v>0</v>
      </c>
      <c r="G2467" s="16">
        <f>IF(tbal[[#This Row],[DEBE]]-tbal[[#This Row],[HABER]]&gt;0,tbal[[#This Row],[DEBE]]-tbal[[#This Row],[HABER]],0)</f>
        <v>0</v>
      </c>
      <c r="H2467" s="18">
        <f>IF(tbal[[#This Row],[HABER]]-tbal[[#This Row],[DEBE]]&gt;0,tbal[[#This Row],[HABER]]-tbal[[#This Row],[DEBE]],0)</f>
        <v>0</v>
      </c>
      <c r="I2467" s="16">
        <f>IF((OR(tbal[[#This Row],[X]]=1,tbal[[#This Row],[X]]=2)),tbal[[#This Row],[DEUDOR]],0)</f>
        <v>0</v>
      </c>
      <c r="J2467" s="18">
        <f>IF((OR(tbal[[#This Row],[X]]=2,tbal[[#This Row],[X]]=3)),tbal[[#This Row],[ACREEDOR]],0)</f>
        <v>0</v>
      </c>
      <c r="K2467" s="16">
        <f>IF((OR(tbal[[#This Row],[X]]=3,tbal[[#This Row],[X]]=5)),tbal[[#This Row],[DEUDOR]],0)</f>
        <v>0</v>
      </c>
      <c r="L2467" s="18">
        <f>IF((OR(tbal[[#This Row],[X]]=3,tbal[[#This Row],[X]]=4)),tbal[[#This Row],[ACREEDOR]],0)</f>
        <v>0</v>
      </c>
      <c r="M2467" s="16">
        <f>IF((OR(tbal[[#This Row],[X]]=0,tbal[[#This Row],[X]]=6)),tbal[[#This Row],[DEUDOR]],0)</f>
        <v>0</v>
      </c>
      <c r="N2467" s="18">
        <f>IF((OR(tbal[[#This Row],[X]]=0,tbal[[#This Row],[X]]=5)),tbal[[#This Row],[ACREEDOR]],0)</f>
        <v>0</v>
      </c>
    </row>
    <row r="2468" spans="1:14" hidden="1" x14ac:dyDescent="0.3">
      <c r="A2468" s="14">
        <f>+'PLAN DE CUENTAS'!A2468</f>
        <v>0</v>
      </c>
      <c r="B2468" s="13">
        <f>+'PLAN DE CUENTAS'!B2468</f>
        <v>0</v>
      </c>
      <c r="C2468" s="13">
        <f>+'PLAN DE CUENTAS'!C2468</f>
        <v>0</v>
      </c>
      <c r="D2468" t="str">
        <f>IF(tbal[[#This Row],[DEBE]]+tbal[[#This Row],[HABER]]=0,"","X")</f>
        <v/>
      </c>
      <c r="E2468" s="16">
        <f>SUMIF(tdiario[CUENTA],tbal[[#This Row],[CUENTA]],tdiario[DEBE])</f>
        <v>0</v>
      </c>
      <c r="F2468" s="17">
        <f>SUMIF(tdiario[CUENTA],tbal[[#This Row],[CUENTA]],tdiario[HABER])</f>
        <v>0</v>
      </c>
      <c r="G2468" s="16">
        <f>IF(tbal[[#This Row],[DEBE]]-tbal[[#This Row],[HABER]]&gt;0,tbal[[#This Row],[DEBE]]-tbal[[#This Row],[HABER]],0)</f>
        <v>0</v>
      </c>
      <c r="H2468" s="18">
        <f>IF(tbal[[#This Row],[HABER]]-tbal[[#This Row],[DEBE]]&gt;0,tbal[[#This Row],[HABER]]-tbal[[#This Row],[DEBE]],0)</f>
        <v>0</v>
      </c>
      <c r="I2468" s="16">
        <f>IF((OR(tbal[[#This Row],[X]]=1,tbal[[#This Row],[X]]=2)),tbal[[#This Row],[DEUDOR]],0)</f>
        <v>0</v>
      </c>
      <c r="J2468" s="18">
        <f>IF((OR(tbal[[#This Row],[X]]=2,tbal[[#This Row],[X]]=3)),tbal[[#This Row],[ACREEDOR]],0)</f>
        <v>0</v>
      </c>
      <c r="K2468" s="16">
        <f>IF((OR(tbal[[#This Row],[X]]=3,tbal[[#This Row],[X]]=5)),tbal[[#This Row],[DEUDOR]],0)</f>
        <v>0</v>
      </c>
      <c r="L2468" s="18">
        <f>IF((OR(tbal[[#This Row],[X]]=3,tbal[[#This Row],[X]]=4)),tbal[[#This Row],[ACREEDOR]],0)</f>
        <v>0</v>
      </c>
      <c r="M2468" s="16">
        <f>IF((OR(tbal[[#This Row],[X]]=0,tbal[[#This Row],[X]]=6)),tbal[[#This Row],[DEUDOR]],0)</f>
        <v>0</v>
      </c>
      <c r="N2468" s="18">
        <f>IF((OR(tbal[[#This Row],[X]]=0,tbal[[#This Row],[X]]=5)),tbal[[#This Row],[ACREEDOR]],0)</f>
        <v>0</v>
      </c>
    </row>
    <row r="2469" spans="1:14" hidden="1" x14ac:dyDescent="0.3">
      <c r="A2469" s="14">
        <f>+'PLAN DE CUENTAS'!A2469</f>
        <v>0</v>
      </c>
      <c r="B2469" s="13">
        <f>+'PLAN DE CUENTAS'!B2469</f>
        <v>0</v>
      </c>
      <c r="C2469" s="13">
        <f>+'PLAN DE CUENTAS'!C2469</f>
        <v>0</v>
      </c>
      <c r="D2469" t="str">
        <f>IF(tbal[[#This Row],[DEBE]]+tbal[[#This Row],[HABER]]=0,"","X")</f>
        <v/>
      </c>
      <c r="E2469" s="16">
        <f>SUMIF(tdiario[CUENTA],tbal[[#This Row],[CUENTA]],tdiario[DEBE])</f>
        <v>0</v>
      </c>
      <c r="F2469" s="17">
        <f>SUMIF(tdiario[CUENTA],tbal[[#This Row],[CUENTA]],tdiario[HABER])</f>
        <v>0</v>
      </c>
      <c r="G2469" s="16">
        <f>IF(tbal[[#This Row],[DEBE]]-tbal[[#This Row],[HABER]]&gt;0,tbal[[#This Row],[DEBE]]-tbal[[#This Row],[HABER]],0)</f>
        <v>0</v>
      </c>
      <c r="H2469" s="18">
        <f>IF(tbal[[#This Row],[HABER]]-tbal[[#This Row],[DEBE]]&gt;0,tbal[[#This Row],[HABER]]-tbal[[#This Row],[DEBE]],0)</f>
        <v>0</v>
      </c>
      <c r="I2469" s="16">
        <f>IF((OR(tbal[[#This Row],[X]]=1,tbal[[#This Row],[X]]=2)),tbal[[#This Row],[DEUDOR]],0)</f>
        <v>0</v>
      </c>
      <c r="J2469" s="18">
        <f>IF((OR(tbal[[#This Row],[X]]=2,tbal[[#This Row],[X]]=3)),tbal[[#This Row],[ACREEDOR]],0)</f>
        <v>0</v>
      </c>
      <c r="K2469" s="16">
        <f>IF((OR(tbal[[#This Row],[X]]=3,tbal[[#This Row],[X]]=5)),tbal[[#This Row],[DEUDOR]],0)</f>
        <v>0</v>
      </c>
      <c r="L2469" s="18">
        <f>IF((OR(tbal[[#This Row],[X]]=3,tbal[[#This Row],[X]]=4)),tbal[[#This Row],[ACREEDOR]],0)</f>
        <v>0</v>
      </c>
      <c r="M2469" s="16">
        <f>IF((OR(tbal[[#This Row],[X]]=0,tbal[[#This Row],[X]]=6)),tbal[[#This Row],[DEUDOR]],0)</f>
        <v>0</v>
      </c>
      <c r="N2469" s="18">
        <f>IF((OR(tbal[[#This Row],[X]]=0,tbal[[#This Row],[X]]=5)),tbal[[#This Row],[ACREEDOR]],0)</f>
        <v>0</v>
      </c>
    </row>
    <row r="2470" spans="1:14" hidden="1" x14ac:dyDescent="0.3">
      <c r="A2470" s="14">
        <f>+'PLAN DE CUENTAS'!A2470</f>
        <v>0</v>
      </c>
      <c r="B2470" s="13">
        <f>+'PLAN DE CUENTAS'!B2470</f>
        <v>0</v>
      </c>
      <c r="C2470" s="13">
        <f>+'PLAN DE CUENTAS'!C2470</f>
        <v>0</v>
      </c>
      <c r="D2470" t="str">
        <f>IF(tbal[[#This Row],[DEBE]]+tbal[[#This Row],[HABER]]=0,"","X")</f>
        <v/>
      </c>
      <c r="E2470" s="16">
        <f>SUMIF(tdiario[CUENTA],tbal[[#This Row],[CUENTA]],tdiario[DEBE])</f>
        <v>0</v>
      </c>
      <c r="F2470" s="17">
        <f>SUMIF(tdiario[CUENTA],tbal[[#This Row],[CUENTA]],tdiario[HABER])</f>
        <v>0</v>
      </c>
      <c r="G2470" s="16">
        <f>IF(tbal[[#This Row],[DEBE]]-tbal[[#This Row],[HABER]]&gt;0,tbal[[#This Row],[DEBE]]-tbal[[#This Row],[HABER]],0)</f>
        <v>0</v>
      </c>
      <c r="H2470" s="18">
        <f>IF(tbal[[#This Row],[HABER]]-tbal[[#This Row],[DEBE]]&gt;0,tbal[[#This Row],[HABER]]-tbal[[#This Row],[DEBE]],0)</f>
        <v>0</v>
      </c>
      <c r="I2470" s="16">
        <f>IF((OR(tbal[[#This Row],[X]]=1,tbal[[#This Row],[X]]=2)),tbal[[#This Row],[DEUDOR]],0)</f>
        <v>0</v>
      </c>
      <c r="J2470" s="18">
        <f>IF((OR(tbal[[#This Row],[X]]=2,tbal[[#This Row],[X]]=3)),tbal[[#This Row],[ACREEDOR]],0)</f>
        <v>0</v>
      </c>
      <c r="K2470" s="16">
        <f>IF((OR(tbal[[#This Row],[X]]=3,tbal[[#This Row],[X]]=5)),tbal[[#This Row],[DEUDOR]],0)</f>
        <v>0</v>
      </c>
      <c r="L2470" s="18">
        <f>IF((OR(tbal[[#This Row],[X]]=3,tbal[[#This Row],[X]]=4)),tbal[[#This Row],[ACREEDOR]],0)</f>
        <v>0</v>
      </c>
      <c r="M2470" s="16">
        <f>IF((OR(tbal[[#This Row],[X]]=0,tbal[[#This Row],[X]]=6)),tbal[[#This Row],[DEUDOR]],0)</f>
        <v>0</v>
      </c>
      <c r="N2470" s="18">
        <f>IF((OR(tbal[[#This Row],[X]]=0,tbal[[#This Row],[X]]=5)),tbal[[#This Row],[ACREEDOR]],0)</f>
        <v>0</v>
      </c>
    </row>
    <row r="2471" spans="1:14" hidden="1" x14ac:dyDescent="0.3">
      <c r="A2471" s="14">
        <f>+'PLAN DE CUENTAS'!A2471</f>
        <v>0</v>
      </c>
      <c r="B2471" s="13">
        <f>+'PLAN DE CUENTAS'!B2471</f>
        <v>0</v>
      </c>
      <c r="C2471" s="13">
        <f>+'PLAN DE CUENTAS'!C2471</f>
        <v>0</v>
      </c>
      <c r="D2471" t="str">
        <f>IF(tbal[[#This Row],[DEBE]]+tbal[[#This Row],[HABER]]=0,"","X")</f>
        <v/>
      </c>
      <c r="E2471" s="16">
        <f>SUMIF(tdiario[CUENTA],tbal[[#This Row],[CUENTA]],tdiario[DEBE])</f>
        <v>0</v>
      </c>
      <c r="F2471" s="17">
        <f>SUMIF(tdiario[CUENTA],tbal[[#This Row],[CUENTA]],tdiario[HABER])</f>
        <v>0</v>
      </c>
      <c r="G2471" s="16">
        <f>IF(tbal[[#This Row],[DEBE]]-tbal[[#This Row],[HABER]]&gt;0,tbal[[#This Row],[DEBE]]-tbal[[#This Row],[HABER]],0)</f>
        <v>0</v>
      </c>
      <c r="H2471" s="18">
        <f>IF(tbal[[#This Row],[HABER]]-tbal[[#This Row],[DEBE]]&gt;0,tbal[[#This Row],[HABER]]-tbal[[#This Row],[DEBE]],0)</f>
        <v>0</v>
      </c>
      <c r="I2471" s="16">
        <f>IF((OR(tbal[[#This Row],[X]]=1,tbal[[#This Row],[X]]=2)),tbal[[#This Row],[DEUDOR]],0)</f>
        <v>0</v>
      </c>
      <c r="J2471" s="18">
        <f>IF((OR(tbal[[#This Row],[X]]=2,tbal[[#This Row],[X]]=3)),tbal[[#This Row],[ACREEDOR]],0)</f>
        <v>0</v>
      </c>
      <c r="K2471" s="16">
        <f>IF((OR(tbal[[#This Row],[X]]=3,tbal[[#This Row],[X]]=5)),tbal[[#This Row],[DEUDOR]],0)</f>
        <v>0</v>
      </c>
      <c r="L2471" s="18">
        <f>IF((OR(tbal[[#This Row],[X]]=3,tbal[[#This Row],[X]]=4)),tbal[[#This Row],[ACREEDOR]],0)</f>
        <v>0</v>
      </c>
      <c r="M2471" s="16">
        <f>IF((OR(tbal[[#This Row],[X]]=0,tbal[[#This Row],[X]]=6)),tbal[[#This Row],[DEUDOR]],0)</f>
        <v>0</v>
      </c>
      <c r="N2471" s="18">
        <f>IF((OR(tbal[[#This Row],[X]]=0,tbal[[#This Row],[X]]=5)),tbal[[#This Row],[ACREEDOR]],0)</f>
        <v>0</v>
      </c>
    </row>
    <row r="2472" spans="1:14" hidden="1" x14ac:dyDescent="0.3">
      <c r="A2472" s="14">
        <f>+'PLAN DE CUENTAS'!A2472</f>
        <v>0</v>
      </c>
      <c r="B2472" s="13">
        <f>+'PLAN DE CUENTAS'!B2472</f>
        <v>0</v>
      </c>
      <c r="C2472" s="13">
        <f>+'PLAN DE CUENTAS'!C2472</f>
        <v>0</v>
      </c>
      <c r="D2472" t="str">
        <f>IF(tbal[[#This Row],[DEBE]]+tbal[[#This Row],[HABER]]=0,"","X")</f>
        <v/>
      </c>
      <c r="E2472" s="16">
        <f>SUMIF(tdiario[CUENTA],tbal[[#This Row],[CUENTA]],tdiario[DEBE])</f>
        <v>0</v>
      </c>
      <c r="F2472" s="17">
        <f>SUMIF(tdiario[CUENTA],tbal[[#This Row],[CUENTA]],tdiario[HABER])</f>
        <v>0</v>
      </c>
      <c r="G2472" s="16">
        <f>IF(tbal[[#This Row],[DEBE]]-tbal[[#This Row],[HABER]]&gt;0,tbal[[#This Row],[DEBE]]-tbal[[#This Row],[HABER]],0)</f>
        <v>0</v>
      </c>
      <c r="H2472" s="18">
        <f>IF(tbal[[#This Row],[HABER]]-tbal[[#This Row],[DEBE]]&gt;0,tbal[[#This Row],[HABER]]-tbal[[#This Row],[DEBE]],0)</f>
        <v>0</v>
      </c>
      <c r="I2472" s="16">
        <f>IF((OR(tbal[[#This Row],[X]]=1,tbal[[#This Row],[X]]=2)),tbal[[#This Row],[DEUDOR]],0)</f>
        <v>0</v>
      </c>
      <c r="J2472" s="18">
        <f>IF((OR(tbal[[#This Row],[X]]=2,tbal[[#This Row],[X]]=3)),tbal[[#This Row],[ACREEDOR]],0)</f>
        <v>0</v>
      </c>
      <c r="K2472" s="16">
        <f>IF((OR(tbal[[#This Row],[X]]=3,tbal[[#This Row],[X]]=5)),tbal[[#This Row],[DEUDOR]],0)</f>
        <v>0</v>
      </c>
      <c r="L2472" s="18">
        <f>IF((OR(tbal[[#This Row],[X]]=3,tbal[[#This Row],[X]]=4)),tbal[[#This Row],[ACREEDOR]],0)</f>
        <v>0</v>
      </c>
      <c r="M2472" s="16">
        <f>IF((OR(tbal[[#This Row],[X]]=0,tbal[[#This Row],[X]]=6)),tbal[[#This Row],[DEUDOR]],0)</f>
        <v>0</v>
      </c>
      <c r="N2472" s="18">
        <f>IF((OR(tbal[[#This Row],[X]]=0,tbal[[#This Row],[X]]=5)),tbal[[#This Row],[ACREEDOR]],0)</f>
        <v>0</v>
      </c>
    </row>
    <row r="2473" spans="1:14" hidden="1" x14ac:dyDescent="0.3">
      <c r="A2473" s="14">
        <f>+'PLAN DE CUENTAS'!A2473</f>
        <v>0</v>
      </c>
      <c r="B2473" s="13">
        <f>+'PLAN DE CUENTAS'!B2473</f>
        <v>0</v>
      </c>
      <c r="C2473" s="13">
        <f>+'PLAN DE CUENTAS'!C2473</f>
        <v>0</v>
      </c>
      <c r="D2473" t="str">
        <f>IF(tbal[[#This Row],[DEBE]]+tbal[[#This Row],[HABER]]=0,"","X")</f>
        <v/>
      </c>
      <c r="E2473" s="16">
        <f>SUMIF(tdiario[CUENTA],tbal[[#This Row],[CUENTA]],tdiario[DEBE])</f>
        <v>0</v>
      </c>
      <c r="F2473" s="17">
        <f>SUMIF(tdiario[CUENTA],tbal[[#This Row],[CUENTA]],tdiario[HABER])</f>
        <v>0</v>
      </c>
      <c r="G2473" s="16">
        <f>IF(tbal[[#This Row],[DEBE]]-tbal[[#This Row],[HABER]]&gt;0,tbal[[#This Row],[DEBE]]-tbal[[#This Row],[HABER]],0)</f>
        <v>0</v>
      </c>
      <c r="H2473" s="18">
        <f>IF(tbal[[#This Row],[HABER]]-tbal[[#This Row],[DEBE]]&gt;0,tbal[[#This Row],[HABER]]-tbal[[#This Row],[DEBE]],0)</f>
        <v>0</v>
      </c>
      <c r="I2473" s="16">
        <f>IF((OR(tbal[[#This Row],[X]]=1,tbal[[#This Row],[X]]=2)),tbal[[#This Row],[DEUDOR]],0)</f>
        <v>0</v>
      </c>
      <c r="J2473" s="18">
        <f>IF((OR(tbal[[#This Row],[X]]=2,tbal[[#This Row],[X]]=3)),tbal[[#This Row],[ACREEDOR]],0)</f>
        <v>0</v>
      </c>
      <c r="K2473" s="16">
        <f>IF((OR(tbal[[#This Row],[X]]=3,tbal[[#This Row],[X]]=5)),tbal[[#This Row],[DEUDOR]],0)</f>
        <v>0</v>
      </c>
      <c r="L2473" s="18">
        <f>IF((OR(tbal[[#This Row],[X]]=3,tbal[[#This Row],[X]]=4)),tbal[[#This Row],[ACREEDOR]],0)</f>
        <v>0</v>
      </c>
      <c r="M2473" s="16">
        <f>IF((OR(tbal[[#This Row],[X]]=0,tbal[[#This Row],[X]]=6)),tbal[[#This Row],[DEUDOR]],0)</f>
        <v>0</v>
      </c>
      <c r="N2473" s="18">
        <f>IF((OR(tbal[[#This Row],[X]]=0,tbal[[#This Row],[X]]=5)),tbal[[#This Row],[ACREEDOR]],0)</f>
        <v>0</v>
      </c>
    </row>
    <row r="2474" spans="1:14" hidden="1" x14ac:dyDescent="0.3">
      <c r="A2474" s="14">
        <f>+'PLAN DE CUENTAS'!A2474</f>
        <v>0</v>
      </c>
      <c r="B2474" s="13">
        <f>+'PLAN DE CUENTAS'!B2474</f>
        <v>0</v>
      </c>
      <c r="C2474" s="13">
        <f>+'PLAN DE CUENTAS'!C2474</f>
        <v>0</v>
      </c>
      <c r="D2474" t="str">
        <f>IF(tbal[[#This Row],[DEBE]]+tbal[[#This Row],[HABER]]=0,"","X")</f>
        <v/>
      </c>
      <c r="E2474" s="16">
        <f>SUMIF(tdiario[CUENTA],tbal[[#This Row],[CUENTA]],tdiario[DEBE])</f>
        <v>0</v>
      </c>
      <c r="F2474" s="17">
        <f>SUMIF(tdiario[CUENTA],tbal[[#This Row],[CUENTA]],tdiario[HABER])</f>
        <v>0</v>
      </c>
      <c r="G2474" s="16">
        <f>IF(tbal[[#This Row],[DEBE]]-tbal[[#This Row],[HABER]]&gt;0,tbal[[#This Row],[DEBE]]-tbal[[#This Row],[HABER]],0)</f>
        <v>0</v>
      </c>
      <c r="H2474" s="18">
        <f>IF(tbal[[#This Row],[HABER]]-tbal[[#This Row],[DEBE]]&gt;0,tbal[[#This Row],[HABER]]-tbal[[#This Row],[DEBE]],0)</f>
        <v>0</v>
      </c>
      <c r="I2474" s="16">
        <f>IF((OR(tbal[[#This Row],[X]]=1,tbal[[#This Row],[X]]=2)),tbal[[#This Row],[DEUDOR]],0)</f>
        <v>0</v>
      </c>
      <c r="J2474" s="18">
        <f>IF((OR(tbal[[#This Row],[X]]=2,tbal[[#This Row],[X]]=3)),tbal[[#This Row],[ACREEDOR]],0)</f>
        <v>0</v>
      </c>
      <c r="K2474" s="16">
        <f>IF((OR(tbal[[#This Row],[X]]=3,tbal[[#This Row],[X]]=5)),tbal[[#This Row],[DEUDOR]],0)</f>
        <v>0</v>
      </c>
      <c r="L2474" s="18">
        <f>IF((OR(tbal[[#This Row],[X]]=3,tbal[[#This Row],[X]]=4)),tbal[[#This Row],[ACREEDOR]],0)</f>
        <v>0</v>
      </c>
      <c r="M2474" s="16">
        <f>IF((OR(tbal[[#This Row],[X]]=0,tbal[[#This Row],[X]]=6)),tbal[[#This Row],[DEUDOR]],0)</f>
        <v>0</v>
      </c>
      <c r="N2474" s="18">
        <f>IF((OR(tbal[[#This Row],[X]]=0,tbal[[#This Row],[X]]=5)),tbal[[#This Row],[ACREEDOR]],0)</f>
        <v>0</v>
      </c>
    </row>
    <row r="2475" spans="1:14" hidden="1" x14ac:dyDescent="0.3">
      <c r="A2475" s="14">
        <f>+'PLAN DE CUENTAS'!A2475</f>
        <v>0</v>
      </c>
      <c r="B2475" s="13">
        <f>+'PLAN DE CUENTAS'!B2475</f>
        <v>0</v>
      </c>
      <c r="C2475" s="13">
        <f>+'PLAN DE CUENTAS'!C2475</f>
        <v>0</v>
      </c>
      <c r="D2475" t="str">
        <f>IF(tbal[[#This Row],[DEBE]]+tbal[[#This Row],[HABER]]=0,"","X")</f>
        <v/>
      </c>
      <c r="E2475" s="16">
        <f>SUMIF(tdiario[CUENTA],tbal[[#This Row],[CUENTA]],tdiario[DEBE])</f>
        <v>0</v>
      </c>
      <c r="F2475" s="17">
        <f>SUMIF(tdiario[CUENTA],tbal[[#This Row],[CUENTA]],tdiario[HABER])</f>
        <v>0</v>
      </c>
      <c r="G2475" s="16">
        <f>IF(tbal[[#This Row],[DEBE]]-tbal[[#This Row],[HABER]]&gt;0,tbal[[#This Row],[DEBE]]-tbal[[#This Row],[HABER]],0)</f>
        <v>0</v>
      </c>
      <c r="H2475" s="18">
        <f>IF(tbal[[#This Row],[HABER]]-tbal[[#This Row],[DEBE]]&gt;0,tbal[[#This Row],[HABER]]-tbal[[#This Row],[DEBE]],0)</f>
        <v>0</v>
      </c>
      <c r="I2475" s="16">
        <f>IF((OR(tbal[[#This Row],[X]]=1,tbal[[#This Row],[X]]=2)),tbal[[#This Row],[DEUDOR]],0)</f>
        <v>0</v>
      </c>
      <c r="J2475" s="18">
        <f>IF((OR(tbal[[#This Row],[X]]=2,tbal[[#This Row],[X]]=3)),tbal[[#This Row],[ACREEDOR]],0)</f>
        <v>0</v>
      </c>
      <c r="K2475" s="16">
        <f>IF((OR(tbal[[#This Row],[X]]=3,tbal[[#This Row],[X]]=5)),tbal[[#This Row],[DEUDOR]],0)</f>
        <v>0</v>
      </c>
      <c r="L2475" s="18">
        <f>IF((OR(tbal[[#This Row],[X]]=3,tbal[[#This Row],[X]]=4)),tbal[[#This Row],[ACREEDOR]],0)</f>
        <v>0</v>
      </c>
      <c r="M2475" s="16">
        <f>IF((OR(tbal[[#This Row],[X]]=0,tbal[[#This Row],[X]]=6)),tbal[[#This Row],[DEUDOR]],0)</f>
        <v>0</v>
      </c>
      <c r="N2475" s="18">
        <f>IF((OR(tbal[[#This Row],[X]]=0,tbal[[#This Row],[X]]=5)),tbal[[#This Row],[ACREEDOR]],0)</f>
        <v>0</v>
      </c>
    </row>
    <row r="2476" spans="1:14" hidden="1" x14ac:dyDescent="0.3">
      <c r="A2476" s="14">
        <f>+'PLAN DE CUENTAS'!A2476</f>
        <v>0</v>
      </c>
      <c r="B2476" s="13">
        <f>+'PLAN DE CUENTAS'!B2476</f>
        <v>0</v>
      </c>
      <c r="C2476" s="13">
        <f>+'PLAN DE CUENTAS'!C2476</f>
        <v>0</v>
      </c>
      <c r="D2476" t="str">
        <f>IF(tbal[[#This Row],[DEBE]]+tbal[[#This Row],[HABER]]=0,"","X")</f>
        <v/>
      </c>
      <c r="E2476" s="16">
        <f>SUMIF(tdiario[CUENTA],tbal[[#This Row],[CUENTA]],tdiario[DEBE])</f>
        <v>0</v>
      </c>
      <c r="F2476" s="17">
        <f>SUMIF(tdiario[CUENTA],tbal[[#This Row],[CUENTA]],tdiario[HABER])</f>
        <v>0</v>
      </c>
      <c r="G2476" s="16">
        <f>IF(tbal[[#This Row],[DEBE]]-tbal[[#This Row],[HABER]]&gt;0,tbal[[#This Row],[DEBE]]-tbal[[#This Row],[HABER]],0)</f>
        <v>0</v>
      </c>
      <c r="H2476" s="18">
        <f>IF(tbal[[#This Row],[HABER]]-tbal[[#This Row],[DEBE]]&gt;0,tbal[[#This Row],[HABER]]-tbal[[#This Row],[DEBE]],0)</f>
        <v>0</v>
      </c>
      <c r="I2476" s="16">
        <f>IF((OR(tbal[[#This Row],[X]]=1,tbal[[#This Row],[X]]=2)),tbal[[#This Row],[DEUDOR]],0)</f>
        <v>0</v>
      </c>
      <c r="J2476" s="18">
        <f>IF((OR(tbal[[#This Row],[X]]=2,tbal[[#This Row],[X]]=3)),tbal[[#This Row],[ACREEDOR]],0)</f>
        <v>0</v>
      </c>
      <c r="K2476" s="16">
        <f>IF((OR(tbal[[#This Row],[X]]=3,tbal[[#This Row],[X]]=5)),tbal[[#This Row],[DEUDOR]],0)</f>
        <v>0</v>
      </c>
      <c r="L2476" s="18">
        <f>IF((OR(tbal[[#This Row],[X]]=3,tbal[[#This Row],[X]]=4)),tbal[[#This Row],[ACREEDOR]],0)</f>
        <v>0</v>
      </c>
      <c r="M2476" s="16">
        <f>IF((OR(tbal[[#This Row],[X]]=0,tbal[[#This Row],[X]]=6)),tbal[[#This Row],[DEUDOR]],0)</f>
        <v>0</v>
      </c>
      <c r="N2476" s="18">
        <f>IF((OR(tbal[[#This Row],[X]]=0,tbal[[#This Row],[X]]=5)),tbal[[#This Row],[ACREEDOR]],0)</f>
        <v>0</v>
      </c>
    </row>
    <row r="2477" spans="1:14" hidden="1" x14ac:dyDescent="0.3">
      <c r="A2477" s="14">
        <f>+'PLAN DE CUENTAS'!A2477</f>
        <v>0</v>
      </c>
      <c r="B2477" s="13">
        <f>+'PLAN DE CUENTAS'!B2477</f>
        <v>0</v>
      </c>
      <c r="C2477" s="13">
        <f>+'PLAN DE CUENTAS'!C2477</f>
        <v>0</v>
      </c>
      <c r="D2477" t="str">
        <f>IF(tbal[[#This Row],[DEBE]]+tbal[[#This Row],[HABER]]=0,"","X")</f>
        <v/>
      </c>
      <c r="E2477" s="16">
        <f>SUMIF(tdiario[CUENTA],tbal[[#This Row],[CUENTA]],tdiario[DEBE])</f>
        <v>0</v>
      </c>
      <c r="F2477" s="17">
        <f>SUMIF(tdiario[CUENTA],tbal[[#This Row],[CUENTA]],tdiario[HABER])</f>
        <v>0</v>
      </c>
      <c r="G2477" s="16">
        <f>IF(tbal[[#This Row],[DEBE]]-tbal[[#This Row],[HABER]]&gt;0,tbal[[#This Row],[DEBE]]-tbal[[#This Row],[HABER]],0)</f>
        <v>0</v>
      </c>
      <c r="H2477" s="18">
        <f>IF(tbal[[#This Row],[HABER]]-tbal[[#This Row],[DEBE]]&gt;0,tbal[[#This Row],[HABER]]-tbal[[#This Row],[DEBE]],0)</f>
        <v>0</v>
      </c>
      <c r="I2477" s="16">
        <f>IF((OR(tbal[[#This Row],[X]]=1,tbal[[#This Row],[X]]=2)),tbal[[#This Row],[DEUDOR]],0)</f>
        <v>0</v>
      </c>
      <c r="J2477" s="18">
        <f>IF((OR(tbal[[#This Row],[X]]=2,tbal[[#This Row],[X]]=3)),tbal[[#This Row],[ACREEDOR]],0)</f>
        <v>0</v>
      </c>
      <c r="K2477" s="16">
        <f>IF((OR(tbal[[#This Row],[X]]=3,tbal[[#This Row],[X]]=5)),tbal[[#This Row],[DEUDOR]],0)</f>
        <v>0</v>
      </c>
      <c r="L2477" s="18">
        <f>IF((OR(tbal[[#This Row],[X]]=3,tbal[[#This Row],[X]]=4)),tbal[[#This Row],[ACREEDOR]],0)</f>
        <v>0</v>
      </c>
      <c r="M2477" s="16">
        <f>IF((OR(tbal[[#This Row],[X]]=0,tbal[[#This Row],[X]]=6)),tbal[[#This Row],[DEUDOR]],0)</f>
        <v>0</v>
      </c>
      <c r="N2477" s="18">
        <f>IF((OR(tbal[[#This Row],[X]]=0,tbal[[#This Row],[X]]=5)),tbal[[#This Row],[ACREEDOR]],0)</f>
        <v>0</v>
      </c>
    </row>
    <row r="2478" spans="1:14" hidden="1" x14ac:dyDescent="0.3">
      <c r="A2478" s="14">
        <f>+'PLAN DE CUENTAS'!A2478</f>
        <v>0</v>
      </c>
      <c r="B2478" s="13">
        <f>+'PLAN DE CUENTAS'!B2478</f>
        <v>0</v>
      </c>
      <c r="C2478" s="13">
        <f>+'PLAN DE CUENTAS'!C2478</f>
        <v>0</v>
      </c>
      <c r="D2478" t="str">
        <f>IF(tbal[[#This Row],[DEBE]]+tbal[[#This Row],[HABER]]=0,"","X")</f>
        <v/>
      </c>
      <c r="E2478" s="16">
        <f>SUMIF(tdiario[CUENTA],tbal[[#This Row],[CUENTA]],tdiario[DEBE])</f>
        <v>0</v>
      </c>
      <c r="F2478" s="17">
        <f>SUMIF(tdiario[CUENTA],tbal[[#This Row],[CUENTA]],tdiario[HABER])</f>
        <v>0</v>
      </c>
      <c r="G2478" s="16">
        <f>IF(tbal[[#This Row],[DEBE]]-tbal[[#This Row],[HABER]]&gt;0,tbal[[#This Row],[DEBE]]-tbal[[#This Row],[HABER]],0)</f>
        <v>0</v>
      </c>
      <c r="H2478" s="18">
        <f>IF(tbal[[#This Row],[HABER]]-tbal[[#This Row],[DEBE]]&gt;0,tbal[[#This Row],[HABER]]-tbal[[#This Row],[DEBE]],0)</f>
        <v>0</v>
      </c>
      <c r="I2478" s="16">
        <f>IF((OR(tbal[[#This Row],[X]]=1,tbal[[#This Row],[X]]=2)),tbal[[#This Row],[DEUDOR]],0)</f>
        <v>0</v>
      </c>
      <c r="J2478" s="18">
        <f>IF((OR(tbal[[#This Row],[X]]=2,tbal[[#This Row],[X]]=3)),tbal[[#This Row],[ACREEDOR]],0)</f>
        <v>0</v>
      </c>
      <c r="K2478" s="16">
        <f>IF((OR(tbal[[#This Row],[X]]=3,tbal[[#This Row],[X]]=5)),tbal[[#This Row],[DEUDOR]],0)</f>
        <v>0</v>
      </c>
      <c r="L2478" s="18">
        <f>IF((OR(tbal[[#This Row],[X]]=3,tbal[[#This Row],[X]]=4)),tbal[[#This Row],[ACREEDOR]],0)</f>
        <v>0</v>
      </c>
      <c r="M2478" s="16">
        <f>IF((OR(tbal[[#This Row],[X]]=0,tbal[[#This Row],[X]]=6)),tbal[[#This Row],[DEUDOR]],0)</f>
        <v>0</v>
      </c>
      <c r="N2478" s="18">
        <f>IF((OR(tbal[[#This Row],[X]]=0,tbal[[#This Row],[X]]=5)),tbal[[#This Row],[ACREEDOR]],0)</f>
        <v>0</v>
      </c>
    </row>
    <row r="2479" spans="1:14" hidden="1" x14ac:dyDescent="0.3">
      <c r="A2479" s="14">
        <f>+'PLAN DE CUENTAS'!A2479</f>
        <v>0</v>
      </c>
      <c r="B2479" s="13">
        <f>+'PLAN DE CUENTAS'!B2479</f>
        <v>0</v>
      </c>
      <c r="C2479" s="13">
        <f>+'PLAN DE CUENTAS'!C2479</f>
        <v>0</v>
      </c>
      <c r="D2479" t="str">
        <f>IF(tbal[[#This Row],[DEBE]]+tbal[[#This Row],[HABER]]=0,"","X")</f>
        <v/>
      </c>
      <c r="E2479" s="16">
        <f>SUMIF(tdiario[CUENTA],tbal[[#This Row],[CUENTA]],tdiario[DEBE])</f>
        <v>0</v>
      </c>
      <c r="F2479" s="17">
        <f>SUMIF(tdiario[CUENTA],tbal[[#This Row],[CUENTA]],tdiario[HABER])</f>
        <v>0</v>
      </c>
      <c r="G2479" s="16">
        <f>IF(tbal[[#This Row],[DEBE]]-tbal[[#This Row],[HABER]]&gt;0,tbal[[#This Row],[DEBE]]-tbal[[#This Row],[HABER]],0)</f>
        <v>0</v>
      </c>
      <c r="H2479" s="18">
        <f>IF(tbal[[#This Row],[HABER]]-tbal[[#This Row],[DEBE]]&gt;0,tbal[[#This Row],[HABER]]-tbal[[#This Row],[DEBE]],0)</f>
        <v>0</v>
      </c>
      <c r="I2479" s="16">
        <f>IF((OR(tbal[[#This Row],[X]]=1,tbal[[#This Row],[X]]=2)),tbal[[#This Row],[DEUDOR]],0)</f>
        <v>0</v>
      </c>
      <c r="J2479" s="18">
        <f>IF((OR(tbal[[#This Row],[X]]=2,tbal[[#This Row],[X]]=3)),tbal[[#This Row],[ACREEDOR]],0)</f>
        <v>0</v>
      </c>
      <c r="K2479" s="16">
        <f>IF((OR(tbal[[#This Row],[X]]=3,tbal[[#This Row],[X]]=5)),tbal[[#This Row],[DEUDOR]],0)</f>
        <v>0</v>
      </c>
      <c r="L2479" s="18">
        <f>IF((OR(tbal[[#This Row],[X]]=3,tbal[[#This Row],[X]]=4)),tbal[[#This Row],[ACREEDOR]],0)</f>
        <v>0</v>
      </c>
      <c r="M2479" s="16">
        <f>IF((OR(tbal[[#This Row],[X]]=0,tbal[[#This Row],[X]]=6)),tbal[[#This Row],[DEUDOR]],0)</f>
        <v>0</v>
      </c>
      <c r="N2479" s="18">
        <f>IF((OR(tbal[[#This Row],[X]]=0,tbal[[#This Row],[X]]=5)),tbal[[#This Row],[ACREEDOR]],0)</f>
        <v>0</v>
      </c>
    </row>
    <row r="2480" spans="1:14" hidden="1" x14ac:dyDescent="0.3">
      <c r="A2480" s="14">
        <f>+'PLAN DE CUENTAS'!A2480</f>
        <v>0</v>
      </c>
      <c r="B2480" s="13">
        <f>+'PLAN DE CUENTAS'!B2480</f>
        <v>0</v>
      </c>
      <c r="C2480" s="13">
        <f>+'PLAN DE CUENTAS'!C2480</f>
        <v>0</v>
      </c>
      <c r="D2480" t="str">
        <f>IF(tbal[[#This Row],[DEBE]]+tbal[[#This Row],[HABER]]=0,"","X")</f>
        <v/>
      </c>
      <c r="E2480" s="16">
        <f>SUMIF(tdiario[CUENTA],tbal[[#This Row],[CUENTA]],tdiario[DEBE])</f>
        <v>0</v>
      </c>
      <c r="F2480" s="17">
        <f>SUMIF(tdiario[CUENTA],tbal[[#This Row],[CUENTA]],tdiario[HABER])</f>
        <v>0</v>
      </c>
      <c r="G2480" s="16">
        <f>IF(tbal[[#This Row],[DEBE]]-tbal[[#This Row],[HABER]]&gt;0,tbal[[#This Row],[DEBE]]-tbal[[#This Row],[HABER]],0)</f>
        <v>0</v>
      </c>
      <c r="H2480" s="18">
        <f>IF(tbal[[#This Row],[HABER]]-tbal[[#This Row],[DEBE]]&gt;0,tbal[[#This Row],[HABER]]-tbal[[#This Row],[DEBE]],0)</f>
        <v>0</v>
      </c>
      <c r="I2480" s="16">
        <f>IF((OR(tbal[[#This Row],[X]]=1,tbal[[#This Row],[X]]=2)),tbal[[#This Row],[DEUDOR]],0)</f>
        <v>0</v>
      </c>
      <c r="J2480" s="18">
        <f>IF((OR(tbal[[#This Row],[X]]=2,tbal[[#This Row],[X]]=3)),tbal[[#This Row],[ACREEDOR]],0)</f>
        <v>0</v>
      </c>
      <c r="K2480" s="16">
        <f>IF((OR(tbal[[#This Row],[X]]=3,tbal[[#This Row],[X]]=5)),tbal[[#This Row],[DEUDOR]],0)</f>
        <v>0</v>
      </c>
      <c r="L2480" s="18">
        <f>IF((OR(tbal[[#This Row],[X]]=3,tbal[[#This Row],[X]]=4)),tbal[[#This Row],[ACREEDOR]],0)</f>
        <v>0</v>
      </c>
      <c r="M2480" s="16">
        <f>IF((OR(tbal[[#This Row],[X]]=0,tbal[[#This Row],[X]]=6)),tbal[[#This Row],[DEUDOR]],0)</f>
        <v>0</v>
      </c>
      <c r="N2480" s="18">
        <f>IF((OR(tbal[[#This Row],[X]]=0,tbal[[#This Row],[X]]=5)),tbal[[#This Row],[ACREEDOR]],0)</f>
        <v>0</v>
      </c>
    </row>
    <row r="2481" spans="1:14" hidden="1" x14ac:dyDescent="0.3">
      <c r="A2481" s="14">
        <f>+'PLAN DE CUENTAS'!A2481</f>
        <v>0</v>
      </c>
      <c r="B2481" s="13">
        <f>+'PLAN DE CUENTAS'!B2481</f>
        <v>0</v>
      </c>
      <c r="C2481" s="13">
        <f>+'PLAN DE CUENTAS'!C2481</f>
        <v>0</v>
      </c>
      <c r="D2481" t="str">
        <f>IF(tbal[[#This Row],[DEBE]]+tbal[[#This Row],[HABER]]=0,"","X")</f>
        <v/>
      </c>
      <c r="E2481" s="16">
        <f>SUMIF(tdiario[CUENTA],tbal[[#This Row],[CUENTA]],tdiario[DEBE])</f>
        <v>0</v>
      </c>
      <c r="F2481" s="17">
        <f>SUMIF(tdiario[CUENTA],tbal[[#This Row],[CUENTA]],tdiario[HABER])</f>
        <v>0</v>
      </c>
      <c r="G2481" s="16">
        <f>IF(tbal[[#This Row],[DEBE]]-tbal[[#This Row],[HABER]]&gt;0,tbal[[#This Row],[DEBE]]-tbal[[#This Row],[HABER]],0)</f>
        <v>0</v>
      </c>
      <c r="H2481" s="18">
        <f>IF(tbal[[#This Row],[HABER]]-tbal[[#This Row],[DEBE]]&gt;0,tbal[[#This Row],[HABER]]-tbal[[#This Row],[DEBE]],0)</f>
        <v>0</v>
      </c>
      <c r="I2481" s="16">
        <f>IF((OR(tbal[[#This Row],[X]]=1,tbal[[#This Row],[X]]=2)),tbal[[#This Row],[DEUDOR]],0)</f>
        <v>0</v>
      </c>
      <c r="J2481" s="18">
        <f>IF((OR(tbal[[#This Row],[X]]=2,tbal[[#This Row],[X]]=3)),tbal[[#This Row],[ACREEDOR]],0)</f>
        <v>0</v>
      </c>
      <c r="K2481" s="16">
        <f>IF((OR(tbal[[#This Row],[X]]=3,tbal[[#This Row],[X]]=5)),tbal[[#This Row],[DEUDOR]],0)</f>
        <v>0</v>
      </c>
      <c r="L2481" s="18">
        <f>IF((OR(tbal[[#This Row],[X]]=3,tbal[[#This Row],[X]]=4)),tbal[[#This Row],[ACREEDOR]],0)</f>
        <v>0</v>
      </c>
      <c r="M2481" s="16">
        <f>IF((OR(tbal[[#This Row],[X]]=0,tbal[[#This Row],[X]]=6)),tbal[[#This Row],[DEUDOR]],0)</f>
        <v>0</v>
      </c>
      <c r="N2481" s="18">
        <f>IF((OR(tbal[[#This Row],[X]]=0,tbal[[#This Row],[X]]=5)),tbal[[#This Row],[ACREEDOR]],0)</f>
        <v>0</v>
      </c>
    </row>
    <row r="2482" spans="1:14" hidden="1" x14ac:dyDescent="0.3">
      <c r="A2482" s="14">
        <f>+'PLAN DE CUENTAS'!A2482</f>
        <v>0</v>
      </c>
      <c r="B2482" s="13">
        <f>+'PLAN DE CUENTAS'!B2482</f>
        <v>0</v>
      </c>
      <c r="C2482" s="13">
        <f>+'PLAN DE CUENTAS'!C2482</f>
        <v>0</v>
      </c>
      <c r="D2482" t="str">
        <f>IF(tbal[[#This Row],[DEBE]]+tbal[[#This Row],[HABER]]=0,"","X")</f>
        <v/>
      </c>
      <c r="E2482" s="16">
        <f>SUMIF(tdiario[CUENTA],tbal[[#This Row],[CUENTA]],tdiario[DEBE])</f>
        <v>0</v>
      </c>
      <c r="F2482" s="17">
        <f>SUMIF(tdiario[CUENTA],tbal[[#This Row],[CUENTA]],tdiario[HABER])</f>
        <v>0</v>
      </c>
      <c r="G2482" s="16">
        <f>IF(tbal[[#This Row],[DEBE]]-tbal[[#This Row],[HABER]]&gt;0,tbal[[#This Row],[DEBE]]-tbal[[#This Row],[HABER]],0)</f>
        <v>0</v>
      </c>
      <c r="H2482" s="18">
        <f>IF(tbal[[#This Row],[HABER]]-tbal[[#This Row],[DEBE]]&gt;0,tbal[[#This Row],[HABER]]-tbal[[#This Row],[DEBE]],0)</f>
        <v>0</v>
      </c>
      <c r="I2482" s="16">
        <f>IF((OR(tbal[[#This Row],[X]]=1,tbal[[#This Row],[X]]=2)),tbal[[#This Row],[DEUDOR]],0)</f>
        <v>0</v>
      </c>
      <c r="J2482" s="18">
        <f>IF((OR(tbal[[#This Row],[X]]=2,tbal[[#This Row],[X]]=3)),tbal[[#This Row],[ACREEDOR]],0)</f>
        <v>0</v>
      </c>
      <c r="K2482" s="16">
        <f>IF((OR(tbal[[#This Row],[X]]=3,tbal[[#This Row],[X]]=5)),tbal[[#This Row],[DEUDOR]],0)</f>
        <v>0</v>
      </c>
      <c r="L2482" s="18">
        <f>IF((OR(tbal[[#This Row],[X]]=3,tbal[[#This Row],[X]]=4)),tbal[[#This Row],[ACREEDOR]],0)</f>
        <v>0</v>
      </c>
      <c r="M2482" s="16">
        <f>IF((OR(tbal[[#This Row],[X]]=0,tbal[[#This Row],[X]]=6)),tbal[[#This Row],[DEUDOR]],0)</f>
        <v>0</v>
      </c>
      <c r="N2482" s="18">
        <f>IF((OR(tbal[[#This Row],[X]]=0,tbal[[#This Row],[X]]=5)),tbal[[#This Row],[ACREEDOR]],0)</f>
        <v>0</v>
      </c>
    </row>
    <row r="2483" spans="1:14" hidden="1" x14ac:dyDescent="0.3">
      <c r="A2483" s="14">
        <f>+'PLAN DE CUENTAS'!A2483</f>
        <v>0</v>
      </c>
      <c r="B2483" s="13">
        <f>+'PLAN DE CUENTAS'!B2483</f>
        <v>0</v>
      </c>
      <c r="C2483" s="13">
        <f>+'PLAN DE CUENTAS'!C2483</f>
        <v>0</v>
      </c>
      <c r="D2483" t="str">
        <f>IF(tbal[[#This Row],[DEBE]]+tbal[[#This Row],[HABER]]=0,"","X")</f>
        <v/>
      </c>
      <c r="E2483" s="16">
        <f>SUMIF(tdiario[CUENTA],tbal[[#This Row],[CUENTA]],tdiario[DEBE])</f>
        <v>0</v>
      </c>
      <c r="F2483" s="17">
        <f>SUMIF(tdiario[CUENTA],tbal[[#This Row],[CUENTA]],tdiario[HABER])</f>
        <v>0</v>
      </c>
      <c r="G2483" s="16">
        <f>IF(tbal[[#This Row],[DEBE]]-tbal[[#This Row],[HABER]]&gt;0,tbal[[#This Row],[DEBE]]-tbal[[#This Row],[HABER]],0)</f>
        <v>0</v>
      </c>
      <c r="H2483" s="18">
        <f>IF(tbal[[#This Row],[HABER]]-tbal[[#This Row],[DEBE]]&gt;0,tbal[[#This Row],[HABER]]-tbal[[#This Row],[DEBE]],0)</f>
        <v>0</v>
      </c>
      <c r="I2483" s="16">
        <f>IF((OR(tbal[[#This Row],[X]]=1,tbal[[#This Row],[X]]=2)),tbal[[#This Row],[DEUDOR]],0)</f>
        <v>0</v>
      </c>
      <c r="J2483" s="18">
        <f>IF((OR(tbal[[#This Row],[X]]=2,tbal[[#This Row],[X]]=3)),tbal[[#This Row],[ACREEDOR]],0)</f>
        <v>0</v>
      </c>
      <c r="K2483" s="16">
        <f>IF((OR(tbal[[#This Row],[X]]=3,tbal[[#This Row],[X]]=5)),tbal[[#This Row],[DEUDOR]],0)</f>
        <v>0</v>
      </c>
      <c r="L2483" s="18">
        <f>IF((OR(tbal[[#This Row],[X]]=3,tbal[[#This Row],[X]]=4)),tbal[[#This Row],[ACREEDOR]],0)</f>
        <v>0</v>
      </c>
      <c r="M2483" s="16">
        <f>IF((OR(tbal[[#This Row],[X]]=0,tbal[[#This Row],[X]]=6)),tbal[[#This Row],[DEUDOR]],0)</f>
        <v>0</v>
      </c>
      <c r="N2483" s="18">
        <f>IF((OR(tbal[[#This Row],[X]]=0,tbal[[#This Row],[X]]=5)),tbal[[#This Row],[ACREEDOR]],0)</f>
        <v>0</v>
      </c>
    </row>
    <row r="2484" spans="1:14" hidden="1" x14ac:dyDescent="0.3">
      <c r="A2484" s="14">
        <f>+'PLAN DE CUENTAS'!A2484</f>
        <v>0</v>
      </c>
      <c r="B2484" s="13">
        <f>+'PLAN DE CUENTAS'!B2484</f>
        <v>0</v>
      </c>
      <c r="C2484" s="13">
        <f>+'PLAN DE CUENTAS'!C2484</f>
        <v>0</v>
      </c>
      <c r="D2484" t="str">
        <f>IF(tbal[[#This Row],[DEBE]]+tbal[[#This Row],[HABER]]=0,"","X")</f>
        <v/>
      </c>
      <c r="E2484" s="16">
        <f>SUMIF(tdiario[CUENTA],tbal[[#This Row],[CUENTA]],tdiario[DEBE])</f>
        <v>0</v>
      </c>
      <c r="F2484" s="17">
        <f>SUMIF(tdiario[CUENTA],tbal[[#This Row],[CUENTA]],tdiario[HABER])</f>
        <v>0</v>
      </c>
      <c r="G2484" s="16">
        <f>IF(tbal[[#This Row],[DEBE]]-tbal[[#This Row],[HABER]]&gt;0,tbal[[#This Row],[DEBE]]-tbal[[#This Row],[HABER]],0)</f>
        <v>0</v>
      </c>
      <c r="H2484" s="18">
        <f>IF(tbal[[#This Row],[HABER]]-tbal[[#This Row],[DEBE]]&gt;0,tbal[[#This Row],[HABER]]-tbal[[#This Row],[DEBE]],0)</f>
        <v>0</v>
      </c>
      <c r="I2484" s="16">
        <f>IF((OR(tbal[[#This Row],[X]]=1,tbal[[#This Row],[X]]=2)),tbal[[#This Row],[DEUDOR]],0)</f>
        <v>0</v>
      </c>
      <c r="J2484" s="18">
        <f>IF((OR(tbal[[#This Row],[X]]=2,tbal[[#This Row],[X]]=3)),tbal[[#This Row],[ACREEDOR]],0)</f>
        <v>0</v>
      </c>
      <c r="K2484" s="16">
        <f>IF((OR(tbal[[#This Row],[X]]=3,tbal[[#This Row],[X]]=5)),tbal[[#This Row],[DEUDOR]],0)</f>
        <v>0</v>
      </c>
      <c r="L2484" s="18">
        <f>IF((OR(tbal[[#This Row],[X]]=3,tbal[[#This Row],[X]]=4)),tbal[[#This Row],[ACREEDOR]],0)</f>
        <v>0</v>
      </c>
      <c r="M2484" s="16">
        <f>IF((OR(tbal[[#This Row],[X]]=0,tbal[[#This Row],[X]]=6)),tbal[[#This Row],[DEUDOR]],0)</f>
        <v>0</v>
      </c>
      <c r="N2484" s="18">
        <f>IF((OR(tbal[[#This Row],[X]]=0,tbal[[#This Row],[X]]=5)),tbal[[#This Row],[ACREEDOR]],0)</f>
        <v>0</v>
      </c>
    </row>
    <row r="2485" spans="1:14" hidden="1" x14ac:dyDescent="0.3">
      <c r="A2485" s="14">
        <f>+'PLAN DE CUENTAS'!A2485</f>
        <v>0</v>
      </c>
      <c r="B2485" s="13">
        <f>+'PLAN DE CUENTAS'!B2485</f>
        <v>0</v>
      </c>
      <c r="C2485" s="13">
        <f>+'PLAN DE CUENTAS'!C2485</f>
        <v>0</v>
      </c>
      <c r="D2485" t="str">
        <f>IF(tbal[[#This Row],[DEBE]]+tbal[[#This Row],[HABER]]=0,"","X")</f>
        <v/>
      </c>
      <c r="E2485" s="16">
        <f>SUMIF(tdiario[CUENTA],tbal[[#This Row],[CUENTA]],tdiario[DEBE])</f>
        <v>0</v>
      </c>
      <c r="F2485" s="17">
        <f>SUMIF(tdiario[CUENTA],tbal[[#This Row],[CUENTA]],tdiario[HABER])</f>
        <v>0</v>
      </c>
      <c r="G2485" s="16">
        <f>IF(tbal[[#This Row],[DEBE]]-tbal[[#This Row],[HABER]]&gt;0,tbal[[#This Row],[DEBE]]-tbal[[#This Row],[HABER]],0)</f>
        <v>0</v>
      </c>
      <c r="H2485" s="18">
        <f>IF(tbal[[#This Row],[HABER]]-tbal[[#This Row],[DEBE]]&gt;0,tbal[[#This Row],[HABER]]-tbal[[#This Row],[DEBE]],0)</f>
        <v>0</v>
      </c>
      <c r="I2485" s="16">
        <f>IF((OR(tbal[[#This Row],[X]]=1,tbal[[#This Row],[X]]=2)),tbal[[#This Row],[DEUDOR]],0)</f>
        <v>0</v>
      </c>
      <c r="J2485" s="18">
        <f>IF((OR(tbal[[#This Row],[X]]=2,tbal[[#This Row],[X]]=3)),tbal[[#This Row],[ACREEDOR]],0)</f>
        <v>0</v>
      </c>
      <c r="K2485" s="16">
        <f>IF((OR(tbal[[#This Row],[X]]=3,tbal[[#This Row],[X]]=5)),tbal[[#This Row],[DEUDOR]],0)</f>
        <v>0</v>
      </c>
      <c r="L2485" s="18">
        <f>IF((OR(tbal[[#This Row],[X]]=3,tbal[[#This Row],[X]]=4)),tbal[[#This Row],[ACREEDOR]],0)</f>
        <v>0</v>
      </c>
      <c r="M2485" s="16">
        <f>IF((OR(tbal[[#This Row],[X]]=0,tbal[[#This Row],[X]]=6)),tbal[[#This Row],[DEUDOR]],0)</f>
        <v>0</v>
      </c>
      <c r="N2485" s="18">
        <f>IF((OR(tbal[[#This Row],[X]]=0,tbal[[#This Row],[X]]=5)),tbal[[#This Row],[ACREEDOR]],0)</f>
        <v>0</v>
      </c>
    </row>
    <row r="2486" spans="1:14" hidden="1" x14ac:dyDescent="0.3">
      <c r="A2486" s="14">
        <f>+'PLAN DE CUENTAS'!A2486</f>
        <v>0</v>
      </c>
      <c r="B2486" s="13">
        <f>+'PLAN DE CUENTAS'!B2486</f>
        <v>0</v>
      </c>
      <c r="C2486" s="13">
        <f>+'PLAN DE CUENTAS'!C2486</f>
        <v>0</v>
      </c>
      <c r="D2486" t="str">
        <f>IF(tbal[[#This Row],[DEBE]]+tbal[[#This Row],[HABER]]=0,"","X")</f>
        <v/>
      </c>
      <c r="E2486" s="16">
        <f>SUMIF(tdiario[CUENTA],tbal[[#This Row],[CUENTA]],tdiario[DEBE])</f>
        <v>0</v>
      </c>
      <c r="F2486" s="17">
        <f>SUMIF(tdiario[CUENTA],tbal[[#This Row],[CUENTA]],tdiario[HABER])</f>
        <v>0</v>
      </c>
      <c r="G2486" s="16">
        <f>IF(tbal[[#This Row],[DEBE]]-tbal[[#This Row],[HABER]]&gt;0,tbal[[#This Row],[DEBE]]-tbal[[#This Row],[HABER]],0)</f>
        <v>0</v>
      </c>
      <c r="H2486" s="18">
        <f>IF(tbal[[#This Row],[HABER]]-tbal[[#This Row],[DEBE]]&gt;0,tbal[[#This Row],[HABER]]-tbal[[#This Row],[DEBE]],0)</f>
        <v>0</v>
      </c>
      <c r="I2486" s="16">
        <f>IF((OR(tbal[[#This Row],[X]]=1,tbal[[#This Row],[X]]=2)),tbal[[#This Row],[DEUDOR]],0)</f>
        <v>0</v>
      </c>
      <c r="J2486" s="18">
        <f>IF((OR(tbal[[#This Row],[X]]=2,tbal[[#This Row],[X]]=3)),tbal[[#This Row],[ACREEDOR]],0)</f>
        <v>0</v>
      </c>
      <c r="K2486" s="16">
        <f>IF((OR(tbal[[#This Row],[X]]=3,tbal[[#This Row],[X]]=5)),tbal[[#This Row],[DEUDOR]],0)</f>
        <v>0</v>
      </c>
      <c r="L2486" s="18">
        <f>IF((OR(tbal[[#This Row],[X]]=3,tbal[[#This Row],[X]]=4)),tbal[[#This Row],[ACREEDOR]],0)</f>
        <v>0</v>
      </c>
      <c r="M2486" s="16">
        <f>IF((OR(tbal[[#This Row],[X]]=0,tbal[[#This Row],[X]]=6)),tbal[[#This Row],[DEUDOR]],0)</f>
        <v>0</v>
      </c>
      <c r="N2486" s="18">
        <f>IF((OR(tbal[[#This Row],[X]]=0,tbal[[#This Row],[X]]=5)),tbal[[#This Row],[ACREEDOR]],0)</f>
        <v>0</v>
      </c>
    </row>
    <row r="2487" spans="1:14" hidden="1" x14ac:dyDescent="0.3">
      <c r="A2487" s="14">
        <f>+'PLAN DE CUENTAS'!A2487</f>
        <v>0</v>
      </c>
      <c r="B2487" s="13">
        <f>+'PLAN DE CUENTAS'!B2487</f>
        <v>0</v>
      </c>
      <c r="C2487" s="13">
        <f>+'PLAN DE CUENTAS'!C2487</f>
        <v>0</v>
      </c>
      <c r="D2487" t="str">
        <f>IF(tbal[[#This Row],[DEBE]]+tbal[[#This Row],[HABER]]=0,"","X")</f>
        <v/>
      </c>
      <c r="E2487" s="16">
        <f>SUMIF(tdiario[CUENTA],tbal[[#This Row],[CUENTA]],tdiario[DEBE])</f>
        <v>0</v>
      </c>
      <c r="F2487" s="17">
        <f>SUMIF(tdiario[CUENTA],tbal[[#This Row],[CUENTA]],tdiario[HABER])</f>
        <v>0</v>
      </c>
      <c r="G2487" s="16">
        <f>IF(tbal[[#This Row],[DEBE]]-tbal[[#This Row],[HABER]]&gt;0,tbal[[#This Row],[DEBE]]-tbal[[#This Row],[HABER]],0)</f>
        <v>0</v>
      </c>
      <c r="H2487" s="18">
        <f>IF(tbal[[#This Row],[HABER]]-tbal[[#This Row],[DEBE]]&gt;0,tbal[[#This Row],[HABER]]-tbal[[#This Row],[DEBE]],0)</f>
        <v>0</v>
      </c>
      <c r="I2487" s="16">
        <f>IF((OR(tbal[[#This Row],[X]]=1,tbal[[#This Row],[X]]=2)),tbal[[#This Row],[DEUDOR]],0)</f>
        <v>0</v>
      </c>
      <c r="J2487" s="18">
        <f>IF((OR(tbal[[#This Row],[X]]=2,tbal[[#This Row],[X]]=3)),tbal[[#This Row],[ACREEDOR]],0)</f>
        <v>0</v>
      </c>
      <c r="K2487" s="16">
        <f>IF((OR(tbal[[#This Row],[X]]=3,tbal[[#This Row],[X]]=5)),tbal[[#This Row],[DEUDOR]],0)</f>
        <v>0</v>
      </c>
      <c r="L2487" s="18">
        <f>IF((OR(tbal[[#This Row],[X]]=3,tbal[[#This Row],[X]]=4)),tbal[[#This Row],[ACREEDOR]],0)</f>
        <v>0</v>
      </c>
      <c r="M2487" s="16">
        <f>IF((OR(tbal[[#This Row],[X]]=0,tbal[[#This Row],[X]]=6)),tbal[[#This Row],[DEUDOR]],0)</f>
        <v>0</v>
      </c>
      <c r="N2487" s="18">
        <f>IF((OR(tbal[[#This Row],[X]]=0,tbal[[#This Row],[X]]=5)),tbal[[#This Row],[ACREEDOR]],0)</f>
        <v>0</v>
      </c>
    </row>
    <row r="2488" spans="1:14" hidden="1" x14ac:dyDescent="0.3">
      <c r="A2488" s="14">
        <f>+'PLAN DE CUENTAS'!A2488</f>
        <v>0</v>
      </c>
      <c r="B2488" s="13">
        <f>+'PLAN DE CUENTAS'!B2488</f>
        <v>0</v>
      </c>
      <c r="C2488" s="13">
        <f>+'PLAN DE CUENTAS'!C2488</f>
        <v>0</v>
      </c>
      <c r="D2488" t="str">
        <f>IF(tbal[[#This Row],[DEBE]]+tbal[[#This Row],[HABER]]=0,"","X")</f>
        <v/>
      </c>
      <c r="E2488" s="16">
        <f>SUMIF(tdiario[CUENTA],tbal[[#This Row],[CUENTA]],tdiario[DEBE])</f>
        <v>0</v>
      </c>
      <c r="F2488" s="17">
        <f>SUMIF(tdiario[CUENTA],tbal[[#This Row],[CUENTA]],tdiario[HABER])</f>
        <v>0</v>
      </c>
      <c r="G2488" s="16">
        <f>IF(tbal[[#This Row],[DEBE]]-tbal[[#This Row],[HABER]]&gt;0,tbal[[#This Row],[DEBE]]-tbal[[#This Row],[HABER]],0)</f>
        <v>0</v>
      </c>
      <c r="H2488" s="18">
        <f>IF(tbal[[#This Row],[HABER]]-tbal[[#This Row],[DEBE]]&gt;0,tbal[[#This Row],[HABER]]-tbal[[#This Row],[DEBE]],0)</f>
        <v>0</v>
      </c>
      <c r="I2488" s="16">
        <f>IF((OR(tbal[[#This Row],[X]]=1,tbal[[#This Row],[X]]=2)),tbal[[#This Row],[DEUDOR]],0)</f>
        <v>0</v>
      </c>
      <c r="J2488" s="18">
        <f>IF((OR(tbal[[#This Row],[X]]=2,tbal[[#This Row],[X]]=3)),tbal[[#This Row],[ACREEDOR]],0)</f>
        <v>0</v>
      </c>
      <c r="K2488" s="16">
        <f>IF((OR(tbal[[#This Row],[X]]=3,tbal[[#This Row],[X]]=5)),tbal[[#This Row],[DEUDOR]],0)</f>
        <v>0</v>
      </c>
      <c r="L2488" s="18">
        <f>IF((OR(tbal[[#This Row],[X]]=3,tbal[[#This Row],[X]]=4)),tbal[[#This Row],[ACREEDOR]],0)</f>
        <v>0</v>
      </c>
      <c r="M2488" s="16">
        <f>IF((OR(tbal[[#This Row],[X]]=0,tbal[[#This Row],[X]]=6)),tbal[[#This Row],[DEUDOR]],0)</f>
        <v>0</v>
      </c>
      <c r="N2488" s="18">
        <f>IF((OR(tbal[[#This Row],[X]]=0,tbal[[#This Row],[X]]=5)),tbal[[#This Row],[ACREEDOR]],0)</f>
        <v>0</v>
      </c>
    </row>
    <row r="2489" spans="1:14" hidden="1" x14ac:dyDescent="0.3">
      <c r="A2489" s="14">
        <f>+'PLAN DE CUENTAS'!A2489</f>
        <v>0</v>
      </c>
      <c r="B2489" s="13">
        <f>+'PLAN DE CUENTAS'!B2489</f>
        <v>0</v>
      </c>
      <c r="C2489" s="13">
        <f>+'PLAN DE CUENTAS'!C2489</f>
        <v>0</v>
      </c>
      <c r="D2489" t="str">
        <f>IF(tbal[[#This Row],[DEBE]]+tbal[[#This Row],[HABER]]=0,"","X")</f>
        <v/>
      </c>
      <c r="E2489" s="16">
        <f>SUMIF(tdiario[CUENTA],tbal[[#This Row],[CUENTA]],tdiario[DEBE])</f>
        <v>0</v>
      </c>
      <c r="F2489" s="17">
        <f>SUMIF(tdiario[CUENTA],tbal[[#This Row],[CUENTA]],tdiario[HABER])</f>
        <v>0</v>
      </c>
      <c r="G2489" s="16">
        <f>IF(tbal[[#This Row],[DEBE]]-tbal[[#This Row],[HABER]]&gt;0,tbal[[#This Row],[DEBE]]-tbal[[#This Row],[HABER]],0)</f>
        <v>0</v>
      </c>
      <c r="H2489" s="18">
        <f>IF(tbal[[#This Row],[HABER]]-tbal[[#This Row],[DEBE]]&gt;0,tbal[[#This Row],[HABER]]-tbal[[#This Row],[DEBE]],0)</f>
        <v>0</v>
      </c>
      <c r="I2489" s="16">
        <f>IF((OR(tbal[[#This Row],[X]]=1,tbal[[#This Row],[X]]=2)),tbal[[#This Row],[DEUDOR]],0)</f>
        <v>0</v>
      </c>
      <c r="J2489" s="18">
        <f>IF((OR(tbal[[#This Row],[X]]=2,tbal[[#This Row],[X]]=3)),tbal[[#This Row],[ACREEDOR]],0)</f>
        <v>0</v>
      </c>
      <c r="K2489" s="16">
        <f>IF((OR(tbal[[#This Row],[X]]=3,tbal[[#This Row],[X]]=5)),tbal[[#This Row],[DEUDOR]],0)</f>
        <v>0</v>
      </c>
      <c r="L2489" s="18">
        <f>IF((OR(tbal[[#This Row],[X]]=3,tbal[[#This Row],[X]]=4)),tbal[[#This Row],[ACREEDOR]],0)</f>
        <v>0</v>
      </c>
      <c r="M2489" s="16">
        <f>IF((OR(tbal[[#This Row],[X]]=0,tbal[[#This Row],[X]]=6)),tbal[[#This Row],[DEUDOR]],0)</f>
        <v>0</v>
      </c>
      <c r="N2489" s="18">
        <f>IF((OR(tbal[[#This Row],[X]]=0,tbal[[#This Row],[X]]=5)),tbal[[#This Row],[ACREEDOR]],0)</f>
        <v>0</v>
      </c>
    </row>
    <row r="2490" spans="1:14" hidden="1" x14ac:dyDescent="0.3">
      <c r="A2490" s="14">
        <f>+'PLAN DE CUENTAS'!A2490</f>
        <v>0</v>
      </c>
      <c r="B2490" s="13">
        <f>+'PLAN DE CUENTAS'!B2490</f>
        <v>0</v>
      </c>
      <c r="C2490" s="13">
        <f>+'PLAN DE CUENTAS'!C2490</f>
        <v>0</v>
      </c>
      <c r="D2490" t="str">
        <f>IF(tbal[[#This Row],[DEBE]]+tbal[[#This Row],[HABER]]=0,"","X")</f>
        <v/>
      </c>
      <c r="E2490" s="16">
        <f>SUMIF(tdiario[CUENTA],tbal[[#This Row],[CUENTA]],tdiario[DEBE])</f>
        <v>0</v>
      </c>
      <c r="F2490" s="17">
        <f>SUMIF(tdiario[CUENTA],tbal[[#This Row],[CUENTA]],tdiario[HABER])</f>
        <v>0</v>
      </c>
      <c r="G2490" s="16">
        <f>IF(tbal[[#This Row],[DEBE]]-tbal[[#This Row],[HABER]]&gt;0,tbal[[#This Row],[DEBE]]-tbal[[#This Row],[HABER]],0)</f>
        <v>0</v>
      </c>
      <c r="H2490" s="18">
        <f>IF(tbal[[#This Row],[HABER]]-tbal[[#This Row],[DEBE]]&gt;0,tbal[[#This Row],[HABER]]-tbal[[#This Row],[DEBE]],0)</f>
        <v>0</v>
      </c>
      <c r="I2490" s="16">
        <f>IF((OR(tbal[[#This Row],[X]]=1,tbal[[#This Row],[X]]=2)),tbal[[#This Row],[DEUDOR]],0)</f>
        <v>0</v>
      </c>
      <c r="J2490" s="18">
        <f>IF((OR(tbal[[#This Row],[X]]=2,tbal[[#This Row],[X]]=3)),tbal[[#This Row],[ACREEDOR]],0)</f>
        <v>0</v>
      </c>
      <c r="K2490" s="16">
        <f>IF((OR(tbal[[#This Row],[X]]=3,tbal[[#This Row],[X]]=5)),tbal[[#This Row],[DEUDOR]],0)</f>
        <v>0</v>
      </c>
      <c r="L2490" s="18">
        <f>IF((OR(tbal[[#This Row],[X]]=3,tbal[[#This Row],[X]]=4)),tbal[[#This Row],[ACREEDOR]],0)</f>
        <v>0</v>
      </c>
      <c r="M2490" s="16">
        <f>IF((OR(tbal[[#This Row],[X]]=0,tbal[[#This Row],[X]]=6)),tbal[[#This Row],[DEUDOR]],0)</f>
        <v>0</v>
      </c>
      <c r="N2490" s="18">
        <f>IF((OR(tbal[[#This Row],[X]]=0,tbal[[#This Row],[X]]=5)),tbal[[#This Row],[ACREEDOR]],0)</f>
        <v>0</v>
      </c>
    </row>
    <row r="2491" spans="1:14" hidden="1" x14ac:dyDescent="0.3">
      <c r="A2491" s="14">
        <f>+'PLAN DE CUENTAS'!A2491</f>
        <v>0</v>
      </c>
      <c r="B2491" s="13">
        <f>+'PLAN DE CUENTAS'!B2491</f>
        <v>0</v>
      </c>
      <c r="C2491" s="13">
        <f>+'PLAN DE CUENTAS'!C2491</f>
        <v>0</v>
      </c>
      <c r="D2491" t="str">
        <f>IF(tbal[[#This Row],[DEBE]]+tbal[[#This Row],[HABER]]=0,"","X")</f>
        <v/>
      </c>
      <c r="E2491" s="16">
        <f>SUMIF(tdiario[CUENTA],tbal[[#This Row],[CUENTA]],tdiario[DEBE])</f>
        <v>0</v>
      </c>
      <c r="F2491" s="17">
        <f>SUMIF(tdiario[CUENTA],tbal[[#This Row],[CUENTA]],tdiario[HABER])</f>
        <v>0</v>
      </c>
      <c r="G2491" s="16">
        <f>IF(tbal[[#This Row],[DEBE]]-tbal[[#This Row],[HABER]]&gt;0,tbal[[#This Row],[DEBE]]-tbal[[#This Row],[HABER]],0)</f>
        <v>0</v>
      </c>
      <c r="H2491" s="18">
        <f>IF(tbal[[#This Row],[HABER]]-tbal[[#This Row],[DEBE]]&gt;0,tbal[[#This Row],[HABER]]-tbal[[#This Row],[DEBE]],0)</f>
        <v>0</v>
      </c>
      <c r="I2491" s="16">
        <f>IF((OR(tbal[[#This Row],[X]]=1,tbal[[#This Row],[X]]=2)),tbal[[#This Row],[DEUDOR]],0)</f>
        <v>0</v>
      </c>
      <c r="J2491" s="18">
        <f>IF((OR(tbal[[#This Row],[X]]=2,tbal[[#This Row],[X]]=3)),tbal[[#This Row],[ACREEDOR]],0)</f>
        <v>0</v>
      </c>
      <c r="K2491" s="16">
        <f>IF((OR(tbal[[#This Row],[X]]=3,tbal[[#This Row],[X]]=5)),tbal[[#This Row],[DEUDOR]],0)</f>
        <v>0</v>
      </c>
      <c r="L2491" s="18">
        <f>IF((OR(tbal[[#This Row],[X]]=3,tbal[[#This Row],[X]]=4)),tbal[[#This Row],[ACREEDOR]],0)</f>
        <v>0</v>
      </c>
      <c r="M2491" s="16">
        <f>IF((OR(tbal[[#This Row],[X]]=0,tbal[[#This Row],[X]]=6)),tbal[[#This Row],[DEUDOR]],0)</f>
        <v>0</v>
      </c>
      <c r="N2491" s="18">
        <f>IF((OR(tbal[[#This Row],[X]]=0,tbal[[#This Row],[X]]=5)),tbal[[#This Row],[ACREEDOR]],0)</f>
        <v>0</v>
      </c>
    </row>
    <row r="2492" spans="1:14" hidden="1" x14ac:dyDescent="0.3">
      <c r="A2492" s="14">
        <f>+'PLAN DE CUENTAS'!A2492</f>
        <v>0</v>
      </c>
      <c r="B2492" s="13">
        <f>+'PLAN DE CUENTAS'!B2492</f>
        <v>0</v>
      </c>
      <c r="C2492" s="13">
        <f>+'PLAN DE CUENTAS'!C2492</f>
        <v>0</v>
      </c>
      <c r="D2492" t="str">
        <f>IF(tbal[[#This Row],[DEBE]]+tbal[[#This Row],[HABER]]=0,"","X")</f>
        <v/>
      </c>
      <c r="E2492" s="16">
        <f>SUMIF(tdiario[CUENTA],tbal[[#This Row],[CUENTA]],tdiario[DEBE])</f>
        <v>0</v>
      </c>
      <c r="F2492" s="17">
        <f>SUMIF(tdiario[CUENTA],tbal[[#This Row],[CUENTA]],tdiario[HABER])</f>
        <v>0</v>
      </c>
      <c r="G2492" s="16">
        <f>IF(tbal[[#This Row],[DEBE]]-tbal[[#This Row],[HABER]]&gt;0,tbal[[#This Row],[DEBE]]-tbal[[#This Row],[HABER]],0)</f>
        <v>0</v>
      </c>
      <c r="H2492" s="18">
        <f>IF(tbal[[#This Row],[HABER]]-tbal[[#This Row],[DEBE]]&gt;0,tbal[[#This Row],[HABER]]-tbal[[#This Row],[DEBE]],0)</f>
        <v>0</v>
      </c>
      <c r="I2492" s="16">
        <f>IF((OR(tbal[[#This Row],[X]]=1,tbal[[#This Row],[X]]=2)),tbal[[#This Row],[DEUDOR]],0)</f>
        <v>0</v>
      </c>
      <c r="J2492" s="18">
        <f>IF((OR(tbal[[#This Row],[X]]=2,tbal[[#This Row],[X]]=3)),tbal[[#This Row],[ACREEDOR]],0)</f>
        <v>0</v>
      </c>
      <c r="K2492" s="16">
        <f>IF((OR(tbal[[#This Row],[X]]=3,tbal[[#This Row],[X]]=5)),tbal[[#This Row],[DEUDOR]],0)</f>
        <v>0</v>
      </c>
      <c r="L2492" s="18">
        <f>IF((OR(tbal[[#This Row],[X]]=3,tbal[[#This Row],[X]]=4)),tbal[[#This Row],[ACREEDOR]],0)</f>
        <v>0</v>
      </c>
      <c r="M2492" s="16">
        <f>IF((OR(tbal[[#This Row],[X]]=0,tbal[[#This Row],[X]]=6)),tbal[[#This Row],[DEUDOR]],0)</f>
        <v>0</v>
      </c>
      <c r="N2492" s="18">
        <f>IF((OR(tbal[[#This Row],[X]]=0,tbal[[#This Row],[X]]=5)),tbal[[#This Row],[ACREEDOR]],0)</f>
        <v>0</v>
      </c>
    </row>
    <row r="2493" spans="1:14" hidden="1" x14ac:dyDescent="0.3">
      <c r="A2493" s="14">
        <f>+'PLAN DE CUENTAS'!A2493</f>
        <v>0</v>
      </c>
      <c r="B2493" s="13">
        <f>+'PLAN DE CUENTAS'!B2493</f>
        <v>0</v>
      </c>
      <c r="C2493" s="13">
        <f>+'PLAN DE CUENTAS'!C2493</f>
        <v>0</v>
      </c>
      <c r="D2493" t="str">
        <f>IF(tbal[[#This Row],[DEBE]]+tbal[[#This Row],[HABER]]=0,"","X")</f>
        <v/>
      </c>
      <c r="E2493" s="16">
        <f>SUMIF(tdiario[CUENTA],tbal[[#This Row],[CUENTA]],tdiario[DEBE])</f>
        <v>0</v>
      </c>
      <c r="F2493" s="17">
        <f>SUMIF(tdiario[CUENTA],tbal[[#This Row],[CUENTA]],tdiario[HABER])</f>
        <v>0</v>
      </c>
      <c r="G2493" s="16">
        <f>IF(tbal[[#This Row],[DEBE]]-tbal[[#This Row],[HABER]]&gt;0,tbal[[#This Row],[DEBE]]-tbal[[#This Row],[HABER]],0)</f>
        <v>0</v>
      </c>
      <c r="H2493" s="18">
        <f>IF(tbal[[#This Row],[HABER]]-tbal[[#This Row],[DEBE]]&gt;0,tbal[[#This Row],[HABER]]-tbal[[#This Row],[DEBE]],0)</f>
        <v>0</v>
      </c>
      <c r="I2493" s="16">
        <f>IF((OR(tbal[[#This Row],[X]]=1,tbal[[#This Row],[X]]=2)),tbal[[#This Row],[DEUDOR]],0)</f>
        <v>0</v>
      </c>
      <c r="J2493" s="18">
        <f>IF((OR(tbal[[#This Row],[X]]=2,tbal[[#This Row],[X]]=3)),tbal[[#This Row],[ACREEDOR]],0)</f>
        <v>0</v>
      </c>
      <c r="K2493" s="16">
        <f>IF((OR(tbal[[#This Row],[X]]=3,tbal[[#This Row],[X]]=5)),tbal[[#This Row],[DEUDOR]],0)</f>
        <v>0</v>
      </c>
      <c r="L2493" s="18">
        <f>IF((OR(tbal[[#This Row],[X]]=3,tbal[[#This Row],[X]]=4)),tbal[[#This Row],[ACREEDOR]],0)</f>
        <v>0</v>
      </c>
      <c r="M2493" s="16">
        <f>IF((OR(tbal[[#This Row],[X]]=0,tbal[[#This Row],[X]]=6)),tbal[[#This Row],[DEUDOR]],0)</f>
        <v>0</v>
      </c>
      <c r="N2493" s="18">
        <f>IF((OR(tbal[[#This Row],[X]]=0,tbal[[#This Row],[X]]=5)),tbal[[#This Row],[ACREEDOR]],0)</f>
        <v>0</v>
      </c>
    </row>
    <row r="2494" spans="1:14" hidden="1" x14ac:dyDescent="0.3">
      <c r="A2494" s="14">
        <f>+'PLAN DE CUENTAS'!A2494</f>
        <v>0</v>
      </c>
      <c r="B2494" s="13">
        <f>+'PLAN DE CUENTAS'!B2494</f>
        <v>0</v>
      </c>
      <c r="C2494" s="13">
        <f>+'PLAN DE CUENTAS'!C2494</f>
        <v>0</v>
      </c>
      <c r="D2494" t="str">
        <f>IF(tbal[[#This Row],[DEBE]]+tbal[[#This Row],[HABER]]=0,"","X")</f>
        <v/>
      </c>
      <c r="E2494" s="16">
        <f>SUMIF(tdiario[CUENTA],tbal[[#This Row],[CUENTA]],tdiario[DEBE])</f>
        <v>0</v>
      </c>
      <c r="F2494" s="17">
        <f>SUMIF(tdiario[CUENTA],tbal[[#This Row],[CUENTA]],tdiario[HABER])</f>
        <v>0</v>
      </c>
      <c r="G2494" s="16">
        <f>IF(tbal[[#This Row],[DEBE]]-tbal[[#This Row],[HABER]]&gt;0,tbal[[#This Row],[DEBE]]-tbal[[#This Row],[HABER]],0)</f>
        <v>0</v>
      </c>
      <c r="H2494" s="18">
        <f>IF(tbal[[#This Row],[HABER]]-tbal[[#This Row],[DEBE]]&gt;0,tbal[[#This Row],[HABER]]-tbal[[#This Row],[DEBE]],0)</f>
        <v>0</v>
      </c>
      <c r="I2494" s="16">
        <f>IF((OR(tbal[[#This Row],[X]]=1,tbal[[#This Row],[X]]=2)),tbal[[#This Row],[DEUDOR]],0)</f>
        <v>0</v>
      </c>
      <c r="J2494" s="18">
        <f>IF((OR(tbal[[#This Row],[X]]=2,tbal[[#This Row],[X]]=3)),tbal[[#This Row],[ACREEDOR]],0)</f>
        <v>0</v>
      </c>
      <c r="K2494" s="16">
        <f>IF((OR(tbal[[#This Row],[X]]=3,tbal[[#This Row],[X]]=5)),tbal[[#This Row],[DEUDOR]],0)</f>
        <v>0</v>
      </c>
      <c r="L2494" s="18">
        <f>IF((OR(tbal[[#This Row],[X]]=3,tbal[[#This Row],[X]]=4)),tbal[[#This Row],[ACREEDOR]],0)</f>
        <v>0</v>
      </c>
      <c r="M2494" s="16">
        <f>IF((OR(tbal[[#This Row],[X]]=0,tbal[[#This Row],[X]]=6)),tbal[[#This Row],[DEUDOR]],0)</f>
        <v>0</v>
      </c>
      <c r="N2494" s="18">
        <f>IF((OR(tbal[[#This Row],[X]]=0,tbal[[#This Row],[X]]=5)),tbal[[#This Row],[ACREEDOR]],0)</f>
        <v>0</v>
      </c>
    </row>
    <row r="2495" spans="1:14" hidden="1" x14ac:dyDescent="0.3">
      <c r="A2495" s="14">
        <f>+'PLAN DE CUENTAS'!A2495</f>
        <v>0</v>
      </c>
      <c r="B2495" s="13">
        <f>+'PLAN DE CUENTAS'!B2495</f>
        <v>0</v>
      </c>
      <c r="C2495" s="13">
        <f>+'PLAN DE CUENTAS'!C2495</f>
        <v>0</v>
      </c>
      <c r="D2495" t="str">
        <f>IF(tbal[[#This Row],[DEBE]]+tbal[[#This Row],[HABER]]=0,"","X")</f>
        <v/>
      </c>
      <c r="E2495" s="16">
        <f>SUMIF(tdiario[CUENTA],tbal[[#This Row],[CUENTA]],tdiario[DEBE])</f>
        <v>0</v>
      </c>
      <c r="F2495" s="17">
        <f>SUMIF(tdiario[CUENTA],tbal[[#This Row],[CUENTA]],tdiario[HABER])</f>
        <v>0</v>
      </c>
      <c r="G2495" s="16">
        <f>IF(tbal[[#This Row],[DEBE]]-tbal[[#This Row],[HABER]]&gt;0,tbal[[#This Row],[DEBE]]-tbal[[#This Row],[HABER]],0)</f>
        <v>0</v>
      </c>
      <c r="H2495" s="18">
        <f>IF(tbal[[#This Row],[HABER]]-tbal[[#This Row],[DEBE]]&gt;0,tbal[[#This Row],[HABER]]-tbal[[#This Row],[DEBE]],0)</f>
        <v>0</v>
      </c>
      <c r="I2495" s="16">
        <f>IF((OR(tbal[[#This Row],[X]]=1,tbal[[#This Row],[X]]=2)),tbal[[#This Row],[DEUDOR]],0)</f>
        <v>0</v>
      </c>
      <c r="J2495" s="18">
        <f>IF((OR(tbal[[#This Row],[X]]=2,tbal[[#This Row],[X]]=3)),tbal[[#This Row],[ACREEDOR]],0)</f>
        <v>0</v>
      </c>
      <c r="K2495" s="16">
        <f>IF((OR(tbal[[#This Row],[X]]=3,tbal[[#This Row],[X]]=5)),tbal[[#This Row],[DEUDOR]],0)</f>
        <v>0</v>
      </c>
      <c r="L2495" s="18">
        <f>IF((OR(tbal[[#This Row],[X]]=3,tbal[[#This Row],[X]]=4)),tbal[[#This Row],[ACREEDOR]],0)</f>
        <v>0</v>
      </c>
      <c r="M2495" s="16">
        <f>IF((OR(tbal[[#This Row],[X]]=0,tbal[[#This Row],[X]]=6)),tbal[[#This Row],[DEUDOR]],0)</f>
        <v>0</v>
      </c>
      <c r="N2495" s="18">
        <f>IF((OR(tbal[[#This Row],[X]]=0,tbal[[#This Row],[X]]=5)),tbal[[#This Row],[ACREEDOR]],0)</f>
        <v>0</v>
      </c>
    </row>
    <row r="2496" spans="1:14" hidden="1" x14ac:dyDescent="0.3">
      <c r="A2496" s="14">
        <f>+'PLAN DE CUENTAS'!A2496</f>
        <v>0</v>
      </c>
      <c r="B2496" s="13">
        <f>+'PLAN DE CUENTAS'!B2496</f>
        <v>0</v>
      </c>
      <c r="C2496" s="13">
        <f>+'PLAN DE CUENTAS'!C2496</f>
        <v>0</v>
      </c>
      <c r="D2496" t="str">
        <f>IF(tbal[[#This Row],[DEBE]]+tbal[[#This Row],[HABER]]=0,"","X")</f>
        <v/>
      </c>
      <c r="E2496" s="16">
        <f>SUMIF(tdiario[CUENTA],tbal[[#This Row],[CUENTA]],tdiario[DEBE])</f>
        <v>0</v>
      </c>
      <c r="F2496" s="17">
        <f>SUMIF(tdiario[CUENTA],tbal[[#This Row],[CUENTA]],tdiario[HABER])</f>
        <v>0</v>
      </c>
      <c r="G2496" s="16">
        <f>IF(tbal[[#This Row],[DEBE]]-tbal[[#This Row],[HABER]]&gt;0,tbal[[#This Row],[DEBE]]-tbal[[#This Row],[HABER]],0)</f>
        <v>0</v>
      </c>
      <c r="H2496" s="18">
        <f>IF(tbal[[#This Row],[HABER]]-tbal[[#This Row],[DEBE]]&gt;0,tbal[[#This Row],[HABER]]-tbal[[#This Row],[DEBE]],0)</f>
        <v>0</v>
      </c>
      <c r="I2496" s="16">
        <f>IF((OR(tbal[[#This Row],[X]]=1,tbal[[#This Row],[X]]=2)),tbal[[#This Row],[DEUDOR]],0)</f>
        <v>0</v>
      </c>
      <c r="J2496" s="18">
        <f>IF((OR(tbal[[#This Row],[X]]=2,tbal[[#This Row],[X]]=3)),tbal[[#This Row],[ACREEDOR]],0)</f>
        <v>0</v>
      </c>
      <c r="K2496" s="16">
        <f>IF((OR(tbal[[#This Row],[X]]=3,tbal[[#This Row],[X]]=5)),tbal[[#This Row],[DEUDOR]],0)</f>
        <v>0</v>
      </c>
      <c r="L2496" s="18">
        <f>IF((OR(tbal[[#This Row],[X]]=3,tbal[[#This Row],[X]]=4)),tbal[[#This Row],[ACREEDOR]],0)</f>
        <v>0</v>
      </c>
      <c r="M2496" s="16">
        <f>IF((OR(tbal[[#This Row],[X]]=0,tbal[[#This Row],[X]]=6)),tbal[[#This Row],[DEUDOR]],0)</f>
        <v>0</v>
      </c>
      <c r="N2496" s="18">
        <f>IF((OR(tbal[[#This Row],[X]]=0,tbal[[#This Row],[X]]=5)),tbal[[#This Row],[ACREEDOR]],0)</f>
        <v>0</v>
      </c>
    </row>
    <row r="2497" spans="1:14" hidden="1" x14ac:dyDescent="0.3">
      <c r="A2497" s="14">
        <f>+'PLAN DE CUENTAS'!A2497</f>
        <v>0</v>
      </c>
      <c r="B2497" s="13">
        <f>+'PLAN DE CUENTAS'!B2497</f>
        <v>0</v>
      </c>
      <c r="C2497" s="13">
        <f>+'PLAN DE CUENTAS'!C2497</f>
        <v>0</v>
      </c>
      <c r="D2497" t="str">
        <f>IF(tbal[[#This Row],[DEBE]]+tbal[[#This Row],[HABER]]=0,"","X")</f>
        <v/>
      </c>
      <c r="E2497" s="16">
        <f>SUMIF(tdiario[CUENTA],tbal[[#This Row],[CUENTA]],tdiario[DEBE])</f>
        <v>0</v>
      </c>
      <c r="F2497" s="17">
        <f>SUMIF(tdiario[CUENTA],tbal[[#This Row],[CUENTA]],tdiario[HABER])</f>
        <v>0</v>
      </c>
      <c r="G2497" s="16">
        <f>IF(tbal[[#This Row],[DEBE]]-tbal[[#This Row],[HABER]]&gt;0,tbal[[#This Row],[DEBE]]-tbal[[#This Row],[HABER]],0)</f>
        <v>0</v>
      </c>
      <c r="H2497" s="18">
        <f>IF(tbal[[#This Row],[HABER]]-tbal[[#This Row],[DEBE]]&gt;0,tbal[[#This Row],[HABER]]-tbal[[#This Row],[DEBE]],0)</f>
        <v>0</v>
      </c>
      <c r="I2497" s="16">
        <f>IF((OR(tbal[[#This Row],[X]]=1,tbal[[#This Row],[X]]=2)),tbal[[#This Row],[DEUDOR]],0)</f>
        <v>0</v>
      </c>
      <c r="J2497" s="18">
        <f>IF((OR(tbal[[#This Row],[X]]=2,tbal[[#This Row],[X]]=3)),tbal[[#This Row],[ACREEDOR]],0)</f>
        <v>0</v>
      </c>
      <c r="K2497" s="16">
        <f>IF((OR(tbal[[#This Row],[X]]=3,tbal[[#This Row],[X]]=5)),tbal[[#This Row],[DEUDOR]],0)</f>
        <v>0</v>
      </c>
      <c r="L2497" s="18">
        <f>IF((OR(tbal[[#This Row],[X]]=3,tbal[[#This Row],[X]]=4)),tbal[[#This Row],[ACREEDOR]],0)</f>
        <v>0</v>
      </c>
      <c r="M2497" s="16">
        <f>IF((OR(tbal[[#This Row],[X]]=0,tbal[[#This Row],[X]]=6)),tbal[[#This Row],[DEUDOR]],0)</f>
        <v>0</v>
      </c>
      <c r="N2497" s="18">
        <f>IF((OR(tbal[[#This Row],[X]]=0,tbal[[#This Row],[X]]=5)),tbal[[#This Row],[ACREEDOR]],0)</f>
        <v>0</v>
      </c>
    </row>
    <row r="2498" spans="1:14" hidden="1" x14ac:dyDescent="0.3">
      <c r="A2498" s="14">
        <f>+'PLAN DE CUENTAS'!A2498</f>
        <v>0</v>
      </c>
      <c r="B2498" s="13">
        <f>+'PLAN DE CUENTAS'!B2498</f>
        <v>0</v>
      </c>
      <c r="C2498" s="13">
        <f>+'PLAN DE CUENTAS'!C2498</f>
        <v>0</v>
      </c>
      <c r="D2498" t="str">
        <f>IF(tbal[[#This Row],[DEBE]]+tbal[[#This Row],[HABER]]=0,"","X")</f>
        <v/>
      </c>
      <c r="E2498" s="16">
        <f>SUMIF(tdiario[CUENTA],tbal[[#This Row],[CUENTA]],tdiario[DEBE])</f>
        <v>0</v>
      </c>
      <c r="F2498" s="17">
        <f>SUMIF(tdiario[CUENTA],tbal[[#This Row],[CUENTA]],tdiario[HABER])</f>
        <v>0</v>
      </c>
      <c r="G2498" s="16">
        <f>IF(tbal[[#This Row],[DEBE]]-tbal[[#This Row],[HABER]]&gt;0,tbal[[#This Row],[DEBE]]-tbal[[#This Row],[HABER]],0)</f>
        <v>0</v>
      </c>
      <c r="H2498" s="18">
        <f>IF(tbal[[#This Row],[HABER]]-tbal[[#This Row],[DEBE]]&gt;0,tbal[[#This Row],[HABER]]-tbal[[#This Row],[DEBE]],0)</f>
        <v>0</v>
      </c>
      <c r="I2498" s="16">
        <f>IF((OR(tbal[[#This Row],[X]]=1,tbal[[#This Row],[X]]=2)),tbal[[#This Row],[DEUDOR]],0)</f>
        <v>0</v>
      </c>
      <c r="J2498" s="18">
        <f>IF((OR(tbal[[#This Row],[X]]=2,tbal[[#This Row],[X]]=3)),tbal[[#This Row],[ACREEDOR]],0)</f>
        <v>0</v>
      </c>
      <c r="K2498" s="16">
        <f>IF((OR(tbal[[#This Row],[X]]=3,tbal[[#This Row],[X]]=5)),tbal[[#This Row],[DEUDOR]],0)</f>
        <v>0</v>
      </c>
      <c r="L2498" s="18">
        <f>IF((OR(tbal[[#This Row],[X]]=3,tbal[[#This Row],[X]]=4)),tbal[[#This Row],[ACREEDOR]],0)</f>
        <v>0</v>
      </c>
      <c r="M2498" s="16">
        <f>IF((OR(tbal[[#This Row],[X]]=0,tbal[[#This Row],[X]]=6)),tbal[[#This Row],[DEUDOR]],0)</f>
        <v>0</v>
      </c>
      <c r="N2498" s="18">
        <f>IF((OR(tbal[[#This Row],[X]]=0,tbal[[#This Row],[X]]=5)),tbal[[#This Row],[ACREEDOR]],0)</f>
        <v>0</v>
      </c>
    </row>
    <row r="2499" spans="1:14" hidden="1" x14ac:dyDescent="0.3">
      <c r="A2499" s="14">
        <f>+'PLAN DE CUENTAS'!A2499</f>
        <v>0</v>
      </c>
      <c r="B2499" s="13">
        <f>+'PLAN DE CUENTAS'!B2499</f>
        <v>0</v>
      </c>
      <c r="C2499" s="13">
        <f>+'PLAN DE CUENTAS'!C2499</f>
        <v>0</v>
      </c>
      <c r="D2499" t="str">
        <f>IF(tbal[[#This Row],[DEBE]]+tbal[[#This Row],[HABER]]=0,"","X")</f>
        <v/>
      </c>
      <c r="E2499" s="16">
        <f>SUMIF(tdiario[CUENTA],tbal[[#This Row],[CUENTA]],tdiario[DEBE])</f>
        <v>0</v>
      </c>
      <c r="F2499" s="17">
        <f>SUMIF(tdiario[CUENTA],tbal[[#This Row],[CUENTA]],tdiario[HABER])</f>
        <v>0</v>
      </c>
      <c r="G2499" s="16">
        <f>IF(tbal[[#This Row],[DEBE]]-tbal[[#This Row],[HABER]]&gt;0,tbal[[#This Row],[DEBE]]-tbal[[#This Row],[HABER]],0)</f>
        <v>0</v>
      </c>
      <c r="H2499" s="18">
        <f>IF(tbal[[#This Row],[HABER]]-tbal[[#This Row],[DEBE]]&gt;0,tbal[[#This Row],[HABER]]-tbal[[#This Row],[DEBE]],0)</f>
        <v>0</v>
      </c>
      <c r="I2499" s="16">
        <f>IF((OR(tbal[[#This Row],[X]]=1,tbal[[#This Row],[X]]=2)),tbal[[#This Row],[DEUDOR]],0)</f>
        <v>0</v>
      </c>
      <c r="J2499" s="18">
        <f>IF((OR(tbal[[#This Row],[X]]=2,tbal[[#This Row],[X]]=3)),tbal[[#This Row],[ACREEDOR]],0)</f>
        <v>0</v>
      </c>
      <c r="K2499" s="16">
        <f>IF((OR(tbal[[#This Row],[X]]=3,tbal[[#This Row],[X]]=5)),tbal[[#This Row],[DEUDOR]],0)</f>
        <v>0</v>
      </c>
      <c r="L2499" s="18">
        <f>IF((OR(tbal[[#This Row],[X]]=3,tbal[[#This Row],[X]]=4)),tbal[[#This Row],[ACREEDOR]],0)</f>
        <v>0</v>
      </c>
      <c r="M2499" s="16">
        <f>IF((OR(tbal[[#This Row],[X]]=0,tbal[[#This Row],[X]]=6)),tbal[[#This Row],[DEUDOR]],0)</f>
        <v>0</v>
      </c>
      <c r="N2499" s="18">
        <f>IF((OR(tbal[[#This Row],[X]]=0,tbal[[#This Row],[X]]=5)),tbal[[#This Row],[ACREEDOR]],0)</f>
        <v>0</v>
      </c>
    </row>
    <row r="2500" spans="1:14" hidden="1" x14ac:dyDescent="0.3">
      <c r="A2500" s="14">
        <f>+'PLAN DE CUENTAS'!A2500</f>
        <v>0</v>
      </c>
      <c r="B2500" s="13">
        <f>+'PLAN DE CUENTAS'!B2500</f>
        <v>0</v>
      </c>
      <c r="C2500" s="13">
        <f>+'PLAN DE CUENTAS'!C2500</f>
        <v>0</v>
      </c>
      <c r="D2500" t="str">
        <f>IF(tbal[[#This Row],[DEBE]]+tbal[[#This Row],[HABER]]=0,"","X")</f>
        <v/>
      </c>
      <c r="E2500" s="16">
        <f>SUMIF(tdiario[CUENTA],tbal[[#This Row],[CUENTA]],tdiario[DEBE])</f>
        <v>0</v>
      </c>
      <c r="F2500" s="17">
        <f>SUMIF(tdiario[CUENTA],tbal[[#This Row],[CUENTA]],tdiario[HABER])</f>
        <v>0</v>
      </c>
      <c r="G2500" s="16">
        <f>IF(tbal[[#This Row],[DEBE]]-tbal[[#This Row],[HABER]]&gt;0,tbal[[#This Row],[DEBE]]-tbal[[#This Row],[HABER]],0)</f>
        <v>0</v>
      </c>
      <c r="H2500" s="18">
        <f>IF(tbal[[#This Row],[HABER]]-tbal[[#This Row],[DEBE]]&gt;0,tbal[[#This Row],[HABER]]-tbal[[#This Row],[DEBE]],0)</f>
        <v>0</v>
      </c>
      <c r="I2500" s="16">
        <f>IF((OR(tbal[[#This Row],[X]]=1,tbal[[#This Row],[X]]=2)),tbal[[#This Row],[DEUDOR]],0)</f>
        <v>0</v>
      </c>
      <c r="J2500" s="18">
        <f>IF((OR(tbal[[#This Row],[X]]=2,tbal[[#This Row],[X]]=3)),tbal[[#This Row],[ACREEDOR]],0)</f>
        <v>0</v>
      </c>
      <c r="K2500" s="16">
        <f>IF((OR(tbal[[#This Row],[X]]=3,tbal[[#This Row],[X]]=5)),tbal[[#This Row],[DEUDOR]],0)</f>
        <v>0</v>
      </c>
      <c r="L2500" s="18">
        <f>IF((OR(tbal[[#This Row],[X]]=3,tbal[[#This Row],[X]]=4)),tbal[[#This Row],[ACREEDOR]],0)</f>
        <v>0</v>
      </c>
      <c r="M2500" s="16">
        <f>IF((OR(tbal[[#This Row],[X]]=0,tbal[[#This Row],[X]]=6)),tbal[[#This Row],[DEUDOR]],0)</f>
        <v>0</v>
      </c>
      <c r="N2500" s="18">
        <f>IF((OR(tbal[[#This Row],[X]]=0,tbal[[#This Row],[X]]=5)),tbal[[#This Row],[ACREEDOR]],0)</f>
        <v>0</v>
      </c>
    </row>
    <row r="2501" spans="1:14" hidden="1" x14ac:dyDescent="0.3">
      <c r="A2501" s="14">
        <f>+'PLAN DE CUENTAS'!A2501</f>
        <v>0</v>
      </c>
      <c r="B2501" s="13">
        <f>+'PLAN DE CUENTAS'!B2501</f>
        <v>0</v>
      </c>
      <c r="C2501" s="13">
        <f>+'PLAN DE CUENTAS'!C2501</f>
        <v>0</v>
      </c>
      <c r="D2501" t="str">
        <f>IF(tbal[[#This Row],[DEBE]]+tbal[[#This Row],[HABER]]=0,"","X")</f>
        <v/>
      </c>
      <c r="E2501" s="16">
        <f>SUMIF(tdiario[CUENTA],tbal[[#This Row],[CUENTA]],tdiario[DEBE])</f>
        <v>0</v>
      </c>
      <c r="F2501" s="17">
        <f>SUMIF(tdiario[CUENTA],tbal[[#This Row],[CUENTA]],tdiario[HABER])</f>
        <v>0</v>
      </c>
      <c r="G2501" s="16">
        <f>IF(tbal[[#This Row],[DEBE]]-tbal[[#This Row],[HABER]]&gt;0,tbal[[#This Row],[DEBE]]-tbal[[#This Row],[HABER]],0)</f>
        <v>0</v>
      </c>
      <c r="H2501" s="18">
        <f>IF(tbal[[#This Row],[HABER]]-tbal[[#This Row],[DEBE]]&gt;0,tbal[[#This Row],[HABER]]-tbal[[#This Row],[DEBE]],0)</f>
        <v>0</v>
      </c>
      <c r="I2501" s="16">
        <f>IF((OR(tbal[[#This Row],[X]]=1,tbal[[#This Row],[X]]=2)),tbal[[#This Row],[DEUDOR]],0)</f>
        <v>0</v>
      </c>
      <c r="J2501" s="18">
        <f>IF((OR(tbal[[#This Row],[X]]=2,tbal[[#This Row],[X]]=3)),tbal[[#This Row],[ACREEDOR]],0)</f>
        <v>0</v>
      </c>
      <c r="K2501" s="16">
        <f>IF((OR(tbal[[#This Row],[X]]=3,tbal[[#This Row],[X]]=5)),tbal[[#This Row],[DEUDOR]],0)</f>
        <v>0</v>
      </c>
      <c r="L2501" s="18">
        <f>IF((OR(tbal[[#This Row],[X]]=3,tbal[[#This Row],[X]]=4)),tbal[[#This Row],[ACREEDOR]],0)</f>
        <v>0</v>
      </c>
      <c r="M2501" s="16">
        <f>IF((OR(tbal[[#This Row],[X]]=0,tbal[[#This Row],[X]]=6)),tbal[[#This Row],[DEUDOR]],0)</f>
        <v>0</v>
      </c>
      <c r="N2501" s="18">
        <f>IF((OR(tbal[[#This Row],[X]]=0,tbal[[#This Row],[X]]=5)),tbal[[#This Row],[ACREEDOR]],0)</f>
        <v>0</v>
      </c>
    </row>
    <row r="2502" spans="1:14" hidden="1" x14ac:dyDescent="0.3">
      <c r="A2502" s="14">
        <f>+'PLAN DE CUENTAS'!A2502</f>
        <v>0</v>
      </c>
      <c r="B2502" s="13">
        <f>+'PLAN DE CUENTAS'!B2502</f>
        <v>0</v>
      </c>
      <c r="C2502" s="13">
        <f>+'PLAN DE CUENTAS'!C2502</f>
        <v>0</v>
      </c>
      <c r="D2502" t="str">
        <f>IF(tbal[[#This Row],[DEBE]]+tbal[[#This Row],[HABER]]=0,"","X")</f>
        <v/>
      </c>
      <c r="E2502" s="16">
        <f>SUMIF(tdiario[CUENTA],tbal[[#This Row],[CUENTA]],tdiario[DEBE])</f>
        <v>0</v>
      </c>
      <c r="F2502" s="17">
        <f>SUMIF(tdiario[CUENTA],tbal[[#This Row],[CUENTA]],tdiario[HABER])</f>
        <v>0</v>
      </c>
      <c r="G2502" s="16">
        <f>IF(tbal[[#This Row],[DEBE]]-tbal[[#This Row],[HABER]]&gt;0,tbal[[#This Row],[DEBE]]-tbal[[#This Row],[HABER]],0)</f>
        <v>0</v>
      </c>
      <c r="H2502" s="18">
        <f>IF(tbal[[#This Row],[HABER]]-tbal[[#This Row],[DEBE]]&gt;0,tbal[[#This Row],[HABER]]-tbal[[#This Row],[DEBE]],0)</f>
        <v>0</v>
      </c>
      <c r="I2502" s="16">
        <f>IF((OR(tbal[[#This Row],[X]]=1,tbal[[#This Row],[X]]=2)),tbal[[#This Row],[DEUDOR]],0)</f>
        <v>0</v>
      </c>
      <c r="J2502" s="18">
        <f>IF((OR(tbal[[#This Row],[X]]=2,tbal[[#This Row],[X]]=3)),tbal[[#This Row],[ACREEDOR]],0)</f>
        <v>0</v>
      </c>
      <c r="K2502" s="16">
        <f>IF((OR(tbal[[#This Row],[X]]=3,tbal[[#This Row],[X]]=5)),tbal[[#This Row],[DEUDOR]],0)</f>
        <v>0</v>
      </c>
      <c r="L2502" s="18">
        <f>IF((OR(tbal[[#This Row],[X]]=3,tbal[[#This Row],[X]]=4)),tbal[[#This Row],[ACREEDOR]],0)</f>
        <v>0</v>
      </c>
      <c r="M2502" s="16">
        <f>IF((OR(tbal[[#This Row],[X]]=0,tbal[[#This Row],[X]]=6)),tbal[[#This Row],[DEUDOR]],0)</f>
        <v>0</v>
      </c>
      <c r="N2502" s="18">
        <f>IF((OR(tbal[[#This Row],[X]]=0,tbal[[#This Row],[X]]=5)),tbal[[#This Row],[ACREEDOR]],0)</f>
        <v>0</v>
      </c>
    </row>
    <row r="2503" spans="1:14" hidden="1" x14ac:dyDescent="0.3">
      <c r="A2503" s="14">
        <f>+'PLAN DE CUENTAS'!A2503</f>
        <v>0</v>
      </c>
      <c r="B2503" s="13">
        <f>+'PLAN DE CUENTAS'!B2503</f>
        <v>0</v>
      </c>
      <c r="C2503" s="13">
        <f>+'PLAN DE CUENTAS'!C2503</f>
        <v>0</v>
      </c>
      <c r="D2503" t="str">
        <f>IF(tbal[[#This Row],[DEBE]]+tbal[[#This Row],[HABER]]=0,"","X")</f>
        <v/>
      </c>
      <c r="E2503" s="16">
        <f>SUMIF(tdiario[CUENTA],tbal[[#This Row],[CUENTA]],tdiario[DEBE])</f>
        <v>0</v>
      </c>
      <c r="F2503" s="17">
        <f>SUMIF(tdiario[CUENTA],tbal[[#This Row],[CUENTA]],tdiario[HABER])</f>
        <v>0</v>
      </c>
      <c r="G2503" s="16">
        <f>IF(tbal[[#This Row],[DEBE]]-tbal[[#This Row],[HABER]]&gt;0,tbal[[#This Row],[DEBE]]-tbal[[#This Row],[HABER]],0)</f>
        <v>0</v>
      </c>
      <c r="H2503" s="18">
        <f>IF(tbal[[#This Row],[HABER]]-tbal[[#This Row],[DEBE]]&gt;0,tbal[[#This Row],[HABER]]-tbal[[#This Row],[DEBE]],0)</f>
        <v>0</v>
      </c>
      <c r="I2503" s="16">
        <f>IF((OR(tbal[[#This Row],[X]]=1,tbal[[#This Row],[X]]=2)),tbal[[#This Row],[DEUDOR]],0)</f>
        <v>0</v>
      </c>
      <c r="J2503" s="18">
        <f>IF((OR(tbal[[#This Row],[X]]=2,tbal[[#This Row],[X]]=3)),tbal[[#This Row],[ACREEDOR]],0)</f>
        <v>0</v>
      </c>
      <c r="K2503" s="16">
        <f>IF((OR(tbal[[#This Row],[X]]=3,tbal[[#This Row],[X]]=5)),tbal[[#This Row],[DEUDOR]],0)</f>
        <v>0</v>
      </c>
      <c r="L2503" s="18">
        <f>IF((OR(tbal[[#This Row],[X]]=3,tbal[[#This Row],[X]]=4)),tbal[[#This Row],[ACREEDOR]],0)</f>
        <v>0</v>
      </c>
      <c r="M2503" s="16">
        <f>IF((OR(tbal[[#This Row],[X]]=0,tbal[[#This Row],[X]]=6)),tbal[[#This Row],[DEUDOR]],0)</f>
        <v>0</v>
      </c>
      <c r="N2503" s="18">
        <f>IF((OR(tbal[[#This Row],[X]]=0,tbal[[#This Row],[X]]=5)),tbal[[#This Row],[ACREEDOR]],0)</f>
        <v>0</v>
      </c>
    </row>
    <row r="2504" spans="1:14" hidden="1" x14ac:dyDescent="0.3">
      <c r="A2504" s="14">
        <f>+'PLAN DE CUENTAS'!A2504</f>
        <v>0</v>
      </c>
      <c r="B2504" s="13">
        <f>+'PLAN DE CUENTAS'!B2504</f>
        <v>0</v>
      </c>
      <c r="C2504" s="13">
        <f>+'PLAN DE CUENTAS'!C2504</f>
        <v>0</v>
      </c>
      <c r="D2504" t="str">
        <f>IF(tbal[[#This Row],[DEBE]]+tbal[[#This Row],[HABER]]=0,"","X")</f>
        <v/>
      </c>
      <c r="E2504" s="16">
        <f>SUMIF(tdiario[CUENTA],tbal[[#This Row],[CUENTA]],tdiario[DEBE])</f>
        <v>0</v>
      </c>
      <c r="F2504" s="17">
        <f>SUMIF(tdiario[CUENTA],tbal[[#This Row],[CUENTA]],tdiario[HABER])</f>
        <v>0</v>
      </c>
      <c r="G2504" s="16">
        <f>IF(tbal[[#This Row],[DEBE]]-tbal[[#This Row],[HABER]]&gt;0,tbal[[#This Row],[DEBE]]-tbal[[#This Row],[HABER]],0)</f>
        <v>0</v>
      </c>
      <c r="H2504" s="18">
        <f>IF(tbal[[#This Row],[HABER]]-tbal[[#This Row],[DEBE]]&gt;0,tbal[[#This Row],[HABER]]-tbal[[#This Row],[DEBE]],0)</f>
        <v>0</v>
      </c>
      <c r="I2504" s="16">
        <f>IF((OR(tbal[[#This Row],[X]]=1,tbal[[#This Row],[X]]=2)),tbal[[#This Row],[DEUDOR]],0)</f>
        <v>0</v>
      </c>
      <c r="J2504" s="18">
        <f>IF((OR(tbal[[#This Row],[X]]=2,tbal[[#This Row],[X]]=3)),tbal[[#This Row],[ACREEDOR]],0)</f>
        <v>0</v>
      </c>
      <c r="K2504" s="16">
        <f>IF((OR(tbal[[#This Row],[X]]=3,tbal[[#This Row],[X]]=5)),tbal[[#This Row],[DEUDOR]],0)</f>
        <v>0</v>
      </c>
      <c r="L2504" s="18">
        <f>IF((OR(tbal[[#This Row],[X]]=3,tbal[[#This Row],[X]]=4)),tbal[[#This Row],[ACREEDOR]],0)</f>
        <v>0</v>
      </c>
      <c r="M2504" s="16">
        <f>IF((OR(tbal[[#This Row],[X]]=0,tbal[[#This Row],[X]]=6)),tbal[[#This Row],[DEUDOR]],0)</f>
        <v>0</v>
      </c>
      <c r="N2504" s="18">
        <f>IF((OR(tbal[[#This Row],[X]]=0,tbal[[#This Row],[X]]=5)),tbal[[#This Row],[ACREEDOR]],0)</f>
        <v>0</v>
      </c>
    </row>
    <row r="2505" spans="1:14" hidden="1" x14ac:dyDescent="0.3">
      <c r="A2505" s="14">
        <f>+'PLAN DE CUENTAS'!A2505</f>
        <v>0</v>
      </c>
      <c r="B2505" s="13">
        <f>+'PLAN DE CUENTAS'!B2505</f>
        <v>0</v>
      </c>
      <c r="C2505" s="13">
        <f>+'PLAN DE CUENTAS'!C2505</f>
        <v>0</v>
      </c>
      <c r="D2505" t="str">
        <f>IF(tbal[[#This Row],[DEBE]]+tbal[[#This Row],[HABER]]=0,"","X")</f>
        <v/>
      </c>
      <c r="E2505" s="16">
        <f>SUMIF(tdiario[CUENTA],tbal[[#This Row],[CUENTA]],tdiario[DEBE])</f>
        <v>0</v>
      </c>
      <c r="F2505" s="17">
        <f>SUMIF(tdiario[CUENTA],tbal[[#This Row],[CUENTA]],tdiario[HABER])</f>
        <v>0</v>
      </c>
      <c r="G2505" s="16">
        <f>IF(tbal[[#This Row],[DEBE]]-tbal[[#This Row],[HABER]]&gt;0,tbal[[#This Row],[DEBE]]-tbal[[#This Row],[HABER]],0)</f>
        <v>0</v>
      </c>
      <c r="H2505" s="18">
        <f>IF(tbal[[#This Row],[HABER]]-tbal[[#This Row],[DEBE]]&gt;0,tbal[[#This Row],[HABER]]-tbal[[#This Row],[DEBE]],0)</f>
        <v>0</v>
      </c>
      <c r="I2505" s="16">
        <f>IF((OR(tbal[[#This Row],[X]]=1,tbal[[#This Row],[X]]=2)),tbal[[#This Row],[DEUDOR]],0)</f>
        <v>0</v>
      </c>
      <c r="J2505" s="18">
        <f>IF((OR(tbal[[#This Row],[X]]=2,tbal[[#This Row],[X]]=3)),tbal[[#This Row],[ACREEDOR]],0)</f>
        <v>0</v>
      </c>
      <c r="K2505" s="16">
        <f>IF((OR(tbal[[#This Row],[X]]=3,tbal[[#This Row],[X]]=5)),tbal[[#This Row],[DEUDOR]],0)</f>
        <v>0</v>
      </c>
      <c r="L2505" s="18">
        <f>IF((OR(tbal[[#This Row],[X]]=3,tbal[[#This Row],[X]]=4)),tbal[[#This Row],[ACREEDOR]],0)</f>
        <v>0</v>
      </c>
      <c r="M2505" s="16">
        <f>IF((OR(tbal[[#This Row],[X]]=0,tbal[[#This Row],[X]]=6)),tbal[[#This Row],[DEUDOR]],0)</f>
        <v>0</v>
      </c>
      <c r="N2505" s="18">
        <f>IF((OR(tbal[[#This Row],[X]]=0,tbal[[#This Row],[X]]=5)),tbal[[#This Row],[ACREEDOR]],0)</f>
        <v>0</v>
      </c>
    </row>
    <row r="2506" spans="1:14" hidden="1" x14ac:dyDescent="0.3">
      <c r="A2506" s="14">
        <f>+'PLAN DE CUENTAS'!A2506</f>
        <v>0</v>
      </c>
      <c r="B2506" s="13">
        <f>+'PLAN DE CUENTAS'!B2506</f>
        <v>0</v>
      </c>
      <c r="C2506" s="13">
        <f>+'PLAN DE CUENTAS'!C2506</f>
        <v>0</v>
      </c>
      <c r="D2506" t="str">
        <f>IF(tbal[[#This Row],[DEBE]]+tbal[[#This Row],[HABER]]=0,"","X")</f>
        <v/>
      </c>
      <c r="E2506" s="16">
        <f>SUMIF(tdiario[CUENTA],tbal[[#This Row],[CUENTA]],tdiario[DEBE])</f>
        <v>0</v>
      </c>
      <c r="F2506" s="17">
        <f>SUMIF(tdiario[CUENTA],tbal[[#This Row],[CUENTA]],tdiario[HABER])</f>
        <v>0</v>
      </c>
      <c r="G2506" s="16">
        <f>IF(tbal[[#This Row],[DEBE]]-tbal[[#This Row],[HABER]]&gt;0,tbal[[#This Row],[DEBE]]-tbal[[#This Row],[HABER]],0)</f>
        <v>0</v>
      </c>
      <c r="H2506" s="18">
        <f>IF(tbal[[#This Row],[HABER]]-tbal[[#This Row],[DEBE]]&gt;0,tbal[[#This Row],[HABER]]-tbal[[#This Row],[DEBE]],0)</f>
        <v>0</v>
      </c>
      <c r="I2506" s="16">
        <f>IF((OR(tbal[[#This Row],[X]]=1,tbal[[#This Row],[X]]=2)),tbal[[#This Row],[DEUDOR]],0)</f>
        <v>0</v>
      </c>
      <c r="J2506" s="18">
        <f>IF((OR(tbal[[#This Row],[X]]=2,tbal[[#This Row],[X]]=3)),tbal[[#This Row],[ACREEDOR]],0)</f>
        <v>0</v>
      </c>
      <c r="K2506" s="16">
        <f>IF((OR(tbal[[#This Row],[X]]=3,tbal[[#This Row],[X]]=5)),tbal[[#This Row],[DEUDOR]],0)</f>
        <v>0</v>
      </c>
      <c r="L2506" s="18">
        <f>IF((OR(tbal[[#This Row],[X]]=3,tbal[[#This Row],[X]]=4)),tbal[[#This Row],[ACREEDOR]],0)</f>
        <v>0</v>
      </c>
      <c r="M2506" s="16">
        <f>IF((OR(tbal[[#This Row],[X]]=0,tbal[[#This Row],[X]]=6)),tbal[[#This Row],[DEUDOR]],0)</f>
        <v>0</v>
      </c>
      <c r="N2506" s="18">
        <f>IF((OR(tbal[[#This Row],[X]]=0,tbal[[#This Row],[X]]=5)),tbal[[#This Row],[ACREEDOR]],0)</f>
        <v>0</v>
      </c>
    </row>
    <row r="2507" spans="1:14" hidden="1" x14ac:dyDescent="0.3">
      <c r="A2507" s="14">
        <f>+'PLAN DE CUENTAS'!A2507</f>
        <v>0</v>
      </c>
      <c r="B2507" s="13">
        <f>+'PLAN DE CUENTAS'!B2507</f>
        <v>0</v>
      </c>
      <c r="C2507" s="13">
        <f>+'PLAN DE CUENTAS'!C2507</f>
        <v>0</v>
      </c>
      <c r="D2507" t="str">
        <f>IF(tbal[[#This Row],[DEBE]]+tbal[[#This Row],[HABER]]=0,"","X")</f>
        <v/>
      </c>
      <c r="E2507" s="16">
        <f>SUMIF(tdiario[CUENTA],tbal[[#This Row],[CUENTA]],tdiario[DEBE])</f>
        <v>0</v>
      </c>
      <c r="F2507" s="17">
        <f>SUMIF(tdiario[CUENTA],tbal[[#This Row],[CUENTA]],tdiario[HABER])</f>
        <v>0</v>
      </c>
      <c r="G2507" s="16">
        <f>IF(tbal[[#This Row],[DEBE]]-tbal[[#This Row],[HABER]]&gt;0,tbal[[#This Row],[DEBE]]-tbal[[#This Row],[HABER]],0)</f>
        <v>0</v>
      </c>
      <c r="H2507" s="18">
        <f>IF(tbal[[#This Row],[HABER]]-tbal[[#This Row],[DEBE]]&gt;0,tbal[[#This Row],[HABER]]-tbal[[#This Row],[DEBE]],0)</f>
        <v>0</v>
      </c>
      <c r="I2507" s="16">
        <f>IF((OR(tbal[[#This Row],[X]]=1,tbal[[#This Row],[X]]=2)),tbal[[#This Row],[DEUDOR]],0)</f>
        <v>0</v>
      </c>
      <c r="J2507" s="18">
        <f>IF((OR(tbal[[#This Row],[X]]=2,tbal[[#This Row],[X]]=3)),tbal[[#This Row],[ACREEDOR]],0)</f>
        <v>0</v>
      </c>
      <c r="K2507" s="16">
        <f>IF((OR(tbal[[#This Row],[X]]=3,tbal[[#This Row],[X]]=5)),tbal[[#This Row],[DEUDOR]],0)</f>
        <v>0</v>
      </c>
      <c r="L2507" s="18">
        <f>IF((OR(tbal[[#This Row],[X]]=3,tbal[[#This Row],[X]]=4)),tbal[[#This Row],[ACREEDOR]],0)</f>
        <v>0</v>
      </c>
      <c r="M2507" s="16">
        <f>IF((OR(tbal[[#This Row],[X]]=0,tbal[[#This Row],[X]]=6)),tbal[[#This Row],[DEUDOR]],0)</f>
        <v>0</v>
      </c>
      <c r="N2507" s="18">
        <f>IF((OR(tbal[[#This Row],[X]]=0,tbal[[#This Row],[X]]=5)),tbal[[#This Row],[ACREEDOR]],0)</f>
        <v>0</v>
      </c>
    </row>
    <row r="2508" spans="1:14" hidden="1" x14ac:dyDescent="0.3">
      <c r="A2508" s="14">
        <f>+'PLAN DE CUENTAS'!A2508</f>
        <v>0</v>
      </c>
      <c r="B2508" s="13">
        <f>+'PLAN DE CUENTAS'!B2508</f>
        <v>0</v>
      </c>
      <c r="C2508" s="13">
        <f>+'PLAN DE CUENTAS'!C2508</f>
        <v>0</v>
      </c>
      <c r="D2508" t="str">
        <f>IF(tbal[[#This Row],[DEBE]]+tbal[[#This Row],[HABER]]=0,"","X")</f>
        <v/>
      </c>
      <c r="E2508" s="16">
        <f>SUMIF(tdiario[CUENTA],tbal[[#This Row],[CUENTA]],tdiario[DEBE])</f>
        <v>0</v>
      </c>
      <c r="F2508" s="17">
        <f>SUMIF(tdiario[CUENTA],tbal[[#This Row],[CUENTA]],tdiario[HABER])</f>
        <v>0</v>
      </c>
      <c r="G2508" s="16">
        <f>IF(tbal[[#This Row],[DEBE]]-tbal[[#This Row],[HABER]]&gt;0,tbal[[#This Row],[DEBE]]-tbal[[#This Row],[HABER]],0)</f>
        <v>0</v>
      </c>
      <c r="H2508" s="18">
        <f>IF(tbal[[#This Row],[HABER]]-tbal[[#This Row],[DEBE]]&gt;0,tbal[[#This Row],[HABER]]-tbal[[#This Row],[DEBE]],0)</f>
        <v>0</v>
      </c>
      <c r="I2508" s="16">
        <f>IF((OR(tbal[[#This Row],[X]]=1,tbal[[#This Row],[X]]=2)),tbal[[#This Row],[DEUDOR]],0)</f>
        <v>0</v>
      </c>
      <c r="J2508" s="18">
        <f>IF((OR(tbal[[#This Row],[X]]=2,tbal[[#This Row],[X]]=3)),tbal[[#This Row],[ACREEDOR]],0)</f>
        <v>0</v>
      </c>
      <c r="K2508" s="16">
        <f>IF((OR(tbal[[#This Row],[X]]=3,tbal[[#This Row],[X]]=5)),tbal[[#This Row],[DEUDOR]],0)</f>
        <v>0</v>
      </c>
      <c r="L2508" s="18">
        <f>IF((OR(tbal[[#This Row],[X]]=3,tbal[[#This Row],[X]]=4)),tbal[[#This Row],[ACREEDOR]],0)</f>
        <v>0</v>
      </c>
      <c r="M2508" s="16">
        <f>IF((OR(tbal[[#This Row],[X]]=0,tbal[[#This Row],[X]]=6)),tbal[[#This Row],[DEUDOR]],0)</f>
        <v>0</v>
      </c>
      <c r="N2508" s="18">
        <f>IF((OR(tbal[[#This Row],[X]]=0,tbal[[#This Row],[X]]=5)),tbal[[#This Row],[ACREEDOR]],0)</f>
        <v>0</v>
      </c>
    </row>
    <row r="2509" spans="1:14" hidden="1" x14ac:dyDescent="0.3">
      <c r="A2509" s="14">
        <f>+'PLAN DE CUENTAS'!A2509</f>
        <v>0</v>
      </c>
      <c r="B2509" s="13">
        <f>+'PLAN DE CUENTAS'!B2509</f>
        <v>0</v>
      </c>
      <c r="C2509" s="13">
        <f>+'PLAN DE CUENTAS'!C2509</f>
        <v>0</v>
      </c>
      <c r="D2509" t="str">
        <f>IF(tbal[[#This Row],[DEBE]]+tbal[[#This Row],[HABER]]=0,"","X")</f>
        <v/>
      </c>
      <c r="E2509" s="16">
        <f>SUMIF(tdiario[CUENTA],tbal[[#This Row],[CUENTA]],tdiario[DEBE])</f>
        <v>0</v>
      </c>
      <c r="F2509" s="17">
        <f>SUMIF(tdiario[CUENTA],tbal[[#This Row],[CUENTA]],tdiario[HABER])</f>
        <v>0</v>
      </c>
      <c r="G2509" s="16">
        <f>IF(tbal[[#This Row],[DEBE]]-tbal[[#This Row],[HABER]]&gt;0,tbal[[#This Row],[DEBE]]-tbal[[#This Row],[HABER]],0)</f>
        <v>0</v>
      </c>
      <c r="H2509" s="18">
        <f>IF(tbal[[#This Row],[HABER]]-tbal[[#This Row],[DEBE]]&gt;0,tbal[[#This Row],[HABER]]-tbal[[#This Row],[DEBE]],0)</f>
        <v>0</v>
      </c>
      <c r="I2509" s="16">
        <f>IF((OR(tbal[[#This Row],[X]]=1,tbal[[#This Row],[X]]=2)),tbal[[#This Row],[DEUDOR]],0)</f>
        <v>0</v>
      </c>
      <c r="J2509" s="18">
        <f>IF((OR(tbal[[#This Row],[X]]=2,tbal[[#This Row],[X]]=3)),tbal[[#This Row],[ACREEDOR]],0)</f>
        <v>0</v>
      </c>
      <c r="K2509" s="16">
        <f>IF((OR(tbal[[#This Row],[X]]=3,tbal[[#This Row],[X]]=5)),tbal[[#This Row],[DEUDOR]],0)</f>
        <v>0</v>
      </c>
      <c r="L2509" s="18">
        <f>IF((OR(tbal[[#This Row],[X]]=3,tbal[[#This Row],[X]]=4)),tbal[[#This Row],[ACREEDOR]],0)</f>
        <v>0</v>
      </c>
      <c r="M2509" s="16">
        <f>IF((OR(tbal[[#This Row],[X]]=0,tbal[[#This Row],[X]]=6)),tbal[[#This Row],[DEUDOR]],0)</f>
        <v>0</v>
      </c>
      <c r="N2509" s="18">
        <f>IF((OR(tbal[[#This Row],[X]]=0,tbal[[#This Row],[X]]=5)),tbal[[#This Row],[ACREEDOR]],0)</f>
        <v>0</v>
      </c>
    </row>
    <row r="2510" spans="1:14" hidden="1" x14ac:dyDescent="0.3">
      <c r="A2510" s="14">
        <f>+'PLAN DE CUENTAS'!A2510</f>
        <v>0</v>
      </c>
      <c r="B2510" s="13">
        <f>+'PLAN DE CUENTAS'!B2510</f>
        <v>0</v>
      </c>
      <c r="C2510" s="13">
        <f>+'PLAN DE CUENTAS'!C2510</f>
        <v>0</v>
      </c>
      <c r="D2510" t="str">
        <f>IF(tbal[[#This Row],[DEBE]]+tbal[[#This Row],[HABER]]=0,"","X")</f>
        <v/>
      </c>
      <c r="E2510" s="16">
        <f>SUMIF(tdiario[CUENTA],tbal[[#This Row],[CUENTA]],tdiario[DEBE])</f>
        <v>0</v>
      </c>
      <c r="F2510" s="17">
        <f>SUMIF(tdiario[CUENTA],tbal[[#This Row],[CUENTA]],tdiario[HABER])</f>
        <v>0</v>
      </c>
      <c r="G2510" s="16">
        <f>IF(tbal[[#This Row],[DEBE]]-tbal[[#This Row],[HABER]]&gt;0,tbal[[#This Row],[DEBE]]-tbal[[#This Row],[HABER]],0)</f>
        <v>0</v>
      </c>
      <c r="H2510" s="18">
        <f>IF(tbal[[#This Row],[HABER]]-tbal[[#This Row],[DEBE]]&gt;0,tbal[[#This Row],[HABER]]-tbal[[#This Row],[DEBE]],0)</f>
        <v>0</v>
      </c>
      <c r="I2510" s="16">
        <f>IF((OR(tbal[[#This Row],[X]]=1,tbal[[#This Row],[X]]=2)),tbal[[#This Row],[DEUDOR]],0)</f>
        <v>0</v>
      </c>
      <c r="J2510" s="18">
        <f>IF((OR(tbal[[#This Row],[X]]=2,tbal[[#This Row],[X]]=3)),tbal[[#This Row],[ACREEDOR]],0)</f>
        <v>0</v>
      </c>
      <c r="K2510" s="16">
        <f>IF((OR(tbal[[#This Row],[X]]=3,tbal[[#This Row],[X]]=5)),tbal[[#This Row],[DEUDOR]],0)</f>
        <v>0</v>
      </c>
      <c r="L2510" s="18">
        <f>IF((OR(tbal[[#This Row],[X]]=3,tbal[[#This Row],[X]]=4)),tbal[[#This Row],[ACREEDOR]],0)</f>
        <v>0</v>
      </c>
      <c r="M2510" s="16">
        <f>IF((OR(tbal[[#This Row],[X]]=0,tbal[[#This Row],[X]]=6)),tbal[[#This Row],[DEUDOR]],0)</f>
        <v>0</v>
      </c>
      <c r="N2510" s="18">
        <f>IF((OR(tbal[[#This Row],[X]]=0,tbal[[#This Row],[X]]=5)),tbal[[#This Row],[ACREEDOR]],0)</f>
        <v>0</v>
      </c>
    </row>
    <row r="2511" spans="1:14" hidden="1" x14ac:dyDescent="0.3">
      <c r="A2511" s="14">
        <f>+'PLAN DE CUENTAS'!A2511</f>
        <v>0</v>
      </c>
      <c r="B2511" s="13">
        <f>+'PLAN DE CUENTAS'!B2511</f>
        <v>0</v>
      </c>
      <c r="C2511" s="13">
        <f>+'PLAN DE CUENTAS'!C2511</f>
        <v>0</v>
      </c>
      <c r="D2511" t="str">
        <f>IF(tbal[[#This Row],[DEBE]]+tbal[[#This Row],[HABER]]=0,"","X")</f>
        <v/>
      </c>
      <c r="E2511" s="16">
        <f>SUMIF(tdiario[CUENTA],tbal[[#This Row],[CUENTA]],tdiario[DEBE])</f>
        <v>0</v>
      </c>
      <c r="F2511" s="17">
        <f>SUMIF(tdiario[CUENTA],tbal[[#This Row],[CUENTA]],tdiario[HABER])</f>
        <v>0</v>
      </c>
      <c r="G2511" s="16">
        <f>IF(tbal[[#This Row],[DEBE]]-tbal[[#This Row],[HABER]]&gt;0,tbal[[#This Row],[DEBE]]-tbal[[#This Row],[HABER]],0)</f>
        <v>0</v>
      </c>
      <c r="H2511" s="18">
        <f>IF(tbal[[#This Row],[HABER]]-tbal[[#This Row],[DEBE]]&gt;0,tbal[[#This Row],[HABER]]-tbal[[#This Row],[DEBE]],0)</f>
        <v>0</v>
      </c>
      <c r="I2511" s="16">
        <f>IF((OR(tbal[[#This Row],[X]]=1,tbal[[#This Row],[X]]=2)),tbal[[#This Row],[DEUDOR]],0)</f>
        <v>0</v>
      </c>
      <c r="J2511" s="18">
        <f>IF((OR(tbal[[#This Row],[X]]=2,tbal[[#This Row],[X]]=3)),tbal[[#This Row],[ACREEDOR]],0)</f>
        <v>0</v>
      </c>
      <c r="K2511" s="16">
        <f>IF((OR(tbal[[#This Row],[X]]=3,tbal[[#This Row],[X]]=5)),tbal[[#This Row],[DEUDOR]],0)</f>
        <v>0</v>
      </c>
      <c r="L2511" s="18">
        <f>IF((OR(tbal[[#This Row],[X]]=3,tbal[[#This Row],[X]]=4)),tbal[[#This Row],[ACREEDOR]],0)</f>
        <v>0</v>
      </c>
      <c r="M2511" s="16">
        <f>IF((OR(tbal[[#This Row],[X]]=0,tbal[[#This Row],[X]]=6)),tbal[[#This Row],[DEUDOR]],0)</f>
        <v>0</v>
      </c>
      <c r="N2511" s="18">
        <f>IF((OR(tbal[[#This Row],[X]]=0,tbal[[#This Row],[X]]=5)),tbal[[#This Row],[ACREEDOR]],0)</f>
        <v>0</v>
      </c>
    </row>
    <row r="2512" spans="1:14" hidden="1" x14ac:dyDescent="0.3">
      <c r="A2512" s="14">
        <f>+'PLAN DE CUENTAS'!A2512</f>
        <v>0</v>
      </c>
      <c r="B2512" s="13">
        <f>+'PLAN DE CUENTAS'!B2512</f>
        <v>0</v>
      </c>
      <c r="C2512" s="13">
        <f>+'PLAN DE CUENTAS'!C2512</f>
        <v>0</v>
      </c>
      <c r="D2512" t="str">
        <f>IF(tbal[[#This Row],[DEBE]]+tbal[[#This Row],[HABER]]=0,"","X")</f>
        <v/>
      </c>
      <c r="E2512" s="16">
        <f>SUMIF(tdiario[CUENTA],tbal[[#This Row],[CUENTA]],tdiario[DEBE])</f>
        <v>0</v>
      </c>
      <c r="F2512" s="17">
        <f>SUMIF(tdiario[CUENTA],tbal[[#This Row],[CUENTA]],tdiario[HABER])</f>
        <v>0</v>
      </c>
      <c r="G2512" s="16">
        <f>IF(tbal[[#This Row],[DEBE]]-tbal[[#This Row],[HABER]]&gt;0,tbal[[#This Row],[DEBE]]-tbal[[#This Row],[HABER]],0)</f>
        <v>0</v>
      </c>
      <c r="H2512" s="18">
        <f>IF(tbal[[#This Row],[HABER]]-tbal[[#This Row],[DEBE]]&gt;0,tbal[[#This Row],[HABER]]-tbal[[#This Row],[DEBE]],0)</f>
        <v>0</v>
      </c>
      <c r="I2512" s="16">
        <f>IF((OR(tbal[[#This Row],[X]]=1,tbal[[#This Row],[X]]=2)),tbal[[#This Row],[DEUDOR]],0)</f>
        <v>0</v>
      </c>
      <c r="J2512" s="18">
        <f>IF((OR(tbal[[#This Row],[X]]=2,tbal[[#This Row],[X]]=3)),tbal[[#This Row],[ACREEDOR]],0)</f>
        <v>0</v>
      </c>
      <c r="K2512" s="16">
        <f>IF((OR(tbal[[#This Row],[X]]=3,tbal[[#This Row],[X]]=5)),tbal[[#This Row],[DEUDOR]],0)</f>
        <v>0</v>
      </c>
      <c r="L2512" s="18">
        <f>IF((OR(tbal[[#This Row],[X]]=3,tbal[[#This Row],[X]]=4)),tbal[[#This Row],[ACREEDOR]],0)</f>
        <v>0</v>
      </c>
      <c r="M2512" s="16">
        <f>IF((OR(tbal[[#This Row],[X]]=0,tbal[[#This Row],[X]]=6)),tbal[[#This Row],[DEUDOR]],0)</f>
        <v>0</v>
      </c>
      <c r="N2512" s="18">
        <f>IF((OR(tbal[[#This Row],[X]]=0,tbal[[#This Row],[X]]=5)),tbal[[#This Row],[ACREEDOR]],0)</f>
        <v>0</v>
      </c>
    </row>
    <row r="2513" spans="1:14" hidden="1" x14ac:dyDescent="0.3">
      <c r="A2513" s="14">
        <f>+'PLAN DE CUENTAS'!A2513</f>
        <v>0</v>
      </c>
      <c r="B2513" s="13">
        <f>+'PLAN DE CUENTAS'!B2513</f>
        <v>0</v>
      </c>
      <c r="C2513" s="13">
        <f>+'PLAN DE CUENTAS'!C2513</f>
        <v>0</v>
      </c>
      <c r="D2513" t="str">
        <f>IF(tbal[[#This Row],[DEBE]]+tbal[[#This Row],[HABER]]=0,"","X")</f>
        <v/>
      </c>
      <c r="E2513" s="16">
        <f>SUMIF(tdiario[CUENTA],tbal[[#This Row],[CUENTA]],tdiario[DEBE])</f>
        <v>0</v>
      </c>
      <c r="F2513" s="17">
        <f>SUMIF(tdiario[CUENTA],tbal[[#This Row],[CUENTA]],tdiario[HABER])</f>
        <v>0</v>
      </c>
      <c r="G2513" s="16">
        <f>IF(tbal[[#This Row],[DEBE]]-tbal[[#This Row],[HABER]]&gt;0,tbal[[#This Row],[DEBE]]-tbal[[#This Row],[HABER]],0)</f>
        <v>0</v>
      </c>
      <c r="H2513" s="18">
        <f>IF(tbal[[#This Row],[HABER]]-tbal[[#This Row],[DEBE]]&gt;0,tbal[[#This Row],[HABER]]-tbal[[#This Row],[DEBE]],0)</f>
        <v>0</v>
      </c>
      <c r="I2513" s="16">
        <f>IF((OR(tbal[[#This Row],[X]]=1,tbal[[#This Row],[X]]=2)),tbal[[#This Row],[DEUDOR]],0)</f>
        <v>0</v>
      </c>
      <c r="J2513" s="18">
        <f>IF((OR(tbal[[#This Row],[X]]=2,tbal[[#This Row],[X]]=3)),tbal[[#This Row],[ACREEDOR]],0)</f>
        <v>0</v>
      </c>
      <c r="K2513" s="16">
        <f>IF((OR(tbal[[#This Row],[X]]=3,tbal[[#This Row],[X]]=5)),tbal[[#This Row],[DEUDOR]],0)</f>
        <v>0</v>
      </c>
      <c r="L2513" s="18">
        <f>IF((OR(tbal[[#This Row],[X]]=3,tbal[[#This Row],[X]]=4)),tbal[[#This Row],[ACREEDOR]],0)</f>
        <v>0</v>
      </c>
      <c r="M2513" s="16">
        <f>IF((OR(tbal[[#This Row],[X]]=0,tbal[[#This Row],[X]]=6)),tbal[[#This Row],[DEUDOR]],0)</f>
        <v>0</v>
      </c>
      <c r="N2513" s="18">
        <f>IF((OR(tbal[[#This Row],[X]]=0,tbal[[#This Row],[X]]=5)),tbal[[#This Row],[ACREEDOR]],0)</f>
        <v>0</v>
      </c>
    </row>
    <row r="2514" spans="1:14" hidden="1" x14ac:dyDescent="0.3">
      <c r="A2514" s="14">
        <f>+'PLAN DE CUENTAS'!A2514</f>
        <v>0</v>
      </c>
      <c r="B2514" s="13">
        <f>+'PLAN DE CUENTAS'!B2514</f>
        <v>0</v>
      </c>
      <c r="C2514" s="13">
        <f>+'PLAN DE CUENTAS'!C2514</f>
        <v>0</v>
      </c>
      <c r="D2514" t="str">
        <f>IF(tbal[[#This Row],[DEBE]]+tbal[[#This Row],[HABER]]=0,"","X")</f>
        <v/>
      </c>
      <c r="E2514" s="16">
        <f>SUMIF(tdiario[CUENTA],tbal[[#This Row],[CUENTA]],tdiario[DEBE])</f>
        <v>0</v>
      </c>
      <c r="F2514" s="17">
        <f>SUMIF(tdiario[CUENTA],tbal[[#This Row],[CUENTA]],tdiario[HABER])</f>
        <v>0</v>
      </c>
      <c r="G2514" s="16">
        <f>IF(tbal[[#This Row],[DEBE]]-tbal[[#This Row],[HABER]]&gt;0,tbal[[#This Row],[DEBE]]-tbal[[#This Row],[HABER]],0)</f>
        <v>0</v>
      </c>
      <c r="H2514" s="18">
        <f>IF(tbal[[#This Row],[HABER]]-tbal[[#This Row],[DEBE]]&gt;0,tbal[[#This Row],[HABER]]-tbal[[#This Row],[DEBE]],0)</f>
        <v>0</v>
      </c>
      <c r="I2514" s="16">
        <f>IF((OR(tbal[[#This Row],[X]]=1,tbal[[#This Row],[X]]=2)),tbal[[#This Row],[DEUDOR]],0)</f>
        <v>0</v>
      </c>
      <c r="J2514" s="18">
        <f>IF((OR(tbal[[#This Row],[X]]=2,tbal[[#This Row],[X]]=3)),tbal[[#This Row],[ACREEDOR]],0)</f>
        <v>0</v>
      </c>
      <c r="K2514" s="16">
        <f>IF((OR(tbal[[#This Row],[X]]=3,tbal[[#This Row],[X]]=5)),tbal[[#This Row],[DEUDOR]],0)</f>
        <v>0</v>
      </c>
      <c r="L2514" s="18">
        <f>IF((OR(tbal[[#This Row],[X]]=3,tbal[[#This Row],[X]]=4)),tbal[[#This Row],[ACREEDOR]],0)</f>
        <v>0</v>
      </c>
      <c r="M2514" s="16">
        <f>IF((OR(tbal[[#This Row],[X]]=0,tbal[[#This Row],[X]]=6)),tbal[[#This Row],[DEUDOR]],0)</f>
        <v>0</v>
      </c>
      <c r="N2514" s="18">
        <f>IF((OR(tbal[[#This Row],[X]]=0,tbal[[#This Row],[X]]=5)),tbal[[#This Row],[ACREEDOR]],0)</f>
        <v>0</v>
      </c>
    </row>
    <row r="2515" spans="1:14" hidden="1" x14ac:dyDescent="0.3">
      <c r="A2515" s="14">
        <f>+'PLAN DE CUENTAS'!A2515</f>
        <v>0</v>
      </c>
      <c r="B2515" s="13">
        <f>+'PLAN DE CUENTAS'!B2515</f>
        <v>0</v>
      </c>
      <c r="C2515" s="13">
        <f>+'PLAN DE CUENTAS'!C2515</f>
        <v>0</v>
      </c>
      <c r="D2515" t="str">
        <f>IF(tbal[[#This Row],[DEBE]]+tbal[[#This Row],[HABER]]=0,"","X")</f>
        <v/>
      </c>
      <c r="E2515" s="16">
        <f>SUMIF(tdiario[CUENTA],tbal[[#This Row],[CUENTA]],tdiario[DEBE])</f>
        <v>0</v>
      </c>
      <c r="F2515" s="17">
        <f>SUMIF(tdiario[CUENTA],tbal[[#This Row],[CUENTA]],tdiario[HABER])</f>
        <v>0</v>
      </c>
      <c r="G2515" s="16">
        <f>IF(tbal[[#This Row],[DEBE]]-tbal[[#This Row],[HABER]]&gt;0,tbal[[#This Row],[DEBE]]-tbal[[#This Row],[HABER]],0)</f>
        <v>0</v>
      </c>
      <c r="H2515" s="18">
        <f>IF(tbal[[#This Row],[HABER]]-tbal[[#This Row],[DEBE]]&gt;0,tbal[[#This Row],[HABER]]-tbal[[#This Row],[DEBE]],0)</f>
        <v>0</v>
      </c>
      <c r="I2515" s="16">
        <f>IF((OR(tbal[[#This Row],[X]]=1,tbal[[#This Row],[X]]=2)),tbal[[#This Row],[DEUDOR]],0)</f>
        <v>0</v>
      </c>
      <c r="J2515" s="18">
        <f>IF((OR(tbal[[#This Row],[X]]=2,tbal[[#This Row],[X]]=3)),tbal[[#This Row],[ACREEDOR]],0)</f>
        <v>0</v>
      </c>
      <c r="K2515" s="16">
        <f>IF((OR(tbal[[#This Row],[X]]=3,tbal[[#This Row],[X]]=5)),tbal[[#This Row],[DEUDOR]],0)</f>
        <v>0</v>
      </c>
      <c r="L2515" s="18">
        <f>IF((OR(tbal[[#This Row],[X]]=3,tbal[[#This Row],[X]]=4)),tbal[[#This Row],[ACREEDOR]],0)</f>
        <v>0</v>
      </c>
      <c r="M2515" s="16">
        <f>IF((OR(tbal[[#This Row],[X]]=0,tbal[[#This Row],[X]]=6)),tbal[[#This Row],[DEUDOR]],0)</f>
        <v>0</v>
      </c>
      <c r="N2515" s="18">
        <f>IF((OR(tbal[[#This Row],[X]]=0,tbal[[#This Row],[X]]=5)),tbal[[#This Row],[ACREEDOR]],0)</f>
        <v>0</v>
      </c>
    </row>
    <row r="2516" spans="1:14" hidden="1" x14ac:dyDescent="0.3">
      <c r="A2516" s="14">
        <f>+'PLAN DE CUENTAS'!A2516</f>
        <v>0</v>
      </c>
      <c r="B2516" s="13">
        <f>+'PLAN DE CUENTAS'!B2516</f>
        <v>0</v>
      </c>
      <c r="C2516" s="13">
        <f>+'PLAN DE CUENTAS'!C2516</f>
        <v>0</v>
      </c>
      <c r="D2516" t="str">
        <f>IF(tbal[[#This Row],[DEBE]]+tbal[[#This Row],[HABER]]=0,"","X")</f>
        <v/>
      </c>
      <c r="E2516" s="16">
        <f>SUMIF(tdiario[CUENTA],tbal[[#This Row],[CUENTA]],tdiario[DEBE])</f>
        <v>0</v>
      </c>
      <c r="F2516" s="17">
        <f>SUMIF(tdiario[CUENTA],tbal[[#This Row],[CUENTA]],tdiario[HABER])</f>
        <v>0</v>
      </c>
      <c r="G2516" s="16">
        <f>IF(tbal[[#This Row],[DEBE]]-tbal[[#This Row],[HABER]]&gt;0,tbal[[#This Row],[DEBE]]-tbal[[#This Row],[HABER]],0)</f>
        <v>0</v>
      </c>
      <c r="H2516" s="18">
        <f>IF(tbal[[#This Row],[HABER]]-tbal[[#This Row],[DEBE]]&gt;0,tbal[[#This Row],[HABER]]-tbal[[#This Row],[DEBE]],0)</f>
        <v>0</v>
      </c>
      <c r="I2516" s="16">
        <f>IF((OR(tbal[[#This Row],[X]]=1,tbal[[#This Row],[X]]=2)),tbal[[#This Row],[DEUDOR]],0)</f>
        <v>0</v>
      </c>
      <c r="J2516" s="18">
        <f>IF((OR(tbal[[#This Row],[X]]=2,tbal[[#This Row],[X]]=3)),tbal[[#This Row],[ACREEDOR]],0)</f>
        <v>0</v>
      </c>
      <c r="K2516" s="16">
        <f>IF((OR(tbal[[#This Row],[X]]=3,tbal[[#This Row],[X]]=5)),tbal[[#This Row],[DEUDOR]],0)</f>
        <v>0</v>
      </c>
      <c r="L2516" s="18">
        <f>IF((OR(tbal[[#This Row],[X]]=3,tbal[[#This Row],[X]]=4)),tbal[[#This Row],[ACREEDOR]],0)</f>
        <v>0</v>
      </c>
      <c r="M2516" s="16">
        <f>IF((OR(tbal[[#This Row],[X]]=0,tbal[[#This Row],[X]]=6)),tbal[[#This Row],[DEUDOR]],0)</f>
        <v>0</v>
      </c>
      <c r="N2516" s="18">
        <f>IF((OR(tbal[[#This Row],[X]]=0,tbal[[#This Row],[X]]=5)),tbal[[#This Row],[ACREEDOR]],0)</f>
        <v>0</v>
      </c>
    </row>
    <row r="2517" spans="1:14" hidden="1" x14ac:dyDescent="0.3">
      <c r="A2517" s="14">
        <f>+'PLAN DE CUENTAS'!A2517</f>
        <v>0</v>
      </c>
      <c r="B2517" s="13">
        <f>+'PLAN DE CUENTAS'!B2517</f>
        <v>0</v>
      </c>
      <c r="C2517" s="13">
        <f>+'PLAN DE CUENTAS'!C2517</f>
        <v>0</v>
      </c>
      <c r="D2517" t="str">
        <f>IF(tbal[[#This Row],[DEBE]]+tbal[[#This Row],[HABER]]=0,"","X")</f>
        <v/>
      </c>
      <c r="E2517" s="16">
        <f>SUMIF(tdiario[CUENTA],tbal[[#This Row],[CUENTA]],tdiario[DEBE])</f>
        <v>0</v>
      </c>
      <c r="F2517" s="17">
        <f>SUMIF(tdiario[CUENTA],tbal[[#This Row],[CUENTA]],tdiario[HABER])</f>
        <v>0</v>
      </c>
      <c r="G2517" s="16">
        <f>IF(tbal[[#This Row],[DEBE]]-tbal[[#This Row],[HABER]]&gt;0,tbal[[#This Row],[DEBE]]-tbal[[#This Row],[HABER]],0)</f>
        <v>0</v>
      </c>
      <c r="H2517" s="18">
        <f>IF(tbal[[#This Row],[HABER]]-tbal[[#This Row],[DEBE]]&gt;0,tbal[[#This Row],[HABER]]-tbal[[#This Row],[DEBE]],0)</f>
        <v>0</v>
      </c>
      <c r="I2517" s="16">
        <f>IF((OR(tbal[[#This Row],[X]]=1,tbal[[#This Row],[X]]=2)),tbal[[#This Row],[DEUDOR]],0)</f>
        <v>0</v>
      </c>
      <c r="J2517" s="18">
        <f>IF((OR(tbal[[#This Row],[X]]=2,tbal[[#This Row],[X]]=3)),tbal[[#This Row],[ACREEDOR]],0)</f>
        <v>0</v>
      </c>
      <c r="K2517" s="16">
        <f>IF((OR(tbal[[#This Row],[X]]=3,tbal[[#This Row],[X]]=5)),tbal[[#This Row],[DEUDOR]],0)</f>
        <v>0</v>
      </c>
      <c r="L2517" s="18">
        <f>IF((OR(tbal[[#This Row],[X]]=3,tbal[[#This Row],[X]]=4)),tbal[[#This Row],[ACREEDOR]],0)</f>
        <v>0</v>
      </c>
      <c r="M2517" s="16">
        <f>IF((OR(tbal[[#This Row],[X]]=0,tbal[[#This Row],[X]]=6)),tbal[[#This Row],[DEUDOR]],0)</f>
        <v>0</v>
      </c>
      <c r="N2517" s="18">
        <f>IF((OR(tbal[[#This Row],[X]]=0,tbal[[#This Row],[X]]=5)),tbal[[#This Row],[ACREEDOR]],0)</f>
        <v>0</v>
      </c>
    </row>
    <row r="2518" spans="1:14" hidden="1" x14ac:dyDescent="0.3">
      <c r="A2518" s="14">
        <f>+'PLAN DE CUENTAS'!A2518</f>
        <v>0</v>
      </c>
      <c r="B2518" s="13">
        <f>+'PLAN DE CUENTAS'!B2518</f>
        <v>0</v>
      </c>
      <c r="C2518" s="13">
        <f>+'PLAN DE CUENTAS'!C2518</f>
        <v>0</v>
      </c>
      <c r="D2518" t="str">
        <f>IF(tbal[[#This Row],[DEBE]]+tbal[[#This Row],[HABER]]=0,"","X")</f>
        <v/>
      </c>
      <c r="E2518" s="16">
        <f>SUMIF(tdiario[CUENTA],tbal[[#This Row],[CUENTA]],tdiario[DEBE])</f>
        <v>0</v>
      </c>
      <c r="F2518" s="17">
        <f>SUMIF(tdiario[CUENTA],tbal[[#This Row],[CUENTA]],tdiario[HABER])</f>
        <v>0</v>
      </c>
      <c r="G2518" s="16">
        <f>IF(tbal[[#This Row],[DEBE]]-tbal[[#This Row],[HABER]]&gt;0,tbal[[#This Row],[DEBE]]-tbal[[#This Row],[HABER]],0)</f>
        <v>0</v>
      </c>
      <c r="H2518" s="18">
        <f>IF(tbal[[#This Row],[HABER]]-tbal[[#This Row],[DEBE]]&gt;0,tbal[[#This Row],[HABER]]-tbal[[#This Row],[DEBE]],0)</f>
        <v>0</v>
      </c>
      <c r="I2518" s="16">
        <f>IF((OR(tbal[[#This Row],[X]]=1,tbal[[#This Row],[X]]=2)),tbal[[#This Row],[DEUDOR]],0)</f>
        <v>0</v>
      </c>
      <c r="J2518" s="18">
        <f>IF((OR(tbal[[#This Row],[X]]=2,tbal[[#This Row],[X]]=3)),tbal[[#This Row],[ACREEDOR]],0)</f>
        <v>0</v>
      </c>
      <c r="K2518" s="16">
        <f>IF((OR(tbal[[#This Row],[X]]=3,tbal[[#This Row],[X]]=5)),tbal[[#This Row],[DEUDOR]],0)</f>
        <v>0</v>
      </c>
      <c r="L2518" s="18">
        <f>IF((OR(tbal[[#This Row],[X]]=3,tbal[[#This Row],[X]]=4)),tbal[[#This Row],[ACREEDOR]],0)</f>
        <v>0</v>
      </c>
      <c r="M2518" s="16">
        <f>IF((OR(tbal[[#This Row],[X]]=0,tbal[[#This Row],[X]]=6)),tbal[[#This Row],[DEUDOR]],0)</f>
        <v>0</v>
      </c>
      <c r="N2518" s="18">
        <f>IF((OR(tbal[[#This Row],[X]]=0,tbal[[#This Row],[X]]=5)),tbal[[#This Row],[ACREEDOR]],0)</f>
        <v>0</v>
      </c>
    </row>
    <row r="2519" spans="1:14" hidden="1" x14ac:dyDescent="0.3">
      <c r="A2519" s="14">
        <f>+'PLAN DE CUENTAS'!A2519</f>
        <v>0</v>
      </c>
      <c r="B2519" s="13">
        <f>+'PLAN DE CUENTAS'!B2519</f>
        <v>0</v>
      </c>
      <c r="C2519" s="13">
        <f>+'PLAN DE CUENTAS'!C2519</f>
        <v>0</v>
      </c>
      <c r="D2519" t="str">
        <f>IF(tbal[[#This Row],[DEBE]]+tbal[[#This Row],[HABER]]=0,"","X")</f>
        <v/>
      </c>
      <c r="E2519" s="16">
        <f>SUMIF(tdiario[CUENTA],tbal[[#This Row],[CUENTA]],tdiario[DEBE])</f>
        <v>0</v>
      </c>
      <c r="F2519" s="17">
        <f>SUMIF(tdiario[CUENTA],tbal[[#This Row],[CUENTA]],tdiario[HABER])</f>
        <v>0</v>
      </c>
      <c r="G2519" s="16">
        <f>IF(tbal[[#This Row],[DEBE]]-tbal[[#This Row],[HABER]]&gt;0,tbal[[#This Row],[DEBE]]-tbal[[#This Row],[HABER]],0)</f>
        <v>0</v>
      </c>
      <c r="H2519" s="18">
        <f>IF(tbal[[#This Row],[HABER]]-tbal[[#This Row],[DEBE]]&gt;0,tbal[[#This Row],[HABER]]-tbal[[#This Row],[DEBE]],0)</f>
        <v>0</v>
      </c>
      <c r="I2519" s="16">
        <f>IF((OR(tbal[[#This Row],[X]]=1,tbal[[#This Row],[X]]=2)),tbal[[#This Row],[DEUDOR]],0)</f>
        <v>0</v>
      </c>
      <c r="J2519" s="18">
        <f>IF((OR(tbal[[#This Row],[X]]=2,tbal[[#This Row],[X]]=3)),tbal[[#This Row],[ACREEDOR]],0)</f>
        <v>0</v>
      </c>
      <c r="K2519" s="16">
        <f>IF((OR(tbal[[#This Row],[X]]=3,tbal[[#This Row],[X]]=5)),tbal[[#This Row],[DEUDOR]],0)</f>
        <v>0</v>
      </c>
      <c r="L2519" s="18">
        <f>IF((OR(tbal[[#This Row],[X]]=3,tbal[[#This Row],[X]]=4)),tbal[[#This Row],[ACREEDOR]],0)</f>
        <v>0</v>
      </c>
      <c r="M2519" s="16">
        <f>IF((OR(tbal[[#This Row],[X]]=0,tbal[[#This Row],[X]]=6)),tbal[[#This Row],[DEUDOR]],0)</f>
        <v>0</v>
      </c>
      <c r="N2519" s="18">
        <f>IF((OR(tbal[[#This Row],[X]]=0,tbal[[#This Row],[X]]=5)),tbal[[#This Row],[ACREEDOR]],0)</f>
        <v>0</v>
      </c>
    </row>
    <row r="2520" spans="1:14" hidden="1" x14ac:dyDescent="0.3">
      <c r="A2520" s="14">
        <f>+'PLAN DE CUENTAS'!A2520</f>
        <v>0</v>
      </c>
      <c r="B2520" s="13">
        <f>+'PLAN DE CUENTAS'!B2520</f>
        <v>0</v>
      </c>
      <c r="C2520" s="13">
        <f>+'PLAN DE CUENTAS'!C2520</f>
        <v>0</v>
      </c>
      <c r="D2520" t="str">
        <f>IF(tbal[[#This Row],[DEBE]]+tbal[[#This Row],[HABER]]=0,"","X")</f>
        <v/>
      </c>
      <c r="E2520" s="16">
        <f>SUMIF(tdiario[CUENTA],tbal[[#This Row],[CUENTA]],tdiario[DEBE])</f>
        <v>0</v>
      </c>
      <c r="F2520" s="17">
        <f>SUMIF(tdiario[CUENTA],tbal[[#This Row],[CUENTA]],tdiario[HABER])</f>
        <v>0</v>
      </c>
      <c r="G2520" s="16">
        <f>IF(tbal[[#This Row],[DEBE]]-tbal[[#This Row],[HABER]]&gt;0,tbal[[#This Row],[DEBE]]-tbal[[#This Row],[HABER]],0)</f>
        <v>0</v>
      </c>
      <c r="H2520" s="18">
        <f>IF(tbal[[#This Row],[HABER]]-tbal[[#This Row],[DEBE]]&gt;0,tbal[[#This Row],[HABER]]-tbal[[#This Row],[DEBE]],0)</f>
        <v>0</v>
      </c>
      <c r="I2520" s="16">
        <f>IF((OR(tbal[[#This Row],[X]]=1,tbal[[#This Row],[X]]=2)),tbal[[#This Row],[DEUDOR]],0)</f>
        <v>0</v>
      </c>
      <c r="J2520" s="18">
        <f>IF((OR(tbal[[#This Row],[X]]=2,tbal[[#This Row],[X]]=3)),tbal[[#This Row],[ACREEDOR]],0)</f>
        <v>0</v>
      </c>
      <c r="K2520" s="16">
        <f>IF((OR(tbal[[#This Row],[X]]=3,tbal[[#This Row],[X]]=5)),tbal[[#This Row],[DEUDOR]],0)</f>
        <v>0</v>
      </c>
      <c r="L2520" s="18">
        <f>IF((OR(tbal[[#This Row],[X]]=3,tbal[[#This Row],[X]]=4)),tbal[[#This Row],[ACREEDOR]],0)</f>
        <v>0</v>
      </c>
      <c r="M2520" s="16">
        <f>IF((OR(tbal[[#This Row],[X]]=0,tbal[[#This Row],[X]]=6)),tbal[[#This Row],[DEUDOR]],0)</f>
        <v>0</v>
      </c>
      <c r="N2520" s="18">
        <f>IF((OR(tbal[[#This Row],[X]]=0,tbal[[#This Row],[X]]=5)),tbal[[#This Row],[ACREEDOR]],0)</f>
        <v>0</v>
      </c>
    </row>
    <row r="2521" spans="1:14" hidden="1" x14ac:dyDescent="0.3">
      <c r="A2521" s="14">
        <f>+'PLAN DE CUENTAS'!A2521</f>
        <v>0</v>
      </c>
      <c r="B2521" s="13">
        <f>+'PLAN DE CUENTAS'!B2521</f>
        <v>0</v>
      </c>
      <c r="C2521" s="13">
        <f>+'PLAN DE CUENTAS'!C2521</f>
        <v>0</v>
      </c>
      <c r="D2521" t="str">
        <f>IF(tbal[[#This Row],[DEBE]]+tbal[[#This Row],[HABER]]=0,"","X")</f>
        <v/>
      </c>
      <c r="E2521" s="16">
        <f>SUMIF(tdiario[CUENTA],tbal[[#This Row],[CUENTA]],tdiario[DEBE])</f>
        <v>0</v>
      </c>
      <c r="F2521" s="17">
        <f>SUMIF(tdiario[CUENTA],tbal[[#This Row],[CUENTA]],tdiario[HABER])</f>
        <v>0</v>
      </c>
      <c r="G2521" s="16">
        <f>IF(tbal[[#This Row],[DEBE]]-tbal[[#This Row],[HABER]]&gt;0,tbal[[#This Row],[DEBE]]-tbal[[#This Row],[HABER]],0)</f>
        <v>0</v>
      </c>
      <c r="H2521" s="18">
        <f>IF(tbal[[#This Row],[HABER]]-tbal[[#This Row],[DEBE]]&gt;0,tbal[[#This Row],[HABER]]-tbal[[#This Row],[DEBE]],0)</f>
        <v>0</v>
      </c>
      <c r="I2521" s="16">
        <f>IF((OR(tbal[[#This Row],[X]]=1,tbal[[#This Row],[X]]=2)),tbal[[#This Row],[DEUDOR]],0)</f>
        <v>0</v>
      </c>
      <c r="J2521" s="18">
        <f>IF((OR(tbal[[#This Row],[X]]=2,tbal[[#This Row],[X]]=3)),tbal[[#This Row],[ACREEDOR]],0)</f>
        <v>0</v>
      </c>
      <c r="K2521" s="16">
        <f>IF((OR(tbal[[#This Row],[X]]=3,tbal[[#This Row],[X]]=5)),tbal[[#This Row],[DEUDOR]],0)</f>
        <v>0</v>
      </c>
      <c r="L2521" s="18">
        <f>IF((OR(tbal[[#This Row],[X]]=3,tbal[[#This Row],[X]]=4)),tbal[[#This Row],[ACREEDOR]],0)</f>
        <v>0</v>
      </c>
      <c r="M2521" s="16">
        <f>IF((OR(tbal[[#This Row],[X]]=0,tbal[[#This Row],[X]]=6)),tbal[[#This Row],[DEUDOR]],0)</f>
        <v>0</v>
      </c>
      <c r="N2521" s="18">
        <f>IF((OR(tbal[[#This Row],[X]]=0,tbal[[#This Row],[X]]=5)),tbal[[#This Row],[ACREEDOR]],0)</f>
        <v>0</v>
      </c>
    </row>
    <row r="2522" spans="1:14" hidden="1" x14ac:dyDescent="0.3">
      <c r="A2522" s="14">
        <f>+'PLAN DE CUENTAS'!A2522</f>
        <v>0</v>
      </c>
      <c r="B2522" s="13">
        <f>+'PLAN DE CUENTAS'!B2522</f>
        <v>0</v>
      </c>
      <c r="C2522" s="13">
        <f>+'PLAN DE CUENTAS'!C2522</f>
        <v>0</v>
      </c>
      <c r="D2522" t="str">
        <f>IF(tbal[[#This Row],[DEBE]]+tbal[[#This Row],[HABER]]=0,"","X")</f>
        <v/>
      </c>
      <c r="E2522" s="16">
        <f>SUMIF(tdiario[CUENTA],tbal[[#This Row],[CUENTA]],tdiario[DEBE])</f>
        <v>0</v>
      </c>
      <c r="F2522" s="17">
        <f>SUMIF(tdiario[CUENTA],tbal[[#This Row],[CUENTA]],tdiario[HABER])</f>
        <v>0</v>
      </c>
      <c r="G2522" s="16">
        <f>IF(tbal[[#This Row],[DEBE]]-tbal[[#This Row],[HABER]]&gt;0,tbal[[#This Row],[DEBE]]-tbal[[#This Row],[HABER]],0)</f>
        <v>0</v>
      </c>
      <c r="H2522" s="18">
        <f>IF(tbal[[#This Row],[HABER]]-tbal[[#This Row],[DEBE]]&gt;0,tbal[[#This Row],[HABER]]-tbal[[#This Row],[DEBE]],0)</f>
        <v>0</v>
      </c>
      <c r="I2522" s="16">
        <f>IF((OR(tbal[[#This Row],[X]]=1,tbal[[#This Row],[X]]=2)),tbal[[#This Row],[DEUDOR]],0)</f>
        <v>0</v>
      </c>
      <c r="J2522" s="18">
        <f>IF((OR(tbal[[#This Row],[X]]=2,tbal[[#This Row],[X]]=3)),tbal[[#This Row],[ACREEDOR]],0)</f>
        <v>0</v>
      </c>
      <c r="K2522" s="16">
        <f>IF((OR(tbal[[#This Row],[X]]=3,tbal[[#This Row],[X]]=5)),tbal[[#This Row],[DEUDOR]],0)</f>
        <v>0</v>
      </c>
      <c r="L2522" s="18">
        <f>IF((OR(tbal[[#This Row],[X]]=3,tbal[[#This Row],[X]]=4)),tbal[[#This Row],[ACREEDOR]],0)</f>
        <v>0</v>
      </c>
      <c r="M2522" s="16">
        <f>IF((OR(tbal[[#This Row],[X]]=0,tbal[[#This Row],[X]]=6)),tbal[[#This Row],[DEUDOR]],0)</f>
        <v>0</v>
      </c>
      <c r="N2522" s="18">
        <f>IF((OR(tbal[[#This Row],[X]]=0,tbal[[#This Row],[X]]=5)),tbal[[#This Row],[ACREEDOR]],0)</f>
        <v>0</v>
      </c>
    </row>
    <row r="2523" spans="1:14" hidden="1" x14ac:dyDescent="0.3">
      <c r="A2523" s="14">
        <f>+'PLAN DE CUENTAS'!A2523</f>
        <v>0</v>
      </c>
      <c r="B2523" s="13">
        <f>+'PLAN DE CUENTAS'!B2523</f>
        <v>0</v>
      </c>
      <c r="C2523" s="13">
        <f>+'PLAN DE CUENTAS'!C2523</f>
        <v>0</v>
      </c>
      <c r="D2523" t="str">
        <f>IF(tbal[[#This Row],[DEBE]]+tbal[[#This Row],[HABER]]=0,"","X")</f>
        <v/>
      </c>
      <c r="E2523" s="16">
        <f>SUMIF(tdiario[CUENTA],tbal[[#This Row],[CUENTA]],tdiario[DEBE])</f>
        <v>0</v>
      </c>
      <c r="F2523" s="17">
        <f>SUMIF(tdiario[CUENTA],tbal[[#This Row],[CUENTA]],tdiario[HABER])</f>
        <v>0</v>
      </c>
      <c r="G2523" s="16">
        <f>IF(tbal[[#This Row],[DEBE]]-tbal[[#This Row],[HABER]]&gt;0,tbal[[#This Row],[DEBE]]-tbal[[#This Row],[HABER]],0)</f>
        <v>0</v>
      </c>
      <c r="H2523" s="18">
        <f>IF(tbal[[#This Row],[HABER]]-tbal[[#This Row],[DEBE]]&gt;0,tbal[[#This Row],[HABER]]-tbal[[#This Row],[DEBE]],0)</f>
        <v>0</v>
      </c>
      <c r="I2523" s="16">
        <f>IF((OR(tbal[[#This Row],[X]]=1,tbal[[#This Row],[X]]=2)),tbal[[#This Row],[DEUDOR]],0)</f>
        <v>0</v>
      </c>
      <c r="J2523" s="18">
        <f>IF((OR(tbal[[#This Row],[X]]=2,tbal[[#This Row],[X]]=3)),tbal[[#This Row],[ACREEDOR]],0)</f>
        <v>0</v>
      </c>
      <c r="K2523" s="16">
        <f>IF((OR(tbal[[#This Row],[X]]=3,tbal[[#This Row],[X]]=5)),tbal[[#This Row],[DEUDOR]],0)</f>
        <v>0</v>
      </c>
      <c r="L2523" s="18">
        <f>IF((OR(tbal[[#This Row],[X]]=3,tbal[[#This Row],[X]]=4)),tbal[[#This Row],[ACREEDOR]],0)</f>
        <v>0</v>
      </c>
      <c r="M2523" s="16">
        <f>IF((OR(tbal[[#This Row],[X]]=0,tbal[[#This Row],[X]]=6)),tbal[[#This Row],[DEUDOR]],0)</f>
        <v>0</v>
      </c>
      <c r="N2523" s="18">
        <f>IF((OR(tbal[[#This Row],[X]]=0,tbal[[#This Row],[X]]=5)),tbal[[#This Row],[ACREEDOR]],0)</f>
        <v>0</v>
      </c>
    </row>
    <row r="2524" spans="1:14" hidden="1" x14ac:dyDescent="0.3">
      <c r="A2524" s="14">
        <f>+'PLAN DE CUENTAS'!A2524</f>
        <v>0</v>
      </c>
      <c r="B2524" s="13">
        <f>+'PLAN DE CUENTAS'!B2524</f>
        <v>0</v>
      </c>
      <c r="C2524" s="13">
        <f>+'PLAN DE CUENTAS'!C2524</f>
        <v>0</v>
      </c>
      <c r="D2524" t="str">
        <f>IF(tbal[[#This Row],[DEBE]]+tbal[[#This Row],[HABER]]=0,"","X")</f>
        <v/>
      </c>
      <c r="E2524" s="16">
        <f>SUMIF(tdiario[CUENTA],tbal[[#This Row],[CUENTA]],tdiario[DEBE])</f>
        <v>0</v>
      </c>
      <c r="F2524" s="17">
        <f>SUMIF(tdiario[CUENTA],tbal[[#This Row],[CUENTA]],tdiario[HABER])</f>
        <v>0</v>
      </c>
      <c r="G2524" s="16">
        <f>IF(tbal[[#This Row],[DEBE]]-tbal[[#This Row],[HABER]]&gt;0,tbal[[#This Row],[DEBE]]-tbal[[#This Row],[HABER]],0)</f>
        <v>0</v>
      </c>
      <c r="H2524" s="18">
        <f>IF(tbal[[#This Row],[HABER]]-tbal[[#This Row],[DEBE]]&gt;0,tbal[[#This Row],[HABER]]-tbal[[#This Row],[DEBE]],0)</f>
        <v>0</v>
      </c>
      <c r="I2524" s="16">
        <f>IF((OR(tbal[[#This Row],[X]]=1,tbal[[#This Row],[X]]=2)),tbal[[#This Row],[DEUDOR]],0)</f>
        <v>0</v>
      </c>
      <c r="J2524" s="18">
        <f>IF((OR(tbal[[#This Row],[X]]=2,tbal[[#This Row],[X]]=3)),tbal[[#This Row],[ACREEDOR]],0)</f>
        <v>0</v>
      </c>
      <c r="K2524" s="16">
        <f>IF((OR(tbal[[#This Row],[X]]=3,tbal[[#This Row],[X]]=5)),tbal[[#This Row],[DEUDOR]],0)</f>
        <v>0</v>
      </c>
      <c r="L2524" s="18">
        <f>IF((OR(tbal[[#This Row],[X]]=3,tbal[[#This Row],[X]]=4)),tbal[[#This Row],[ACREEDOR]],0)</f>
        <v>0</v>
      </c>
      <c r="M2524" s="16">
        <f>IF((OR(tbal[[#This Row],[X]]=0,tbal[[#This Row],[X]]=6)),tbal[[#This Row],[DEUDOR]],0)</f>
        <v>0</v>
      </c>
      <c r="N2524" s="18">
        <f>IF((OR(tbal[[#This Row],[X]]=0,tbal[[#This Row],[X]]=5)),tbal[[#This Row],[ACREEDOR]],0)</f>
        <v>0</v>
      </c>
    </row>
    <row r="2525" spans="1:14" hidden="1" x14ac:dyDescent="0.3">
      <c r="A2525" s="14">
        <f>+'PLAN DE CUENTAS'!A2525</f>
        <v>0</v>
      </c>
      <c r="B2525" s="13">
        <f>+'PLAN DE CUENTAS'!B2525</f>
        <v>0</v>
      </c>
      <c r="C2525" s="13">
        <f>+'PLAN DE CUENTAS'!C2525</f>
        <v>0</v>
      </c>
      <c r="D2525" t="str">
        <f>IF(tbal[[#This Row],[DEBE]]+tbal[[#This Row],[HABER]]=0,"","X")</f>
        <v/>
      </c>
      <c r="E2525" s="16">
        <f>SUMIF(tdiario[CUENTA],tbal[[#This Row],[CUENTA]],tdiario[DEBE])</f>
        <v>0</v>
      </c>
      <c r="F2525" s="17">
        <f>SUMIF(tdiario[CUENTA],tbal[[#This Row],[CUENTA]],tdiario[HABER])</f>
        <v>0</v>
      </c>
      <c r="G2525" s="16">
        <f>IF(tbal[[#This Row],[DEBE]]-tbal[[#This Row],[HABER]]&gt;0,tbal[[#This Row],[DEBE]]-tbal[[#This Row],[HABER]],0)</f>
        <v>0</v>
      </c>
      <c r="H2525" s="18">
        <f>IF(tbal[[#This Row],[HABER]]-tbal[[#This Row],[DEBE]]&gt;0,tbal[[#This Row],[HABER]]-tbal[[#This Row],[DEBE]],0)</f>
        <v>0</v>
      </c>
      <c r="I2525" s="16">
        <f>IF((OR(tbal[[#This Row],[X]]=1,tbal[[#This Row],[X]]=2)),tbal[[#This Row],[DEUDOR]],0)</f>
        <v>0</v>
      </c>
      <c r="J2525" s="18">
        <f>IF((OR(tbal[[#This Row],[X]]=2,tbal[[#This Row],[X]]=3)),tbal[[#This Row],[ACREEDOR]],0)</f>
        <v>0</v>
      </c>
      <c r="K2525" s="16">
        <f>IF((OR(tbal[[#This Row],[X]]=3,tbal[[#This Row],[X]]=5)),tbal[[#This Row],[DEUDOR]],0)</f>
        <v>0</v>
      </c>
      <c r="L2525" s="18">
        <f>IF((OR(tbal[[#This Row],[X]]=3,tbal[[#This Row],[X]]=4)),tbal[[#This Row],[ACREEDOR]],0)</f>
        <v>0</v>
      </c>
      <c r="M2525" s="16">
        <f>IF((OR(tbal[[#This Row],[X]]=0,tbal[[#This Row],[X]]=6)),tbal[[#This Row],[DEUDOR]],0)</f>
        <v>0</v>
      </c>
      <c r="N2525" s="18">
        <f>IF((OR(tbal[[#This Row],[X]]=0,tbal[[#This Row],[X]]=5)),tbal[[#This Row],[ACREEDOR]],0)</f>
        <v>0</v>
      </c>
    </row>
    <row r="2526" spans="1:14" hidden="1" x14ac:dyDescent="0.3">
      <c r="A2526" s="14">
        <f>+'PLAN DE CUENTAS'!A2526</f>
        <v>0</v>
      </c>
      <c r="B2526" s="13">
        <f>+'PLAN DE CUENTAS'!B2526</f>
        <v>0</v>
      </c>
      <c r="C2526" s="13">
        <f>+'PLAN DE CUENTAS'!C2526</f>
        <v>0</v>
      </c>
      <c r="D2526" t="str">
        <f>IF(tbal[[#This Row],[DEBE]]+tbal[[#This Row],[HABER]]=0,"","X")</f>
        <v/>
      </c>
      <c r="E2526" s="16">
        <f>SUMIF(tdiario[CUENTA],tbal[[#This Row],[CUENTA]],tdiario[DEBE])</f>
        <v>0</v>
      </c>
      <c r="F2526" s="17">
        <f>SUMIF(tdiario[CUENTA],tbal[[#This Row],[CUENTA]],tdiario[HABER])</f>
        <v>0</v>
      </c>
      <c r="G2526" s="16">
        <f>IF(tbal[[#This Row],[DEBE]]-tbal[[#This Row],[HABER]]&gt;0,tbal[[#This Row],[DEBE]]-tbal[[#This Row],[HABER]],0)</f>
        <v>0</v>
      </c>
      <c r="H2526" s="18">
        <f>IF(tbal[[#This Row],[HABER]]-tbal[[#This Row],[DEBE]]&gt;0,tbal[[#This Row],[HABER]]-tbal[[#This Row],[DEBE]],0)</f>
        <v>0</v>
      </c>
      <c r="I2526" s="16">
        <f>IF((OR(tbal[[#This Row],[X]]=1,tbal[[#This Row],[X]]=2)),tbal[[#This Row],[DEUDOR]],0)</f>
        <v>0</v>
      </c>
      <c r="J2526" s="18">
        <f>IF((OR(tbal[[#This Row],[X]]=2,tbal[[#This Row],[X]]=3)),tbal[[#This Row],[ACREEDOR]],0)</f>
        <v>0</v>
      </c>
      <c r="K2526" s="16">
        <f>IF((OR(tbal[[#This Row],[X]]=3,tbal[[#This Row],[X]]=5)),tbal[[#This Row],[DEUDOR]],0)</f>
        <v>0</v>
      </c>
      <c r="L2526" s="18">
        <f>IF((OR(tbal[[#This Row],[X]]=3,tbal[[#This Row],[X]]=4)),tbal[[#This Row],[ACREEDOR]],0)</f>
        <v>0</v>
      </c>
      <c r="M2526" s="16">
        <f>IF((OR(tbal[[#This Row],[X]]=0,tbal[[#This Row],[X]]=6)),tbal[[#This Row],[DEUDOR]],0)</f>
        <v>0</v>
      </c>
      <c r="N2526" s="18">
        <f>IF((OR(tbal[[#This Row],[X]]=0,tbal[[#This Row],[X]]=5)),tbal[[#This Row],[ACREEDOR]],0)</f>
        <v>0</v>
      </c>
    </row>
    <row r="2527" spans="1:14" hidden="1" x14ac:dyDescent="0.3">
      <c r="A2527" s="14">
        <f>+'PLAN DE CUENTAS'!A2527</f>
        <v>0</v>
      </c>
      <c r="B2527" s="13">
        <f>+'PLAN DE CUENTAS'!B2527</f>
        <v>0</v>
      </c>
      <c r="C2527" s="13">
        <f>+'PLAN DE CUENTAS'!C2527</f>
        <v>0</v>
      </c>
      <c r="D2527" t="str">
        <f>IF(tbal[[#This Row],[DEBE]]+tbal[[#This Row],[HABER]]=0,"","X")</f>
        <v/>
      </c>
      <c r="E2527" s="16">
        <f>SUMIF(tdiario[CUENTA],tbal[[#This Row],[CUENTA]],tdiario[DEBE])</f>
        <v>0</v>
      </c>
      <c r="F2527" s="17">
        <f>SUMIF(tdiario[CUENTA],tbal[[#This Row],[CUENTA]],tdiario[HABER])</f>
        <v>0</v>
      </c>
      <c r="G2527" s="16">
        <f>IF(tbal[[#This Row],[DEBE]]-tbal[[#This Row],[HABER]]&gt;0,tbal[[#This Row],[DEBE]]-tbal[[#This Row],[HABER]],0)</f>
        <v>0</v>
      </c>
      <c r="H2527" s="18">
        <f>IF(tbal[[#This Row],[HABER]]-tbal[[#This Row],[DEBE]]&gt;0,tbal[[#This Row],[HABER]]-tbal[[#This Row],[DEBE]],0)</f>
        <v>0</v>
      </c>
      <c r="I2527" s="16">
        <f>IF((OR(tbal[[#This Row],[X]]=1,tbal[[#This Row],[X]]=2)),tbal[[#This Row],[DEUDOR]],0)</f>
        <v>0</v>
      </c>
      <c r="J2527" s="18">
        <f>IF((OR(tbal[[#This Row],[X]]=2,tbal[[#This Row],[X]]=3)),tbal[[#This Row],[ACREEDOR]],0)</f>
        <v>0</v>
      </c>
      <c r="K2527" s="16">
        <f>IF((OR(tbal[[#This Row],[X]]=3,tbal[[#This Row],[X]]=5)),tbal[[#This Row],[DEUDOR]],0)</f>
        <v>0</v>
      </c>
      <c r="L2527" s="18">
        <f>IF((OR(tbal[[#This Row],[X]]=3,tbal[[#This Row],[X]]=4)),tbal[[#This Row],[ACREEDOR]],0)</f>
        <v>0</v>
      </c>
      <c r="M2527" s="16">
        <f>IF((OR(tbal[[#This Row],[X]]=0,tbal[[#This Row],[X]]=6)),tbal[[#This Row],[DEUDOR]],0)</f>
        <v>0</v>
      </c>
      <c r="N2527" s="18">
        <f>IF((OR(tbal[[#This Row],[X]]=0,tbal[[#This Row],[X]]=5)),tbal[[#This Row],[ACREEDOR]],0)</f>
        <v>0</v>
      </c>
    </row>
    <row r="2528" spans="1:14" hidden="1" x14ac:dyDescent="0.3">
      <c r="A2528" s="14">
        <f>+'PLAN DE CUENTAS'!A2528</f>
        <v>0</v>
      </c>
      <c r="B2528" s="13">
        <f>+'PLAN DE CUENTAS'!B2528</f>
        <v>0</v>
      </c>
      <c r="C2528" s="13">
        <f>+'PLAN DE CUENTAS'!C2528</f>
        <v>0</v>
      </c>
      <c r="D2528" t="str">
        <f>IF(tbal[[#This Row],[DEBE]]+tbal[[#This Row],[HABER]]=0,"","X")</f>
        <v/>
      </c>
      <c r="E2528" s="16">
        <f>SUMIF(tdiario[CUENTA],tbal[[#This Row],[CUENTA]],tdiario[DEBE])</f>
        <v>0</v>
      </c>
      <c r="F2528" s="17">
        <f>SUMIF(tdiario[CUENTA],tbal[[#This Row],[CUENTA]],tdiario[HABER])</f>
        <v>0</v>
      </c>
      <c r="G2528" s="16">
        <f>IF(tbal[[#This Row],[DEBE]]-tbal[[#This Row],[HABER]]&gt;0,tbal[[#This Row],[DEBE]]-tbal[[#This Row],[HABER]],0)</f>
        <v>0</v>
      </c>
      <c r="H2528" s="18">
        <f>IF(tbal[[#This Row],[HABER]]-tbal[[#This Row],[DEBE]]&gt;0,tbal[[#This Row],[HABER]]-tbal[[#This Row],[DEBE]],0)</f>
        <v>0</v>
      </c>
      <c r="I2528" s="16">
        <f>IF((OR(tbal[[#This Row],[X]]=1,tbal[[#This Row],[X]]=2)),tbal[[#This Row],[DEUDOR]],0)</f>
        <v>0</v>
      </c>
      <c r="J2528" s="18">
        <f>IF((OR(tbal[[#This Row],[X]]=2,tbal[[#This Row],[X]]=3)),tbal[[#This Row],[ACREEDOR]],0)</f>
        <v>0</v>
      </c>
      <c r="K2528" s="16">
        <f>IF((OR(tbal[[#This Row],[X]]=3,tbal[[#This Row],[X]]=5)),tbal[[#This Row],[DEUDOR]],0)</f>
        <v>0</v>
      </c>
      <c r="L2528" s="18">
        <f>IF((OR(tbal[[#This Row],[X]]=3,tbal[[#This Row],[X]]=4)),tbal[[#This Row],[ACREEDOR]],0)</f>
        <v>0</v>
      </c>
      <c r="M2528" s="16">
        <f>IF((OR(tbal[[#This Row],[X]]=0,tbal[[#This Row],[X]]=6)),tbal[[#This Row],[DEUDOR]],0)</f>
        <v>0</v>
      </c>
      <c r="N2528" s="18">
        <f>IF((OR(tbal[[#This Row],[X]]=0,tbal[[#This Row],[X]]=5)),tbal[[#This Row],[ACREEDOR]],0)</f>
        <v>0</v>
      </c>
    </row>
    <row r="2529" spans="1:14" hidden="1" x14ac:dyDescent="0.3">
      <c r="A2529" s="14">
        <f>+'PLAN DE CUENTAS'!A2529</f>
        <v>0</v>
      </c>
      <c r="B2529" s="13">
        <f>+'PLAN DE CUENTAS'!B2529</f>
        <v>0</v>
      </c>
      <c r="C2529" s="13">
        <f>+'PLAN DE CUENTAS'!C2529</f>
        <v>0</v>
      </c>
      <c r="D2529" t="str">
        <f>IF(tbal[[#This Row],[DEBE]]+tbal[[#This Row],[HABER]]=0,"","X")</f>
        <v/>
      </c>
      <c r="E2529" s="16">
        <f>SUMIF(tdiario[CUENTA],tbal[[#This Row],[CUENTA]],tdiario[DEBE])</f>
        <v>0</v>
      </c>
      <c r="F2529" s="17">
        <f>SUMIF(tdiario[CUENTA],tbal[[#This Row],[CUENTA]],tdiario[HABER])</f>
        <v>0</v>
      </c>
      <c r="G2529" s="16">
        <f>IF(tbal[[#This Row],[DEBE]]-tbal[[#This Row],[HABER]]&gt;0,tbal[[#This Row],[DEBE]]-tbal[[#This Row],[HABER]],0)</f>
        <v>0</v>
      </c>
      <c r="H2529" s="18">
        <f>IF(tbal[[#This Row],[HABER]]-tbal[[#This Row],[DEBE]]&gt;0,tbal[[#This Row],[HABER]]-tbal[[#This Row],[DEBE]],0)</f>
        <v>0</v>
      </c>
      <c r="I2529" s="16">
        <f>IF((OR(tbal[[#This Row],[X]]=1,tbal[[#This Row],[X]]=2)),tbal[[#This Row],[DEUDOR]],0)</f>
        <v>0</v>
      </c>
      <c r="J2529" s="18">
        <f>IF((OR(tbal[[#This Row],[X]]=2,tbal[[#This Row],[X]]=3)),tbal[[#This Row],[ACREEDOR]],0)</f>
        <v>0</v>
      </c>
      <c r="K2529" s="16">
        <f>IF((OR(tbal[[#This Row],[X]]=3,tbal[[#This Row],[X]]=5)),tbal[[#This Row],[DEUDOR]],0)</f>
        <v>0</v>
      </c>
      <c r="L2529" s="18">
        <f>IF((OR(tbal[[#This Row],[X]]=3,tbal[[#This Row],[X]]=4)),tbal[[#This Row],[ACREEDOR]],0)</f>
        <v>0</v>
      </c>
      <c r="M2529" s="16">
        <f>IF((OR(tbal[[#This Row],[X]]=0,tbal[[#This Row],[X]]=6)),tbal[[#This Row],[DEUDOR]],0)</f>
        <v>0</v>
      </c>
      <c r="N2529" s="18">
        <f>IF((OR(tbal[[#This Row],[X]]=0,tbal[[#This Row],[X]]=5)),tbal[[#This Row],[ACREEDOR]],0)</f>
        <v>0</v>
      </c>
    </row>
    <row r="2530" spans="1:14" hidden="1" x14ac:dyDescent="0.3">
      <c r="A2530" s="14">
        <f>+'PLAN DE CUENTAS'!A2530</f>
        <v>0</v>
      </c>
      <c r="B2530" s="13">
        <f>+'PLAN DE CUENTAS'!B2530</f>
        <v>0</v>
      </c>
      <c r="C2530" s="13">
        <f>+'PLAN DE CUENTAS'!C2530</f>
        <v>0</v>
      </c>
      <c r="D2530" t="str">
        <f>IF(tbal[[#This Row],[DEBE]]+tbal[[#This Row],[HABER]]=0,"","X")</f>
        <v/>
      </c>
      <c r="E2530" s="16">
        <f>SUMIF(tdiario[CUENTA],tbal[[#This Row],[CUENTA]],tdiario[DEBE])</f>
        <v>0</v>
      </c>
      <c r="F2530" s="17">
        <f>SUMIF(tdiario[CUENTA],tbal[[#This Row],[CUENTA]],tdiario[HABER])</f>
        <v>0</v>
      </c>
      <c r="G2530" s="16">
        <f>IF(tbal[[#This Row],[DEBE]]-tbal[[#This Row],[HABER]]&gt;0,tbal[[#This Row],[DEBE]]-tbal[[#This Row],[HABER]],0)</f>
        <v>0</v>
      </c>
      <c r="H2530" s="18">
        <f>IF(tbal[[#This Row],[HABER]]-tbal[[#This Row],[DEBE]]&gt;0,tbal[[#This Row],[HABER]]-tbal[[#This Row],[DEBE]],0)</f>
        <v>0</v>
      </c>
      <c r="I2530" s="16">
        <f>IF((OR(tbal[[#This Row],[X]]=1,tbal[[#This Row],[X]]=2)),tbal[[#This Row],[DEUDOR]],0)</f>
        <v>0</v>
      </c>
      <c r="J2530" s="18">
        <f>IF((OR(tbal[[#This Row],[X]]=2,tbal[[#This Row],[X]]=3)),tbal[[#This Row],[ACREEDOR]],0)</f>
        <v>0</v>
      </c>
      <c r="K2530" s="16">
        <f>IF((OR(tbal[[#This Row],[X]]=3,tbal[[#This Row],[X]]=5)),tbal[[#This Row],[DEUDOR]],0)</f>
        <v>0</v>
      </c>
      <c r="L2530" s="18">
        <f>IF((OR(tbal[[#This Row],[X]]=3,tbal[[#This Row],[X]]=4)),tbal[[#This Row],[ACREEDOR]],0)</f>
        <v>0</v>
      </c>
      <c r="M2530" s="16">
        <f>IF((OR(tbal[[#This Row],[X]]=0,tbal[[#This Row],[X]]=6)),tbal[[#This Row],[DEUDOR]],0)</f>
        <v>0</v>
      </c>
      <c r="N2530" s="18">
        <f>IF((OR(tbal[[#This Row],[X]]=0,tbal[[#This Row],[X]]=5)),tbal[[#This Row],[ACREEDOR]],0)</f>
        <v>0</v>
      </c>
    </row>
    <row r="2531" spans="1:14" hidden="1" x14ac:dyDescent="0.3">
      <c r="A2531" s="14">
        <f>+'PLAN DE CUENTAS'!A2531</f>
        <v>0</v>
      </c>
      <c r="B2531" s="13">
        <f>+'PLAN DE CUENTAS'!B2531</f>
        <v>0</v>
      </c>
      <c r="C2531" s="13">
        <f>+'PLAN DE CUENTAS'!C2531</f>
        <v>0</v>
      </c>
      <c r="D2531" t="str">
        <f>IF(tbal[[#This Row],[DEBE]]+tbal[[#This Row],[HABER]]=0,"","X")</f>
        <v/>
      </c>
      <c r="E2531" s="16">
        <f>SUMIF(tdiario[CUENTA],tbal[[#This Row],[CUENTA]],tdiario[DEBE])</f>
        <v>0</v>
      </c>
      <c r="F2531" s="17">
        <f>SUMIF(tdiario[CUENTA],tbal[[#This Row],[CUENTA]],tdiario[HABER])</f>
        <v>0</v>
      </c>
      <c r="G2531" s="16">
        <f>IF(tbal[[#This Row],[DEBE]]-tbal[[#This Row],[HABER]]&gt;0,tbal[[#This Row],[DEBE]]-tbal[[#This Row],[HABER]],0)</f>
        <v>0</v>
      </c>
      <c r="H2531" s="18">
        <f>IF(tbal[[#This Row],[HABER]]-tbal[[#This Row],[DEBE]]&gt;0,tbal[[#This Row],[HABER]]-tbal[[#This Row],[DEBE]],0)</f>
        <v>0</v>
      </c>
      <c r="I2531" s="16">
        <f>IF((OR(tbal[[#This Row],[X]]=1,tbal[[#This Row],[X]]=2)),tbal[[#This Row],[DEUDOR]],0)</f>
        <v>0</v>
      </c>
      <c r="J2531" s="18">
        <f>IF((OR(tbal[[#This Row],[X]]=2,tbal[[#This Row],[X]]=3)),tbal[[#This Row],[ACREEDOR]],0)</f>
        <v>0</v>
      </c>
      <c r="K2531" s="16">
        <f>IF((OR(tbal[[#This Row],[X]]=3,tbal[[#This Row],[X]]=5)),tbal[[#This Row],[DEUDOR]],0)</f>
        <v>0</v>
      </c>
      <c r="L2531" s="18">
        <f>IF((OR(tbal[[#This Row],[X]]=3,tbal[[#This Row],[X]]=4)),tbal[[#This Row],[ACREEDOR]],0)</f>
        <v>0</v>
      </c>
      <c r="M2531" s="16">
        <f>IF((OR(tbal[[#This Row],[X]]=0,tbal[[#This Row],[X]]=6)),tbal[[#This Row],[DEUDOR]],0)</f>
        <v>0</v>
      </c>
      <c r="N2531" s="18">
        <f>IF((OR(tbal[[#This Row],[X]]=0,tbal[[#This Row],[X]]=5)),tbal[[#This Row],[ACREEDOR]],0)</f>
        <v>0</v>
      </c>
    </row>
    <row r="2532" spans="1:14" hidden="1" x14ac:dyDescent="0.3">
      <c r="A2532" s="14">
        <f>+'PLAN DE CUENTAS'!A2532</f>
        <v>0</v>
      </c>
      <c r="B2532" s="13">
        <f>+'PLAN DE CUENTAS'!B2532</f>
        <v>0</v>
      </c>
      <c r="C2532" s="13">
        <f>+'PLAN DE CUENTAS'!C2532</f>
        <v>0</v>
      </c>
      <c r="D2532" t="str">
        <f>IF(tbal[[#This Row],[DEBE]]+tbal[[#This Row],[HABER]]=0,"","X")</f>
        <v/>
      </c>
      <c r="E2532" s="16">
        <f>SUMIF(tdiario[CUENTA],tbal[[#This Row],[CUENTA]],tdiario[DEBE])</f>
        <v>0</v>
      </c>
      <c r="F2532" s="17">
        <f>SUMIF(tdiario[CUENTA],tbal[[#This Row],[CUENTA]],tdiario[HABER])</f>
        <v>0</v>
      </c>
      <c r="G2532" s="16">
        <f>IF(tbal[[#This Row],[DEBE]]-tbal[[#This Row],[HABER]]&gt;0,tbal[[#This Row],[DEBE]]-tbal[[#This Row],[HABER]],0)</f>
        <v>0</v>
      </c>
      <c r="H2532" s="18">
        <f>IF(tbal[[#This Row],[HABER]]-tbal[[#This Row],[DEBE]]&gt;0,tbal[[#This Row],[HABER]]-tbal[[#This Row],[DEBE]],0)</f>
        <v>0</v>
      </c>
      <c r="I2532" s="16">
        <f>IF((OR(tbal[[#This Row],[X]]=1,tbal[[#This Row],[X]]=2)),tbal[[#This Row],[DEUDOR]],0)</f>
        <v>0</v>
      </c>
      <c r="J2532" s="18">
        <f>IF((OR(tbal[[#This Row],[X]]=2,tbal[[#This Row],[X]]=3)),tbal[[#This Row],[ACREEDOR]],0)</f>
        <v>0</v>
      </c>
      <c r="K2532" s="16">
        <f>IF((OR(tbal[[#This Row],[X]]=3,tbal[[#This Row],[X]]=5)),tbal[[#This Row],[DEUDOR]],0)</f>
        <v>0</v>
      </c>
      <c r="L2532" s="18">
        <f>IF((OR(tbal[[#This Row],[X]]=3,tbal[[#This Row],[X]]=4)),tbal[[#This Row],[ACREEDOR]],0)</f>
        <v>0</v>
      </c>
      <c r="M2532" s="16">
        <f>IF((OR(tbal[[#This Row],[X]]=0,tbal[[#This Row],[X]]=6)),tbal[[#This Row],[DEUDOR]],0)</f>
        <v>0</v>
      </c>
      <c r="N2532" s="18">
        <f>IF((OR(tbal[[#This Row],[X]]=0,tbal[[#This Row],[X]]=5)),tbal[[#This Row],[ACREEDOR]],0)</f>
        <v>0</v>
      </c>
    </row>
    <row r="2533" spans="1:14" hidden="1" x14ac:dyDescent="0.3">
      <c r="A2533" s="14">
        <f>+'PLAN DE CUENTAS'!A2533</f>
        <v>0</v>
      </c>
      <c r="B2533" s="13">
        <f>+'PLAN DE CUENTAS'!B2533</f>
        <v>0</v>
      </c>
      <c r="C2533" s="13">
        <f>+'PLAN DE CUENTAS'!C2533</f>
        <v>0</v>
      </c>
      <c r="D2533" t="str">
        <f>IF(tbal[[#This Row],[DEBE]]+tbal[[#This Row],[HABER]]=0,"","X")</f>
        <v/>
      </c>
      <c r="E2533" s="16">
        <f>SUMIF(tdiario[CUENTA],tbal[[#This Row],[CUENTA]],tdiario[DEBE])</f>
        <v>0</v>
      </c>
      <c r="F2533" s="17">
        <f>SUMIF(tdiario[CUENTA],tbal[[#This Row],[CUENTA]],tdiario[HABER])</f>
        <v>0</v>
      </c>
      <c r="G2533" s="16">
        <f>IF(tbal[[#This Row],[DEBE]]-tbal[[#This Row],[HABER]]&gt;0,tbal[[#This Row],[DEBE]]-tbal[[#This Row],[HABER]],0)</f>
        <v>0</v>
      </c>
      <c r="H2533" s="18">
        <f>IF(tbal[[#This Row],[HABER]]-tbal[[#This Row],[DEBE]]&gt;0,tbal[[#This Row],[HABER]]-tbal[[#This Row],[DEBE]],0)</f>
        <v>0</v>
      </c>
      <c r="I2533" s="16">
        <f>IF((OR(tbal[[#This Row],[X]]=1,tbal[[#This Row],[X]]=2)),tbal[[#This Row],[DEUDOR]],0)</f>
        <v>0</v>
      </c>
      <c r="J2533" s="18">
        <f>IF((OR(tbal[[#This Row],[X]]=2,tbal[[#This Row],[X]]=3)),tbal[[#This Row],[ACREEDOR]],0)</f>
        <v>0</v>
      </c>
      <c r="K2533" s="16">
        <f>IF((OR(tbal[[#This Row],[X]]=3,tbal[[#This Row],[X]]=5)),tbal[[#This Row],[DEUDOR]],0)</f>
        <v>0</v>
      </c>
      <c r="L2533" s="18">
        <f>IF((OR(tbal[[#This Row],[X]]=3,tbal[[#This Row],[X]]=4)),tbal[[#This Row],[ACREEDOR]],0)</f>
        <v>0</v>
      </c>
      <c r="M2533" s="16">
        <f>IF((OR(tbal[[#This Row],[X]]=0,tbal[[#This Row],[X]]=6)),tbal[[#This Row],[DEUDOR]],0)</f>
        <v>0</v>
      </c>
      <c r="N2533" s="18">
        <f>IF((OR(tbal[[#This Row],[X]]=0,tbal[[#This Row],[X]]=5)),tbal[[#This Row],[ACREEDOR]],0)</f>
        <v>0</v>
      </c>
    </row>
    <row r="2534" spans="1:14" hidden="1" x14ac:dyDescent="0.3">
      <c r="A2534" s="14">
        <f>+'PLAN DE CUENTAS'!A2534</f>
        <v>0</v>
      </c>
      <c r="B2534" s="13">
        <f>+'PLAN DE CUENTAS'!B2534</f>
        <v>0</v>
      </c>
      <c r="C2534" s="13">
        <f>+'PLAN DE CUENTAS'!C2534</f>
        <v>0</v>
      </c>
      <c r="D2534" t="str">
        <f>IF(tbal[[#This Row],[DEBE]]+tbal[[#This Row],[HABER]]=0,"","X")</f>
        <v/>
      </c>
      <c r="E2534" s="16">
        <f>SUMIF(tdiario[CUENTA],tbal[[#This Row],[CUENTA]],tdiario[DEBE])</f>
        <v>0</v>
      </c>
      <c r="F2534" s="17">
        <f>SUMIF(tdiario[CUENTA],tbal[[#This Row],[CUENTA]],tdiario[HABER])</f>
        <v>0</v>
      </c>
      <c r="G2534" s="16">
        <f>IF(tbal[[#This Row],[DEBE]]-tbal[[#This Row],[HABER]]&gt;0,tbal[[#This Row],[DEBE]]-tbal[[#This Row],[HABER]],0)</f>
        <v>0</v>
      </c>
      <c r="H2534" s="18">
        <f>IF(tbal[[#This Row],[HABER]]-tbal[[#This Row],[DEBE]]&gt;0,tbal[[#This Row],[HABER]]-tbal[[#This Row],[DEBE]],0)</f>
        <v>0</v>
      </c>
      <c r="I2534" s="16">
        <f>IF((OR(tbal[[#This Row],[X]]=1,tbal[[#This Row],[X]]=2)),tbal[[#This Row],[DEUDOR]],0)</f>
        <v>0</v>
      </c>
      <c r="J2534" s="18">
        <f>IF((OR(tbal[[#This Row],[X]]=2,tbal[[#This Row],[X]]=3)),tbal[[#This Row],[ACREEDOR]],0)</f>
        <v>0</v>
      </c>
      <c r="K2534" s="16">
        <f>IF((OR(tbal[[#This Row],[X]]=3,tbal[[#This Row],[X]]=5)),tbal[[#This Row],[DEUDOR]],0)</f>
        <v>0</v>
      </c>
      <c r="L2534" s="18">
        <f>IF((OR(tbal[[#This Row],[X]]=3,tbal[[#This Row],[X]]=4)),tbal[[#This Row],[ACREEDOR]],0)</f>
        <v>0</v>
      </c>
      <c r="M2534" s="16">
        <f>IF((OR(tbal[[#This Row],[X]]=0,tbal[[#This Row],[X]]=6)),tbal[[#This Row],[DEUDOR]],0)</f>
        <v>0</v>
      </c>
      <c r="N2534" s="18">
        <f>IF((OR(tbal[[#This Row],[X]]=0,tbal[[#This Row],[X]]=5)),tbal[[#This Row],[ACREEDOR]],0)</f>
        <v>0</v>
      </c>
    </row>
    <row r="2535" spans="1:14" hidden="1" x14ac:dyDescent="0.3">
      <c r="A2535" s="14">
        <f>+'PLAN DE CUENTAS'!A2535</f>
        <v>0</v>
      </c>
      <c r="B2535" s="13">
        <f>+'PLAN DE CUENTAS'!B2535</f>
        <v>0</v>
      </c>
      <c r="C2535" s="13">
        <f>+'PLAN DE CUENTAS'!C2535</f>
        <v>0</v>
      </c>
      <c r="D2535" t="str">
        <f>IF(tbal[[#This Row],[DEBE]]+tbal[[#This Row],[HABER]]=0,"","X")</f>
        <v/>
      </c>
      <c r="E2535" s="16">
        <f>SUMIF(tdiario[CUENTA],tbal[[#This Row],[CUENTA]],tdiario[DEBE])</f>
        <v>0</v>
      </c>
      <c r="F2535" s="17">
        <f>SUMIF(tdiario[CUENTA],tbal[[#This Row],[CUENTA]],tdiario[HABER])</f>
        <v>0</v>
      </c>
      <c r="G2535" s="16">
        <f>IF(tbal[[#This Row],[DEBE]]-tbal[[#This Row],[HABER]]&gt;0,tbal[[#This Row],[DEBE]]-tbal[[#This Row],[HABER]],0)</f>
        <v>0</v>
      </c>
      <c r="H2535" s="18">
        <f>IF(tbal[[#This Row],[HABER]]-tbal[[#This Row],[DEBE]]&gt;0,tbal[[#This Row],[HABER]]-tbal[[#This Row],[DEBE]],0)</f>
        <v>0</v>
      </c>
      <c r="I2535" s="16">
        <f>IF((OR(tbal[[#This Row],[X]]=1,tbal[[#This Row],[X]]=2)),tbal[[#This Row],[DEUDOR]],0)</f>
        <v>0</v>
      </c>
      <c r="J2535" s="18">
        <f>IF((OR(tbal[[#This Row],[X]]=2,tbal[[#This Row],[X]]=3)),tbal[[#This Row],[ACREEDOR]],0)</f>
        <v>0</v>
      </c>
      <c r="K2535" s="16">
        <f>IF((OR(tbal[[#This Row],[X]]=3,tbal[[#This Row],[X]]=5)),tbal[[#This Row],[DEUDOR]],0)</f>
        <v>0</v>
      </c>
      <c r="L2535" s="18">
        <f>IF((OR(tbal[[#This Row],[X]]=3,tbal[[#This Row],[X]]=4)),tbal[[#This Row],[ACREEDOR]],0)</f>
        <v>0</v>
      </c>
      <c r="M2535" s="16">
        <f>IF((OR(tbal[[#This Row],[X]]=0,tbal[[#This Row],[X]]=6)),tbal[[#This Row],[DEUDOR]],0)</f>
        <v>0</v>
      </c>
      <c r="N2535" s="18">
        <f>IF((OR(tbal[[#This Row],[X]]=0,tbal[[#This Row],[X]]=5)),tbal[[#This Row],[ACREEDOR]],0)</f>
        <v>0</v>
      </c>
    </row>
    <row r="2536" spans="1:14" hidden="1" x14ac:dyDescent="0.3">
      <c r="A2536" s="14">
        <f>+'PLAN DE CUENTAS'!A2536</f>
        <v>0</v>
      </c>
      <c r="B2536" s="13">
        <f>+'PLAN DE CUENTAS'!B2536</f>
        <v>0</v>
      </c>
      <c r="C2536" s="13">
        <f>+'PLAN DE CUENTAS'!C2536</f>
        <v>0</v>
      </c>
      <c r="D2536" t="str">
        <f>IF(tbal[[#This Row],[DEBE]]+tbal[[#This Row],[HABER]]=0,"","X")</f>
        <v/>
      </c>
      <c r="E2536" s="16">
        <f>SUMIF(tdiario[CUENTA],tbal[[#This Row],[CUENTA]],tdiario[DEBE])</f>
        <v>0</v>
      </c>
      <c r="F2536" s="17">
        <f>SUMIF(tdiario[CUENTA],tbal[[#This Row],[CUENTA]],tdiario[HABER])</f>
        <v>0</v>
      </c>
      <c r="G2536" s="16">
        <f>IF(tbal[[#This Row],[DEBE]]-tbal[[#This Row],[HABER]]&gt;0,tbal[[#This Row],[DEBE]]-tbal[[#This Row],[HABER]],0)</f>
        <v>0</v>
      </c>
      <c r="H2536" s="18">
        <f>IF(tbal[[#This Row],[HABER]]-tbal[[#This Row],[DEBE]]&gt;0,tbal[[#This Row],[HABER]]-tbal[[#This Row],[DEBE]],0)</f>
        <v>0</v>
      </c>
      <c r="I2536" s="16">
        <f>IF((OR(tbal[[#This Row],[X]]=1,tbal[[#This Row],[X]]=2)),tbal[[#This Row],[DEUDOR]],0)</f>
        <v>0</v>
      </c>
      <c r="J2536" s="18">
        <f>IF((OR(tbal[[#This Row],[X]]=2,tbal[[#This Row],[X]]=3)),tbal[[#This Row],[ACREEDOR]],0)</f>
        <v>0</v>
      </c>
      <c r="K2536" s="16">
        <f>IF((OR(tbal[[#This Row],[X]]=3,tbal[[#This Row],[X]]=5)),tbal[[#This Row],[DEUDOR]],0)</f>
        <v>0</v>
      </c>
      <c r="L2536" s="18">
        <f>IF((OR(tbal[[#This Row],[X]]=3,tbal[[#This Row],[X]]=4)),tbal[[#This Row],[ACREEDOR]],0)</f>
        <v>0</v>
      </c>
      <c r="M2536" s="16">
        <f>IF((OR(tbal[[#This Row],[X]]=0,tbal[[#This Row],[X]]=6)),tbal[[#This Row],[DEUDOR]],0)</f>
        <v>0</v>
      </c>
      <c r="N2536" s="18">
        <f>IF((OR(tbal[[#This Row],[X]]=0,tbal[[#This Row],[X]]=5)),tbal[[#This Row],[ACREEDOR]],0)</f>
        <v>0</v>
      </c>
    </row>
    <row r="2537" spans="1:14" hidden="1" x14ac:dyDescent="0.3">
      <c r="A2537" s="14">
        <f>+'PLAN DE CUENTAS'!A2537</f>
        <v>0</v>
      </c>
      <c r="B2537" s="13">
        <f>+'PLAN DE CUENTAS'!B2537</f>
        <v>0</v>
      </c>
      <c r="C2537" s="13">
        <f>+'PLAN DE CUENTAS'!C2537</f>
        <v>0</v>
      </c>
      <c r="D2537" t="str">
        <f>IF(tbal[[#This Row],[DEBE]]+tbal[[#This Row],[HABER]]=0,"","X")</f>
        <v/>
      </c>
      <c r="E2537" s="16">
        <f>SUMIF(tdiario[CUENTA],tbal[[#This Row],[CUENTA]],tdiario[DEBE])</f>
        <v>0</v>
      </c>
      <c r="F2537" s="17">
        <f>SUMIF(tdiario[CUENTA],tbal[[#This Row],[CUENTA]],tdiario[HABER])</f>
        <v>0</v>
      </c>
      <c r="G2537" s="16">
        <f>IF(tbal[[#This Row],[DEBE]]-tbal[[#This Row],[HABER]]&gt;0,tbal[[#This Row],[DEBE]]-tbal[[#This Row],[HABER]],0)</f>
        <v>0</v>
      </c>
      <c r="H2537" s="18">
        <f>IF(tbal[[#This Row],[HABER]]-tbal[[#This Row],[DEBE]]&gt;0,tbal[[#This Row],[HABER]]-tbal[[#This Row],[DEBE]],0)</f>
        <v>0</v>
      </c>
      <c r="I2537" s="16">
        <f>IF((OR(tbal[[#This Row],[X]]=1,tbal[[#This Row],[X]]=2)),tbal[[#This Row],[DEUDOR]],0)</f>
        <v>0</v>
      </c>
      <c r="J2537" s="18">
        <f>IF((OR(tbal[[#This Row],[X]]=2,tbal[[#This Row],[X]]=3)),tbal[[#This Row],[ACREEDOR]],0)</f>
        <v>0</v>
      </c>
      <c r="K2537" s="16">
        <f>IF((OR(tbal[[#This Row],[X]]=3,tbal[[#This Row],[X]]=5)),tbal[[#This Row],[DEUDOR]],0)</f>
        <v>0</v>
      </c>
      <c r="L2537" s="18">
        <f>IF((OR(tbal[[#This Row],[X]]=3,tbal[[#This Row],[X]]=4)),tbal[[#This Row],[ACREEDOR]],0)</f>
        <v>0</v>
      </c>
      <c r="M2537" s="16">
        <f>IF((OR(tbal[[#This Row],[X]]=0,tbal[[#This Row],[X]]=6)),tbal[[#This Row],[DEUDOR]],0)</f>
        <v>0</v>
      </c>
      <c r="N2537" s="18">
        <f>IF((OR(tbal[[#This Row],[X]]=0,tbal[[#This Row],[X]]=5)),tbal[[#This Row],[ACREEDOR]],0)</f>
        <v>0</v>
      </c>
    </row>
    <row r="2538" spans="1:14" hidden="1" x14ac:dyDescent="0.3">
      <c r="A2538" s="14">
        <f>+'PLAN DE CUENTAS'!A2538</f>
        <v>0</v>
      </c>
      <c r="B2538" s="13">
        <f>+'PLAN DE CUENTAS'!B2538</f>
        <v>0</v>
      </c>
      <c r="C2538" s="13">
        <f>+'PLAN DE CUENTAS'!C2538</f>
        <v>0</v>
      </c>
      <c r="D2538" t="str">
        <f>IF(tbal[[#This Row],[DEBE]]+tbal[[#This Row],[HABER]]=0,"","X")</f>
        <v/>
      </c>
      <c r="E2538" s="16">
        <f>SUMIF(tdiario[CUENTA],tbal[[#This Row],[CUENTA]],tdiario[DEBE])</f>
        <v>0</v>
      </c>
      <c r="F2538" s="17">
        <f>SUMIF(tdiario[CUENTA],tbal[[#This Row],[CUENTA]],tdiario[HABER])</f>
        <v>0</v>
      </c>
      <c r="G2538" s="16">
        <f>IF(tbal[[#This Row],[DEBE]]-tbal[[#This Row],[HABER]]&gt;0,tbal[[#This Row],[DEBE]]-tbal[[#This Row],[HABER]],0)</f>
        <v>0</v>
      </c>
      <c r="H2538" s="18">
        <f>IF(tbal[[#This Row],[HABER]]-tbal[[#This Row],[DEBE]]&gt;0,tbal[[#This Row],[HABER]]-tbal[[#This Row],[DEBE]],0)</f>
        <v>0</v>
      </c>
      <c r="I2538" s="16">
        <f>IF((OR(tbal[[#This Row],[X]]=1,tbal[[#This Row],[X]]=2)),tbal[[#This Row],[DEUDOR]],0)</f>
        <v>0</v>
      </c>
      <c r="J2538" s="18">
        <f>IF((OR(tbal[[#This Row],[X]]=2,tbal[[#This Row],[X]]=3)),tbal[[#This Row],[ACREEDOR]],0)</f>
        <v>0</v>
      </c>
      <c r="K2538" s="16">
        <f>IF((OR(tbal[[#This Row],[X]]=3,tbal[[#This Row],[X]]=5)),tbal[[#This Row],[DEUDOR]],0)</f>
        <v>0</v>
      </c>
      <c r="L2538" s="18">
        <f>IF((OR(tbal[[#This Row],[X]]=3,tbal[[#This Row],[X]]=4)),tbal[[#This Row],[ACREEDOR]],0)</f>
        <v>0</v>
      </c>
      <c r="M2538" s="16">
        <f>IF((OR(tbal[[#This Row],[X]]=0,tbal[[#This Row],[X]]=6)),tbal[[#This Row],[DEUDOR]],0)</f>
        <v>0</v>
      </c>
      <c r="N2538" s="18">
        <f>IF((OR(tbal[[#This Row],[X]]=0,tbal[[#This Row],[X]]=5)),tbal[[#This Row],[ACREEDOR]],0)</f>
        <v>0</v>
      </c>
    </row>
    <row r="2539" spans="1:14" hidden="1" x14ac:dyDescent="0.3">
      <c r="A2539" s="14">
        <f>+'PLAN DE CUENTAS'!A2539</f>
        <v>0</v>
      </c>
      <c r="B2539" s="13">
        <f>+'PLAN DE CUENTAS'!B2539</f>
        <v>0</v>
      </c>
      <c r="C2539" s="13">
        <f>+'PLAN DE CUENTAS'!C2539</f>
        <v>0</v>
      </c>
      <c r="D2539" t="str">
        <f>IF(tbal[[#This Row],[DEBE]]+tbal[[#This Row],[HABER]]=0,"","X")</f>
        <v/>
      </c>
      <c r="E2539" s="16">
        <f>SUMIF(tdiario[CUENTA],tbal[[#This Row],[CUENTA]],tdiario[DEBE])</f>
        <v>0</v>
      </c>
      <c r="F2539" s="17">
        <f>SUMIF(tdiario[CUENTA],tbal[[#This Row],[CUENTA]],tdiario[HABER])</f>
        <v>0</v>
      </c>
      <c r="G2539" s="16">
        <f>IF(tbal[[#This Row],[DEBE]]-tbal[[#This Row],[HABER]]&gt;0,tbal[[#This Row],[DEBE]]-tbal[[#This Row],[HABER]],0)</f>
        <v>0</v>
      </c>
      <c r="H2539" s="18">
        <f>IF(tbal[[#This Row],[HABER]]-tbal[[#This Row],[DEBE]]&gt;0,tbal[[#This Row],[HABER]]-tbal[[#This Row],[DEBE]],0)</f>
        <v>0</v>
      </c>
      <c r="I2539" s="16">
        <f>IF((OR(tbal[[#This Row],[X]]=1,tbal[[#This Row],[X]]=2)),tbal[[#This Row],[DEUDOR]],0)</f>
        <v>0</v>
      </c>
      <c r="J2539" s="18">
        <f>IF((OR(tbal[[#This Row],[X]]=2,tbal[[#This Row],[X]]=3)),tbal[[#This Row],[ACREEDOR]],0)</f>
        <v>0</v>
      </c>
      <c r="K2539" s="16">
        <f>IF((OR(tbal[[#This Row],[X]]=3,tbal[[#This Row],[X]]=5)),tbal[[#This Row],[DEUDOR]],0)</f>
        <v>0</v>
      </c>
      <c r="L2539" s="18">
        <f>IF((OR(tbal[[#This Row],[X]]=3,tbal[[#This Row],[X]]=4)),tbal[[#This Row],[ACREEDOR]],0)</f>
        <v>0</v>
      </c>
      <c r="M2539" s="16">
        <f>IF((OR(tbal[[#This Row],[X]]=0,tbal[[#This Row],[X]]=6)),tbal[[#This Row],[DEUDOR]],0)</f>
        <v>0</v>
      </c>
      <c r="N2539" s="18">
        <f>IF((OR(tbal[[#This Row],[X]]=0,tbal[[#This Row],[X]]=5)),tbal[[#This Row],[ACREEDOR]],0)</f>
        <v>0</v>
      </c>
    </row>
    <row r="2540" spans="1:14" hidden="1" x14ac:dyDescent="0.3">
      <c r="A2540" s="14">
        <f>+'PLAN DE CUENTAS'!A2540</f>
        <v>0</v>
      </c>
      <c r="B2540" s="13">
        <f>+'PLAN DE CUENTAS'!B2540</f>
        <v>0</v>
      </c>
      <c r="C2540" s="13">
        <f>+'PLAN DE CUENTAS'!C2540</f>
        <v>0</v>
      </c>
      <c r="D2540" t="str">
        <f>IF(tbal[[#This Row],[DEBE]]+tbal[[#This Row],[HABER]]=0,"","X")</f>
        <v/>
      </c>
      <c r="E2540" s="16">
        <f>SUMIF(tdiario[CUENTA],tbal[[#This Row],[CUENTA]],tdiario[DEBE])</f>
        <v>0</v>
      </c>
      <c r="F2540" s="17">
        <f>SUMIF(tdiario[CUENTA],tbal[[#This Row],[CUENTA]],tdiario[HABER])</f>
        <v>0</v>
      </c>
      <c r="G2540" s="16">
        <f>IF(tbal[[#This Row],[DEBE]]-tbal[[#This Row],[HABER]]&gt;0,tbal[[#This Row],[DEBE]]-tbal[[#This Row],[HABER]],0)</f>
        <v>0</v>
      </c>
      <c r="H2540" s="18">
        <f>IF(tbal[[#This Row],[HABER]]-tbal[[#This Row],[DEBE]]&gt;0,tbal[[#This Row],[HABER]]-tbal[[#This Row],[DEBE]],0)</f>
        <v>0</v>
      </c>
      <c r="I2540" s="16">
        <f>IF((OR(tbal[[#This Row],[X]]=1,tbal[[#This Row],[X]]=2)),tbal[[#This Row],[DEUDOR]],0)</f>
        <v>0</v>
      </c>
      <c r="J2540" s="18">
        <f>IF((OR(tbal[[#This Row],[X]]=2,tbal[[#This Row],[X]]=3)),tbal[[#This Row],[ACREEDOR]],0)</f>
        <v>0</v>
      </c>
      <c r="K2540" s="16">
        <f>IF((OR(tbal[[#This Row],[X]]=3,tbal[[#This Row],[X]]=5)),tbal[[#This Row],[DEUDOR]],0)</f>
        <v>0</v>
      </c>
      <c r="L2540" s="18">
        <f>IF((OR(tbal[[#This Row],[X]]=3,tbal[[#This Row],[X]]=4)),tbal[[#This Row],[ACREEDOR]],0)</f>
        <v>0</v>
      </c>
      <c r="M2540" s="16">
        <f>IF((OR(tbal[[#This Row],[X]]=0,tbal[[#This Row],[X]]=6)),tbal[[#This Row],[DEUDOR]],0)</f>
        <v>0</v>
      </c>
      <c r="N2540" s="18">
        <f>IF((OR(tbal[[#This Row],[X]]=0,tbal[[#This Row],[X]]=5)),tbal[[#This Row],[ACREEDOR]],0)</f>
        <v>0</v>
      </c>
    </row>
    <row r="2541" spans="1:14" hidden="1" x14ac:dyDescent="0.3">
      <c r="A2541" s="14">
        <f>+'PLAN DE CUENTAS'!A2541</f>
        <v>0</v>
      </c>
      <c r="B2541" s="13">
        <f>+'PLAN DE CUENTAS'!B2541</f>
        <v>0</v>
      </c>
      <c r="C2541" s="13">
        <f>+'PLAN DE CUENTAS'!C2541</f>
        <v>0</v>
      </c>
      <c r="D2541" t="str">
        <f>IF(tbal[[#This Row],[DEBE]]+tbal[[#This Row],[HABER]]=0,"","X")</f>
        <v/>
      </c>
      <c r="E2541" s="16">
        <f>SUMIF(tdiario[CUENTA],tbal[[#This Row],[CUENTA]],tdiario[DEBE])</f>
        <v>0</v>
      </c>
      <c r="F2541" s="17">
        <f>SUMIF(tdiario[CUENTA],tbal[[#This Row],[CUENTA]],tdiario[HABER])</f>
        <v>0</v>
      </c>
      <c r="G2541" s="16">
        <f>IF(tbal[[#This Row],[DEBE]]-tbal[[#This Row],[HABER]]&gt;0,tbal[[#This Row],[DEBE]]-tbal[[#This Row],[HABER]],0)</f>
        <v>0</v>
      </c>
      <c r="H2541" s="18">
        <f>IF(tbal[[#This Row],[HABER]]-tbal[[#This Row],[DEBE]]&gt;0,tbal[[#This Row],[HABER]]-tbal[[#This Row],[DEBE]],0)</f>
        <v>0</v>
      </c>
      <c r="I2541" s="16">
        <f>IF((OR(tbal[[#This Row],[X]]=1,tbal[[#This Row],[X]]=2)),tbal[[#This Row],[DEUDOR]],0)</f>
        <v>0</v>
      </c>
      <c r="J2541" s="18">
        <f>IF((OR(tbal[[#This Row],[X]]=2,tbal[[#This Row],[X]]=3)),tbal[[#This Row],[ACREEDOR]],0)</f>
        <v>0</v>
      </c>
      <c r="K2541" s="16">
        <f>IF((OR(tbal[[#This Row],[X]]=3,tbal[[#This Row],[X]]=5)),tbal[[#This Row],[DEUDOR]],0)</f>
        <v>0</v>
      </c>
      <c r="L2541" s="18">
        <f>IF((OR(tbal[[#This Row],[X]]=3,tbal[[#This Row],[X]]=4)),tbal[[#This Row],[ACREEDOR]],0)</f>
        <v>0</v>
      </c>
      <c r="M2541" s="16">
        <f>IF((OR(tbal[[#This Row],[X]]=0,tbal[[#This Row],[X]]=6)),tbal[[#This Row],[DEUDOR]],0)</f>
        <v>0</v>
      </c>
      <c r="N2541" s="18">
        <f>IF((OR(tbal[[#This Row],[X]]=0,tbal[[#This Row],[X]]=5)),tbal[[#This Row],[ACREEDOR]],0)</f>
        <v>0</v>
      </c>
    </row>
    <row r="2542" spans="1:14" hidden="1" x14ac:dyDescent="0.3">
      <c r="A2542" s="14">
        <f>+'PLAN DE CUENTAS'!A2542</f>
        <v>0</v>
      </c>
      <c r="B2542" s="13">
        <f>+'PLAN DE CUENTAS'!B2542</f>
        <v>0</v>
      </c>
      <c r="C2542" s="13">
        <f>+'PLAN DE CUENTAS'!C2542</f>
        <v>0</v>
      </c>
      <c r="D2542" t="str">
        <f>IF(tbal[[#This Row],[DEBE]]+tbal[[#This Row],[HABER]]=0,"","X")</f>
        <v/>
      </c>
      <c r="E2542" s="16">
        <f>SUMIF(tdiario[CUENTA],tbal[[#This Row],[CUENTA]],tdiario[DEBE])</f>
        <v>0</v>
      </c>
      <c r="F2542" s="17">
        <f>SUMIF(tdiario[CUENTA],tbal[[#This Row],[CUENTA]],tdiario[HABER])</f>
        <v>0</v>
      </c>
      <c r="G2542" s="16">
        <f>IF(tbal[[#This Row],[DEBE]]-tbal[[#This Row],[HABER]]&gt;0,tbal[[#This Row],[DEBE]]-tbal[[#This Row],[HABER]],0)</f>
        <v>0</v>
      </c>
      <c r="H2542" s="18">
        <f>IF(tbal[[#This Row],[HABER]]-tbal[[#This Row],[DEBE]]&gt;0,tbal[[#This Row],[HABER]]-tbal[[#This Row],[DEBE]],0)</f>
        <v>0</v>
      </c>
      <c r="I2542" s="16">
        <f>IF((OR(tbal[[#This Row],[X]]=1,tbal[[#This Row],[X]]=2)),tbal[[#This Row],[DEUDOR]],0)</f>
        <v>0</v>
      </c>
      <c r="J2542" s="18">
        <f>IF((OR(tbal[[#This Row],[X]]=2,tbal[[#This Row],[X]]=3)),tbal[[#This Row],[ACREEDOR]],0)</f>
        <v>0</v>
      </c>
      <c r="K2542" s="16">
        <f>IF((OR(tbal[[#This Row],[X]]=3,tbal[[#This Row],[X]]=5)),tbal[[#This Row],[DEUDOR]],0)</f>
        <v>0</v>
      </c>
      <c r="L2542" s="18">
        <f>IF((OR(tbal[[#This Row],[X]]=3,tbal[[#This Row],[X]]=4)),tbal[[#This Row],[ACREEDOR]],0)</f>
        <v>0</v>
      </c>
      <c r="M2542" s="16">
        <f>IF((OR(tbal[[#This Row],[X]]=0,tbal[[#This Row],[X]]=6)),tbal[[#This Row],[DEUDOR]],0)</f>
        <v>0</v>
      </c>
      <c r="N2542" s="18">
        <f>IF((OR(tbal[[#This Row],[X]]=0,tbal[[#This Row],[X]]=5)),tbal[[#This Row],[ACREEDOR]],0)</f>
        <v>0</v>
      </c>
    </row>
    <row r="2543" spans="1:14" hidden="1" x14ac:dyDescent="0.3">
      <c r="A2543" s="14">
        <f>+'PLAN DE CUENTAS'!A2543</f>
        <v>0</v>
      </c>
      <c r="B2543" s="13">
        <f>+'PLAN DE CUENTAS'!B2543</f>
        <v>0</v>
      </c>
      <c r="C2543" s="13">
        <f>+'PLAN DE CUENTAS'!C2543</f>
        <v>0</v>
      </c>
      <c r="D2543" t="str">
        <f>IF(tbal[[#This Row],[DEBE]]+tbal[[#This Row],[HABER]]=0,"","X")</f>
        <v/>
      </c>
      <c r="E2543" s="16">
        <f>SUMIF(tdiario[CUENTA],tbal[[#This Row],[CUENTA]],tdiario[DEBE])</f>
        <v>0</v>
      </c>
      <c r="F2543" s="17">
        <f>SUMIF(tdiario[CUENTA],tbal[[#This Row],[CUENTA]],tdiario[HABER])</f>
        <v>0</v>
      </c>
      <c r="G2543" s="16">
        <f>IF(tbal[[#This Row],[DEBE]]-tbal[[#This Row],[HABER]]&gt;0,tbal[[#This Row],[DEBE]]-tbal[[#This Row],[HABER]],0)</f>
        <v>0</v>
      </c>
      <c r="H2543" s="18">
        <f>IF(tbal[[#This Row],[HABER]]-tbal[[#This Row],[DEBE]]&gt;0,tbal[[#This Row],[HABER]]-tbal[[#This Row],[DEBE]],0)</f>
        <v>0</v>
      </c>
      <c r="I2543" s="16">
        <f>IF((OR(tbal[[#This Row],[X]]=1,tbal[[#This Row],[X]]=2)),tbal[[#This Row],[DEUDOR]],0)</f>
        <v>0</v>
      </c>
      <c r="J2543" s="18">
        <f>IF((OR(tbal[[#This Row],[X]]=2,tbal[[#This Row],[X]]=3)),tbal[[#This Row],[ACREEDOR]],0)</f>
        <v>0</v>
      </c>
      <c r="K2543" s="16">
        <f>IF((OR(tbal[[#This Row],[X]]=3,tbal[[#This Row],[X]]=5)),tbal[[#This Row],[DEUDOR]],0)</f>
        <v>0</v>
      </c>
      <c r="L2543" s="18">
        <f>IF((OR(tbal[[#This Row],[X]]=3,tbal[[#This Row],[X]]=4)),tbal[[#This Row],[ACREEDOR]],0)</f>
        <v>0</v>
      </c>
      <c r="M2543" s="16">
        <f>IF((OR(tbal[[#This Row],[X]]=0,tbal[[#This Row],[X]]=6)),tbal[[#This Row],[DEUDOR]],0)</f>
        <v>0</v>
      </c>
      <c r="N2543" s="18">
        <f>IF((OR(tbal[[#This Row],[X]]=0,tbal[[#This Row],[X]]=5)),tbal[[#This Row],[ACREEDOR]],0)</f>
        <v>0</v>
      </c>
    </row>
    <row r="2544" spans="1:14" hidden="1" x14ac:dyDescent="0.3">
      <c r="A2544" s="14">
        <f>+'PLAN DE CUENTAS'!A2544</f>
        <v>0</v>
      </c>
      <c r="B2544" s="13">
        <f>+'PLAN DE CUENTAS'!B2544</f>
        <v>0</v>
      </c>
      <c r="C2544" s="13">
        <f>+'PLAN DE CUENTAS'!C2544</f>
        <v>0</v>
      </c>
      <c r="D2544" t="str">
        <f>IF(tbal[[#This Row],[DEBE]]+tbal[[#This Row],[HABER]]=0,"","X")</f>
        <v/>
      </c>
      <c r="E2544" s="16">
        <f>SUMIF(tdiario[CUENTA],tbal[[#This Row],[CUENTA]],tdiario[DEBE])</f>
        <v>0</v>
      </c>
      <c r="F2544" s="17">
        <f>SUMIF(tdiario[CUENTA],tbal[[#This Row],[CUENTA]],tdiario[HABER])</f>
        <v>0</v>
      </c>
      <c r="G2544" s="16">
        <f>IF(tbal[[#This Row],[DEBE]]-tbal[[#This Row],[HABER]]&gt;0,tbal[[#This Row],[DEBE]]-tbal[[#This Row],[HABER]],0)</f>
        <v>0</v>
      </c>
      <c r="H2544" s="18">
        <f>IF(tbal[[#This Row],[HABER]]-tbal[[#This Row],[DEBE]]&gt;0,tbal[[#This Row],[HABER]]-tbal[[#This Row],[DEBE]],0)</f>
        <v>0</v>
      </c>
      <c r="I2544" s="16">
        <f>IF((OR(tbal[[#This Row],[X]]=1,tbal[[#This Row],[X]]=2)),tbal[[#This Row],[DEUDOR]],0)</f>
        <v>0</v>
      </c>
      <c r="J2544" s="18">
        <f>IF((OR(tbal[[#This Row],[X]]=2,tbal[[#This Row],[X]]=3)),tbal[[#This Row],[ACREEDOR]],0)</f>
        <v>0</v>
      </c>
      <c r="K2544" s="16">
        <f>IF((OR(tbal[[#This Row],[X]]=3,tbal[[#This Row],[X]]=5)),tbal[[#This Row],[DEUDOR]],0)</f>
        <v>0</v>
      </c>
      <c r="L2544" s="18">
        <f>IF((OR(tbal[[#This Row],[X]]=3,tbal[[#This Row],[X]]=4)),tbal[[#This Row],[ACREEDOR]],0)</f>
        <v>0</v>
      </c>
      <c r="M2544" s="16">
        <f>IF((OR(tbal[[#This Row],[X]]=0,tbal[[#This Row],[X]]=6)),tbal[[#This Row],[DEUDOR]],0)</f>
        <v>0</v>
      </c>
      <c r="N2544" s="18">
        <f>IF((OR(tbal[[#This Row],[X]]=0,tbal[[#This Row],[X]]=5)),tbal[[#This Row],[ACREEDOR]],0)</f>
        <v>0</v>
      </c>
    </row>
    <row r="2545" spans="1:14" hidden="1" x14ac:dyDescent="0.3">
      <c r="A2545" s="14">
        <f>+'PLAN DE CUENTAS'!A2545</f>
        <v>0</v>
      </c>
      <c r="B2545" s="13">
        <f>+'PLAN DE CUENTAS'!B2545</f>
        <v>0</v>
      </c>
      <c r="C2545" s="13">
        <f>+'PLAN DE CUENTAS'!C2545</f>
        <v>0</v>
      </c>
      <c r="D2545" t="str">
        <f>IF(tbal[[#This Row],[DEBE]]+tbal[[#This Row],[HABER]]=0,"","X")</f>
        <v/>
      </c>
      <c r="E2545" s="16">
        <f>SUMIF(tdiario[CUENTA],tbal[[#This Row],[CUENTA]],tdiario[DEBE])</f>
        <v>0</v>
      </c>
      <c r="F2545" s="17">
        <f>SUMIF(tdiario[CUENTA],tbal[[#This Row],[CUENTA]],tdiario[HABER])</f>
        <v>0</v>
      </c>
      <c r="G2545" s="16">
        <f>IF(tbal[[#This Row],[DEBE]]-tbal[[#This Row],[HABER]]&gt;0,tbal[[#This Row],[DEBE]]-tbal[[#This Row],[HABER]],0)</f>
        <v>0</v>
      </c>
      <c r="H2545" s="18">
        <f>IF(tbal[[#This Row],[HABER]]-tbal[[#This Row],[DEBE]]&gt;0,tbal[[#This Row],[HABER]]-tbal[[#This Row],[DEBE]],0)</f>
        <v>0</v>
      </c>
      <c r="I2545" s="16">
        <f>IF((OR(tbal[[#This Row],[X]]=1,tbal[[#This Row],[X]]=2)),tbal[[#This Row],[DEUDOR]],0)</f>
        <v>0</v>
      </c>
      <c r="J2545" s="18">
        <f>IF((OR(tbal[[#This Row],[X]]=2,tbal[[#This Row],[X]]=3)),tbal[[#This Row],[ACREEDOR]],0)</f>
        <v>0</v>
      </c>
      <c r="K2545" s="16">
        <f>IF((OR(tbal[[#This Row],[X]]=3,tbal[[#This Row],[X]]=5)),tbal[[#This Row],[DEUDOR]],0)</f>
        <v>0</v>
      </c>
      <c r="L2545" s="18">
        <f>IF((OR(tbal[[#This Row],[X]]=3,tbal[[#This Row],[X]]=4)),tbal[[#This Row],[ACREEDOR]],0)</f>
        <v>0</v>
      </c>
      <c r="M2545" s="16">
        <f>IF((OR(tbal[[#This Row],[X]]=0,tbal[[#This Row],[X]]=6)),tbal[[#This Row],[DEUDOR]],0)</f>
        <v>0</v>
      </c>
      <c r="N2545" s="18">
        <f>IF((OR(tbal[[#This Row],[X]]=0,tbal[[#This Row],[X]]=5)),tbal[[#This Row],[ACREEDOR]],0)</f>
        <v>0</v>
      </c>
    </row>
    <row r="2546" spans="1:14" hidden="1" x14ac:dyDescent="0.3">
      <c r="A2546" s="14">
        <f>+'PLAN DE CUENTAS'!A2546</f>
        <v>0</v>
      </c>
      <c r="B2546" s="13">
        <f>+'PLAN DE CUENTAS'!B2546</f>
        <v>0</v>
      </c>
      <c r="C2546" s="13">
        <f>+'PLAN DE CUENTAS'!C2546</f>
        <v>0</v>
      </c>
      <c r="D2546" t="str">
        <f>IF(tbal[[#This Row],[DEBE]]+tbal[[#This Row],[HABER]]=0,"","X")</f>
        <v/>
      </c>
      <c r="E2546" s="16">
        <f>SUMIF(tdiario[CUENTA],tbal[[#This Row],[CUENTA]],tdiario[DEBE])</f>
        <v>0</v>
      </c>
      <c r="F2546" s="17">
        <f>SUMIF(tdiario[CUENTA],tbal[[#This Row],[CUENTA]],tdiario[HABER])</f>
        <v>0</v>
      </c>
      <c r="G2546" s="16">
        <f>IF(tbal[[#This Row],[DEBE]]-tbal[[#This Row],[HABER]]&gt;0,tbal[[#This Row],[DEBE]]-tbal[[#This Row],[HABER]],0)</f>
        <v>0</v>
      </c>
      <c r="H2546" s="18">
        <f>IF(tbal[[#This Row],[HABER]]-tbal[[#This Row],[DEBE]]&gt;0,tbal[[#This Row],[HABER]]-tbal[[#This Row],[DEBE]],0)</f>
        <v>0</v>
      </c>
      <c r="I2546" s="16">
        <f>IF((OR(tbal[[#This Row],[X]]=1,tbal[[#This Row],[X]]=2)),tbal[[#This Row],[DEUDOR]],0)</f>
        <v>0</v>
      </c>
      <c r="J2546" s="18">
        <f>IF((OR(tbal[[#This Row],[X]]=2,tbal[[#This Row],[X]]=3)),tbal[[#This Row],[ACREEDOR]],0)</f>
        <v>0</v>
      </c>
      <c r="K2546" s="16">
        <f>IF((OR(tbal[[#This Row],[X]]=3,tbal[[#This Row],[X]]=5)),tbal[[#This Row],[DEUDOR]],0)</f>
        <v>0</v>
      </c>
      <c r="L2546" s="18">
        <f>IF((OR(tbal[[#This Row],[X]]=3,tbal[[#This Row],[X]]=4)),tbal[[#This Row],[ACREEDOR]],0)</f>
        <v>0</v>
      </c>
      <c r="M2546" s="16">
        <f>IF((OR(tbal[[#This Row],[X]]=0,tbal[[#This Row],[X]]=6)),tbal[[#This Row],[DEUDOR]],0)</f>
        <v>0</v>
      </c>
      <c r="N2546" s="18">
        <f>IF((OR(tbal[[#This Row],[X]]=0,tbal[[#This Row],[X]]=5)),tbal[[#This Row],[ACREEDOR]],0)</f>
        <v>0</v>
      </c>
    </row>
    <row r="2547" spans="1:14" hidden="1" x14ac:dyDescent="0.3">
      <c r="A2547" s="14">
        <f>+'PLAN DE CUENTAS'!A2547</f>
        <v>0</v>
      </c>
      <c r="B2547" s="13">
        <f>+'PLAN DE CUENTAS'!B2547</f>
        <v>0</v>
      </c>
      <c r="C2547" s="13">
        <f>+'PLAN DE CUENTAS'!C2547</f>
        <v>0</v>
      </c>
      <c r="D2547" t="str">
        <f>IF(tbal[[#This Row],[DEBE]]+tbal[[#This Row],[HABER]]=0,"","X")</f>
        <v/>
      </c>
      <c r="E2547" s="16">
        <f>SUMIF(tdiario[CUENTA],tbal[[#This Row],[CUENTA]],tdiario[DEBE])</f>
        <v>0</v>
      </c>
      <c r="F2547" s="17">
        <f>SUMIF(tdiario[CUENTA],tbal[[#This Row],[CUENTA]],tdiario[HABER])</f>
        <v>0</v>
      </c>
      <c r="G2547" s="16">
        <f>IF(tbal[[#This Row],[DEBE]]-tbal[[#This Row],[HABER]]&gt;0,tbal[[#This Row],[DEBE]]-tbal[[#This Row],[HABER]],0)</f>
        <v>0</v>
      </c>
      <c r="H2547" s="18">
        <f>IF(tbal[[#This Row],[HABER]]-tbal[[#This Row],[DEBE]]&gt;0,tbal[[#This Row],[HABER]]-tbal[[#This Row],[DEBE]],0)</f>
        <v>0</v>
      </c>
      <c r="I2547" s="16">
        <f>IF((OR(tbal[[#This Row],[X]]=1,tbal[[#This Row],[X]]=2)),tbal[[#This Row],[DEUDOR]],0)</f>
        <v>0</v>
      </c>
      <c r="J2547" s="18">
        <f>IF((OR(tbal[[#This Row],[X]]=2,tbal[[#This Row],[X]]=3)),tbal[[#This Row],[ACREEDOR]],0)</f>
        <v>0</v>
      </c>
      <c r="K2547" s="16">
        <f>IF((OR(tbal[[#This Row],[X]]=3,tbal[[#This Row],[X]]=5)),tbal[[#This Row],[DEUDOR]],0)</f>
        <v>0</v>
      </c>
      <c r="L2547" s="18">
        <f>IF((OR(tbal[[#This Row],[X]]=3,tbal[[#This Row],[X]]=4)),tbal[[#This Row],[ACREEDOR]],0)</f>
        <v>0</v>
      </c>
      <c r="M2547" s="16">
        <f>IF((OR(tbal[[#This Row],[X]]=0,tbal[[#This Row],[X]]=6)),tbal[[#This Row],[DEUDOR]],0)</f>
        <v>0</v>
      </c>
      <c r="N2547" s="18">
        <f>IF((OR(tbal[[#This Row],[X]]=0,tbal[[#This Row],[X]]=5)),tbal[[#This Row],[ACREEDOR]],0)</f>
        <v>0</v>
      </c>
    </row>
    <row r="2548" spans="1:14" hidden="1" x14ac:dyDescent="0.3">
      <c r="A2548" s="14">
        <f>+'PLAN DE CUENTAS'!A2548</f>
        <v>0</v>
      </c>
      <c r="B2548" s="13">
        <f>+'PLAN DE CUENTAS'!B2548</f>
        <v>0</v>
      </c>
      <c r="C2548" s="13">
        <f>+'PLAN DE CUENTAS'!C2548</f>
        <v>0</v>
      </c>
      <c r="D2548" t="str">
        <f>IF(tbal[[#This Row],[DEBE]]+tbal[[#This Row],[HABER]]=0,"","X")</f>
        <v/>
      </c>
      <c r="E2548" s="16">
        <f>SUMIF(tdiario[CUENTA],tbal[[#This Row],[CUENTA]],tdiario[DEBE])</f>
        <v>0</v>
      </c>
      <c r="F2548" s="17">
        <f>SUMIF(tdiario[CUENTA],tbal[[#This Row],[CUENTA]],tdiario[HABER])</f>
        <v>0</v>
      </c>
      <c r="G2548" s="16">
        <f>IF(tbal[[#This Row],[DEBE]]-tbal[[#This Row],[HABER]]&gt;0,tbal[[#This Row],[DEBE]]-tbal[[#This Row],[HABER]],0)</f>
        <v>0</v>
      </c>
      <c r="H2548" s="18">
        <f>IF(tbal[[#This Row],[HABER]]-tbal[[#This Row],[DEBE]]&gt;0,tbal[[#This Row],[HABER]]-tbal[[#This Row],[DEBE]],0)</f>
        <v>0</v>
      </c>
      <c r="I2548" s="16">
        <f>IF((OR(tbal[[#This Row],[X]]=1,tbal[[#This Row],[X]]=2)),tbal[[#This Row],[DEUDOR]],0)</f>
        <v>0</v>
      </c>
      <c r="J2548" s="18">
        <f>IF((OR(tbal[[#This Row],[X]]=2,tbal[[#This Row],[X]]=3)),tbal[[#This Row],[ACREEDOR]],0)</f>
        <v>0</v>
      </c>
      <c r="K2548" s="16">
        <f>IF((OR(tbal[[#This Row],[X]]=3,tbal[[#This Row],[X]]=5)),tbal[[#This Row],[DEUDOR]],0)</f>
        <v>0</v>
      </c>
      <c r="L2548" s="18">
        <f>IF((OR(tbal[[#This Row],[X]]=3,tbal[[#This Row],[X]]=4)),tbal[[#This Row],[ACREEDOR]],0)</f>
        <v>0</v>
      </c>
      <c r="M2548" s="16">
        <f>IF((OR(tbal[[#This Row],[X]]=0,tbal[[#This Row],[X]]=6)),tbal[[#This Row],[DEUDOR]],0)</f>
        <v>0</v>
      </c>
      <c r="N2548" s="18">
        <f>IF((OR(tbal[[#This Row],[X]]=0,tbal[[#This Row],[X]]=5)),tbal[[#This Row],[ACREEDOR]],0)</f>
        <v>0</v>
      </c>
    </row>
    <row r="2549" spans="1:14" hidden="1" x14ac:dyDescent="0.3">
      <c r="A2549" s="14">
        <f>+'PLAN DE CUENTAS'!A2549</f>
        <v>0</v>
      </c>
      <c r="B2549" s="13">
        <f>+'PLAN DE CUENTAS'!B2549</f>
        <v>0</v>
      </c>
      <c r="C2549" s="13">
        <f>+'PLAN DE CUENTAS'!C2549</f>
        <v>0</v>
      </c>
      <c r="D2549" t="str">
        <f>IF(tbal[[#This Row],[DEBE]]+tbal[[#This Row],[HABER]]=0,"","X")</f>
        <v/>
      </c>
      <c r="E2549" s="16">
        <f>SUMIF(tdiario[CUENTA],tbal[[#This Row],[CUENTA]],tdiario[DEBE])</f>
        <v>0</v>
      </c>
      <c r="F2549" s="17">
        <f>SUMIF(tdiario[CUENTA],tbal[[#This Row],[CUENTA]],tdiario[HABER])</f>
        <v>0</v>
      </c>
      <c r="G2549" s="16">
        <f>IF(tbal[[#This Row],[DEBE]]-tbal[[#This Row],[HABER]]&gt;0,tbal[[#This Row],[DEBE]]-tbal[[#This Row],[HABER]],0)</f>
        <v>0</v>
      </c>
      <c r="H2549" s="18">
        <f>IF(tbal[[#This Row],[HABER]]-tbal[[#This Row],[DEBE]]&gt;0,tbal[[#This Row],[HABER]]-tbal[[#This Row],[DEBE]],0)</f>
        <v>0</v>
      </c>
      <c r="I2549" s="16">
        <f>IF((OR(tbal[[#This Row],[X]]=1,tbal[[#This Row],[X]]=2)),tbal[[#This Row],[DEUDOR]],0)</f>
        <v>0</v>
      </c>
      <c r="J2549" s="18">
        <f>IF((OR(tbal[[#This Row],[X]]=2,tbal[[#This Row],[X]]=3)),tbal[[#This Row],[ACREEDOR]],0)</f>
        <v>0</v>
      </c>
      <c r="K2549" s="16">
        <f>IF((OR(tbal[[#This Row],[X]]=3,tbal[[#This Row],[X]]=5)),tbal[[#This Row],[DEUDOR]],0)</f>
        <v>0</v>
      </c>
      <c r="L2549" s="18">
        <f>IF((OR(tbal[[#This Row],[X]]=3,tbal[[#This Row],[X]]=4)),tbal[[#This Row],[ACREEDOR]],0)</f>
        <v>0</v>
      </c>
      <c r="M2549" s="16">
        <f>IF((OR(tbal[[#This Row],[X]]=0,tbal[[#This Row],[X]]=6)),tbal[[#This Row],[DEUDOR]],0)</f>
        <v>0</v>
      </c>
      <c r="N2549" s="18">
        <f>IF((OR(tbal[[#This Row],[X]]=0,tbal[[#This Row],[X]]=5)),tbal[[#This Row],[ACREEDOR]],0)</f>
        <v>0</v>
      </c>
    </row>
    <row r="2550" spans="1:14" hidden="1" x14ac:dyDescent="0.3">
      <c r="A2550" s="14">
        <f>+'PLAN DE CUENTAS'!A2550</f>
        <v>0</v>
      </c>
      <c r="B2550" s="13">
        <f>+'PLAN DE CUENTAS'!B2550</f>
        <v>0</v>
      </c>
      <c r="C2550" s="13">
        <f>+'PLAN DE CUENTAS'!C2550</f>
        <v>0</v>
      </c>
      <c r="D2550" t="str">
        <f>IF(tbal[[#This Row],[DEBE]]+tbal[[#This Row],[HABER]]=0,"","X")</f>
        <v/>
      </c>
      <c r="E2550" s="16">
        <f>SUMIF(tdiario[CUENTA],tbal[[#This Row],[CUENTA]],tdiario[DEBE])</f>
        <v>0</v>
      </c>
      <c r="F2550" s="17">
        <f>SUMIF(tdiario[CUENTA],tbal[[#This Row],[CUENTA]],tdiario[HABER])</f>
        <v>0</v>
      </c>
      <c r="G2550" s="16">
        <f>IF(tbal[[#This Row],[DEBE]]-tbal[[#This Row],[HABER]]&gt;0,tbal[[#This Row],[DEBE]]-tbal[[#This Row],[HABER]],0)</f>
        <v>0</v>
      </c>
      <c r="H2550" s="18">
        <f>IF(tbal[[#This Row],[HABER]]-tbal[[#This Row],[DEBE]]&gt;0,tbal[[#This Row],[HABER]]-tbal[[#This Row],[DEBE]],0)</f>
        <v>0</v>
      </c>
      <c r="I2550" s="16">
        <f>IF((OR(tbal[[#This Row],[X]]=1,tbal[[#This Row],[X]]=2)),tbal[[#This Row],[DEUDOR]],0)</f>
        <v>0</v>
      </c>
      <c r="J2550" s="18">
        <f>IF((OR(tbal[[#This Row],[X]]=2,tbal[[#This Row],[X]]=3)),tbal[[#This Row],[ACREEDOR]],0)</f>
        <v>0</v>
      </c>
      <c r="K2550" s="16">
        <f>IF((OR(tbal[[#This Row],[X]]=3,tbal[[#This Row],[X]]=5)),tbal[[#This Row],[DEUDOR]],0)</f>
        <v>0</v>
      </c>
      <c r="L2550" s="18">
        <f>IF((OR(tbal[[#This Row],[X]]=3,tbal[[#This Row],[X]]=4)),tbal[[#This Row],[ACREEDOR]],0)</f>
        <v>0</v>
      </c>
      <c r="M2550" s="16">
        <f>IF((OR(tbal[[#This Row],[X]]=0,tbal[[#This Row],[X]]=6)),tbal[[#This Row],[DEUDOR]],0)</f>
        <v>0</v>
      </c>
      <c r="N2550" s="18">
        <f>IF((OR(tbal[[#This Row],[X]]=0,tbal[[#This Row],[X]]=5)),tbal[[#This Row],[ACREEDOR]],0)</f>
        <v>0</v>
      </c>
    </row>
    <row r="2551" spans="1:14" hidden="1" x14ac:dyDescent="0.3">
      <c r="A2551" s="14">
        <f>+'PLAN DE CUENTAS'!A2551</f>
        <v>0</v>
      </c>
      <c r="B2551" s="13">
        <f>+'PLAN DE CUENTAS'!B2551</f>
        <v>0</v>
      </c>
      <c r="C2551" s="13">
        <f>+'PLAN DE CUENTAS'!C2551</f>
        <v>0</v>
      </c>
      <c r="D2551" t="str">
        <f>IF(tbal[[#This Row],[DEBE]]+tbal[[#This Row],[HABER]]=0,"","X")</f>
        <v/>
      </c>
      <c r="E2551" s="16">
        <f>SUMIF(tdiario[CUENTA],tbal[[#This Row],[CUENTA]],tdiario[DEBE])</f>
        <v>0</v>
      </c>
      <c r="F2551" s="17">
        <f>SUMIF(tdiario[CUENTA],tbal[[#This Row],[CUENTA]],tdiario[HABER])</f>
        <v>0</v>
      </c>
      <c r="G2551" s="16">
        <f>IF(tbal[[#This Row],[DEBE]]-tbal[[#This Row],[HABER]]&gt;0,tbal[[#This Row],[DEBE]]-tbal[[#This Row],[HABER]],0)</f>
        <v>0</v>
      </c>
      <c r="H2551" s="18">
        <f>IF(tbal[[#This Row],[HABER]]-tbal[[#This Row],[DEBE]]&gt;0,tbal[[#This Row],[HABER]]-tbal[[#This Row],[DEBE]],0)</f>
        <v>0</v>
      </c>
      <c r="I2551" s="16">
        <f>IF((OR(tbal[[#This Row],[X]]=1,tbal[[#This Row],[X]]=2)),tbal[[#This Row],[DEUDOR]],0)</f>
        <v>0</v>
      </c>
      <c r="J2551" s="18">
        <f>IF((OR(tbal[[#This Row],[X]]=2,tbal[[#This Row],[X]]=3)),tbal[[#This Row],[ACREEDOR]],0)</f>
        <v>0</v>
      </c>
      <c r="K2551" s="16">
        <f>IF((OR(tbal[[#This Row],[X]]=3,tbal[[#This Row],[X]]=5)),tbal[[#This Row],[DEUDOR]],0)</f>
        <v>0</v>
      </c>
      <c r="L2551" s="18">
        <f>IF((OR(tbal[[#This Row],[X]]=3,tbal[[#This Row],[X]]=4)),tbal[[#This Row],[ACREEDOR]],0)</f>
        <v>0</v>
      </c>
      <c r="M2551" s="16">
        <f>IF((OR(tbal[[#This Row],[X]]=0,tbal[[#This Row],[X]]=6)),tbal[[#This Row],[DEUDOR]],0)</f>
        <v>0</v>
      </c>
      <c r="N2551" s="18">
        <f>IF((OR(tbal[[#This Row],[X]]=0,tbal[[#This Row],[X]]=5)),tbal[[#This Row],[ACREEDOR]],0)</f>
        <v>0</v>
      </c>
    </row>
    <row r="2552" spans="1:14" hidden="1" x14ac:dyDescent="0.3">
      <c r="A2552" s="14">
        <f>+'PLAN DE CUENTAS'!A2552</f>
        <v>0</v>
      </c>
      <c r="B2552" s="13">
        <f>+'PLAN DE CUENTAS'!B2552</f>
        <v>0</v>
      </c>
      <c r="C2552" s="13">
        <f>+'PLAN DE CUENTAS'!C2552</f>
        <v>0</v>
      </c>
      <c r="D2552" t="str">
        <f>IF(tbal[[#This Row],[DEBE]]+tbal[[#This Row],[HABER]]=0,"","X")</f>
        <v/>
      </c>
      <c r="E2552" s="16">
        <f>SUMIF(tdiario[CUENTA],tbal[[#This Row],[CUENTA]],tdiario[DEBE])</f>
        <v>0</v>
      </c>
      <c r="F2552" s="17">
        <f>SUMIF(tdiario[CUENTA],tbal[[#This Row],[CUENTA]],tdiario[HABER])</f>
        <v>0</v>
      </c>
      <c r="G2552" s="16">
        <f>IF(tbal[[#This Row],[DEBE]]-tbal[[#This Row],[HABER]]&gt;0,tbal[[#This Row],[DEBE]]-tbal[[#This Row],[HABER]],0)</f>
        <v>0</v>
      </c>
      <c r="H2552" s="18">
        <f>IF(tbal[[#This Row],[HABER]]-tbal[[#This Row],[DEBE]]&gt;0,tbal[[#This Row],[HABER]]-tbal[[#This Row],[DEBE]],0)</f>
        <v>0</v>
      </c>
      <c r="I2552" s="16">
        <f>IF((OR(tbal[[#This Row],[X]]=1,tbal[[#This Row],[X]]=2)),tbal[[#This Row],[DEUDOR]],0)</f>
        <v>0</v>
      </c>
      <c r="J2552" s="18">
        <f>IF((OR(tbal[[#This Row],[X]]=2,tbal[[#This Row],[X]]=3)),tbal[[#This Row],[ACREEDOR]],0)</f>
        <v>0</v>
      </c>
      <c r="K2552" s="16">
        <f>IF((OR(tbal[[#This Row],[X]]=3,tbal[[#This Row],[X]]=5)),tbal[[#This Row],[DEUDOR]],0)</f>
        <v>0</v>
      </c>
      <c r="L2552" s="18">
        <f>IF((OR(tbal[[#This Row],[X]]=3,tbal[[#This Row],[X]]=4)),tbal[[#This Row],[ACREEDOR]],0)</f>
        <v>0</v>
      </c>
      <c r="M2552" s="16">
        <f>IF((OR(tbal[[#This Row],[X]]=0,tbal[[#This Row],[X]]=6)),tbal[[#This Row],[DEUDOR]],0)</f>
        <v>0</v>
      </c>
      <c r="N2552" s="18">
        <f>IF((OR(tbal[[#This Row],[X]]=0,tbal[[#This Row],[X]]=5)),tbal[[#This Row],[ACREEDOR]],0)</f>
        <v>0</v>
      </c>
    </row>
    <row r="2553" spans="1:14" hidden="1" x14ac:dyDescent="0.3">
      <c r="A2553" s="14">
        <f>+'PLAN DE CUENTAS'!A2553</f>
        <v>0</v>
      </c>
      <c r="B2553" s="13">
        <f>+'PLAN DE CUENTAS'!B2553</f>
        <v>0</v>
      </c>
      <c r="C2553" s="13">
        <f>+'PLAN DE CUENTAS'!C2553</f>
        <v>0</v>
      </c>
      <c r="D2553" t="str">
        <f>IF(tbal[[#This Row],[DEBE]]+tbal[[#This Row],[HABER]]=0,"","X")</f>
        <v/>
      </c>
      <c r="E2553" s="16">
        <f>SUMIF(tdiario[CUENTA],tbal[[#This Row],[CUENTA]],tdiario[DEBE])</f>
        <v>0</v>
      </c>
      <c r="F2553" s="17">
        <f>SUMIF(tdiario[CUENTA],tbal[[#This Row],[CUENTA]],tdiario[HABER])</f>
        <v>0</v>
      </c>
      <c r="G2553" s="16">
        <f>IF(tbal[[#This Row],[DEBE]]-tbal[[#This Row],[HABER]]&gt;0,tbal[[#This Row],[DEBE]]-tbal[[#This Row],[HABER]],0)</f>
        <v>0</v>
      </c>
      <c r="H2553" s="18">
        <f>IF(tbal[[#This Row],[HABER]]-tbal[[#This Row],[DEBE]]&gt;0,tbal[[#This Row],[HABER]]-tbal[[#This Row],[DEBE]],0)</f>
        <v>0</v>
      </c>
      <c r="I2553" s="16">
        <f>IF((OR(tbal[[#This Row],[X]]=1,tbal[[#This Row],[X]]=2)),tbal[[#This Row],[DEUDOR]],0)</f>
        <v>0</v>
      </c>
      <c r="J2553" s="18">
        <f>IF((OR(tbal[[#This Row],[X]]=2,tbal[[#This Row],[X]]=3)),tbal[[#This Row],[ACREEDOR]],0)</f>
        <v>0</v>
      </c>
      <c r="K2553" s="16">
        <f>IF((OR(tbal[[#This Row],[X]]=3,tbal[[#This Row],[X]]=5)),tbal[[#This Row],[DEUDOR]],0)</f>
        <v>0</v>
      </c>
      <c r="L2553" s="18">
        <f>IF((OR(tbal[[#This Row],[X]]=3,tbal[[#This Row],[X]]=4)),tbal[[#This Row],[ACREEDOR]],0)</f>
        <v>0</v>
      </c>
      <c r="M2553" s="16">
        <f>IF((OR(tbal[[#This Row],[X]]=0,tbal[[#This Row],[X]]=6)),tbal[[#This Row],[DEUDOR]],0)</f>
        <v>0</v>
      </c>
      <c r="N2553" s="18">
        <f>IF((OR(tbal[[#This Row],[X]]=0,tbal[[#This Row],[X]]=5)),tbal[[#This Row],[ACREEDOR]],0)</f>
        <v>0</v>
      </c>
    </row>
    <row r="2554" spans="1:14" hidden="1" x14ac:dyDescent="0.3">
      <c r="A2554" s="14">
        <f>+'PLAN DE CUENTAS'!A2554</f>
        <v>0</v>
      </c>
      <c r="B2554" s="13">
        <f>+'PLAN DE CUENTAS'!B2554</f>
        <v>0</v>
      </c>
      <c r="C2554" s="13">
        <f>+'PLAN DE CUENTAS'!C2554</f>
        <v>0</v>
      </c>
      <c r="D2554" t="str">
        <f>IF(tbal[[#This Row],[DEBE]]+tbal[[#This Row],[HABER]]=0,"","X")</f>
        <v/>
      </c>
      <c r="E2554" s="16">
        <f>SUMIF(tdiario[CUENTA],tbal[[#This Row],[CUENTA]],tdiario[DEBE])</f>
        <v>0</v>
      </c>
      <c r="F2554" s="17">
        <f>SUMIF(tdiario[CUENTA],tbal[[#This Row],[CUENTA]],tdiario[HABER])</f>
        <v>0</v>
      </c>
      <c r="G2554" s="16">
        <f>IF(tbal[[#This Row],[DEBE]]-tbal[[#This Row],[HABER]]&gt;0,tbal[[#This Row],[DEBE]]-tbal[[#This Row],[HABER]],0)</f>
        <v>0</v>
      </c>
      <c r="H2554" s="18">
        <f>IF(tbal[[#This Row],[HABER]]-tbal[[#This Row],[DEBE]]&gt;0,tbal[[#This Row],[HABER]]-tbal[[#This Row],[DEBE]],0)</f>
        <v>0</v>
      </c>
      <c r="I2554" s="16">
        <f>IF((OR(tbal[[#This Row],[X]]=1,tbal[[#This Row],[X]]=2)),tbal[[#This Row],[DEUDOR]],0)</f>
        <v>0</v>
      </c>
      <c r="J2554" s="18">
        <f>IF((OR(tbal[[#This Row],[X]]=2,tbal[[#This Row],[X]]=3)),tbal[[#This Row],[ACREEDOR]],0)</f>
        <v>0</v>
      </c>
      <c r="K2554" s="16">
        <f>IF((OR(tbal[[#This Row],[X]]=3,tbal[[#This Row],[X]]=5)),tbal[[#This Row],[DEUDOR]],0)</f>
        <v>0</v>
      </c>
      <c r="L2554" s="18">
        <f>IF((OR(tbal[[#This Row],[X]]=3,tbal[[#This Row],[X]]=4)),tbal[[#This Row],[ACREEDOR]],0)</f>
        <v>0</v>
      </c>
      <c r="M2554" s="16">
        <f>IF((OR(tbal[[#This Row],[X]]=0,tbal[[#This Row],[X]]=6)),tbal[[#This Row],[DEUDOR]],0)</f>
        <v>0</v>
      </c>
      <c r="N2554" s="18">
        <f>IF((OR(tbal[[#This Row],[X]]=0,tbal[[#This Row],[X]]=5)),tbal[[#This Row],[ACREEDOR]],0)</f>
        <v>0</v>
      </c>
    </row>
    <row r="2555" spans="1:14" hidden="1" x14ac:dyDescent="0.3">
      <c r="A2555" s="14">
        <f>+'PLAN DE CUENTAS'!A2555</f>
        <v>0</v>
      </c>
      <c r="B2555" s="13">
        <f>+'PLAN DE CUENTAS'!B2555</f>
        <v>0</v>
      </c>
      <c r="C2555" s="13">
        <f>+'PLAN DE CUENTAS'!C2555</f>
        <v>0</v>
      </c>
      <c r="D2555" t="str">
        <f>IF(tbal[[#This Row],[DEBE]]+tbal[[#This Row],[HABER]]=0,"","X")</f>
        <v/>
      </c>
      <c r="E2555" s="16">
        <f>SUMIF(tdiario[CUENTA],tbal[[#This Row],[CUENTA]],tdiario[DEBE])</f>
        <v>0</v>
      </c>
      <c r="F2555" s="17">
        <f>SUMIF(tdiario[CUENTA],tbal[[#This Row],[CUENTA]],tdiario[HABER])</f>
        <v>0</v>
      </c>
      <c r="G2555" s="16">
        <f>IF(tbal[[#This Row],[DEBE]]-tbal[[#This Row],[HABER]]&gt;0,tbal[[#This Row],[DEBE]]-tbal[[#This Row],[HABER]],0)</f>
        <v>0</v>
      </c>
      <c r="H2555" s="18">
        <f>IF(tbal[[#This Row],[HABER]]-tbal[[#This Row],[DEBE]]&gt;0,tbal[[#This Row],[HABER]]-tbal[[#This Row],[DEBE]],0)</f>
        <v>0</v>
      </c>
      <c r="I2555" s="16">
        <f>IF((OR(tbal[[#This Row],[X]]=1,tbal[[#This Row],[X]]=2)),tbal[[#This Row],[DEUDOR]],0)</f>
        <v>0</v>
      </c>
      <c r="J2555" s="18">
        <f>IF((OR(tbal[[#This Row],[X]]=2,tbal[[#This Row],[X]]=3)),tbal[[#This Row],[ACREEDOR]],0)</f>
        <v>0</v>
      </c>
      <c r="K2555" s="16">
        <f>IF((OR(tbal[[#This Row],[X]]=3,tbal[[#This Row],[X]]=5)),tbal[[#This Row],[DEUDOR]],0)</f>
        <v>0</v>
      </c>
      <c r="L2555" s="18">
        <f>IF((OR(tbal[[#This Row],[X]]=3,tbal[[#This Row],[X]]=4)),tbal[[#This Row],[ACREEDOR]],0)</f>
        <v>0</v>
      </c>
      <c r="M2555" s="16">
        <f>IF((OR(tbal[[#This Row],[X]]=0,tbal[[#This Row],[X]]=6)),tbal[[#This Row],[DEUDOR]],0)</f>
        <v>0</v>
      </c>
      <c r="N2555" s="18">
        <f>IF((OR(tbal[[#This Row],[X]]=0,tbal[[#This Row],[X]]=5)),tbal[[#This Row],[ACREEDOR]],0)</f>
        <v>0</v>
      </c>
    </row>
    <row r="2556" spans="1:14" hidden="1" x14ac:dyDescent="0.3">
      <c r="A2556" s="14">
        <f>+'PLAN DE CUENTAS'!A2556</f>
        <v>0</v>
      </c>
      <c r="B2556" s="13">
        <f>+'PLAN DE CUENTAS'!B2556</f>
        <v>0</v>
      </c>
      <c r="C2556" s="13">
        <f>+'PLAN DE CUENTAS'!C2556</f>
        <v>0</v>
      </c>
      <c r="D2556" t="str">
        <f>IF(tbal[[#This Row],[DEBE]]+tbal[[#This Row],[HABER]]=0,"","X")</f>
        <v/>
      </c>
      <c r="E2556" s="16">
        <f>SUMIF(tdiario[CUENTA],tbal[[#This Row],[CUENTA]],tdiario[DEBE])</f>
        <v>0</v>
      </c>
      <c r="F2556" s="17">
        <f>SUMIF(tdiario[CUENTA],tbal[[#This Row],[CUENTA]],tdiario[HABER])</f>
        <v>0</v>
      </c>
      <c r="G2556" s="16">
        <f>IF(tbal[[#This Row],[DEBE]]-tbal[[#This Row],[HABER]]&gt;0,tbal[[#This Row],[DEBE]]-tbal[[#This Row],[HABER]],0)</f>
        <v>0</v>
      </c>
      <c r="H2556" s="18">
        <f>IF(tbal[[#This Row],[HABER]]-tbal[[#This Row],[DEBE]]&gt;0,tbal[[#This Row],[HABER]]-tbal[[#This Row],[DEBE]],0)</f>
        <v>0</v>
      </c>
      <c r="I2556" s="16">
        <f>IF((OR(tbal[[#This Row],[X]]=1,tbal[[#This Row],[X]]=2)),tbal[[#This Row],[DEUDOR]],0)</f>
        <v>0</v>
      </c>
      <c r="J2556" s="18">
        <f>IF((OR(tbal[[#This Row],[X]]=2,tbal[[#This Row],[X]]=3)),tbal[[#This Row],[ACREEDOR]],0)</f>
        <v>0</v>
      </c>
      <c r="K2556" s="16">
        <f>IF((OR(tbal[[#This Row],[X]]=3,tbal[[#This Row],[X]]=5)),tbal[[#This Row],[DEUDOR]],0)</f>
        <v>0</v>
      </c>
      <c r="L2556" s="18">
        <f>IF((OR(tbal[[#This Row],[X]]=3,tbal[[#This Row],[X]]=4)),tbal[[#This Row],[ACREEDOR]],0)</f>
        <v>0</v>
      </c>
      <c r="M2556" s="16">
        <f>IF((OR(tbal[[#This Row],[X]]=0,tbal[[#This Row],[X]]=6)),tbal[[#This Row],[DEUDOR]],0)</f>
        <v>0</v>
      </c>
      <c r="N2556" s="18">
        <f>IF((OR(tbal[[#This Row],[X]]=0,tbal[[#This Row],[X]]=5)),tbal[[#This Row],[ACREEDOR]],0)</f>
        <v>0</v>
      </c>
    </row>
    <row r="2557" spans="1:14" hidden="1" x14ac:dyDescent="0.3">
      <c r="A2557" s="14">
        <f>+'PLAN DE CUENTAS'!A2557</f>
        <v>0</v>
      </c>
      <c r="B2557" s="13">
        <f>+'PLAN DE CUENTAS'!B2557</f>
        <v>0</v>
      </c>
      <c r="C2557" s="13">
        <f>+'PLAN DE CUENTAS'!C2557</f>
        <v>0</v>
      </c>
      <c r="D2557" t="str">
        <f>IF(tbal[[#This Row],[DEBE]]+tbal[[#This Row],[HABER]]=0,"","X")</f>
        <v/>
      </c>
      <c r="E2557" s="16">
        <f>SUMIF(tdiario[CUENTA],tbal[[#This Row],[CUENTA]],tdiario[DEBE])</f>
        <v>0</v>
      </c>
      <c r="F2557" s="17">
        <f>SUMIF(tdiario[CUENTA],tbal[[#This Row],[CUENTA]],tdiario[HABER])</f>
        <v>0</v>
      </c>
      <c r="G2557" s="16">
        <f>IF(tbal[[#This Row],[DEBE]]-tbal[[#This Row],[HABER]]&gt;0,tbal[[#This Row],[DEBE]]-tbal[[#This Row],[HABER]],0)</f>
        <v>0</v>
      </c>
      <c r="H2557" s="18">
        <f>IF(tbal[[#This Row],[HABER]]-tbal[[#This Row],[DEBE]]&gt;0,tbal[[#This Row],[HABER]]-tbal[[#This Row],[DEBE]],0)</f>
        <v>0</v>
      </c>
      <c r="I2557" s="16">
        <f>IF((OR(tbal[[#This Row],[X]]=1,tbal[[#This Row],[X]]=2)),tbal[[#This Row],[DEUDOR]],0)</f>
        <v>0</v>
      </c>
      <c r="J2557" s="18">
        <f>IF((OR(tbal[[#This Row],[X]]=2,tbal[[#This Row],[X]]=3)),tbal[[#This Row],[ACREEDOR]],0)</f>
        <v>0</v>
      </c>
      <c r="K2557" s="16">
        <f>IF((OR(tbal[[#This Row],[X]]=3,tbal[[#This Row],[X]]=5)),tbal[[#This Row],[DEUDOR]],0)</f>
        <v>0</v>
      </c>
      <c r="L2557" s="18">
        <f>IF((OR(tbal[[#This Row],[X]]=3,tbal[[#This Row],[X]]=4)),tbal[[#This Row],[ACREEDOR]],0)</f>
        <v>0</v>
      </c>
      <c r="M2557" s="16">
        <f>IF((OR(tbal[[#This Row],[X]]=0,tbal[[#This Row],[X]]=6)),tbal[[#This Row],[DEUDOR]],0)</f>
        <v>0</v>
      </c>
      <c r="N2557" s="18">
        <f>IF((OR(tbal[[#This Row],[X]]=0,tbal[[#This Row],[X]]=5)),tbal[[#This Row],[ACREEDOR]],0)</f>
        <v>0</v>
      </c>
    </row>
    <row r="2558" spans="1:14" hidden="1" x14ac:dyDescent="0.3">
      <c r="A2558" s="14">
        <f>+'PLAN DE CUENTAS'!A2558</f>
        <v>0</v>
      </c>
      <c r="B2558" s="13">
        <f>+'PLAN DE CUENTAS'!B2558</f>
        <v>0</v>
      </c>
      <c r="C2558" s="13">
        <f>+'PLAN DE CUENTAS'!C2558</f>
        <v>0</v>
      </c>
      <c r="D2558" t="str">
        <f>IF(tbal[[#This Row],[DEBE]]+tbal[[#This Row],[HABER]]=0,"","X")</f>
        <v/>
      </c>
      <c r="E2558" s="16">
        <f>SUMIF(tdiario[CUENTA],tbal[[#This Row],[CUENTA]],tdiario[DEBE])</f>
        <v>0</v>
      </c>
      <c r="F2558" s="17">
        <f>SUMIF(tdiario[CUENTA],tbal[[#This Row],[CUENTA]],tdiario[HABER])</f>
        <v>0</v>
      </c>
      <c r="G2558" s="16">
        <f>IF(tbal[[#This Row],[DEBE]]-tbal[[#This Row],[HABER]]&gt;0,tbal[[#This Row],[DEBE]]-tbal[[#This Row],[HABER]],0)</f>
        <v>0</v>
      </c>
      <c r="H2558" s="18">
        <f>IF(tbal[[#This Row],[HABER]]-tbal[[#This Row],[DEBE]]&gt;0,tbal[[#This Row],[HABER]]-tbal[[#This Row],[DEBE]],0)</f>
        <v>0</v>
      </c>
      <c r="I2558" s="16">
        <f>IF((OR(tbal[[#This Row],[X]]=1,tbal[[#This Row],[X]]=2)),tbal[[#This Row],[DEUDOR]],0)</f>
        <v>0</v>
      </c>
      <c r="J2558" s="18">
        <f>IF((OR(tbal[[#This Row],[X]]=2,tbal[[#This Row],[X]]=3)),tbal[[#This Row],[ACREEDOR]],0)</f>
        <v>0</v>
      </c>
      <c r="K2558" s="16">
        <f>IF((OR(tbal[[#This Row],[X]]=3,tbal[[#This Row],[X]]=5)),tbal[[#This Row],[DEUDOR]],0)</f>
        <v>0</v>
      </c>
      <c r="L2558" s="18">
        <f>IF((OR(tbal[[#This Row],[X]]=3,tbal[[#This Row],[X]]=4)),tbal[[#This Row],[ACREEDOR]],0)</f>
        <v>0</v>
      </c>
      <c r="M2558" s="16">
        <f>IF((OR(tbal[[#This Row],[X]]=0,tbal[[#This Row],[X]]=6)),tbal[[#This Row],[DEUDOR]],0)</f>
        <v>0</v>
      </c>
      <c r="N2558" s="18">
        <f>IF((OR(tbal[[#This Row],[X]]=0,tbal[[#This Row],[X]]=5)),tbal[[#This Row],[ACREEDOR]],0)</f>
        <v>0</v>
      </c>
    </row>
    <row r="2559" spans="1:14" hidden="1" x14ac:dyDescent="0.3">
      <c r="A2559" s="14">
        <f>+'PLAN DE CUENTAS'!A2559</f>
        <v>0</v>
      </c>
      <c r="B2559" s="13">
        <f>+'PLAN DE CUENTAS'!B2559</f>
        <v>0</v>
      </c>
      <c r="C2559" s="13">
        <f>+'PLAN DE CUENTAS'!C2559</f>
        <v>0</v>
      </c>
      <c r="D2559" t="str">
        <f>IF(tbal[[#This Row],[DEBE]]+tbal[[#This Row],[HABER]]=0,"","X")</f>
        <v/>
      </c>
      <c r="E2559" s="16">
        <f>SUMIF(tdiario[CUENTA],tbal[[#This Row],[CUENTA]],tdiario[DEBE])</f>
        <v>0</v>
      </c>
      <c r="F2559" s="17">
        <f>SUMIF(tdiario[CUENTA],tbal[[#This Row],[CUENTA]],tdiario[HABER])</f>
        <v>0</v>
      </c>
      <c r="G2559" s="16">
        <f>IF(tbal[[#This Row],[DEBE]]-tbal[[#This Row],[HABER]]&gt;0,tbal[[#This Row],[DEBE]]-tbal[[#This Row],[HABER]],0)</f>
        <v>0</v>
      </c>
      <c r="H2559" s="18">
        <f>IF(tbal[[#This Row],[HABER]]-tbal[[#This Row],[DEBE]]&gt;0,tbal[[#This Row],[HABER]]-tbal[[#This Row],[DEBE]],0)</f>
        <v>0</v>
      </c>
      <c r="I2559" s="16">
        <f>IF((OR(tbal[[#This Row],[X]]=1,tbal[[#This Row],[X]]=2)),tbal[[#This Row],[DEUDOR]],0)</f>
        <v>0</v>
      </c>
      <c r="J2559" s="18">
        <f>IF((OR(tbal[[#This Row],[X]]=2,tbal[[#This Row],[X]]=3)),tbal[[#This Row],[ACREEDOR]],0)</f>
        <v>0</v>
      </c>
      <c r="K2559" s="16">
        <f>IF((OR(tbal[[#This Row],[X]]=3,tbal[[#This Row],[X]]=5)),tbal[[#This Row],[DEUDOR]],0)</f>
        <v>0</v>
      </c>
      <c r="L2559" s="18">
        <f>IF((OR(tbal[[#This Row],[X]]=3,tbal[[#This Row],[X]]=4)),tbal[[#This Row],[ACREEDOR]],0)</f>
        <v>0</v>
      </c>
      <c r="M2559" s="16">
        <f>IF((OR(tbal[[#This Row],[X]]=0,tbal[[#This Row],[X]]=6)),tbal[[#This Row],[DEUDOR]],0)</f>
        <v>0</v>
      </c>
      <c r="N2559" s="18">
        <f>IF((OR(tbal[[#This Row],[X]]=0,tbal[[#This Row],[X]]=5)),tbal[[#This Row],[ACREEDOR]],0)</f>
        <v>0</v>
      </c>
    </row>
    <row r="2560" spans="1:14" hidden="1" x14ac:dyDescent="0.3">
      <c r="A2560" s="14">
        <f>+'PLAN DE CUENTAS'!A2560</f>
        <v>0</v>
      </c>
      <c r="B2560" s="13">
        <f>+'PLAN DE CUENTAS'!B2560</f>
        <v>0</v>
      </c>
      <c r="C2560" s="13">
        <f>+'PLAN DE CUENTAS'!C2560</f>
        <v>0</v>
      </c>
      <c r="D2560" t="str">
        <f>IF(tbal[[#This Row],[DEBE]]+tbal[[#This Row],[HABER]]=0,"","X")</f>
        <v/>
      </c>
      <c r="E2560" s="16">
        <f>SUMIF(tdiario[CUENTA],tbal[[#This Row],[CUENTA]],tdiario[DEBE])</f>
        <v>0</v>
      </c>
      <c r="F2560" s="17">
        <f>SUMIF(tdiario[CUENTA],tbal[[#This Row],[CUENTA]],tdiario[HABER])</f>
        <v>0</v>
      </c>
      <c r="G2560" s="16">
        <f>IF(tbal[[#This Row],[DEBE]]-tbal[[#This Row],[HABER]]&gt;0,tbal[[#This Row],[DEBE]]-tbal[[#This Row],[HABER]],0)</f>
        <v>0</v>
      </c>
      <c r="H2560" s="18">
        <f>IF(tbal[[#This Row],[HABER]]-tbal[[#This Row],[DEBE]]&gt;0,tbal[[#This Row],[HABER]]-tbal[[#This Row],[DEBE]],0)</f>
        <v>0</v>
      </c>
      <c r="I2560" s="16">
        <f>IF((OR(tbal[[#This Row],[X]]=1,tbal[[#This Row],[X]]=2)),tbal[[#This Row],[DEUDOR]],0)</f>
        <v>0</v>
      </c>
      <c r="J2560" s="18">
        <f>IF((OR(tbal[[#This Row],[X]]=2,tbal[[#This Row],[X]]=3)),tbal[[#This Row],[ACREEDOR]],0)</f>
        <v>0</v>
      </c>
      <c r="K2560" s="16">
        <f>IF((OR(tbal[[#This Row],[X]]=3,tbal[[#This Row],[X]]=5)),tbal[[#This Row],[DEUDOR]],0)</f>
        <v>0</v>
      </c>
      <c r="L2560" s="18">
        <f>IF((OR(tbal[[#This Row],[X]]=3,tbal[[#This Row],[X]]=4)),tbal[[#This Row],[ACREEDOR]],0)</f>
        <v>0</v>
      </c>
      <c r="M2560" s="16">
        <f>IF((OR(tbal[[#This Row],[X]]=0,tbal[[#This Row],[X]]=6)),tbal[[#This Row],[DEUDOR]],0)</f>
        <v>0</v>
      </c>
      <c r="N2560" s="18">
        <f>IF((OR(tbal[[#This Row],[X]]=0,tbal[[#This Row],[X]]=5)),tbal[[#This Row],[ACREEDOR]],0)</f>
        <v>0</v>
      </c>
    </row>
    <row r="2561" spans="1:14" hidden="1" x14ac:dyDescent="0.3">
      <c r="A2561" s="14">
        <f>+'PLAN DE CUENTAS'!A2561</f>
        <v>0</v>
      </c>
      <c r="B2561" s="13">
        <f>+'PLAN DE CUENTAS'!B2561</f>
        <v>0</v>
      </c>
      <c r="C2561" s="13">
        <f>+'PLAN DE CUENTAS'!C2561</f>
        <v>0</v>
      </c>
      <c r="D2561" t="str">
        <f>IF(tbal[[#This Row],[DEBE]]+tbal[[#This Row],[HABER]]=0,"","X")</f>
        <v/>
      </c>
      <c r="E2561" s="16">
        <f>SUMIF(tdiario[CUENTA],tbal[[#This Row],[CUENTA]],tdiario[DEBE])</f>
        <v>0</v>
      </c>
      <c r="F2561" s="17">
        <f>SUMIF(tdiario[CUENTA],tbal[[#This Row],[CUENTA]],tdiario[HABER])</f>
        <v>0</v>
      </c>
      <c r="G2561" s="16">
        <f>IF(tbal[[#This Row],[DEBE]]-tbal[[#This Row],[HABER]]&gt;0,tbal[[#This Row],[DEBE]]-tbal[[#This Row],[HABER]],0)</f>
        <v>0</v>
      </c>
      <c r="H2561" s="18">
        <f>IF(tbal[[#This Row],[HABER]]-tbal[[#This Row],[DEBE]]&gt;0,tbal[[#This Row],[HABER]]-tbal[[#This Row],[DEBE]],0)</f>
        <v>0</v>
      </c>
      <c r="I2561" s="16">
        <f>IF((OR(tbal[[#This Row],[X]]=1,tbal[[#This Row],[X]]=2)),tbal[[#This Row],[DEUDOR]],0)</f>
        <v>0</v>
      </c>
      <c r="J2561" s="18">
        <f>IF((OR(tbal[[#This Row],[X]]=2,tbal[[#This Row],[X]]=3)),tbal[[#This Row],[ACREEDOR]],0)</f>
        <v>0</v>
      </c>
      <c r="K2561" s="16">
        <f>IF((OR(tbal[[#This Row],[X]]=3,tbal[[#This Row],[X]]=5)),tbal[[#This Row],[DEUDOR]],0)</f>
        <v>0</v>
      </c>
      <c r="L2561" s="18">
        <f>IF((OR(tbal[[#This Row],[X]]=3,tbal[[#This Row],[X]]=4)),tbal[[#This Row],[ACREEDOR]],0)</f>
        <v>0</v>
      </c>
      <c r="M2561" s="16">
        <f>IF((OR(tbal[[#This Row],[X]]=0,tbal[[#This Row],[X]]=6)),tbal[[#This Row],[DEUDOR]],0)</f>
        <v>0</v>
      </c>
      <c r="N2561" s="18">
        <f>IF((OR(tbal[[#This Row],[X]]=0,tbal[[#This Row],[X]]=5)),tbal[[#This Row],[ACREEDOR]],0)</f>
        <v>0</v>
      </c>
    </row>
    <row r="2562" spans="1:14" hidden="1" x14ac:dyDescent="0.3">
      <c r="A2562" s="14">
        <f>+'PLAN DE CUENTAS'!A2562</f>
        <v>0</v>
      </c>
      <c r="B2562" s="13">
        <f>+'PLAN DE CUENTAS'!B2562</f>
        <v>0</v>
      </c>
      <c r="C2562" s="13">
        <f>+'PLAN DE CUENTAS'!C2562</f>
        <v>0</v>
      </c>
      <c r="D2562" t="str">
        <f>IF(tbal[[#This Row],[DEBE]]+tbal[[#This Row],[HABER]]=0,"","X")</f>
        <v/>
      </c>
      <c r="E2562" s="16">
        <f>SUMIF(tdiario[CUENTA],tbal[[#This Row],[CUENTA]],tdiario[DEBE])</f>
        <v>0</v>
      </c>
      <c r="F2562" s="17">
        <f>SUMIF(tdiario[CUENTA],tbal[[#This Row],[CUENTA]],tdiario[HABER])</f>
        <v>0</v>
      </c>
      <c r="G2562" s="16">
        <f>IF(tbal[[#This Row],[DEBE]]-tbal[[#This Row],[HABER]]&gt;0,tbal[[#This Row],[DEBE]]-tbal[[#This Row],[HABER]],0)</f>
        <v>0</v>
      </c>
      <c r="H2562" s="18">
        <f>IF(tbal[[#This Row],[HABER]]-tbal[[#This Row],[DEBE]]&gt;0,tbal[[#This Row],[HABER]]-tbal[[#This Row],[DEBE]],0)</f>
        <v>0</v>
      </c>
      <c r="I2562" s="16">
        <f>IF((OR(tbal[[#This Row],[X]]=1,tbal[[#This Row],[X]]=2)),tbal[[#This Row],[DEUDOR]],0)</f>
        <v>0</v>
      </c>
      <c r="J2562" s="18">
        <f>IF((OR(tbal[[#This Row],[X]]=2,tbal[[#This Row],[X]]=3)),tbal[[#This Row],[ACREEDOR]],0)</f>
        <v>0</v>
      </c>
      <c r="K2562" s="16">
        <f>IF((OR(tbal[[#This Row],[X]]=3,tbal[[#This Row],[X]]=5)),tbal[[#This Row],[DEUDOR]],0)</f>
        <v>0</v>
      </c>
      <c r="L2562" s="18">
        <f>IF((OR(tbal[[#This Row],[X]]=3,tbal[[#This Row],[X]]=4)),tbal[[#This Row],[ACREEDOR]],0)</f>
        <v>0</v>
      </c>
      <c r="M2562" s="16">
        <f>IF((OR(tbal[[#This Row],[X]]=0,tbal[[#This Row],[X]]=6)),tbal[[#This Row],[DEUDOR]],0)</f>
        <v>0</v>
      </c>
      <c r="N2562" s="18">
        <f>IF((OR(tbal[[#This Row],[X]]=0,tbal[[#This Row],[X]]=5)),tbal[[#This Row],[ACREEDOR]],0)</f>
        <v>0</v>
      </c>
    </row>
    <row r="2563" spans="1:14" hidden="1" x14ac:dyDescent="0.3">
      <c r="A2563" s="14">
        <f>+'PLAN DE CUENTAS'!A2563</f>
        <v>0</v>
      </c>
      <c r="B2563" s="13">
        <f>+'PLAN DE CUENTAS'!B2563</f>
        <v>0</v>
      </c>
      <c r="C2563" s="13">
        <f>+'PLAN DE CUENTAS'!C2563</f>
        <v>0</v>
      </c>
      <c r="D2563" t="str">
        <f>IF(tbal[[#This Row],[DEBE]]+tbal[[#This Row],[HABER]]=0,"","X")</f>
        <v/>
      </c>
      <c r="E2563" s="16">
        <f>SUMIF(tdiario[CUENTA],tbal[[#This Row],[CUENTA]],tdiario[DEBE])</f>
        <v>0</v>
      </c>
      <c r="F2563" s="17">
        <f>SUMIF(tdiario[CUENTA],tbal[[#This Row],[CUENTA]],tdiario[HABER])</f>
        <v>0</v>
      </c>
      <c r="G2563" s="16">
        <f>IF(tbal[[#This Row],[DEBE]]-tbal[[#This Row],[HABER]]&gt;0,tbal[[#This Row],[DEBE]]-tbal[[#This Row],[HABER]],0)</f>
        <v>0</v>
      </c>
      <c r="H2563" s="18">
        <f>IF(tbal[[#This Row],[HABER]]-tbal[[#This Row],[DEBE]]&gt;0,tbal[[#This Row],[HABER]]-tbal[[#This Row],[DEBE]],0)</f>
        <v>0</v>
      </c>
      <c r="I2563" s="16">
        <f>IF((OR(tbal[[#This Row],[X]]=1,tbal[[#This Row],[X]]=2)),tbal[[#This Row],[DEUDOR]],0)</f>
        <v>0</v>
      </c>
      <c r="J2563" s="18">
        <f>IF((OR(tbal[[#This Row],[X]]=2,tbal[[#This Row],[X]]=3)),tbal[[#This Row],[ACREEDOR]],0)</f>
        <v>0</v>
      </c>
      <c r="K2563" s="16">
        <f>IF((OR(tbal[[#This Row],[X]]=3,tbal[[#This Row],[X]]=5)),tbal[[#This Row],[DEUDOR]],0)</f>
        <v>0</v>
      </c>
      <c r="L2563" s="18">
        <f>IF((OR(tbal[[#This Row],[X]]=3,tbal[[#This Row],[X]]=4)),tbal[[#This Row],[ACREEDOR]],0)</f>
        <v>0</v>
      </c>
      <c r="M2563" s="16">
        <f>IF((OR(tbal[[#This Row],[X]]=0,tbal[[#This Row],[X]]=6)),tbal[[#This Row],[DEUDOR]],0)</f>
        <v>0</v>
      </c>
      <c r="N2563" s="18">
        <f>IF((OR(tbal[[#This Row],[X]]=0,tbal[[#This Row],[X]]=5)),tbal[[#This Row],[ACREEDOR]],0)</f>
        <v>0</v>
      </c>
    </row>
    <row r="2564" spans="1:14" hidden="1" x14ac:dyDescent="0.3">
      <c r="A2564" s="14">
        <f>+'PLAN DE CUENTAS'!A2564</f>
        <v>0</v>
      </c>
      <c r="B2564" s="13">
        <f>+'PLAN DE CUENTAS'!B2564</f>
        <v>0</v>
      </c>
      <c r="C2564" s="13">
        <f>+'PLAN DE CUENTAS'!C2564</f>
        <v>0</v>
      </c>
      <c r="D2564" t="str">
        <f>IF(tbal[[#This Row],[DEBE]]+tbal[[#This Row],[HABER]]=0,"","X")</f>
        <v/>
      </c>
      <c r="E2564" s="16">
        <f>SUMIF(tdiario[CUENTA],tbal[[#This Row],[CUENTA]],tdiario[DEBE])</f>
        <v>0</v>
      </c>
      <c r="F2564" s="17">
        <f>SUMIF(tdiario[CUENTA],tbal[[#This Row],[CUENTA]],tdiario[HABER])</f>
        <v>0</v>
      </c>
      <c r="G2564" s="16">
        <f>IF(tbal[[#This Row],[DEBE]]-tbal[[#This Row],[HABER]]&gt;0,tbal[[#This Row],[DEBE]]-tbal[[#This Row],[HABER]],0)</f>
        <v>0</v>
      </c>
      <c r="H2564" s="18">
        <f>IF(tbal[[#This Row],[HABER]]-tbal[[#This Row],[DEBE]]&gt;0,tbal[[#This Row],[HABER]]-tbal[[#This Row],[DEBE]],0)</f>
        <v>0</v>
      </c>
      <c r="I2564" s="16">
        <f>IF((OR(tbal[[#This Row],[X]]=1,tbal[[#This Row],[X]]=2)),tbal[[#This Row],[DEUDOR]],0)</f>
        <v>0</v>
      </c>
      <c r="J2564" s="18">
        <f>IF((OR(tbal[[#This Row],[X]]=2,tbal[[#This Row],[X]]=3)),tbal[[#This Row],[ACREEDOR]],0)</f>
        <v>0</v>
      </c>
      <c r="K2564" s="16">
        <f>IF((OR(tbal[[#This Row],[X]]=3,tbal[[#This Row],[X]]=5)),tbal[[#This Row],[DEUDOR]],0)</f>
        <v>0</v>
      </c>
      <c r="L2564" s="18">
        <f>IF((OR(tbal[[#This Row],[X]]=3,tbal[[#This Row],[X]]=4)),tbal[[#This Row],[ACREEDOR]],0)</f>
        <v>0</v>
      </c>
      <c r="M2564" s="16">
        <f>IF((OR(tbal[[#This Row],[X]]=0,tbal[[#This Row],[X]]=6)),tbal[[#This Row],[DEUDOR]],0)</f>
        <v>0</v>
      </c>
      <c r="N2564" s="18">
        <f>IF((OR(tbal[[#This Row],[X]]=0,tbal[[#This Row],[X]]=5)),tbal[[#This Row],[ACREEDOR]],0)</f>
        <v>0</v>
      </c>
    </row>
    <row r="2565" spans="1:14" hidden="1" x14ac:dyDescent="0.3">
      <c r="A2565" s="14">
        <f>+'PLAN DE CUENTAS'!A2565</f>
        <v>0</v>
      </c>
      <c r="B2565" s="13">
        <f>+'PLAN DE CUENTAS'!B2565</f>
        <v>0</v>
      </c>
      <c r="C2565" s="13">
        <f>+'PLAN DE CUENTAS'!C2565</f>
        <v>0</v>
      </c>
      <c r="D2565" t="str">
        <f>IF(tbal[[#This Row],[DEBE]]+tbal[[#This Row],[HABER]]=0,"","X")</f>
        <v/>
      </c>
      <c r="E2565" s="16">
        <f>SUMIF(tdiario[CUENTA],tbal[[#This Row],[CUENTA]],tdiario[DEBE])</f>
        <v>0</v>
      </c>
      <c r="F2565" s="17">
        <f>SUMIF(tdiario[CUENTA],tbal[[#This Row],[CUENTA]],tdiario[HABER])</f>
        <v>0</v>
      </c>
      <c r="G2565" s="16">
        <f>IF(tbal[[#This Row],[DEBE]]-tbal[[#This Row],[HABER]]&gt;0,tbal[[#This Row],[DEBE]]-tbal[[#This Row],[HABER]],0)</f>
        <v>0</v>
      </c>
      <c r="H2565" s="18">
        <f>IF(tbal[[#This Row],[HABER]]-tbal[[#This Row],[DEBE]]&gt;0,tbal[[#This Row],[HABER]]-tbal[[#This Row],[DEBE]],0)</f>
        <v>0</v>
      </c>
      <c r="I2565" s="16">
        <f>IF((OR(tbal[[#This Row],[X]]=1,tbal[[#This Row],[X]]=2)),tbal[[#This Row],[DEUDOR]],0)</f>
        <v>0</v>
      </c>
      <c r="J2565" s="18">
        <f>IF((OR(tbal[[#This Row],[X]]=2,tbal[[#This Row],[X]]=3)),tbal[[#This Row],[ACREEDOR]],0)</f>
        <v>0</v>
      </c>
      <c r="K2565" s="16">
        <f>IF((OR(tbal[[#This Row],[X]]=3,tbal[[#This Row],[X]]=5)),tbal[[#This Row],[DEUDOR]],0)</f>
        <v>0</v>
      </c>
      <c r="L2565" s="18">
        <f>IF((OR(tbal[[#This Row],[X]]=3,tbal[[#This Row],[X]]=4)),tbal[[#This Row],[ACREEDOR]],0)</f>
        <v>0</v>
      </c>
      <c r="M2565" s="16">
        <f>IF((OR(tbal[[#This Row],[X]]=0,tbal[[#This Row],[X]]=6)),tbal[[#This Row],[DEUDOR]],0)</f>
        <v>0</v>
      </c>
      <c r="N2565" s="18">
        <f>IF((OR(tbal[[#This Row],[X]]=0,tbal[[#This Row],[X]]=5)),tbal[[#This Row],[ACREEDOR]],0)</f>
        <v>0</v>
      </c>
    </row>
    <row r="2566" spans="1:14" hidden="1" x14ac:dyDescent="0.3">
      <c r="A2566" s="14">
        <f>+'PLAN DE CUENTAS'!A2566</f>
        <v>0</v>
      </c>
      <c r="B2566" s="13">
        <f>+'PLAN DE CUENTAS'!B2566</f>
        <v>0</v>
      </c>
      <c r="C2566" s="13">
        <f>+'PLAN DE CUENTAS'!C2566</f>
        <v>0</v>
      </c>
      <c r="D2566" t="str">
        <f>IF(tbal[[#This Row],[DEBE]]+tbal[[#This Row],[HABER]]=0,"","X")</f>
        <v/>
      </c>
      <c r="E2566" s="16">
        <f>SUMIF(tdiario[CUENTA],tbal[[#This Row],[CUENTA]],tdiario[DEBE])</f>
        <v>0</v>
      </c>
      <c r="F2566" s="17">
        <f>SUMIF(tdiario[CUENTA],tbal[[#This Row],[CUENTA]],tdiario[HABER])</f>
        <v>0</v>
      </c>
      <c r="G2566" s="16">
        <f>IF(tbal[[#This Row],[DEBE]]-tbal[[#This Row],[HABER]]&gt;0,tbal[[#This Row],[DEBE]]-tbal[[#This Row],[HABER]],0)</f>
        <v>0</v>
      </c>
      <c r="H2566" s="18">
        <f>IF(tbal[[#This Row],[HABER]]-tbal[[#This Row],[DEBE]]&gt;0,tbal[[#This Row],[HABER]]-tbal[[#This Row],[DEBE]],0)</f>
        <v>0</v>
      </c>
      <c r="I2566" s="16">
        <f>IF((OR(tbal[[#This Row],[X]]=1,tbal[[#This Row],[X]]=2)),tbal[[#This Row],[DEUDOR]],0)</f>
        <v>0</v>
      </c>
      <c r="J2566" s="18">
        <f>IF((OR(tbal[[#This Row],[X]]=2,tbal[[#This Row],[X]]=3)),tbal[[#This Row],[ACREEDOR]],0)</f>
        <v>0</v>
      </c>
      <c r="K2566" s="16">
        <f>IF((OR(tbal[[#This Row],[X]]=3,tbal[[#This Row],[X]]=5)),tbal[[#This Row],[DEUDOR]],0)</f>
        <v>0</v>
      </c>
      <c r="L2566" s="18">
        <f>IF((OR(tbal[[#This Row],[X]]=3,tbal[[#This Row],[X]]=4)),tbal[[#This Row],[ACREEDOR]],0)</f>
        <v>0</v>
      </c>
      <c r="M2566" s="16">
        <f>IF((OR(tbal[[#This Row],[X]]=0,tbal[[#This Row],[X]]=6)),tbal[[#This Row],[DEUDOR]],0)</f>
        <v>0</v>
      </c>
      <c r="N2566" s="18">
        <f>IF((OR(tbal[[#This Row],[X]]=0,tbal[[#This Row],[X]]=5)),tbal[[#This Row],[ACREEDOR]],0)</f>
        <v>0</v>
      </c>
    </row>
    <row r="2567" spans="1:14" hidden="1" x14ac:dyDescent="0.3">
      <c r="A2567" s="14">
        <f>+'PLAN DE CUENTAS'!A2567</f>
        <v>0</v>
      </c>
      <c r="B2567" s="13">
        <f>+'PLAN DE CUENTAS'!B2567</f>
        <v>0</v>
      </c>
      <c r="C2567" s="13">
        <f>+'PLAN DE CUENTAS'!C2567</f>
        <v>0</v>
      </c>
      <c r="D2567" t="str">
        <f>IF(tbal[[#This Row],[DEBE]]+tbal[[#This Row],[HABER]]=0,"","X")</f>
        <v/>
      </c>
      <c r="E2567" s="16">
        <f>SUMIF(tdiario[CUENTA],tbal[[#This Row],[CUENTA]],tdiario[DEBE])</f>
        <v>0</v>
      </c>
      <c r="F2567" s="17">
        <f>SUMIF(tdiario[CUENTA],tbal[[#This Row],[CUENTA]],tdiario[HABER])</f>
        <v>0</v>
      </c>
      <c r="G2567" s="16">
        <f>IF(tbal[[#This Row],[DEBE]]-tbal[[#This Row],[HABER]]&gt;0,tbal[[#This Row],[DEBE]]-tbal[[#This Row],[HABER]],0)</f>
        <v>0</v>
      </c>
      <c r="H2567" s="18">
        <f>IF(tbal[[#This Row],[HABER]]-tbal[[#This Row],[DEBE]]&gt;0,tbal[[#This Row],[HABER]]-tbal[[#This Row],[DEBE]],0)</f>
        <v>0</v>
      </c>
      <c r="I2567" s="16">
        <f>IF((OR(tbal[[#This Row],[X]]=1,tbal[[#This Row],[X]]=2)),tbal[[#This Row],[DEUDOR]],0)</f>
        <v>0</v>
      </c>
      <c r="J2567" s="18">
        <f>IF((OR(tbal[[#This Row],[X]]=2,tbal[[#This Row],[X]]=3)),tbal[[#This Row],[ACREEDOR]],0)</f>
        <v>0</v>
      </c>
      <c r="K2567" s="16">
        <f>IF((OR(tbal[[#This Row],[X]]=3,tbal[[#This Row],[X]]=5)),tbal[[#This Row],[DEUDOR]],0)</f>
        <v>0</v>
      </c>
      <c r="L2567" s="18">
        <f>IF((OR(tbal[[#This Row],[X]]=3,tbal[[#This Row],[X]]=4)),tbal[[#This Row],[ACREEDOR]],0)</f>
        <v>0</v>
      </c>
      <c r="M2567" s="16">
        <f>IF((OR(tbal[[#This Row],[X]]=0,tbal[[#This Row],[X]]=6)),tbal[[#This Row],[DEUDOR]],0)</f>
        <v>0</v>
      </c>
      <c r="N2567" s="18">
        <f>IF((OR(tbal[[#This Row],[X]]=0,tbal[[#This Row],[X]]=5)),tbal[[#This Row],[ACREEDOR]],0)</f>
        <v>0</v>
      </c>
    </row>
    <row r="2568" spans="1:14" hidden="1" x14ac:dyDescent="0.3">
      <c r="A2568" s="14">
        <f>+'PLAN DE CUENTAS'!A2568</f>
        <v>0</v>
      </c>
      <c r="B2568" s="13">
        <f>+'PLAN DE CUENTAS'!B2568</f>
        <v>0</v>
      </c>
      <c r="C2568" s="13">
        <f>+'PLAN DE CUENTAS'!C2568</f>
        <v>0</v>
      </c>
      <c r="D2568" t="str">
        <f>IF(tbal[[#This Row],[DEBE]]+tbal[[#This Row],[HABER]]=0,"","X")</f>
        <v/>
      </c>
      <c r="E2568" s="16">
        <f>SUMIF(tdiario[CUENTA],tbal[[#This Row],[CUENTA]],tdiario[DEBE])</f>
        <v>0</v>
      </c>
      <c r="F2568" s="17">
        <f>SUMIF(tdiario[CUENTA],tbal[[#This Row],[CUENTA]],tdiario[HABER])</f>
        <v>0</v>
      </c>
      <c r="G2568" s="16">
        <f>IF(tbal[[#This Row],[DEBE]]-tbal[[#This Row],[HABER]]&gt;0,tbal[[#This Row],[DEBE]]-tbal[[#This Row],[HABER]],0)</f>
        <v>0</v>
      </c>
      <c r="H2568" s="18">
        <f>IF(tbal[[#This Row],[HABER]]-tbal[[#This Row],[DEBE]]&gt;0,tbal[[#This Row],[HABER]]-tbal[[#This Row],[DEBE]],0)</f>
        <v>0</v>
      </c>
      <c r="I2568" s="16">
        <f>IF((OR(tbal[[#This Row],[X]]=1,tbal[[#This Row],[X]]=2)),tbal[[#This Row],[DEUDOR]],0)</f>
        <v>0</v>
      </c>
      <c r="J2568" s="18">
        <f>IF((OR(tbal[[#This Row],[X]]=2,tbal[[#This Row],[X]]=3)),tbal[[#This Row],[ACREEDOR]],0)</f>
        <v>0</v>
      </c>
      <c r="K2568" s="16">
        <f>IF((OR(tbal[[#This Row],[X]]=3,tbal[[#This Row],[X]]=5)),tbal[[#This Row],[DEUDOR]],0)</f>
        <v>0</v>
      </c>
      <c r="L2568" s="18">
        <f>IF((OR(tbal[[#This Row],[X]]=3,tbal[[#This Row],[X]]=4)),tbal[[#This Row],[ACREEDOR]],0)</f>
        <v>0</v>
      </c>
      <c r="M2568" s="16">
        <f>IF((OR(tbal[[#This Row],[X]]=0,tbal[[#This Row],[X]]=6)),tbal[[#This Row],[DEUDOR]],0)</f>
        <v>0</v>
      </c>
      <c r="N2568" s="18">
        <f>IF((OR(tbal[[#This Row],[X]]=0,tbal[[#This Row],[X]]=5)),tbal[[#This Row],[ACREEDOR]],0)</f>
        <v>0</v>
      </c>
    </row>
    <row r="2569" spans="1:14" hidden="1" x14ac:dyDescent="0.3">
      <c r="A2569" s="14">
        <f>+'PLAN DE CUENTAS'!A2569</f>
        <v>0</v>
      </c>
      <c r="B2569" s="13">
        <f>+'PLAN DE CUENTAS'!B2569</f>
        <v>0</v>
      </c>
      <c r="C2569" s="13">
        <f>+'PLAN DE CUENTAS'!C2569</f>
        <v>0</v>
      </c>
      <c r="D2569" t="str">
        <f>IF(tbal[[#This Row],[DEBE]]+tbal[[#This Row],[HABER]]=0,"","X")</f>
        <v/>
      </c>
      <c r="E2569" s="16">
        <f>SUMIF(tdiario[CUENTA],tbal[[#This Row],[CUENTA]],tdiario[DEBE])</f>
        <v>0</v>
      </c>
      <c r="F2569" s="17">
        <f>SUMIF(tdiario[CUENTA],tbal[[#This Row],[CUENTA]],tdiario[HABER])</f>
        <v>0</v>
      </c>
      <c r="G2569" s="16">
        <f>IF(tbal[[#This Row],[DEBE]]-tbal[[#This Row],[HABER]]&gt;0,tbal[[#This Row],[DEBE]]-tbal[[#This Row],[HABER]],0)</f>
        <v>0</v>
      </c>
      <c r="H2569" s="18">
        <f>IF(tbal[[#This Row],[HABER]]-tbal[[#This Row],[DEBE]]&gt;0,tbal[[#This Row],[HABER]]-tbal[[#This Row],[DEBE]],0)</f>
        <v>0</v>
      </c>
      <c r="I2569" s="16">
        <f>IF((OR(tbal[[#This Row],[X]]=1,tbal[[#This Row],[X]]=2)),tbal[[#This Row],[DEUDOR]],0)</f>
        <v>0</v>
      </c>
      <c r="J2569" s="18">
        <f>IF((OR(tbal[[#This Row],[X]]=2,tbal[[#This Row],[X]]=3)),tbal[[#This Row],[ACREEDOR]],0)</f>
        <v>0</v>
      </c>
      <c r="K2569" s="16">
        <f>IF((OR(tbal[[#This Row],[X]]=3,tbal[[#This Row],[X]]=5)),tbal[[#This Row],[DEUDOR]],0)</f>
        <v>0</v>
      </c>
      <c r="L2569" s="18">
        <f>IF((OR(tbal[[#This Row],[X]]=3,tbal[[#This Row],[X]]=4)),tbal[[#This Row],[ACREEDOR]],0)</f>
        <v>0</v>
      </c>
      <c r="M2569" s="16">
        <f>IF((OR(tbal[[#This Row],[X]]=0,tbal[[#This Row],[X]]=6)),tbal[[#This Row],[DEUDOR]],0)</f>
        <v>0</v>
      </c>
      <c r="N2569" s="18">
        <f>IF((OR(tbal[[#This Row],[X]]=0,tbal[[#This Row],[X]]=5)),tbal[[#This Row],[ACREEDOR]],0)</f>
        <v>0</v>
      </c>
    </row>
    <row r="2570" spans="1:14" hidden="1" x14ac:dyDescent="0.3">
      <c r="A2570" s="14">
        <f>+'PLAN DE CUENTAS'!A2570</f>
        <v>0</v>
      </c>
      <c r="B2570" s="13">
        <f>+'PLAN DE CUENTAS'!B2570</f>
        <v>0</v>
      </c>
      <c r="C2570" s="13">
        <f>+'PLAN DE CUENTAS'!C2570</f>
        <v>0</v>
      </c>
      <c r="D2570" t="str">
        <f>IF(tbal[[#This Row],[DEBE]]+tbal[[#This Row],[HABER]]=0,"","X")</f>
        <v/>
      </c>
      <c r="E2570" s="16">
        <f>SUMIF(tdiario[CUENTA],tbal[[#This Row],[CUENTA]],tdiario[DEBE])</f>
        <v>0</v>
      </c>
      <c r="F2570" s="17">
        <f>SUMIF(tdiario[CUENTA],tbal[[#This Row],[CUENTA]],tdiario[HABER])</f>
        <v>0</v>
      </c>
      <c r="G2570" s="16">
        <f>IF(tbal[[#This Row],[DEBE]]-tbal[[#This Row],[HABER]]&gt;0,tbal[[#This Row],[DEBE]]-tbal[[#This Row],[HABER]],0)</f>
        <v>0</v>
      </c>
      <c r="H2570" s="18">
        <f>IF(tbal[[#This Row],[HABER]]-tbal[[#This Row],[DEBE]]&gt;0,tbal[[#This Row],[HABER]]-tbal[[#This Row],[DEBE]],0)</f>
        <v>0</v>
      </c>
      <c r="I2570" s="16">
        <f>IF((OR(tbal[[#This Row],[X]]=1,tbal[[#This Row],[X]]=2)),tbal[[#This Row],[DEUDOR]],0)</f>
        <v>0</v>
      </c>
      <c r="J2570" s="18">
        <f>IF((OR(tbal[[#This Row],[X]]=2,tbal[[#This Row],[X]]=3)),tbal[[#This Row],[ACREEDOR]],0)</f>
        <v>0</v>
      </c>
      <c r="K2570" s="16">
        <f>IF((OR(tbal[[#This Row],[X]]=3,tbal[[#This Row],[X]]=5)),tbal[[#This Row],[DEUDOR]],0)</f>
        <v>0</v>
      </c>
      <c r="L2570" s="18">
        <f>IF((OR(tbal[[#This Row],[X]]=3,tbal[[#This Row],[X]]=4)),tbal[[#This Row],[ACREEDOR]],0)</f>
        <v>0</v>
      </c>
      <c r="M2570" s="16">
        <f>IF((OR(tbal[[#This Row],[X]]=0,tbal[[#This Row],[X]]=6)),tbal[[#This Row],[DEUDOR]],0)</f>
        <v>0</v>
      </c>
      <c r="N2570" s="18">
        <f>IF((OR(tbal[[#This Row],[X]]=0,tbal[[#This Row],[X]]=5)),tbal[[#This Row],[ACREEDOR]],0)</f>
        <v>0</v>
      </c>
    </row>
    <row r="2571" spans="1:14" hidden="1" x14ac:dyDescent="0.3">
      <c r="A2571" s="14">
        <f>+'PLAN DE CUENTAS'!A2571</f>
        <v>0</v>
      </c>
      <c r="B2571" s="13">
        <f>+'PLAN DE CUENTAS'!B2571</f>
        <v>0</v>
      </c>
      <c r="C2571" s="13">
        <f>+'PLAN DE CUENTAS'!C2571</f>
        <v>0</v>
      </c>
      <c r="D2571" t="str">
        <f>IF(tbal[[#This Row],[DEBE]]+tbal[[#This Row],[HABER]]=0,"","X")</f>
        <v/>
      </c>
      <c r="E2571" s="16">
        <f>SUMIF(tdiario[CUENTA],tbal[[#This Row],[CUENTA]],tdiario[DEBE])</f>
        <v>0</v>
      </c>
      <c r="F2571" s="17">
        <f>SUMIF(tdiario[CUENTA],tbal[[#This Row],[CUENTA]],tdiario[HABER])</f>
        <v>0</v>
      </c>
      <c r="G2571" s="16">
        <f>IF(tbal[[#This Row],[DEBE]]-tbal[[#This Row],[HABER]]&gt;0,tbal[[#This Row],[DEBE]]-tbal[[#This Row],[HABER]],0)</f>
        <v>0</v>
      </c>
      <c r="H2571" s="18">
        <f>IF(tbal[[#This Row],[HABER]]-tbal[[#This Row],[DEBE]]&gt;0,tbal[[#This Row],[HABER]]-tbal[[#This Row],[DEBE]],0)</f>
        <v>0</v>
      </c>
      <c r="I2571" s="16">
        <f>IF((OR(tbal[[#This Row],[X]]=1,tbal[[#This Row],[X]]=2)),tbal[[#This Row],[DEUDOR]],0)</f>
        <v>0</v>
      </c>
      <c r="J2571" s="18">
        <f>IF((OR(tbal[[#This Row],[X]]=2,tbal[[#This Row],[X]]=3)),tbal[[#This Row],[ACREEDOR]],0)</f>
        <v>0</v>
      </c>
      <c r="K2571" s="16">
        <f>IF((OR(tbal[[#This Row],[X]]=3,tbal[[#This Row],[X]]=5)),tbal[[#This Row],[DEUDOR]],0)</f>
        <v>0</v>
      </c>
      <c r="L2571" s="18">
        <f>IF((OR(tbal[[#This Row],[X]]=3,tbal[[#This Row],[X]]=4)),tbal[[#This Row],[ACREEDOR]],0)</f>
        <v>0</v>
      </c>
      <c r="M2571" s="16">
        <f>IF((OR(tbal[[#This Row],[X]]=0,tbal[[#This Row],[X]]=6)),tbal[[#This Row],[DEUDOR]],0)</f>
        <v>0</v>
      </c>
      <c r="N2571" s="18">
        <f>IF((OR(tbal[[#This Row],[X]]=0,tbal[[#This Row],[X]]=5)),tbal[[#This Row],[ACREEDOR]],0)</f>
        <v>0</v>
      </c>
    </row>
    <row r="2572" spans="1:14" hidden="1" x14ac:dyDescent="0.3">
      <c r="A2572" s="14">
        <f>+'PLAN DE CUENTAS'!A2572</f>
        <v>0</v>
      </c>
      <c r="B2572" s="13">
        <f>+'PLAN DE CUENTAS'!B2572</f>
        <v>0</v>
      </c>
      <c r="C2572" s="13">
        <f>+'PLAN DE CUENTAS'!C2572</f>
        <v>0</v>
      </c>
      <c r="D2572" t="str">
        <f>IF(tbal[[#This Row],[DEBE]]+tbal[[#This Row],[HABER]]=0,"","X")</f>
        <v/>
      </c>
      <c r="E2572" s="16">
        <f>SUMIF(tdiario[CUENTA],tbal[[#This Row],[CUENTA]],tdiario[DEBE])</f>
        <v>0</v>
      </c>
      <c r="F2572" s="17">
        <f>SUMIF(tdiario[CUENTA],tbal[[#This Row],[CUENTA]],tdiario[HABER])</f>
        <v>0</v>
      </c>
      <c r="G2572" s="16">
        <f>IF(tbal[[#This Row],[DEBE]]-tbal[[#This Row],[HABER]]&gt;0,tbal[[#This Row],[DEBE]]-tbal[[#This Row],[HABER]],0)</f>
        <v>0</v>
      </c>
      <c r="H2572" s="18">
        <f>IF(tbal[[#This Row],[HABER]]-tbal[[#This Row],[DEBE]]&gt;0,tbal[[#This Row],[HABER]]-tbal[[#This Row],[DEBE]],0)</f>
        <v>0</v>
      </c>
      <c r="I2572" s="16">
        <f>IF((OR(tbal[[#This Row],[X]]=1,tbal[[#This Row],[X]]=2)),tbal[[#This Row],[DEUDOR]],0)</f>
        <v>0</v>
      </c>
      <c r="J2572" s="18">
        <f>IF((OR(tbal[[#This Row],[X]]=2,tbal[[#This Row],[X]]=3)),tbal[[#This Row],[ACREEDOR]],0)</f>
        <v>0</v>
      </c>
      <c r="K2572" s="16">
        <f>IF((OR(tbal[[#This Row],[X]]=3,tbal[[#This Row],[X]]=5)),tbal[[#This Row],[DEUDOR]],0)</f>
        <v>0</v>
      </c>
      <c r="L2572" s="18">
        <f>IF((OR(tbal[[#This Row],[X]]=3,tbal[[#This Row],[X]]=4)),tbal[[#This Row],[ACREEDOR]],0)</f>
        <v>0</v>
      </c>
      <c r="M2572" s="16">
        <f>IF((OR(tbal[[#This Row],[X]]=0,tbal[[#This Row],[X]]=6)),tbal[[#This Row],[DEUDOR]],0)</f>
        <v>0</v>
      </c>
      <c r="N2572" s="18">
        <f>IF((OR(tbal[[#This Row],[X]]=0,tbal[[#This Row],[X]]=5)),tbal[[#This Row],[ACREEDOR]],0)</f>
        <v>0</v>
      </c>
    </row>
    <row r="2573" spans="1:14" hidden="1" x14ac:dyDescent="0.3">
      <c r="A2573" s="14">
        <f>+'PLAN DE CUENTAS'!A2573</f>
        <v>0</v>
      </c>
      <c r="B2573" s="13">
        <f>+'PLAN DE CUENTAS'!B2573</f>
        <v>0</v>
      </c>
      <c r="C2573" s="13">
        <f>+'PLAN DE CUENTAS'!C2573</f>
        <v>0</v>
      </c>
      <c r="D2573" t="str">
        <f>IF(tbal[[#This Row],[DEBE]]+tbal[[#This Row],[HABER]]=0,"","X")</f>
        <v/>
      </c>
      <c r="E2573" s="16">
        <f>SUMIF(tdiario[CUENTA],tbal[[#This Row],[CUENTA]],tdiario[DEBE])</f>
        <v>0</v>
      </c>
      <c r="F2573" s="17">
        <f>SUMIF(tdiario[CUENTA],tbal[[#This Row],[CUENTA]],tdiario[HABER])</f>
        <v>0</v>
      </c>
      <c r="G2573" s="16">
        <f>IF(tbal[[#This Row],[DEBE]]-tbal[[#This Row],[HABER]]&gt;0,tbal[[#This Row],[DEBE]]-tbal[[#This Row],[HABER]],0)</f>
        <v>0</v>
      </c>
      <c r="H2573" s="18">
        <f>IF(tbal[[#This Row],[HABER]]-tbal[[#This Row],[DEBE]]&gt;0,tbal[[#This Row],[HABER]]-tbal[[#This Row],[DEBE]],0)</f>
        <v>0</v>
      </c>
      <c r="I2573" s="16">
        <f>IF((OR(tbal[[#This Row],[X]]=1,tbal[[#This Row],[X]]=2)),tbal[[#This Row],[DEUDOR]],0)</f>
        <v>0</v>
      </c>
      <c r="J2573" s="18">
        <f>IF((OR(tbal[[#This Row],[X]]=2,tbal[[#This Row],[X]]=3)),tbal[[#This Row],[ACREEDOR]],0)</f>
        <v>0</v>
      </c>
      <c r="K2573" s="16">
        <f>IF((OR(tbal[[#This Row],[X]]=3,tbal[[#This Row],[X]]=5)),tbal[[#This Row],[DEUDOR]],0)</f>
        <v>0</v>
      </c>
      <c r="L2573" s="18">
        <f>IF((OR(tbal[[#This Row],[X]]=3,tbal[[#This Row],[X]]=4)),tbal[[#This Row],[ACREEDOR]],0)</f>
        <v>0</v>
      </c>
      <c r="M2573" s="16">
        <f>IF((OR(tbal[[#This Row],[X]]=0,tbal[[#This Row],[X]]=6)),tbal[[#This Row],[DEUDOR]],0)</f>
        <v>0</v>
      </c>
      <c r="N2573" s="18">
        <f>IF((OR(tbal[[#This Row],[X]]=0,tbal[[#This Row],[X]]=5)),tbal[[#This Row],[ACREEDOR]],0)</f>
        <v>0</v>
      </c>
    </row>
    <row r="2574" spans="1:14" hidden="1" x14ac:dyDescent="0.3">
      <c r="A2574" s="14">
        <f>+'PLAN DE CUENTAS'!A2574</f>
        <v>0</v>
      </c>
      <c r="B2574" s="13">
        <f>+'PLAN DE CUENTAS'!B2574</f>
        <v>0</v>
      </c>
      <c r="C2574" s="13">
        <f>+'PLAN DE CUENTAS'!C2574</f>
        <v>0</v>
      </c>
      <c r="D2574" t="str">
        <f>IF(tbal[[#This Row],[DEBE]]+tbal[[#This Row],[HABER]]=0,"","X")</f>
        <v/>
      </c>
      <c r="E2574" s="16">
        <f>SUMIF(tdiario[CUENTA],tbal[[#This Row],[CUENTA]],tdiario[DEBE])</f>
        <v>0</v>
      </c>
      <c r="F2574" s="17">
        <f>SUMIF(tdiario[CUENTA],tbal[[#This Row],[CUENTA]],tdiario[HABER])</f>
        <v>0</v>
      </c>
      <c r="G2574" s="16">
        <f>IF(tbal[[#This Row],[DEBE]]-tbal[[#This Row],[HABER]]&gt;0,tbal[[#This Row],[DEBE]]-tbal[[#This Row],[HABER]],0)</f>
        <v>0</v>
      </c>
      <c r="H2574" s="18">
        <f>IF(tbal[[#This Row],[HABER]]-tbal[[#This Row],[DEBE]]&gt;0,tbal[[#This Row],[HABER]]-tbal[[#This Row],[DEBE]],0)</f>
        <v>0</v>
      </c>
      <c r="I2574" s="16">
        <f>IF((OR(tbal[[#This Row],[X]]=1,tbal[[#This Row],[X]]=2)),tbal[[#This Row],[DEUDOR]],0)</f>
        <v>0</v>
      </c>
      <c r="J2574" s="18">
        <f>IF((OR(tbal[[#This Row],[X]]=2,tbal[[#This Row],[X]]=3)),tbal[[#This Row],[ACREEDOR]],0)</f>
        <v>0</v>
      </c>
      <c r="K2574" s="16">
        <f>IF((OR(tbal[[#This Row],[X]]=3,tbal[[#This Row],[X]]=5)),tbal[[#This Row],[DEUDOR]],0)</f>
        <v>0</v>
      </c>
      <c r="L2574" s="18">
        <f>IF((OR(tbal[[#This Row],[X]]=3,tbal[[#This Row],[X]]=4)),tbal[[#This Row],[ACREEDOR]],0)</f>
        <v>0</v>
      </c>
      <c r="M2574" s="16">
        <f>IF((OR(tbal[[#This Row],[X]]=0,tbal[[#This Row],[X]]=6)),tbal[[#This Row],[DEUDOR]],0)</f>
        <v>0</v>
      </c>
      <c r="N2574" s="18">
        <f>IF((OR(tbal[[#This Row],[X]]=0,tbal[[#This Row],[X]]=5)),tbal[[#This Row],[ACREEDOR]],0)</f>
        <v>0</v>
      </c>
    </row>
    <row r="2575" spans="1:14" hidden="1" x14ac:dyDescent="0.3">
      <c r="A2575" s="14">
        <f>+'PLAN DE CUENTAS'!A2575</f>
        <v>0</v>
      </c>
      <c r="B2575" s="13">
        <f>+'PLAN DE CUENTAS'!B2575</f>
        <v>0</v>
      </c>
      <c r="C2575" s="13">
        <f>+'PLAN DE CUENTAS'!C2575</f>
        <v>0</v>
      </c>
      <c r="D2575" t="str">
        <f>IF(tbal[[#This Row],[DEBE]]+tbal[[#This Row],[HABER]]=0,"","X")</f>
        <v/>
      </c>
      <c r="E2575" s="16">
        <f>SUMIF(tdiario[CUENTA],tbal[[#This Row],[CUENTA]],tdiario[DEBE])</f>
        <v>0</v>
      </c>
      <c r="F2575" s="17">
        <f>SUMIF(tdiario[CUENTA],tbal[[#This Row],[CUENTA]],tdiario[HABER])</f>
        <v>0</v>
      </c>
      <c r="G2575" s="16">
        <f>IF(tbal[[#This Row],[DEBE]]-tbal[[#This Row],[HABER]]&gt;0,tbal[[#This Row],[DEBE]]-tbal[[#This Row],[HABER]],0)</f>
        <v>0</v>
      </c>
      <c r="H2575" s="18">
        <f>IF(tbal[[#This Row],[HABER]]-tbal[[#This Row],[DEBE]]&gt;0,tbal[[#This Row],[HABER]]-tbal[[#This Row],[DEBE]],0)</f>
        <v>0</v>
      </c>
      <c r="I2575" s="16">
        <f>IF((OR(tbal[[#This Row],[X]]=1,tbal[[#This Row],[X]]=2)),tbal[[#This Row],[DEUDOR]],0)</f>
        <v>0</v>
      </c>
      <c r="J2575" s="18">
        <f>IF((OR(tbal[[#This Row],[X]]=2,tbal[[#This Row],[X]]=3)),tbal[[#This Row],[ACREEDOR]],0)</f>
        <v>0</v>
      </c>
      <c r="K2575" s="16">
        <f>IF((OR(tbal[[#This Row],[X]]=3,tbal[[#This Row],[X]]=5)),tbal[[#This Row],[DEUDOR]],0)</f>
        <v>0</v>
      </c>
      <c r="L2575" s="18">
        <f>IF((OR(tbal[[#This Row],[X]]=3,tbal[[#This Row],[X]]=4)),tbal[[#This Row],[ACREEDOR]],0)</f>
        <v>0</v>
      </c>
      <c r="M2575" s="16">
        <f>IF((OR(tbal[[#This Row],[X]]=0,tbal[[#This Row],[X]]=6)),tbal[[#This Row],[DEUDOR]],0)</f>
        <v>0</v>
      </c>
      <c r="N2575" s="18">
        <f>IF((OR(tbal[[#This Row],[X]]=0,tbal[[#This Row],[X]]=5)),tbal[[#This Row],[ACREEDOR]],0)</f>
        <v>0</v>
      </c>
    </row>
    <row r="2576" spans="1:14" hidden="1" x14ac:dyDescent="0.3">
      <c r="A2576" s="14">
        <f>+'PLAN DE CUENTAS'!A2576</f>
        <v>0</v>
      </c>
      <c r="B2576" s="13">
        <f>+'PLAN DE CUENTAS'!B2576</f>
        <v>0</v>
      </c>
      <c r="C2576" s="13">
        <f>+'PLAN DE CUENTAS'!C2576</f>
        <v>0</v>
      </c>
      <c r="D2576" t="str">
        <f>IF(tbal[[#This Row],[DEBE]]+tbal[[#This Row],[HABER]]=0,"","X")</f>
        <v/>
      </c>
      <c r="E2576" s="16">
        <f>SUMIF(tdiario[CUENTA],tbal[[#This Row],[CUENTA]],tdiario[DEBE])</f>
        <v>0</v>
      </c>
      <c r="F2576" s="17">
        <f>SUMIF(tdiario[CUENTA],tbal[[#This Row],[CUENTA]],tdiario[HABER])</f>
        <v>0</v>
      </c>
      <c r="G2576" s="16">
        <f>IF(tbal[[#This Row],[DEBE]]-tbal[[#This Row],[HABER]]&gt;0,tbal[[#This Row],[DEBE]]-tbal[[#This Row],[HABER]],0)</f>
        <v>0</v>
      </c>
      <c r="H2576" s="18">
        <f>IF(tbal[[#This Row],[HABER]]-tbal[[#This Row],[DEBE]]&gt;0,tbal[[#This Row],[HABER]]-tbal[[#This Row],[DEBE]],0)</f>
        <v>0</v>
      </c>
      <c r="I2576" s="16">
        <f>IF((OR(tbal[[#This Row],[X]]=1,tbal[[#This Row],[X]]=2)),tbal[[#This Row],[DEUDOR]],0)</f>
        <v>0</v>
      </c>
      <c r="J2576" s="18">
        <f>IF((OR(tbal[[#This Row],[X]]=2,tbal[[#This Row],[X]]=3)),tbal[[#This Row],[ACREEDOR]],0)</f>
        <v>0</v>
      </c>
      <c r="K2576" s="16">
        <f>IF((OR(tbal[[#This Row],[X]]=3,tbal[[#This Row],[X]]=5)),tbal[[#This Row],[DEUDOR]],0)</f>
        <v>0</v>
      </c>
      <c r="L2576" s="18">
        <f>IF((OR(tbal[[#This Row],[X]]=3,tbal[[#This Row],[X]]=4)),tbal[[#This Row],[ACREEDOR]],0)</f>
        <v>0</v>
      </c>
      <c r="M2576" s="16">
        <f>IF((OR(tbal[[#This Row],[X]]=0,tbal[[#This Row],[X]]=6)),tbal[[#This Row],[DEUDOR]],0)</f>
        <v>0</v>
      </c>
      <c r="N2576" s="18">
        <f>IF((OR(tbal[[#This Row],[X]]=0,tbal[[#This Row],[X]]=5)),tbal[[#This Row],[ACREEDOR]],0)</f>
        <v>0</v>
      </c>
    </row>
    <row r="2577" spans="1:14" hidden="1" x14ac:dyDescent="0.3">
      <c r="A2577" s="14">
        <f>+'PLAN DE CUENTAS'!A2577</f>
        <v>0</v>
      </c>
      <c r="B2577" s="13">
        <f>+'PLAN DE CUENTAS'!B2577</f>
        <v>0</v>
      </c>
      <c r="C2577" s="13">
        <f>+'PLAN DE CUENTAS'!C2577</f>
        <v>0</v>
      </c>
      <c r="D2577" t="str">
        <f>IF(tbal[[#This Row],[DEBE]]+tbal[[#This Row],[HABER]]=0,"","X")</f>
        <v/>
      </c>
      <c r="E2577" s="16">
        <f>SUMIF(tdiario[CUENTA],tbal[[#This Row],[CUENTA]],tdiario[DEBE])</f>
        <v>0</v>
      </c>
      <c r="F2577" s="17">
        <f>SUMIF(tdiario[CUENTA],tbal[[#This Row],[CUENTA]],tdiario[HABER])</f>
        <v>0</v>
      </c>
      <c r="G2577" s="16">
        <f>IF(tbal[[#This Row],[DEBE]]-tbal[[#This Row],[HABER]]&gt;0,tbal[[#This Row],[DEBE]]-tbal[[#This Row],[HABER]],0)</f>
        <v>0</v>
      </c>
      <c r="H2577" s="18">
        <f>IF(tbal[[#This Row],[HABER]]-tbal[[#This Row],[DEBE]]&gt;0,tbal[[#This Row],[HABER]]-tbal[[#This Row],[DEBE]],0)</f>
        <v>0</v>
      </c>
      <c r="I2577" s="16">
        <f>IF((OR(tbal[[#This Row],[X]]=1,tbal[[#This Row],[X]]=2)),tbal[[#This Row],[DEUDOR]],0)</f>
        <v>0</v>
      </c>
      <c r="J2577" s="18">
        <f>IF((OR(tbal[[#This Row],[X]]=2,tbal[[#This Row],[X]]=3)),tbal[[#This Row],[ACREEDOR]],0)</f>
        <v>0</v>
      </c>
      <c r="K2577" s="16">
        <f>IF((OR(tbal[[#This Row],[X]]=3,tbal[[#This Row],[X]]=5)),tbal[[#This Row],[DEUDOR]],0)</f>
        <v>0</v>
      </c>
      <c r="L2577" s="18">
        <f>IF((OR(tbal[[#This Row],[X]]=3,tbal[[#This Row],[X]]=4)),tbal[[#This Row],[ACREEDOR]],0)</f>
        <v>0</v>
      </c>
      <c r="M2577" s="16">
        <f>IF((OR(tbal[[#This Row],[X]]=0,tbal[[#This Row],[X]]=6)),tbal[[#This Row],[DEUDOR]],0)</f>
        <v>0</v>
      </c>
      <c r="N2577" s="18">
        <f>IF((OR(tbal[[#This Row],[X]]=0,tbal[[#This Row],[X]]=5)),tbal[[#This Row],[ACREEDOR]],0)</f>
        <v>0</v>
      </c>
    </row>
    <row r="2578" spans="1:14" hidden="1" x14ac:dyDescent="0.3">
      <c r="A2578" s="14">
        <f>+'PLAN DE CUENTAS'!A2578</f>
        <v>0</v>
      </c>
      <c r="B2578" s="13">
        <f>+'PLAN DE CUENTAS'!B2578</f>
        <v>0</v>
      </c>
      <c r="C2578" s="13">
        <f>+'PLAN DE CUENTAS'!C2578</f>
        <v>0</v>
      </c>
      <c r="D2578" t="str">
        <f>IF(tbal[[#This Row],[DEBE]]+tbal[[#This Row],[HABER]]=0,"","X")</f>
        <v/>
      </c>
      <c r="E2578" s="16">
        <f>SUMIF(tdiario[CUENTA],tbal[[#This Row],[CUENTA]],tdiario[DEBE])</f>
        <v>0</v>
      </c>
      <c r="F2578" s="17">
        <f>SUMIF(tdiario[CUENTA],tbal[[#This Row],[CUENTA]],tdiario[HABER])</f>
        <v>0</v>
      </c>
      <c r="G2578" s="16">
        <f>IF(tbal[[#This Row],[DEBE]]-tbal[[#This Row],[HABER]]&gt;0,tbal[[#This Row],[DEBE]]-tbal[[#This Row],[HABER]],0)</f>
        <v>0</v>
      </c>
      <c r="H2578" s="18">
        <f>IF(tbal[[#This Row],[HABER]]-tbal[[#This Row],[DEBE]]&gt;0,tbal[[#This Row],[HABER]]-tbal[[#This Row],[DEBE]],0)</f>
        <v>0</v>
      </c>
      <c r="I2578" s="16">
        <f>IF((OR(tbal[[#This Row],[X]]=1,tbal[[#This Row],[X]]=2)),tbal[[#This Row],[DEUDOR]],0)</f>
        <v>0</v>
      </c>
      <c r="J2578" s="18">
        <f>IF((OR(tbal[[#This Row],[X]]=2,tbal[[#This Row],[X]]=3)),tbal[[#This Row],[ACREEDOR]],0)</f>
        <v>0</v>
      </c>
      <c r="K2578" s="16">
        <f>IF((OR(tbal[[#This Row],[X]]=3,tbal[[#This Row],[X]]=5)),tbal[[#This Row],[DEUDOR]],0)</f>
        <v>0</v>
      </c>
      <c r="L2578" s="18">
        <f>IF((OR(tbal[[#This Row],[X]]=3,tbal[[#This Row],[X]]=4)),tbal[[#This Row],[ACREEDOR]],0)</f>
        <v>0</v>
      </c>
      <c r="M2578" s="16">
        <f>IF((OR(tbal[[#This Row],[X]]=0,tbal[[#This Row],[X]]=6)),tbal[[#This Row],[DEUDOR]],0)</f>
        <v>0</v>
      </c>
      <c r="N2578" s="18">
        <f>IF((OR(tbal[[#This Row],[X]]=0,tbal[[#This Row],[X]]=5)),tbal[[#This Row],[ACREEDOR]],0)</f>
        <v>0</v>
      </c>
    </row>
    <row r="2579" spans="1:14" hidden="1" x14ac:dyDescent="0.3">
      <c r="A2579" s="14">
        <f>+'PLAN DE CUENTAS'!A2579</f>
        <v>0</v>
      </c>
      <c r="B2579" s="13">
        <f>+'PLAN DE CUENTAS'!B2579</f>
        <v>0</v>
      </c>
      <c r="C2579" s="13">
        <f>+'PLAN DE CUENTAS'!C2579</f>
        <v>0</v>
      </c>
      <c r="D2579" t="str">
        <f>IF(tbal[[#This Row],[DEBE]]+tbal[[#This Row],[HABER]]=0,"","X")</f>
        <v/>
      </c>
      <c r="E2579" s="16">
        <f>SUMIF(tdiario[CUENTA],tbal[[#This Row],[CUENTA]],tdiario[DEBE])</f>
        <v>0</v>
      </c>
      <c r="F2579" s="17">
        <f>SUMIF(tdiario[CUENTA],tbal[[#This Row],[CUENTA]],tdiario[HABER])</f>
        <v>0</v>
      </c>
      <c r="G2579" s="16">
        <f>IF(tbal[[#This Row],[DEBE]]-tbal[[#This Row],[HABER]]&gt;0,tbal[[#This Row],[DEBE]]-tbal[[#This Row],[HABER]],0)</f>
        <v>0</v>
      </c>
      <c r="H2579" s="18">
        <f>IF(tbal[[#This Row],[HABER]]-tbal[[#This Row],[DEBE]]&gt;0,tbal[[#This Row],[HABER]]-tbal[[#This Row],[DEBE]],0)</f>
        <v>0</v>
      </c>
      <c r="I2579" s="16">
        <f>IF((OR(tbal[[#This Row],[X]]=1,tbal[[#This Row],[X]]=2)),tbal[[#This Row],[DEUDOR]],0)</f>
        <v>0</v>
      </c>
      <c r="J2579" s="18">
        <f>IF((OR(tbal[[#This Row],[X]]=2,tbal[[#This Row],[X]]=3)),tbal[[#This Row],[ACREEDOR]],0)</f>
        <v>0</v>
      </c>
      <c r="K2579" s="16">
        <f>IF((OR(tbal[[#This Row],[X]]=3,tbal[[#This Row],[X]]=5)),tbal[[#This Row],[DEUDOR]],0)</f>
        <v>0</v>
      </c>
      <c r="L2579" s="18">
        <f>IF((OR(tbal[[#This Row],[X]]=3,tbal[[#This Row],[X]]=4)),tbal[[#This Row],[ACREEDOR]],0)</f>
        <v>0</v>
      </c>
      <c r="M2579" s="16">
        <f>IF((OR(tbal[[#This Row],[X]]=0,tbal[[#This Row],[X]]=6)),tbal[[#This Row],[DEUDOR]],0)</f>
        <v>0</v>
      </c>
      <c r="N2579" s="18">
        <f>IF((OR(tbal[[#This Row],[X]]=0,tbal[[#This Row],[X]]=5)),tbal[[#This Row],[ACREEDOR]],0)</f>
        <v>0</v>
      </c>
    </row>
    <row r="2580" spans="1:14" hidden="1" x14ac:dyDescent="0.3">
      <c r="A2580" s="14">
        <f>+'PLAN DE CUENTAS'!A2580</f>
        <v>0</v>
      </c>
      <c r="B2580" s="13">
        <f>+'PLAN DE CUENTAS'!B2580</f>
        <v>0</v>
      </c>
      <c r="C2580" s="13">
        <f>+'PLAN DE CUENTAS'!C2580</f>
        <v>0</v>
      </c>
      <c r="D2580" t="str">
        <f>IF(tbal[[#This Row],[DEBE]]+tbal[[#This Row],[HABER]]=0,"","X")</f>
        <v/>
      </c>
      <c r="E2580" s="16">
        <f>SUMIF(tdiario[CUENTA],tbal[[#This Row],[CUENTA]],tdiario[DEBE])</f>
        <v>0</v>
      </c>
      <c r="F2580" s="17">
        <f>SUMIF(tdiario[CUENTA],tbal[[#This Row],[CUENTA]],tdiario[HABER])</f>
        <v>0</v>
      </c>
      <c r="G2580" s="16">
        <f>IF(tbal[[#This Row],[DEBE]]-tbal[[#This Row],[HABER]]&gt;0,tbal[[#This Row],[DEBE]]-tbal[[#This Row],[HABER]],0)</f>
        <v>0</v>
      </c>
      <c r="H2580" s="18">
        <f>IF(tbal[[#This Row],[HABER]]-tbal[[#This Row],[DEBE]]&gt;0,tbal[[#This Row],[HABER]]-tbal[[#This Row],[DEBE]],0)</f>
        <v>0</v>
      </c>
      <c r="I2580" s="16">
        <f>IF((OR(tbal[[#This Row],[X]]=1,tbal[[#This Row],[X]]=2)),tbal[[#This Row],[DEUDOR]],0)</f>
        <v>0</v>
      </c>
      <c r="J2580" s="18">
        <f>IF((OR(tbal[[#This Row],[X]]=2,tbal[[#This Row],[X]]=3)),tbal[[#This Row],[ACREEDOR]],0)</f>
        <v>0</v>
      </c>
      <c r="K2580" s="16">
        <f>IF((OR(tbal[[#This Row],[X]]=3,tbal[[#This Row],[X]]=5)),tbal[[#This Row],[DEUDOR]],0)</f>
        <v>0</v>
      </c>
      <c r="L2580" s="18">
        <f>IF((OR(tbal[[#This Row],[X]]=3,tbal[[#This Row],[X]]=4)),tbal[[#This Row],[ACREEDOR]],0)</f>
        <v>0</v>
      </c>
      <c r="M2580" s="16">
        <f>IF((OR(tbal[[#This Row],[X]]=0,tbal[[#This Row],[X]]=6)),tbal[[#This Row],[DEUDOR]],0)</f>
        <v>0</v>
      </c>
      <c r="N2580" s="18">
        <f>IF((OR(tbal[[#This Row],[X]]=0,tbal[[#This Row],[X]]=5)),tbal[[#This Row],[ACREEDOR]],0)</f>
        <v>0</v>
      </c>
    </row>
    <row r="2581" spans="1:14" hidden="1" x14ac:dyDescent="0.3">
      <c r="A2581" s="14">
        <f>+'PLAN DE CUENTAS'!A2581</f>
        <v>0</v>
      </c>
      <c r="B2581" s="13">
        <f>+'PLAN DE CUENTAS'!B2581</f>
        <v>0</v>
      </c>
      <c r="C2581" s="13">
        <f>+'PLAN DE CUENTAS'!C2581</f>
        <v>0</v>
      </c>
      <c r="D2581" t="str">
        <f>IF(tbal[[#This Row],[DEBE]]+tbal[[#This Row],[HABER]]=0,"","X")</f>
        <v/>
      </c>
      <c r="E2581" s="16">
        <f>SUMIF(tdiario[CUENTA],tbal[[#This Row],[CUENTA]],tdiario[DEBE])</f>
        <v>0</v>
      </c>
      <c r="F2581" s="17">
        <f>SUMIF(tdiario[CUENTA],tbal[[#This Row],[CUENTA]],tdiario[HABER])</f>
        <v>0</v>
      </c>
      <c r="G2581" s="16">
        <f>IF(tbal[[#This Row],[DEBE]]-tbal[[#This Row],[HABER]]&gt;0,tbal[[#This Row],[DEBE]]-tbal[[#This Row],[HABER]],0)</f>
        <v>0</v>
      </c>
      <c r="H2581" s="18">
        <f>IF(tbal[[#This Row],[HABER]]-tbal[[#This Row],[DEBE]]&gt;0,tbal[[#This Row],[HABER]]-tbal[[#This Row],[DEBE]],0)</f>
        <v>0</v>
      </c>
      <c r="I2581" s="16">
        <f>IF((OR(tbal[[#This Row],[X]]=1,tbal[[#This Row],[X]]=2)),tbal[[#This Row],[DEUDOR]],0)</f>
        <v>0</v>
      </c>
      <c r="J2581" s="18">
        <f>IF((OR(tbal[[#This Row],[X]]=2,tbal[[#This Row],[X]]=3)),tbal[[#This Row],[ACREEDOR]],0)</f>
        <v>0</v>
      </c>
      <c r="K2581" s="16">
        <f>IF((OR(tbal[[#This Row],[X]]=3,tbal[[#This Row],[X]]=5)),tbal[[#This Row],[DEUDOR]],0)</f>
        <v>0</v>
      </c>
      <c r="L2581" s="18">
        <f>IF((OR(tbal[[#This Row],[X]]=3,tbal[[#This Row],[X]]=4)),tbal[[#This Row],[ACREEDOR]],0)</f>
        <v>0</v>
      </c>
      <c r="M2581" s="16">
        <f>IF((OR(tbal[[#This Row],[X]]=0,tbal[[#This Row],[X]]=6)),tbal[[#This Row],[DEUDOR]],0)</f>
        <v>0</v>
      </c>
      <c r="N2581" s="18">
        <f>IF((OR(tbal[[#This Row],[X]]=0,tbal[[#This Row],[X]]=5)),tbal[[#This Row],[ACREEDOR]],0)</f>
        <v>0</v>
      </c>
    </row>
    <row r="2582" spans="1:14" hidden="1" x14ac:dyDescent="0.3">
      <c r="A2582" s="14">
        <f>+'PLAN DE CUENTAS'!A2582</f>
        <v>0</v>
      </c>
      <c r="B2582" s="13">
        <f>+'PLAN DE CUENTAS'!B2582</f>
        <v>0</v>
      </c>
      <c r="C2582" s="13">
        <f>+'PLAN DE CUENTAS'!C2582</f>
        <v>0</v>
      </c>
      <c r="D2582" t="str">
        <f>IF(tbal[[#This Row],[DEBE]]+tbal[[#This Row],[HABER]]=0,"","X")</f>
        <v/>
      </c>
      <c r="E2582" s="16">
        <f>SUMIF(tdiario[CUENTA],tbal[[#This Row],[CUENTA]],tdiario[DEBE])</f>
        <v>0</v>
      </c>
      <c r="F2582" s="17">
        <f>SUMIF(tdiario[CUENTA],tbal[[#This Row],[CUENTA]],tdiario[HABER])</f>
        <v>0</v>
      </c>
      <c r="G2582" s="16">
        <f>IF(tbal[[#This Row],[DEBE]]-tbal[[#This Row],[HABER]]&gt;0,tbal[[#This Row],[DEBE]]-tbal[[#This Row],[HABER]],0)</f>
        <v>0</v>
      </c>
      <c r="H2582" s="18">
        <f>IF(tbal[[#This Row],[HABER]]-tbal[[#This Row],[DEBE]]&gt;0,tbal[[#This Row],[HABER]]-tbal[[#This Row],[DEBE]],0)</f>
        <v>0</v>
      </c>
      <c r="I2582" s="16">
        <f>IF((OR(tbal[[#This Row],[X]]=1,tbal[[#This Row],[X]]=2)),tbal[[#This Row],[DEUDOR]],0)</f>
        <v>0</v>
      </c>
      <c r="J2582" s="18">
        <f>IF((OR(tbal[[#This Row],[X]]=2,tbal[[#This Row],[X]]=3)),tbal[[#This Row],[ACREEDOR]],0)</f>
        <v>0</v>
      </c>
      <c r="K2582" s="16">
        <f>IF((OR(tbal[[#This Row],[X]]=3,tbal[[#This Row],[X]]=5)),tbal[[#This Row],[DEUDOR]],0)</f>
        <v>0</v>
      </c>
      <c r="L2582" s="18">
        <f>IF((OR(tbal[[#This Row],[X]]=3,tbal[[#This Row],[X]]=4)),tbal[[#This Row],[ACREEDOR]],0)</f>
        <v>0</v>
      </c>
      <c r="M2582" s="16">
        <f>IF((OR(tbal[[#This Row],[X]]=0,tbal[[#This Row],[X]]=6)),tbal[[#This Row],[DEUDOR]],0)</f>
        <v>0</v>
      </c>
      <c r="N2582" s="18">
        <f>IF((OR(tbal[[#This Row],[X]]=0,tbal[[#This Row],[X]]=5)),tbal[[#This Row],[ACREEDOR]],0)</f>
        <v>0</v>
      </c>
    </row>
    <row r="2583" spans="1:14" hidden="1" x14ac:dyDescent="0.3">
      <c r="A2583" s="14">
        <f>+'PLAN DE CUENTAS'!A2583</f>
        <v>0</v>
      </c>
      <c r="B2583" s="13">
        <f>+'PLAN DE CUENTAS'!B2583</f>
        <v>0</v>
      </c>
      <c r="C2583" s="13">
        <f>+'PLAN DE CUENTAS'!C2583</f>
        <v>0</v>
      </c>
      <c r="D2583" t="str">
        <f>IF(tbal[[#This Row],[DEBE]]+tbal[[#This Row],[HABER]]=0,"","X")</f>
        <v/>
      </c>
      <c r="E2583" s="16">
        <f>SUMIF(tdiario[CUENTA],tbal[[#This Row],[CUENTA]],tdiario[DEBE])</f>
        <v>0</v>
      </c>
      <c r="F2583" s="17">
        <f>SUMIF(tdiario[CUENTA],tbal[[#This Row],[CUENTA]],tdiario[HABER])</f>
        <v>0</v>
      </c>
      <c r="G2583" s="16">
        <f>IF(tbal[[#This Row],[DEBE]]-tbal[[#This Row],[HABER]]&gt;0,tbal[[#This Row],[DEBE]]-tbal[[#This Row],[HABER]],0)</f>
        <v>0</v>
      </c>
      <c r="H2583" s="18">
        <f>IF(tbal[[#This Row],[HABER]]-tbal[[#This Row],[DEBE]]&gt;0,tbal[[#This Row],[HABER]]-tbal[[#This Row],[DEBE]],0)</f>
        <v>0</v>
      </c>
      <c r="I2583" s="16">
        <f>IF((OR(tbal[[#This Row],[X]]=1,tbal[[#This Row],[X]]=2)),tbal[[#This Row],[DEUDOR]],0)</f>
        <v>0</v>
      </c>
      <c r="J2583" s="18">
        <f>IF((OR(tbal[[#This Row],[X]]=2,tbal[[#This Row],[X]]=3)),tbal[[#This Row],[ACREEDOR]],0)</f>
        <v>0</v>
      </c>
      <c r="K2583" s="16">
        <f>IF((OR(tbal[[#This Row],[X]]=3,tbal[[#This Row],[X]]=5)),tbal[[#This Row],[DEUDOR]],0)</f>
        <v>0</v>
      </c>
      <c r="L2583" s="18">
        <f>IF((OR(tbal[[#This Row],[X]]=3,tbal[[#This Row],[X]]=4)),tbal[[#This Row],[ACREEDOR]],0)</f>
        <v>0</v>
      </c>
      <c r="M2583" s="16">
        <f>IF((OR(tbal[[#This Row],[X]]=0,tbal[[#This Row],[X]]=6)),tbal[[#This Row],[DEUDOR]],0)</f>
        <v>0</v>
      </c>
      <c r="N2583" s="18">
        <f>IF((OR(tbal[[#This Row],[X]]=0,tbal[[#This Row],[X]]=5)),tbal[[#This Row],[ACREEDOR]],0)</f>
        <v>0</v>
      </c>
    </row>
    <row r="2584" spans="1:14" hidden="1" x14ac:dyDescent="0.3">
      <c r="A2584" s="14">
        <f>+'PLAN DE CUENTAS'!A2584</f>
        <v>0</v>
      </c>
      <c r="B2584" s="13">
        <f>+'PLAN DE CUENTAS'!B2584</f>
        <v>0</v>
      </c>
      <c r="C2584" s="13">
        <f>+'PLAN DE CUENTAS'!C2584</f>
        <v>0</v>
      </c>
      <c r="D2584" t="str">
        <f>IF(tbal[[#This Row],[DEBE]]+tbal[[#This Row],[HABER]]=0,"","X")</f>
        <v/>
      </c>
      <c r="E2584" s="16">
        <f>SUMIF(tdiario[CUENTA],tbal[[#This Row],[CUENTA]],tdiario[DEBE])</f>
        <v>0</v>
      </c>
      <c r="F2584" s="17">
        <f>SUMIF(tdiario[CUENTA],tbal[[#This Row],[CUENTA]],tdiario[HABER])</f>
        <v>0</v>
      </c>
      <c r="G2584" s="16">
        <f>IF(tbal[[#This Row],[DEBE]]-tbal[[#This Row],[HABER]]&gt;0,tbal[[#This Row],[DEBE]]-tbal[[#This Row],[HABER]],0)</f>
        <v>0</v>
      </c>
      <c r="H2584" s="18">
        <f>IF(tbal[[#This Row],[HABER]]-tbal[[#This Row],[DEBE]]&gt;0,tbal[[#This Row],[HABER]]-tbal[[#This Row],[DEBE]],0)</f>
        <v>0</v>
      </c>
      <c r="I2584" s="16">
        <f>IF((OR(tbal[[#This Row],[X]]=1,tbal[[#This Row],[X]]=2)),tbal[[#This Row],[DEUDOR]],0)</f>
        <v>0</v>
      </c>
      <c r="J2584" s="18">
        <f>IF((OR(tbal[[#This Row],[X]]=2,tbal[[#This Row],[X]]=3)),tbal[[#This Row],[ACREEDOR]],0)</f>
        <v>0</v>
      </c>
      <c r="K2584" s="16">
        <f>IF((OR(tbal[[#This Row],[X]]=3,tbal[[#This Row],[X]]=5)),tbal[[#This Row],[DEUDOR]],0)</f>
        <v>0</v>
      </c>
      <c r="L2584" s="18">
        <f>IF((OR(tbal[[#This Row],[X]]=3,tbal[[#This Row],[X]]=4)),tbal[[#This Row],[ACREEDOR]],0)</f>
        <v>0</v>
      </c>
      <c r="M2584" s="16">
        <f>IF((OR(tbal[[#This Row],[X]]=0,tbal[[#This Row],[X]]=6)),tbal[[#This Row],[DEUDOR]],0)</f>
        <v>0</v>
      </c>
      <c r="N2584" s="18">
        <f>IF((OR(tbal[[#This Row],[X]]=0,tbal[[#This Row],[X]]=5)),tbal[[#This Row],[ACREEDOR]],0)</f>
        <v>0</v>
      </c>
    </row>
    <row r="2585" spans="1:14" hidden="1" x14ac:dyDescent="0.3">
      <c r="A2585" s="14">
        <f>+'PLAN DE CUENTAS'!A2585</f>
        <v>0</v>
      </c>
      <c r="B2585" s="13">
        <f>+'PLAN DE CUENTAS'!B2585</f>
        <v>0</v>
      </c>
      <c r="C2585" s="13">
        <f>+'PLAN DE CUENTAS'!C2585</f>
        <v>0</v>
      </c>
      <c r="D2585" t="str">
        <f>IF(tbal[[#This Row],[DEBE]]+tbal[[#This Row],[HABER]]=0,"","X")</f>
        <v/>
      </c>
      <c r="E2585" s="16">
        <f>SUMIF(tdiario[CUENTA],tbal[[#This Row],[CUENTA]],tdiario[DEBE])</f>
        <v>0</v>
      </c>
      <c r="F2585" s="17">
        <f>SUMIF(tdiario[CUENTA],tbal[[#This Row],[CUENTA]],tdiario[HABER])</f>
        <v>0</v>
      </c>
      <c r="G2585" s="16">
        <f>IF(tbal[[#This Row],[DEBE]]-tbal[[#This Row],[HABER]]&gt;0,tbal[[#This Row],[DEBE]]-tbal[[#This Row],[HABER]],0)</f>
        <v>0</v>
      </c>
      <c r="H2585" s="18">
        <f>IF(tbal[[#This Row],[HABER]]-tbal[[#This Row],[DEBE]]&gt;0,tbal[[#This Row],[HABER]]-tbal[[#This Row],[DEBE]],0)</f>
        <v>0</v>
      </c>
      <c r="I2585" s="16">
        <f>IF((OR(tbal[[#This Row],[X]]=1,tbal[[#This Row],[X]]=2)),tbal[[#This Row],[DEUDOR]],0)</f>
        <v>0</v>
      </c>
      <c r="J2585" s="18">
        <f>IF((OR(tbal[[#This Row],[X]]=2,tbal[[#This Row],[X]]=3)),tbal[[#This Row],[ACREEDOR]],0)</f>
        <v>0</v>
      </c>
      <c r="K2585" s="16">
        <f>IF((OR(tbal[[#This Row],[X]]=3,tbal[[#This Row],[X]]=5)),tbal[[#This Row],[DEUDOR]],0)</f>
        <v>0</v>
      </c>
      <c r="L2585" s="18">
        <f>IF((OR(tbal[[#This Row],[X]]=3,tbal[[#This Row],[X]]=4)),tbal[[#This Row],[ACREEDOR]],0)</f>
        <v>0</v>
      </c>
      <c r="M2585" s="16">
        <f>IF((OR(tbal[[#This Row],[X]]=0,tbal[[#This Row],[X]]=6)),tbal[[#This Row],[DEUDOR]],0)</f>
        <v>0</v>
      </c>
      <c r="N2585" s="18">
        <f>IF((OR(tbal[[#This Row],[X]]=0,tbal[[#This Row],[X]]=5)),tbal[[#This Row],[ACREEDOR]],0)</f>
        <v>0</v>
      </c>
    </row>
    <row r="2586" spans="1:14" hidden="1" x14ac:dyDescent="0.3">
      <c r="A2586" s="14">
        <f>+'PLAN DE CUENTAS'!A2586</f>
        <v>0</v>
      </c>
      <c r="B2586" s="13">
        <f>+'PLAN DE CUENTAS'!B2586</f>
        <v>0</v>
      </c>
      <c r="C2586" s="13">
        <f>+'PLAN DE CUENTAS'!C2586</f>
        <v>0</v>
      </c>
      <c r="D2586" t="str">
        <f>IF(tbal[[#This Row],[DEBE]]+tbal[[#This Row],[HABER]]=0,"","X")</f>
        <v/>
      </c>
      <c r="E2586" s="16">
        <f>SUMIF(tdiario[CUENTA],tbal[[#This Row],[CUENTA]],tdiario[DEBE])</f>
        <v>0</v>
      </c>
      <c r="F2586" s="17">
        <f>SUMIF(tdiario[CUENTA],tbal[[#This Row],[CUENTA]],tdiario[HABER])</f>
        <v>0</v>
      </c>
      <c r="G2586" s="16">
        <f>IF(tbal[[#This Row],[DEBE]]-tbal[[#This Row],[HABER]]&gt;0,tbal[[#This Row],[DEBE]]-tbal[[#This Row],[HABER]],0)</f>
        <v>0</v>
      </c>
      <c r="H2586" s="18">
        <f>IF(tbal[[#This Row],[HABER]]-tbal[[#This Row],[DEBE]]&gt;0,tbal[[#This Row],[HABER]]-tbal[[#This Row],[DEBE]],0)</f>
        <v>0</v>
      </c>
      <c r="I2586" s="16">
        <f>IF((OR(tbal[[#This Row],[X]]=1,tbal[[#This Row],[X]]=2)),tbal[[#This Row],[DEUDOR]],0)</f>
        <v>0</v>
      </c>
      <c r="J2586" s="18">
        <f>IF((OR(tbal[[#This Row],[X]]=2,tbal[[#This Row],[X]]=3)),tbal[[#This Row],[ACREEDOR]],0)</f>
        <v>0</v>
      </c>
      <c r="K2586" s="16">
        <f>IF((OR(tbal[[#This Row],[X]]=3,tbal[[#This Row],[X]]=5)),tbal[[#This Row],[DEUDOR]],0)</f>
        <v>0</v>
      </c>
      <c r="L2586" s="18">
        <f>IF((OR(tbal[[#This Row],[X]]=3,tbal[[#This Row],[X]]=4)),tbal[[#This Row],[ACREEDOR]],0)</f>
        <v>0</v>
      </c>
      <c r="M2586" s="16">
        <f>IF((OR(tbal[[#This Row],[X]]=0,tbal[[#This Row],[X]]=6)),tbal[[#This Row],[DEUDOR]],0)</f>
        <v>0</v>
      </c>
      <c r="N2586" s="18">
        <f>IF((OR(tbal[[#This Row],[X]]=0,tbal[[#This Row],[X]]=5)),tbal[[#This Row],[ACREEDOR]],0)</f>
        <v>0</v>
      </c>
    </row>
    <row r="2587" spans="1:14" hidden="1" x14ac:dyDescent="0.3">
      <c r="A2587" s="14">
        <f>+'PLAN DE CUENTAS'!A2587</f>
        <v>0</v>
      </c>
      <c r="B2587" s="13">
        <f>+'PLAN DE CUENTAS'!B2587</f>
        <v>0</v>
      </c>
      <c r="C2587" s="13">
        <f>+'PLAN DE CUENTAS'!C2587</f>
        <v>0</v>
      </c>
      <c r="D2587" t="str">
        <f>IF(tbal[[#This Row],[DEBE]]+tbal[[#This Row],[HABER]]=0,"","X")</f>
        <v/>
      </c>
      <c r="E2587" s="16">
        <f>SUMIF(tdiario[CUENTA],tbal[[#This Row],[CUENTA]],tdiario[DEBE])</f>
        <v>0</v>
      </c>
      <c r="F2587" s="17">
        <f>SUMIF(tdiario[CUENTA],tbal[[#This Row],[CUENTA]],tdiario[HABER])</f>
        <v>0</v>
      </c>
      <c r="G2587" s="16">
        <f>IF(tbal[[#This Row],[DEBE]]-tbal[[#This Row],[HABER]]&gt;0,tbal[[#This Row],[DEBE]]-tbal[[#This Row],[HABER]],0)</f>
        <v>0</v>
      </c>
      <c r="H2587" s="18">
        <f>IF(tbal[[#This Row],[HABER]]-tbal[[#This Row],[DEBE]]&gt;0,tbal[[#This Row],[HABER]]-tbal[[#This Row],[DEBE]],0)</f>
        <v>0</v>
      </c>
      <c r="I2587" s="16">
        <f>IF((OR(tbal[[#This Row],[X]]=1,tbal[[#This Row],[X]]=2)),tbal[[#This Row],[DEUDOR]],0)</f>
        <v>0</v>
      </c>
      <c r="J2587" s="18">
        <f>IF((OR(tbal[[#This Row],[X]]=2,tbal[[#This Row],[X]]=3)),tbal[[#This Row],[ACREEDOR]],0)</f>
        <v>0</v>
      </c>
      <c r="K2587" s="16">
        <f>IF((OR(tbal[[#This Row],[X]]=3,tbal[[#This Row],[X]]=5)),tbal[[#This Row],[DEUDOR]],0)</f>
        <v>0</v>
      </c>
      <c r="L2587" s="18">
        <f>IF((OR(tbal[[#This Row],[X]]=3,tbal[[#This Row],[X]]=4)),tbal[[#This Row],[ACREEDOR]],0)</f>
        <v>0</v>
      </c>
      <c r="M2587" s="16">
        <f>IF((OR(tbal[[#This Row],[X]]=0,tbal[[#This Row],[X]]=6)),tbal[[#This Row],[DEUDOR]],0)</f>
        <v>0</v>
      </c>
      <c r="N2587" s="18">
        <f>IF((OR(tbal[[#This Row],[X]]=0,tbal[[#This Row],[X]]=5)),tbal[[#This Row],[ACREEDOR]],0)</f>
        <v>0</v>
      </c>
    </row>
    <row r="2588" spans="1:14" hidden="1" x14ac:dyDescent="0.3">
      <c r="A2588" s="14">
        <f>+'PLAN DE CUENTAS'!A2588</f>
        <v>0</v>
      </c>
      <c r="B2588" s="13">
        <f>+'PLAN DE CUENTAS'!B2588</f>
        <v>0</v>
      </c>
      <c r="C2588" s="13">
        <f>+'PLAN DE CUENTAS'!C2588</f>
        <v>0</v>
      </c>
      <c r="D2588" t="str">
        <f>IF(tbal[[#This Row],[DEBE]]+tbal[[#This Row],[HABER]]=0,"","X")</f>
        <v/>
      </c>
      <c r="E2588" s="16">
        <f>SUMIF(tdiario[CUENTA],tbal[[#This Row],[CUENTA]],tdiario[DEBE])</f>
        <v>0</v>
      </c>
      <c r="F2588" s="17">
        <f>SUMIF(tdiario[CUENTA],tbal[[#This Row],[CUENTA]],tdiario[HABER])</f>
        <v>0</v>
      </c>
      <c r="G2588" s="16">
        <f>IF(tbal[[#This Row],[DEBE]]-tbal[[#This Row],[HABER]]&gt;0,tbal[[#This Row],[DEBE]]-tbal[[#This Row],[HABER]],0)</f>
        <v>0</v>
      </c>
      <c r="H2588" s="18">
        <f>IF(tbal[[#This Row],[HABER]]-tbal[[#This Row],[DEBE]]&gt;0,tbal[[#This Row],[HABER]]-tbal[[#This Row],[DEBE]],0)</f>
        <v>0</v>
      </c>
      <c r="I2588" s="16">
        <f>IF((OR(tbal[[#This Row],[X]]=1,tbal[[#This Row],[X]]=2)),tbal[[#This Row],[DEUDOR]],0)</f>
        <v>0</v>
      </c>
      <c r="J2588" s="18">
        <f>IF((OR(tbal[[#This Row],[X]]=2,tbal[[#This Row],[X]]=3)),tbal[[#This Row],[ACREEDOR]],0)</f>
        <v>0</v>
      </c>
      <c r="K2588" s="16">
        <f>IF((OR(tbal[[#This Row],[X]]=3,tbal[[#This Row],[X]]=5)),tbal[[#This Row],[DEUDOR]],0)</f>
        <v>0</v>
      </c>
      <c r="L2588" s="18">
        <f>IF((OR(tbal[[#This Row],[X]]=3,tbal[[#This Row],[X]]=4)),tbal[[#This Row],[ACREEDOR]],0)</f>
        <v>0</v>
      </c>
      <c r="M2588" s="16">
        <f>IF((OR(tbal[[#This Row],[X]]=0,tbal[[#This Row],[X]]=6)),tbal[[#This Row],[DEUDOR]],0)</f>
        <v>0</v>
      </c>
      <c r="N2588" s="18">
        <f>IF((OR(tbal[[#This Row],[X]]=0,tbal[[#This Row],[X]]=5)),tbal[[#This Row],[ACREEDOR]],0)</f>
        <v>0</v>
      </c>
    </row>
    <row r="2589" spans="1:14" hidden="1" x14ac:dyDescent="0.3">
      <c r="A2589" s="14">
        <f>+'PLAN DE CUENTAS'!A2589</f>
        <v>0</v>
      </c>
      <c r="B2589" s="13">
        <f>+'PLAN DE CUENTAS'!B2589</f>
        <v>0</v>
      </c>
      <c r="C2589" s="13">
        <f>+'PLAN DE CUENTAS'!C2589</f>
        <v>0</v>
      </c>
      <c r="D2589" t="str">
        <f>IF(tbal[[#This Row],[DEBE]]+tbal[[#This Row],[HABER]]=0,"","X")</f>
        <v/>
      </c>
      <c r="E2589" s="16">
        <f>SUMIF(tdiario[CUENTA],tbal[[#This Row],[CUENTA]],tdiario[DEBE])</f>
        <v>0</v>
      </c>
      <c r="F2589" s="17">
        <f>SUMIF(tdiario[CUENTA],tbal[[#This Row],[CUENTA]],tdiario[HABER])</f>
        <v>0</v>
      </c>
      <c r="G2589" s="16">
        <f>IF(tbal[[#This Row],[DEBE]]-tbal[[#This Row],[HABER]]&gt;0,tbal[[#This Row],[DEBE]]-tbal[[#This Row],[HABER]],0)</f>
        <v>0</v>
      </c>
      <c r="H2589" s="18">
        <f>IF(tbal[[#This Row],[HABER]]-tbal[[#This Row],[DEBE]]&gt;0,tbal[[#This Row],[HABER]]-tbal[[#This Row],[DEBE]],0)</f>
        <v>0</v>
      </c>
      <c r="I2589" s="16">
        <f>IF((OR(tbal[[#This Row],[X]]=1,tbal[[#This Row],[X]]=2)),tbal[[#This Row],[DEUDOR]],0)</f>
        <v>0</v>
      </c>
      <c r="J2589" s="18">
        <f>IF((OR(tbal[[#This Row],[X]]=2,tbal[[#This Row],[X]]=3)),tbal[[#This Row],[ACREEDOR]],0)</f>
        <v>0</v>
      </c>
      <c r="K2589" s="16">
        <f>IF((OR(tbal[[#This Row],[X]]=3,tbal[[#This Row],[X]]=5)),tbal[[#This Row],[DEUDOR]],0)</f>
        <v>0</v>
      </c>
      <c r="L2589" s="18">
        <f>IF((OR(tbal[[#This Row],[X]]=3,tbal[[#This Row],[X]]=4)),tbal[[#This Row],[ACREEDOR]],0)</f>
        <v>0</v>
      </c>
      <c r="M2589" s="16">
        <f>IF((OR(tbal[[#This Row],[X]]=0,tbal[[#This Row],[X]]=6)),tbal[[#This Row],[DEUDOR]],0)</f>
        <v>0</v>
      </c>
      <c r="N2589" s="18">
        <f>IF((OR(tbal[[#This Row],[X]]=0,tbal[[#This Row],[X]]=5)),tbal[[#This Row],[ACREEDOR]],0)</f>
        <v>0</v>
      </c>
    </row>
    <row r="2590" spans="1:14" hidden="1" x14ac:dyDescent="0.3">
      <c r="A2590" s="14">
        <f>+'PLAN DE CUENTAS'!A2590</f>
        <v>0</v>
      </c>
      <c r="B2590" s="13">
        <f>+'PLAN DE CUENTAS'!B2590</f>
        <v>0</v>
      </c>
      <c r="C2590" s="13">
        <f>+'PLAN DE CUENTAS'!C2590</f>
        <v>0</v>
      </c>
      <c r="D2590" t="str">
        <f>IF(tbal[[#This Row],[DEBE]]+tbal[[#This Row],[HABER]]=0,"","X")</f>
        <v/>
      </c>
      <c r="E2590" s="16">
        <f>SUMIF(tdiario[CUENTA],tbal[[#This Row],[CUENTA]],tdiario[DEBE])</f>
        <v>0</v>
      </c>
      <c r="F2590" s="17">
        <f>SUMIF(tdiario[CUENTA],tbal[[#This Row],[CUENTA]],tdiario[HABER])</f>
        <v>0</v>
      </c>
      <c r="G2590" s="16">
        <f>IF(tbal[[#This Row],[DEBE]]-tbal[[#This Row],[HABER]]&gt;0,tbal[[#This Row],[DEBE]]-tbal[[#This Row],[HABER]],0)</f>
        <v>0</v>
      </c>
      <c r="H2590" s="18">
        <f>IF(tbal[[#This Row],[HABER]]-tbal[[#This Row],[DEBE]]&gt;0,tbal[[#This Row],[HABER]]-tbal[[#This Row],[DEBE]],0)</f>
        <v>0</v>
      </c>
      <c r="I2590" s="16">
        <f>IF((OR(tbal[[#This Row],[X]]=1,tbal[[#This Row],[X]]=2)),tbal[[#This Row],[DEUDOR]],0)</f>
        <v>0</v>
      </c>
      <c r="J2590" s="18">
        <f>IF((OR(tbal[[#This Row],[X]]=2,tbal[[#This Row],[X]]=3)),tbal[[#This Row],[ACREEDOR]],0)</f>
        <v>0</v>
      </c>
      <c r="K2590" s="16">
        <f>IF((OR(tbal[[#This Row],[X]]=3,tbal[[#This Row],[X]]=5)),tbal[[#This Row],[DEUDOR]],0)</f>
        <v>0</v>
      </c>
      <c r="L2590" s="18">
        <f>IF((OR(tbal[[#This Row],[X]]=3,tbal[[#This Row],[X]]=4)),tbal[[#This Row],[ACREEDOR]],0)</f>
        <v>0</v>
      </c>
      <c r="M2590" s="16">
        <f>IF((OR(tbal[[#This Row],[X]]=0,tbal[[#This Row],[X]]=6)),tbal[[#This Row],[DEUDOR]],0)</f>
        <v>0</v>
      </c>
      <c r="N2590" s="18">
        <f>IF((OR(tbal[[#This Row],[X]]=0,tbal[[#This Row],[X]]=5)),tbal[[#This Row],[ACREEDOR]],0)</f>
        <v>0</v>
      </c>
    </row>
    <row r="2591" spans="1:14" hidden="1" x14ac:dyDescent="0.3">
      <c r="A2591" s="14">
        <f>+'PLAN DE CUENTAS'!A2591</f>
        <v>0</v>
      </c>
      <c r="B2591" s="13">
        <f>+'PLAN DE CUENTAS'!B2591</f>
        <v>0</v>
      </c>
      <c r="C2591" s="13">
        <f>+'PLAN DE CUENTAS'!C2591</f>
        <v>0</v>
      </c>
      <c r="D2591" t="str">
        <f>IF(tbal[[#This Row],[DEBE]]+tbal[[#This Row],[HABER]]=0,"","X")</f>
        <v/>
      </c>
      <c r="E2591" s="16">
        <f>SUMIF(tdiario[CUENTA],tbal[[#This Row],[CUENTA]],tdiario[DEBE])</f>
        <v>0</v>
      </c>
      <c r="F2591" s="17">
        <f>SUMIF(tdiario[CUENTA],tbal[[#This Row],[CUENTA]],tdiario[HABER])</f>
        <v>0</v>
      </c>
      <c r="G2591" s="16">
        <f>IF(tbal[[#This Row],[DEBE]]-tbal[[#This Row],[HABER]]&gt;0,tbal[[#This Row],[DEBE]]-tbal[[#This Row],[HABER]],0)</f>
        <v>0</v>
      </c>
      <c r="H2591" s="18">
        <f>IF(tbal[[#This Row],[HABER]]-tbal[[#This Row],[DEBE]]&gt;0,tbal[[#This Row],[HABER]]-tbal[[#This Row],[DEBE]],0)</f>
        <v>0</v>
      </c>
      <c r="I2591" s="16">
        <f>IF((OR(tbal[[#This Row],[X]]=1,tbal[[#This Row],[X]]=2)),tbal[[#This Row],[DEUDOR]],0)</f>
        <v>0</v>
      </c>
      <c r="J2591" s="18">
        <f>IF((OR(tbal[[#This Row],[X]]=2,tbal[[#This Row],[X]]=3)),tbal[[#This Row],[ACREEDOR]],0)</f>
        <v>0</v>
      </c>
      <c r="K2591" s="16">
        <f>IF((OR(tbal[[#This Row],[X]]=3,tbal[[#This Row],[X]]=5)),tbal[[#This Row],[DEUDOR]],0)</f>
        <v>0</v>
      </c>
      <c r="L2591" s="18">
        <f>IF((OR(tbal[[#This Row],[X]]=3,tbal[[#This Row],[X]]=4)),tbal[[#This Row],[ACREEDOR]],0)</f>
        <v>0</v>
      </c>
      <c r="M2591" s="16">
        <f>IF((OR(tbal[[#This Row],[X]]=0,tbal[[#This Row],[X]]=6)),tbal[[#This Row],[DEUDOR]],0)</f>
        <v>0</v>
      </c>
      <c r="N2591" s="18">
        <f>IF((OR(tbal[[#This Row],[X]]=0,tbal[[#This Row],[X]]=5)),tbal[[#This Row],[ACREEDOR]],0)</f>
        <v>0</v>
      </c>
    </row>
    <row r="2592" spans="1:14" hidden="1" x14ac:dyDescent="0.3">
      <c r="A2592" s="14">
        <f>+'PLAN DE CUENTAS'!A2592</f>
        <v>0</v>
      </c>
      <c r="B2592" s="13">
        <f>+'PLAN DE CUENTAS'!B2592</f>
        <v>0</v>
      </c>
      <c r="C2592" s="13">
        <f>+'PLAN DE CUENTAS'!C2592</f>
        <v>0</v>
      </c>
      <c r="D2592" t="str">
        <f>IF(tbal[[#This Row],[DEBE]]+tbal[[#This Row],[HABER]]=0,"","X")</f>
        <v/>
      </c>
      <c r="E2592" s="16">
        <f>SUMIF(tdiario[CUENTA],tbal[[#This Row],[CUENTA]],tdiario[DEBE])</f>
        <v>0</v>
      </c>
      <c r="F2592" s="17">
        <f>SUMIF(tdiario[CUENTA],tbal[[#This Row],[CUENTA]],tdiario[HABER])</f>
        <v>0</v>
      </c>
      <c r="G2592" s="16">
        <f>IF(tbal[[#This Row],[DEBE]]-tbal[[#This Row],[HABER]]&gt;0,tbal[[#This Row],[DEBE]]-tbal[[#This Row],[HABER]],0)</f>
        <v>0</v>
      </c>
      <c r="H2592" s="18">
        <f>IF(tbal[[#This Row],[HABER]]-tbal[[#This Row],[DEBE]]&gt;0,tbal[[#This Row],[HABER]]-tbal[[#This Row],[DEBE]],0)</f>
        <v>0</v>
      </c>
      <c r="I2592" s="16">
        <f>IF((OR(tbal[[#This Row],[X]]=1,tbal[[#This Row],[X]]=2)),tbal[[#This Row],[DEUDOR]],0)</f>
        <v>0</v>
      </c>
      <c r="J2592" s="18">
        <f>IF((OR(tbal[[#This Row],[X]]=2,tbal[[#This Row],[X]]=3)),tbal[[#This Row],[ACREEDOR]],0)</f>
        <v>0</v>
      </c>
      <c r="K2592" s="16">
        <f>IF((OR(tbal[[#This Row],[X]]=3,tbal[[#This Row],[X]]=5)),tbal[[#This Row],[DEUDOR]],0)</f>
        <v>0</v>
      </c>
      <c r="L2592" s="18">
        <f>IF((OR(tbal[[#This Row],[X]]=3,tbal[[#This Row],[X]]=4)),tbal[[#This Row],[ACREEDOR]],0)</f>
        <v>0</v>
      </c>
      <c r="M2592" s="16">
        <f>IF((OR(tbal[[#This Row],[X]]=0,tbal[[#This Row],[X]]=6)),tbal[[#This Row],[DEUDOR]],0)</f>
        <v>0</v>
      </c>
      <c r="N2592" s="18">
        <f>IF((OR(tbal[[#This Row],[X]]=0,tbal[[#This Row],[X]]=5)),tbal[[#This Row],[ACREEDOR]],0)</f>
        <v>0</v>
      </c>
    </row>
    <row r="2593" spans="1:14" hidden="1" x14ac:dyDescent="0.3">
      <c r="A2593" s="14">
        <f>+'PLAN DE CUENTAS'!A2593</f>
        <v>0</v>
      </c>
      <c r="B2593" s="13">
        <f>+'PLAN DE CUENTAS'!B2593</f>
        <v>0</v>
      </c>
      <c r="C2593" s="13">
        <f>+'PLAN DE CUENTAS'!C2593</f>
        <v>0</v>
      </c>
      <c r="D2593" t="str">
        <f>IF(tbal[[#This Row],[DEBE]]+tbal[[#This Row],[HABER]]=0,"","X")</f>
        <v/>
      </c>
      <c r="E2593" s="16">
        <f>SUMIF(tdiario[CUENTA],tbal[[#This Row],[CUENTA]],tdiario[DEBE])</f>
        <v>0</v>
      </c>
      <c r="F2593" s="17">
        <f>SUMIF(tdiario[CUENTA],tbal[[#This Row],[CUENTA]],tdiario[HABER])</f>
        <v>0</v>
      </c>
      <c r="G2593" s="16">
        <f>IF(tbal[[#This Row],[DEBE]]-tbal[[#This Row],[HABER]]&gt;0,tbal[[#This Row],[DEBE]]-tbal[[#This Row],[HABER]],0)</f>
        <v>0</v>
      </c>
      <c r="H2593" s="18">
        <f>IF(tbal[[#This Row],[HABER]]-tbal[[#This Row],[DEBE]]&gt;0,tbal[[#This Row],[HABER]]-tbal[[#This Row],[DEBE]],0)</f>
        <v>0</v>
      </c>
      <c r="I2593" s="16">
        <f>IF((OR(tbal[[#This Row],[X]]=1,tbal[[#This Row],[X]]=2)),tbal[[#This Row],[DEUDOR]],0)</f>
        <v>0</v>
      </c>
      <c r="J2593" s="18">
        <f>IF((OR(tbal[[#This Row],[X]]=2,tbal[[#This Row],[X]]=3)),tbal[[#This Row],[ACREEDOR]],0)</f>
        <v>0</v>
      </c>
      <c r="K2593" s="16">
        <f>IF((OR(tbal[[#This Row],[X]]=3,tbal[[#This Row],[X]]=5)),tbal[[#This Row],[DEUDOR]],0)</f>
        <v>0</v>
      </c>
      <c r="L2593" s="18">
        <f>IF((OR(tbal[[#This Row],[X]]=3,tbal[[#This Row],[X]]=4)),tbal[[#This Row],[ACREEDOR]],0)</f>
        <v>0</v>
      </c>
      <c r="M2593" s="16">
        <f>IF((OR(tbal[[#This Row],[X]]=0,tbal[[#This Row],[X]]=6)),tbal[[#This Row],[DEUDOR]],0)</f>
        <v>0</v>
      </c>
      <c r="N2593" s="18">
        <f>IF((OR(tbal[[#This Row],[X]]=0,tbal[[#This Row],[X]]=5)),tbal[[#This Row],[ACREEDOR]],0)</f>
        <v>0</v>
      </c>
    </row>
    <row r="2594" spans="1:14" hidden="1" x14ac:dyDescent="0.3">
      <c r="A2594" s="14">
        <f>+'PLAN DE CUENTAS'!A2594</f>
        <v>0</v>
      </c>
      <c r="B2594" s="13">
        <f>+'PLAN DE CUENTAS'!B2594</f>
        <v>0</v>
      </c>
      <c r="C2594" s="13">
        <f>+'PLAN DE CUENTAS'!C2594</f>
        <v>0</v>
      </c>
      <c r="D2594" t="str">
        <f>IF(tbal[[#This Row],[DEBE]]+tbal[[#This Row],[HABER]]=0,"","X")</f>
        <v/>
      </c>
      <c r="E2594" s="16">
        <f>SUMIF(tdiario[CUENTA],tbal[[#This Row],[CUENTA]],tdiario[DEBE])</f>
        <v>0</v>
      </c>
      <c r="F2594" s="17">
        <f>SUMIF(tdiario[CUENTA],tbal[[#This Row],[CUENTA]],tdiario[HABER])</f>
        <v>0</v>
      </c>
      <c r="G2594" s="16">
        <f>IF(tbal[[#This Row],[DEBE]]-tbal[[#This Row],[HABER]]&gt;0,tbal[[#This Row],[DEBE]]-tbal[[#This Row],[HABER]],0)</f>
        <v>0</v>
      </c>
      <c r="H2594" s="18">
        <f>IF(tbal[[#This Row],[HABER]]-tbal[[#This Row],[DEBE]]&gt;0,tbal[[#This Row],[HABER]]-tbal[[#This Row],[DEBE]],0)</f>
        <v>0</v>
      </c>
      <c r="I2594" s="16">
        <f>IF((OR(tbal[[#This Row],[X]]=1,tbal[[#This Row],[X]]=2)),tbal[[#This Row],[DEUDOR]],0)</f>
        <v>0</v>
      </c>
      <c r="J2594" s="18">
        <f>IF((OR(tbal[[#This Row],[X]]=2,tbal[[#This Row],[X]]=3)),tbal[[#This Row],[ACREEDOR]],0)</f>
        <v>0</v>
      </c>
      <c r="K2594" s="16">
        <f>IF((OR(tbal[[#This Row],[X]]=3,tbal[[#This Row],[X]]=5)),tbal[[#This Row],[DEUDOR]],0)</f>
        <v>0</v>
      </c>
      <c r="L2594" s="18">
        <f>IF((OR(tbal[[#This Row],[X]]=3,tbal[[#This Row],[X]]=4)),tbal[[#This Row],[ACREEDOR]],0)</f>
        <v>0</v>
      </c>
      <c r="M2594" s="16">
        <f>IF((OR(tbal[[#This Row],[X]]=0,tbal[[#This Row],[X]]=6)),tbal[[#This Row],[DEUDOR]],0)</f>
        <v>0</v>
      </c>
      <c r="N2594" s="18">
        <f>IF((OR(tbal[[#This Row],[X]]=0,tbal[[#This Row],[X]]=5)),tbal[[#This Row],[ACREEDOR]],0)</f>
        <v>0</v>
      </c>
    </row>
    <row r="2595" spans="1:14" hidden="1" x14ac:dyDescent="0.3">
      <c r="A2595" s="14">
        <f>+'PLAN DE CUENTAS'!A2595</f>
        <v>0</v>
      </c>
      <c r="B2595" s="13">
        <f>+'PLAN DE CUENTAS'!B2595</f>
        <v>0</v>
      </c>
      <c r="C2595" s="13">
        <f>+'PLAN DE CUENTAS'!C2595</f>
        <v>0</v>
      </c>
      <c r="D2595" t="str">
        <f>IF(tbal[[#This Row],[DEBE]]+tbal[[#This Row],[HABER]]=0,"","X")</f>
        <v/>
      </c>
      <c r="E2595" s="16">
        <f>SUMIF(tdiario[CUENTA],tbal[[#This Row],[CUENTA]],tdiario[DEBE])</f>
        <v>0</v>
      </c>
      <c r="F2595" s="17">
        <f>SUMIF(tdiario[CUENTA],tbal[[#This Row],[CUENTA]],tdiario[HABER])</f>
        <v>0</v>
      </c>
      <c r="G2595" s="16">
        <f>IF(tbal[[#This Row],[DEBE]]-tbal[[#This Row],[HABER]]&gt;0,tbal[[#This Row],[DEBE]]-tbal[[#This Row],[HABER]],0)</f>
        <v>0</v>
      </c>
      <c r="H2595" s="18">
        <f>IF(tbal[[#This Row],[HABER]]-tbal[[#This Row],[DEBE]]&gt;0,tbal[[#This Row],[HABER]]-tbal[[#This Row],[DEBE]],0)</f>
        <v>0</v>
      </c>
      <c r="I2595" s="16">
        <f>IF((OR(tbal[[#This Row],[X]]=1,tbal[[#This Row],[X]]=2)),tbal[[#This Row],[DEUDOR]],0)</f>
        <v>0</v>
      </c>
      <c r="J2595" s="18">
        <f>IF((OR(tbal[[#This Row],[X]]=2,tbal[[#This Row],[X]]=3)),tbal[[#This Row],[ACREEDOR]],0)</f>
        <v>0</v>
      </c>
      <c r="K2595" s="16">
        <f>IF((OR(tbal[[#This Row],[X]]=3,tbal[[#This Row],[X]]=5)),tbal[[#This Row],[DEUDOR]],0)</f>
        <v>0</v>
      </c>
      <c r="L2595" s="18">
        <f>IF((OR(tbal[[#This Row],[X]]=3,tbal[[#This Row],[X]]=4)),tbal[[#This Row],[ACREEDOR]],0)</f>
        <v>0</v>
      </c>
      <c r="M2595" s="16">
        <f>IF((OR(tbal[[#This Row],[X]]=0,tbal[[#This Row],[X]]=6)),tbal[[#This Row],[DEUDOR]],0)</f>
        <v>0</v>
      </c>
      <c r="N2595" s="18">
        <f>IF((OR(tbal[[#This Row],[X]]=0,tbal[[#This Row],[X]]=5)),tbal[[#This Row],[ACREEDOR]],0)</f>
        <v>0</v>
      </c>
    </row>
    <row r="2596" spans="1:14" hidden="1" x14ac:dyDescent="0.3">
      <c r="A2596" s="14">
        <f>+'PLAN DE CUENTAS'!A2596</f>
        <v>0</v>
      </c>
      <c r="B2596" s="13">
        <f>+'PLAN DE CUENTAS'!B2596</f>
        <v>0</v>
      </c>
      <c r="C2596" s="13">
        <f>+'PLAN DE CUENTAS'!C2596</f>
        <v>0</v>
      </c>
      <c r="D2596" t="str">
        <f>IF(tbal[[#This Row],[DEBE]]+tbal[[#This Row],[HABER]]=0,"","X")</f>
        <v/>
      </c>
      <c r="E2596" s="16">
        <f>SUMIF(tdiario[CUENTA],tbal[[#This Row],[CUENTA]],tdiario[DEBE])</f>
        <v>0</v>
      </c>
      <c r="F2596" s="17">
        <f>SUMIF(tdiario[CUENTA],tbal[[#This Row],[CUENTA]],tdiario[HABER])</f>
        <v>0</v>
      </c>
      <c r="G2596" s="16">
        <f>IF(tbal[[#This Row],[DEBE]]-tbal[[#This Row],[HABER]]&gt;0,tbal[[#This Row],[DEBE]]-tbal[[#This Row],[HABER]],0)</f>
        <v>0</v>
      </c>
      <c r="H2596" s="18">
        <f>IF(tbal[[#This Row],[HABER]]-tbal[[#This Row],[DEBE]]&gt;0,tbal[[#This Row],[HABER]]-tbal[[#This Row],[DEBE]],0)</f>
        <v>0</v>
      </c>
      <c r="I2596" s="16">
        <f>IF((OR(tbal[[#This Row],[X]]=1,tbal[[#This Row],[X]]=2)),tbal[[#This Row],[DEUDOR]],0)</f>
        <v>0</v>
      </c>
      <c r="J2596" s="18">
        <f>IF((OR(tbal[[#This Row],[X]]=2,tbal[[#This Row],[X]]=3)),tbal[[#This Row],[ACREEDOR]],0)</f>
        <v>0</v>
      </c>
      <c r="K2596" s="16">
        <f>IF((OR(tbal[[#This Row],[X]]=3,tbal[[#This Row],[X]]=5)),tbal[[#This Row],[DEUDOR]],0)</f>
        <v>0</v>
      </c>
      <c r="L2596" s="18">
        <f>IF((OR(tbal[[#This Row],[X]]=3,tbal[[#This Row],[X]]=4)),tbal[[#This Row],[ACREEDOR]],0)</f>
        <v>0</v>
      </c>
      <c r="M2596" s="16">
        <f>IF((OR(tbal[[#This Row],[X]]=0,tbal[[#This Row],[X]]=6)),tbal[[#This Row],[DEUDOR]],0)</f>
        <v>0</v>
      </c>
      <c r="N2596" s="18">
        <f>IF((OR(tbal[[#This Row],[X]]=0,tbal[[#This Row],[X]]=5)),tbal[[#This Row],[ACREEDOR]],0)</f>
        <v>0</v>
      </c>
    </row>
    <row r="2597" spans="1:14" hidden="1" x14ac:dyDescent="0.3">
      <c r="A2597" s="14">
        <f>+'PLAN DE CUENTAS'!A2597</f>
        <v>0</v>
      </c>
      <c r="B2597" s="13">
        <f>+'PLAN DE CUENTAS'!B2597</f>
        <v>0</v>
      </c>
      <c r="C2597" s="13">
        <f>+'PLAN DE CUENTAS'!C2597</f>
        <v>0</v>
      </c>
      <c r="D2597" t="str">
        <f>IF(tbal[[#This Row],[DEBE]]+tbal[[#This Row],[HABER]]=0,"","X")</f>
        <v/>
      </c>
      <c r="E2597" s="16">
        <f>SUMIF(tdiario[CUENTA],tbal[[#This Row],[CUENTA]],tdiario[DEBE])</f>
        <v>0</v>
      </c>
      <c r="F2597" s="17">
        <f>SUMIF(tdiario[CUENTA],tbal[[#This Row],[CUENTA]],tdiario[HABER])</f>
        <v>0</v>
      </c>
      <c r="G2597" s="16">
        <f>IF(tbal[[#This Row],[DEBE]]-tbal[[#This Row],[HABER]]&gt;0,tbal[[#This Row],[DEBE]]-tbal[[#This Row],[HABER]],0)</f>
        <v>0</v>
      </c>
      <c r="H2597" s="18">
        <f>IF(tbal[[#This Row],[HABER]]-tbal[[#This Row],[DEBE]]&gt;0,tbal[[#This Row],[HABER]]-tbal[[#This Row],[DEBE]],0)</f>
        <v>0</v>
      </c>
      <c r="I2597" s="16">
        <f>IF((OR(tbal[[#This Row],[X]]=1,tbal[[#This Row],[X]]=2)),tbal[[#This Row],[DEUDOR]],0)</f>
        <v>0</v>
      </c>
      <c r="J2597" s="18">
        <f>IF((OR(tbal[[#This Row],[X]]=2,tbal[[#This Row],[X]]=3)),tbal[[#This Row],[ACREEDOR]],0)</f>
        <v>0</v>
      </c>
      <c r="K2597" s="16">
        <f>IF((OR(tbal[[#This Row],[X]]=3,tbal[[#This Row],[X]]=5)),tbal[[#This Row],[DEUDOR]],0)</f>
        <v>0</v>
      </c>
      <c r="L2597" s="18">
        <f>IF((OR(tbal[[#This Row],[X]]=3,tbal[[#This Row],[X]]=4)),tbal[[#This Row],[ACREEDOR]],0)</f>
        <v>0</v>
      </c>
      <c r="M2597" s="16">
        <f>IF((OR(tbal[[#This Row],[X]]=0,tbal[[#This Row],[X]]=6)),tbal[[#This Row],[DEUDOR]],0)</f>
        <v>0</v>
      </c>
      <c r="N2597" s="18">
        <f>IF((OR(tbal[[#This Row],[X]]=0,tbal[[#This Row],[X]]=5)),tbal[[#This Row],[ACREEDOR]],0)</f>
        <v>0</v>
      </c>
    </row>
    <row r="2598" spans="1:14" hidden="1" x14ac:dyDescent="0.3">
      <c r="A2598" s="14">
        <f>+'PLAN DE CUENTAS'!A2598</f>
        <v>0</v>
      </c>
      <c r="B2598" s="13">
        <f>+'PLAN DE CUENTAS'!B2598</f>
        <v>0</v>
      </c>
      <c r="C2598" s="13">
        <f>+'PLAN DE CUENTAS'!C2598</f>
        <v>0</v>
      </c>
      <c r="D2598" t="str">
        <f>IF(tbal[[#This Row],[DEBE]]+tbal[[#This Row],[HABER]]=0,"","X")</f>
        <v/>
      </c>
      <c r="E2598" s="16">
        <f>SUMIF(tdiario[CUENTA],tbal[[#This Row],[CUENTA]],tdiario[DEBE])</f>
        <v>0</v>
      </c>
      <c r="F2598" s="17">
        <f>SUMIF(tdiario[CUENTA],tbal[[#This Row],[CUENTA]],tdiario[HABER])</f>
        <v>0</v>
      </c>
      <c r="G2598" s="16">
        <f>IF(tbal[[#This Row],[DEBE]]-tbal[[#This Row],[HABER]]&gt;0,tbal[[#This Row],[DEBE]]-tbal[[#This Row],[HABER]],0)</f>
        <v>0</v>
      </c>
      <c r="H2598" s="18">
        <f>IF(tbal[[#This Row],[HABER]]-tbal[[#This Row],[DEBE]]&gt;0,tbal[[#This Row],[HABER]]-tbal[[#This Row],[DEBE]],0)</f>
        <v>0</v>
      </c>
      <c r="I2598" s="16">
        <f>IF((OR(tbal[[#This Row],[X]]=1,tbal[[#This Row],[X]]=2)),tbal[[#This Row],[DEUDOR]],0)</f>
        <v>0</v>
      </c>
      <c r="J2598" s="18">
        <f>IF((OR(tbal[[#This Row],[X]]=2,tbal[[#This Row],[X]]=3)),tbal[[#This Row],[ACREEDOR]],0)</f>
        <v>0</v>
      </c>
      <c r="K2598" s="16">
        <f>IF((OR(tbal[[#This Row],[X]]=3,tbal[[#This Row],[X]]=5)),tbal[[#This Row],[DEUDOR]],0)</f>
        <v>0</v>
      </c>
      <c r="L2598" s="18">
        <f>IF((OR(tbal[[#This Row],[X]]=3,tbal[[#This Row],[X]]=4)),tbal[[#This Row],[ACREEDOR]],0)</f>
        <v>0</v>
      </c>
      <c r="M2598" s="16">
        <f>IF((OR(tbal[[#This Row],[X]]=0,tbal[[#This Row],[X]]=6)),tbal[[#This Row],[DEUDOR]],0)</f>
        <v>0</v>
      </c>
      <c r="N2598" s="18">
        <f>IF((OR(tbal[[#This Row],[X]]=0,tbal[[#This Row],[X]]=5)),tbal[[#This Row],[ACREEDOR]],0)</f>
        <v>0</v>
      </c>
    </row>
    <row r="2599" spans="1:14" hidden="1" x14ac:dyDescent="0.3">
      <c r="A2599" s="14">
        <f>+'PLAN DE CUENTAS'!A2599</f>
        <v>0</v>
      </c>
      <c r="B2599" s="13">
        <f>+'PLAN DE CUENTAS'!B2599</f>
        <v>0</v>
      </c>
      <c r="C2599" s="13">
        <f>+'PLAN DE CUENTAS'!C2599</f>
        <v>0</v>
      </c>
      <c r="D2599" t="str">
        <f>IF(tbal[[#This Row],[DEBE]]+tbal[[#This Row],[HABER]]=0,"","X")</f>
        <v/>
      </c>
      <c r="E2599" s="16">
        <f>SUMIF(tdiario[CUENTA],tbal[[#This Row],[CUENTA]],tdiario[DEBE])</f>
        <v>0</v>
      </c>
      <c r="F2599" s="17">
        <f>SUMIF(tdiario[CUENTA],tbal[[#This Row],[CUENTA]],tdiario[HABER])</f>
        <v>0</v>
      </c>
      <c r="G2599" s="16">
        <f>IF(tbal[[#This Row],[DEBE]]-tbal[[#This Row],[HABER]]&gt;0,tbal[[#This Row],[DEBE]]-tbal[[#This Row],[HABER]],0)</f>
        <v>0</v>
      </c>
      <c r="H2599" s="18">
        <f>IF(tbal[[#This Row],[HABER]]-tbal[[#This Row],[DEBE]]&gt;0,tbal[[#This Row],[HABER]]-tbal[[#This Row],[DEBE]],0)</f>
        <v>0</v>
      </c>
      <c r="I2599" s="16">
        <f>IF((OR(tbal[[#This Row],[X]]=1,tbal[[#This Row],[X]]=2)),tbal[[#This Row],[DEUDOR]],0)</f>
        <v>0</v>
      </c>
      <c r="J2599" s="18">
        <f>IF((OR(tbal[[#This Row],[X]]=2,tbal[[#This Row],[X]]=3)),tbal[[#This Row],[ACREEDOR]],0)</f>
        <v>0</v>
      </c>
      <c r="K2599" s="16">
        <f>IF((OR(tbal[[#This Row],[X]]=3,tbal[[#This Row],[X]]=5)),tbal[[#This Row],[DEUDOR]],0)</f>
        <v>0</v>
      </c>
      <c r="L2599" s="18">
        <f>IF((OR(tbal[[#This Row],[X]]=3,tbal[[#This Row],[X]]=4)),tbal[[#This Row],[ACREEDOR]],0)</f>
        <v>0</v>
      </c>
      <c r="M2599" s="16">
        <f>IF((OR(tbal[[#This Row],[X]]=0,tbal[[#This Row],[X]]=6)),tbal[[#This Row],[DEUDOR]],0)</f>
        <v>0</v>
      </c>
      <c r="N2599" s="18">
        <f>IF((OR(tbal[[#This Row],[X]]=0,tbal[[#This Row],[X]]=5)),tbal[[#This Row],[ACREEDOR]],0)</f>
        <v>0</v>
      </c>
    </row>
    <row r="2600" spans="1:14" hidden="1" x14ac:dyDescent="0.3">
      <c r="A2600" s="14">
        <f>+'PLAN DE CUENTAS'!A2600</f>
        <v>0</v>
      </c>
      <c r="B2600" s="13">
        <f>+'PLAN DE CUENTAS'!B2600</f>
        <v>0</v>
      </c>
      <c r="C2600" s="13">
        <f>+'PLAN DE CUENTAS'!C2600</f>
        <v>0</v>
      </c>
      <c r="D2600" t="str">
        <f>IF(tbal[[#This Row],[DEBE]]+tbal[[#This Row],[HABER]]=0,"","X")</f>
        <v/>
      </c>
      <c r="E2600" s="16">
        <f>SUMIF(tdiario[CUENTA],tbal[[#This Row],[CUENTA]],tdiario[DEBE])</f>
        <v>0</v>
      </c>
      <c r="F2600" s="17">
        <f>SUMIF(tdiario[CUENTA],tbal[[#This Row],[CUENTA]],tdiario[HABER])</f>
        <v>0</v>
      </c>
      <c r="G2600" s="16">
        <f>IF(tbal[[#This Row],[DEBE]]-tbal[[#This Row],[HABER]]&gt;0,tbal[[#This Row],[DEBE]]-tbal[[#This Row],[HABER]],0)</f>
        <v>0</v>
      </c>
      <c r="H2600" s="18">
        <f>IF(tbal[[#This Row],[HABER]]-tbal[[#This Row],[DEBE]]&gt;0,tbal[[#This Row],[HABER]]-tbal[[#This Row],[DEBE]],0)</f>
        <v>0</v>
      </c>
      <c r="I2600" s="16">
        <f>IF((OR(tbal[[#This Row],[X]]=1,tbal[[#This Row],[X]]=2)),tbal[[#This Row],[DEUDOR]],0)</f>
        <v>0</v>
      </c>
      <c r="J2600" s="18">
        <f>IF((OR(tbal[[#This Row],[X]]=2,tbal[[#This Row],[X]]=3)),tbal[[#This Row],[ACREEDOR]],0)</f>
        <v>0</v>
      </c>
      <c r="K2600" s="16">
        <f>IF((OR(tbal[[#This Row],[X]]=3,tbal[[#This Row],[X]]=5)),tbal[[#This Row],[DEUDOR]],0)</f>
        <v>0</v>
      </c>
      <c r="L2600" s="18">
        <f>IF((OR(tbal[[#This Row],[X]]=3,tbal[[#This Row],[X]]=4)),tbal[[#This Row],[ACREEDOR]],0)</f>
        <v>0</v>
      </c>
      <c r="M2600" s="16">
        <f>IF((OR(tbal[[#This Row],[X]]=0,tbal[[#This Row],[X]]=6)),tbal[[#This Row],[DEUDOR]],0)</f>
        <v>0</v>
      </c>
      <c r="N2600" s="18">
        <f>IF((OR(tbal[[#This Row],[X]]=0,tbal[[#This Row],[X]]=5)),tbal[[#This Row],[ACREEDOR]],0)</f>
        <v>0</v>
      </c>
    </row>
    <row r="2601" spans="1:14" hidden="1" x14ac:dyDescent="0.3">
      <c r="A2601" s="14">
        <f>+'PLAN DE CUENTAS'!A2601</f>
        <v>0</v>
      </c>
      <c r="B2601" s="13">
        <f>+'PLAN DE CUENTAS'!B2601</f>
        <v>0</v>
      </c>
      <c r="C2601" s="13">
        <f>+'PLAN DE CUENTAS'!C2601</f>
        <v>0</v>
      </c>
      <c r="D2601" t="str">
        <f>IF(tbal[[#This Row],[DEBE]]+tbal[[#This Row],[HABER]]=0,"","X")</f>
        <v/>
      </c>
      <c r="E2601" s="16">
        <f>SUMIF(tdiario[CUENTA],tbal[[#This Row],[CUENTA]],tdiario[DEBE])</f>
        <v>0</v>
      </c>
      <c r="F2601" s="17">
        <f>SUMIF(tdiario[CUENTA],tbal[[#This Row],[CUENTA]],tdiario[HABER])</f>
        <v>0</v>
      </c>
      <c r="G2601" s="16">
        <f>IF(tbal[[#This Row],[DEBE]]-tbal[[#This Row],[HABER]]&gt;0,tbal[[#This Row],[DEBE]]-tbal[[#This Row],[HABER]],0)</f>
        <v>0</v>
      </c>
      <c r="H2601" s="18">
        <f>IF(tbal[[#This Row],[HABER]]-tbal[[#This Row],[DEBE]]&gt;0,tbal[[#This Row],[HABER]]-tbal[[#This Row],[DEBE]],0)</f>
        <v>0</v>
      </c>
      <c r="I2601" s="16">
        <f>IF((OR(tbal[[#This Row],[X]]=1,tbal[[#This Row],[X]]=2)),tbal[[#This Row],[DEUDOR]],0)</f>
        <v>0</v>
      </c>
      <c r="J2601" s="18">
        <f>IF((OR(tbal[[#This Row],[X]]=2,tbal[[#This Row],[X]]=3)),tbal[[#This Row],[ACREEDOR]],0)</f>
        <v>0</v>
      </c>
      <c r="K2601" s="16">
        <f>IF((OR(tbal[[#This Row],[X]]=3,tbal[[#This Row],[X]]=5)),tbal[[#This Row],[DEUDOR]],0)</f>
        <v>0</v>
      </c>
      <c r="L2601" s="18">
        <f>IF((OR(tbal[[#This Row],[X]]=3,tbal[[#This Row],[X]]=4)),tbal[[#This Row],[ACREEDOR]],0)</f>
        <v>0</v>
      </c>
      <c r="M2601" s="16">
        <f>IF((OR(tbal[[#This Row],[X]]=0,tbal[[#This Row],[X]]=6)),tbal[[#This Row],[DEUDOR]],0)</f>
        <v>0</v>
      </c>
      <c r="N2601" s="18">
        <f>IF((OR(tbal[[#This Row],[X]]=0,tbal[[#This Row],[X]]=5)),tbal[[#This Row],[ACREEDOR]],0)</f>
        <v>0</v>
      </c>
    </row>
    <row r="2602" spans="1:14" hidden="1" x14ac:dyDescent="0.3">
      <c r="A2602" s="14">
        <f>+'PLAN DE CUENTAS'!A2602</f>
        <v>0</v>
      </c>
      <c r="B2602" s="13">
        <f>+'PLAN DE CUENTAS'!B2602</f>
        <v>0</v>
      </c>
      <c r="C2602" s="13">
        <f>+'PLAN DE CUENTAS'!C2602</f>
        <v>0</v>
      </c>
      <c r="D2602" t="str">
        <f>IF(tbal[[#This Row],[DEBE]]+tbal[[#This Row],[HABER]]=0,"","X")</f>
        <v/>
      </c>
      <c r="E2602" s="16">
        <f>SUMIF(tdiario[CUENTA],tbal[[#This Row],[CUENTA]],tdiario[DEBE])</f>
        <v>0</v>
      </c>
      <c r="F2602" s="17">
        <f>SUMIF(tdiario[CUENTA],tbal[[#This Row],[CUENTA]],tdiario[HABER])</f>
        <v>0</v>
      </c>
      <c r="G2602" s="16">
        <f>IF(tbal[[#This Row],[DEBE]]-tbal[[#This Row],[HABER]]&gt;0,tbal[[#This Row],[DEBE]]-tbal[[#This Row],[HABER]],0)</f>
        <v>0</v>
      </c>
      <c r="H2602" s="18">
        <f>IF(tbal[[#This Row],[HABER]]-tbal[[#This Row],[DEBE]]&gt;0,tbal[[#This Row],[HABER]]-tbal[[#This Row],[DEBE]],0)</f>
        <v>0</v>
      </c>
      <c r="I2602" s="16">
        <f>IF((OR(tbal[[#This Row],[X]]=1,tbal[[#This Row],[X]]=2)),tbal[[#This Row],[DEUDOR]],0)</f>
        <v>0</v>
      </c>
      <c r="J2602" s="18">
        <f>IF((OR(tbal[[#This Row],[X]]=2,tbal[[#This Row],[X]]=3)),tbal[[#This Row],[ACREEDOR]],0)</f>
        <v>0</v>
      </c>
      <c r="K2602" s="16">
        <f>IF((OR(tbal[[#This Row],[X]]=3,tbal[[#This Row],[X]]=5)),tbal[[#This Row],[DEUDOR]],0)</f>
        <v>0</v>
      </c>
      <c r="L2602" s="18">
        <f>IF((OR(tbal[[#This Row],[X]]=3,tbal[[#This Row],[X]]=4)),tbal[[#This Row],[ACREEDOR]],0)</f>
        <v>0</v>
      </c>
      <c r="M2602" s="16">
        <f>IF((OR(tbal[[#This Row],[X]]=0,tbal[[#This Row],[X]]=6)),tbal[[#This Row],[DEUDOR]],0)</f>
        <v>0</v>
      </c>
      <c r="N2602" s="18">
        <f>IF((OR(tbal[[#This Row],[X]]=0,tbal[[#This Row],[X]]=5)),tbal[[#This Row],[ACREEDOR]],0)</f>
        <v>0</v>
      </c>
    </row>
    <row r="2603" spans="1:14" hidden="1" x14ac:dyDescent="0.3">
      <c r="A2603" s="14">
        <f>+'PLAN DE CUENTAS'!A2603</f>
        <v>0</v>
      </c>
      <c r="B2603" s="13">
        <f>+'PLAN DE CUENTAS'!B2603</f>
        <v>0</v>
      </c>
      <c r="C2603" s="13">
        <f>+'PLAN DE CUENTAS'!C2603</f>
        <v>0</v>
      </c>
      <c r="D2603" t="str">
        <f>IF(tbal[[#This Row],[DEBE]]+tbal[[#This Row],[HABER]]=0,"","X")</f>
        <v/>
      </c>
      <c r="E2603" s="16">
        <f>SUMIF(tdiario[CUENTA],tbal[[#This Row],[CUENTA]],tdiario[DEBE])</f>
        <v>0</v>
      </c>
      <c r="F2603" s="17">
        <f>SUMIF(tdiario[CUENTA],tbal[[#This Row],[CUENTA]],tdiario[HABER])</f>
        <v>0</v>
      </c>
      <c r="G2603" s="16">
        <f>IF(tbal[[#This Row],[DEBE]]-tbal[[#This Row],[HABER]]&gt;0,tbal[[#This Row],[DEBE]]-tbal[[#This Row],[HABER]],0)</f>
        <v>0</v>
      </c>
      <c r="H2603" s="18">
        <f>IF(tbal[[#This Row],[HABER]]-tbal[[#This Row],[DEBE]]&gt;0,tbal[[#This Row],[HABER]]-tbal[[#This Row],[DEBE]],0)</f>
        <v>0</v>
      </c>
      <c r="I2603" s="16">
        <f>IF((OR(tbal[[#This Row],[X]]=1,tbal[[#This Row],[X]]=2)),tbal[[#This Row],[DEUDOR]],0)</f>
        <v>0</v>
      </c>
      <c r="J2603" s="18">
        <f>IF((OR(tbal[[#This Row],[X]]=2,tbal[[#This Row],[X]]=3)),tbal[[#This Row],[ACREEDOR]],0)</f>
        <v>0</v>
      </c>
      <c r="K2603" s="16">
        <f>IF((OR(tbal[[#This Row],[X]]=3,tbal[[#This Row],[X]]=5)),tbal[[#This Row],[DEUDOR]],0)</f>
        <v>0</v>
      </c>
      <c r="L2603" s="18">
        <f>IF((OR(tbal[[#This Row],[X]]=3,tbal[[#This Row],[X]]=4)),tbal[[#This Row],[ACREEDOR]],0)</f>
        <v>0</v>
      </c>
      <c r="M2603" s="16">
        <f>IF((OR(tbal[[#This Row],[X]]=0,tbal[[#This Row],[X]]=6)),tbal[[#This Row],[DEUDOR]],0)</f>
        <v>0</v>
      </c>
      <c r="N2603" s="18">
        <f>IF((OR(tbal[[#This Row],[X]]=0,tbal[[#This Row],[X]]=5)),tbal[[#This Row],[ACREEDOR]],0)</f>
        <v>0</v>
      </c>
    </row>
    <row r="2604" spans="1:14" hidden="1" x14ac:dyDescent="0.3">
      <c r="A2604" s="14">
        <f>+'PLAN DE CUENTAS'!A2604</f>
        <v>0</v>
      </c>
      <c r="B2604" s="13">
        <f>+'PLAN DE CUENTAS'!B2604</f>
        <v>0</v>
      </c>
      <c r="C2604" s="13">
        <f>+'PLAN DE CUENTAS'!C2604</f>
        <v>0</v>
      </c>
      <c r="D2604" t="str">
        <f>IF(tbal[[#This Row],[DEBE]]+tbal[[#This Row],[HABER]]=0,"","X")</f>
        <v/>
      </c>
      <c r="E2604" s="16">
        <f>SUMIF(tdiario[CUENTA],tbal[[#This Row],[CUENTA]],tdiario[DEBE])</f>
        <v>0</v>
      </c>
      <c r="F2604" s="17">
        <f>SUMIF(tdiario[CUENTA],tbal[[#This Row],[CUENTA]],tdiario[HABER])</f>
        <v>0</v>
      </c>
      <c r="G2604" s="16">
        <f>IF(tbal[[#This Row],[DEBE]]-tbal[[#This Row],[HABER]]&gt;0,tbal[[#This Row],[DEBE]]-tbal[[#This Row],[HABER]],0)</f>
        <v>0</v>
      </c>
      <c r="H2604" s="18">
        <f>IF(tbal[[#This Row],[HABER]]-tbal[[#This Row],[DEBE]]&gt;0,tbal[[#This Row],[HABER]]-tbal[[#This Row],[DEBE]],0)</f>
        <v>0</v>
      </c>
      <c r="I2604" s="16">
        <f>IF((OR(tbal[[#This Row],[X]]=1,tbal[[#This Row],[X]]=2)),tbal[[#This Row],[DEUDOR]],0)</f>
        <v>0</v>
      </c>
      <c r="J2604" s="18">
        <f>IF((OR(tbal[[#This Row],[X]]=2,tbal[[#This Row],[X]]=3)),tbal[[#This Row],[ACREEDOR]],0)</f>
        <v>0</v>
      </c>
      <c r="K2604" s="16">
        <f>IF((OR(tbal[[#This Row],[X]]=3,tbal[[#This Row],[X]]=5)),tbal[[#This Row],[DEUDOR]],0)</f>
        <v>0</v>
      </c>
      <c r="L2604" s="18">
        <f>IF((OR(tbal[[#This Row],[X]]=3,tbal[[#This Row],[X]]=4)),tbal[[#This Row],[ACREEDOR]],0)</f>
        <v>0</v>
      </c>
      <c r="M2604" s="16">
        <f>IF((OR(tbal[[#This Row],[X]]=0,tbal[[#This Row],[X]]=6)),tbal[[#This Row],[DEUDOR]],0)</f>
        <v>0</v>
      </c>
      <c r="N2604" s="18">
        <f>IF((OR(tbal[[#This Row],[X]]=0,tbal[[#This Row],[X]]=5)),tbal[[#This Row],[ACREEDOR]],0)</f>
        <v>0</v>
      </c>
    </row>
    <row r="2605" spans="1:14" hidden="1" x14ac:dyDescent="0.3">
      <c r="A2605" s="14">
        <f>+'PLAN DE CUENTAS'!A2605</f>
        <v>0</v>
      </c>
      <c r="B2605" s="13">
        <f>+'PLAN DE CUENTAS'!B2605</f>
        <v>0</v>
      </c>
      <c r="C2605" s="13">
        <f>+'PLAN DE CUENTAS'!C2605</f>
        <v>0</v>
      </c>
      <c r="D2605" t="str">
        <f>IF(tbal[[#This Row],[DEBE]]+tbal[[#This Row],[HABER]]=0,"","X")</f>
        <v/>
      </c>
      <c r="E2605" s="16">
        <f>SUMIF(tdiario[CUENTA],tbal[[#This Row],[CUENTA]],tdiario[DEBE])</f>
        <v>0</v>
      </c>
      <c r="F2605" s="17">
        <f>SUMIF(tdiario[CUENTA],tbal[[#This Row],[CUENTA]],tdiario[HABER])</f>
        <v>0</v>
      </c>
      <c r="G2605" s="16">
        <f>IF(tbal[[#This Row],[DEBE]]-tbal[[#This Row],[HABER]]&gt;0,tbal[[#This Row],[DEBE]]-tbal[[#This Row],[HABER]],0)</f>
        <v>0</v>
      </c>
      <c r="H2605" s="18">
        <f>IF(tbal[[#This Row],[HABER]]-tbal[[#This Row],[DEBE]]&gt;0,tbal[[#This Row],[HABER]]-tbal[[#This Row],[DEBE]],0)</f>
        <v>0</v>
      </c>
      <c r="I2605" s="16">
        <f>IF((OR(tbal[[#This Row],[X]]=1,tbal[[#This Row],[X]]=2)),tbal[[#This Row],[DEUDOR]],0)</f>
        <v>0</v>
      </c>
      <c r="J2605" s="18">
        <f>IF((OR(tbal[[#This Row],[X]]=2,tbal[[#This Row],[X]]=3)),tbal[[#This Row],[ACREEDOR]],0)</f>
        <v>0</v>
      </c>
      <c r="K2605" s="16">
        <f>IF((OR(tbal[[#This Row],[X]]=3,tbal[[#This Row],[X]]=5)),tbal[[#This Row],[DEUDOR]],0)</f>
        <v>0</v>
      </c>
      <c r="L2605" s="18">
        <f>IF((OR(tbal[[#This Row],[X]]=3,tbal[[#This Row],[X]]=4)),tbal[[#This Row],[ACREEDOR]],0)</f>
        <v>0</v>
      </c>
      <c r="M2605" s="16">
        <f>IF((OR(tbal[[#This Row],[X]]=0,tbal[[#This Row],[X]]=6)),tbal[[#This Row],[DEUDOR]],0)</f>
        <v>0</v>
      </c>
      <c r="N2605" s="18">
        <f>IF((OR(tbal[[#This Row],[X]]=0,tbal[[#This Row],[X]]=5)),tbal[[#This Row],[ACREEDOR]],0)</f>
        <v>0</v>
      </c>
    </row>
    <row r="2606" spans="1:14" hidden="1" x14ac:dyDescent="0.3">
      <c r="A2606" s="14">
        <f>+'PLAN DE CUENTAS'!A2606</f>
        <v>0</v>
      </c>
      <c r="B2606" s="13">
        <f>+'PLAN DE CUENTAS'!B2606</f>
        <v>0</v>
      </c>
      <c r="C2606" s="13">
        <f>+'PLAN DE CUENTAS'!C2606</f>
        <v>0</v>
      </c>
      <c r="D2606" t="str">
        <f>IF(tbal[[#This Row],[DEBE]]+tbal[[#This Row],[HABER]]=0,"","X")</f>
        <v/>
      </c>
      <c r="E2606" s="16">
        <f>SUMIF(tdiario[CUENTA],tbal[[#This Row],[CUENTA]],tdiario[DEBE])</f>
        <v>0</v>
      </c>
      <c r="F2606" s="17">
        <f>SUMIF(tdiario[CUENTA],tbal[[#This Row],[CUENTA]],tdiario[HABER])</f>
        <v>0</v>
      </c>
      <c r="G2606" s="16">
        <f>IF(tbal[[#This Row],[DEBE]]-tbal[[#This Row],[HABER]]&gt;0,tbal[[#This Row],[DEBE]]-tbal[[#This Row],[HABER]],0)</f>
        <v>0</v>
      </c>
      <c r="H2606" s="18">
        <f>IF(tbal[[#This Row],[HABER]]-tbal[[#This Row],[DEBE]]&gt;0,tbal[[#This Row],[HABER]]-tbal[[#This Row],[DEBE]],0)</f>
        <v>0</v>
      </c>
      <c r="I2606" s="16">
        <f>IF((OR(tbal[[#This Row],[X]]=1,tbal[[#This Row],[X]]=2)),tbal[[#This Row],[DEUDOR]],0)</f>
        <v>0</v>
      </c>
      <c r="J2606" s="18">
        <f>IF((OR(tbal[[#This Row],[X]]=2,tbal[[#This Row],[X]]=3)),tbal[[#This Row],[ACREEDOR]],0)</f>
        <v>0</v>
      </c>
      <c r="K2606" s="16">
        <f>IF((OR(tbal[[#This Row],[X]]=3,tbal[[#This Row],[X]]=5)),tbal[[#This Row],[DEUDOR]],0)</f>
        <v>0</v>
      </c>
      <c r="L2606" s="18">
        <f>IF((OR(tbal[[#This Row],[X]]=3,tbal[[#This Row],[X]]=4)),tbal[[#This Row],[ACREEDOR]],0)</f>
        <v>0</v>
      </c>
      <c r="M2606" s="16">
        <f>IF((OR(tbal[[#This Row],[X]]=0,tbal[[#This Row],[X]]=6)),tbal[[#This Row],[DEUDOR]],0)</f>
        <v>0</v>
      </c>
      <c r="N2606" s="18">
        <f>IF((OR(tbal[[#This Row],[X]]=0,tbal[[#This Row],[X]]=5)),tbal[[#This Row],[ACREEDOR]],0)</f>
        <v>0</v>
      </c>
    </row>
    <row r="2607" spans="1:14" hidden="1" x14ac:dyDescent="0.3">
      <c r="A2607" s="14">
        <f>+'PLAN DE CUENTAS'!A2607</f>
        <v>0</v>
      </c>
      <c r="B2607" s="13">
        <f>+'PLAN DE CUENTAS'!B2607</f>
        <v>0</v>
      </c>
      <c r="C2607" s="13">
        <f>+'PLAN DE CUENTAS'!C2607</f>
        <v>0</v>
      </c>
      <c r="D2607" t="str">
        <f>IF(tbal[[#This Row],[DEBE]]+tbal[[#This Row],[HABER]]=0,"","X")</f>
        <v/>
      </c>
      <c r="E2607" s="16">
        <f>SUMIF(tdiario[CUENTA],tbal[[#This Row],[CUENTA]],tdiario[DEBE])</f>
        <v>0</v>
      </c>
      <c r="F2607" s="17">
        <f>SUMIF(tdiario[CUENTA],tbal[[#This Row],[CUENTA]],tdiario[HABER])</f>
        <v>0</v>
      </c>
      <c r="G2607" s="16">
        <f>IF(tbal[[#This Row],[DEBE]]-tbal[[#This Row],[HABER]]&gt;0,tbal[[#This Row],[DEBE]]-tbal[[#This Row],[HABER]],0)</f>
        <v>0</v>
      </c>
      <c r="H2607" s="18">
        <f>IF(tbal[[#This Row],[HABER]]-tbal[[#This Row],[DEBE]]&gt;0,tbal[[#This Row],[HABER]]-tbal[[#This Row],[DEBE]],0)</f>
        <v>0</v>
      </c>
      <c r="I2607" s="16">
        <f>IF((OR(tbal[[#This Row],[X]]=1,tbal[[#This Row],[X]]=2)),tbal[[#This Row],[DEUDOR]],0)</f>
        <v>0</v>
      </c>
      <c r="J2607" s="18">
        <f>IF((OR(tbal[[#This Row],[X]]=2,tbal[[#This Row],[X]]=3)),tbal[[#This Row],[ACREEDOR]],0)</f>
        <v>0</v>
      </c>
      <c r="K2607" s="16">
        <f>IF((OR(tbal[[#This Row],[X]]=3,tbal[[#This Row],[X]]=5)),tbal[[#This Row],[DEUDOR]],0)</f>
        <v>0</v>
      </c>
      <c r="L2607" s="18">
        <f>IF((OR(tbal[[#This Row],[X]]=3,tbal[[#This Row],[X]]=4)),tbal[[#This Row],[ACREEDOR]],0)</f>
        <v>0</v>
      </c>
      <c r="M2607" s="16">
        <f>IF((OR(tbal[[#This Row],[X]]=0,tbal[[#This Row],[X]]=6)),tbal[[#This Row],[DEUDOR]],0)</f>
        <v>0</v>
      </c>
      <c r="N2607" s="18">
        <f>IF((OR(tbal[[#This Row],[X]]=0,tbal[[#This Row],[X]]=5)),tbal[[#This Row],[ACREEDOR]],0)</f>
        <v>0</v>
      </c>
    </row>
    <row r="2608" spans="1:14" hidden="1" x14ac:dyDescent="0.3">
      <c r="A2608" s="14">
        <f>+'PLAN DE CUENTAS'!A2608</f>
        <v>0</v>
      </c>
      <c r="B2608" s="13">
        <f>+'PLAN DE CUENTAS'!B2608</f>
        <v>0</v>
      </c>
      <c r="C2608" s="13">
        <f>+'PLAN DE CUENTAS'!C2608</f>
        <v>0</v>
      </c>
      <c r="D2608" t="str">
        <f>IF(tbal[[#This Row],[DEBE]]+tbal[[#This Row],[HABER]]=0,"","X")</f>
        <v/>
      </c>
      <c r="E2608" s="16">
        <f>SUMIF(tdiario[CUENTA],tbal[[#This Row],[CUENTA]],tdiario[DEBE])</f>
        <v>0</v>
      </c>
      <c r="F2608" s="17">
        <f>SUMIF(tdiario[CUENTA],tbal[[#This Row],[CUENTA]],tdiario[HABER])</f>
        <v>0</v>
      </c>
      <c r="G2608" s="16">
        <f>IF(tbal[[#This Row],[DEBE]]-tbal[[#This Row],[HABER]]&gt;0,tbal[[#This Row],[DEBE]]-tbal[[#This Row],[HABER]],0)</f>
        <v>0</v>
      </c>
      <c r="H2608" s="18">
        <f>IF(tbal[[#This Row],[HABER]]-tbal[[#This Row],[DEBE]]&gt;0,tbal[[#This Row],[HABER]]-tbal[[#This Row],[DEBE]],0)</f>
        <v>0</v>
      </c>
      <c r="I2608" s="16">
        <f>IF((OR(tbal[[#This Row],[X]]=1,tbal[[#This Row],[X]]=2)),tbal[[#This Row],[DEUDOR]],0)</f>
        <v>0</v>
      </c>
      <c r="J2608" s="18">
        <f>IF((OR(tbal[[#This Row],[X]]=2,tbal[[#This Row],[X]]=3)),tbal[[#This Row],[ACREEDOR]],0)</f>
        <v>0</v>
      </c>
      <c r="K2608" s="16">
        <f>IF((OR(tbal[[#This Row],[X]]=3,tbal[[#This Row],[X]]=5)),tbal[[#This Row],[DEUDOR]],0)</f>
        <v>0</v>
      </c>
      <c r="L2608" s="18">
        <f>IF((OR(tbal[[#This Row],[X]]=3,tbal[[#This Row],[X]]=4)),tbal[[#This Row],[ACREEDOR]],0)</f>
        <v>0</v>
      </c>
      <c r="M2608" s="16">
        <f>IF((OR(tbal[[#This Row],[X]]=0,tbal[[#This Row],[X]]=6)),tbal[[#This Row],[DEUDOR]],0)</f>
        <v>0</v>
      </c>
      <c r="N2608" s="18">
        <f>IF((OR(tbal[[#This Row],[X]]=0,tbal[[#This Row],[X]]=5)),tbal[[#This Row],[ACREEDOR]],0)</f>
        <v>0</v>
      </c>
    </row>
    <row r="2609" spans="1:14" hidden="1" x14ac:dyDescent="0.3">
      <c r="A2609" s="14">
        <f>+'PLAN DE CUENTAS'!A2609</f>
        <v>0</v>
      </c>
      <c r="B2609" s="13">
        <f>+'PLAN DE CUENTAS'!B2609</f>
        <v>0</v>
      </c>
      <c r="C2609" s="13">
        <f>+'PLAN DE CUENTAS'!C2609</f>
        <v>0</v>
      </c>
      <c r="D2609" t="str">
        <f>IF(tbal[[#This Row],[DEBE]]+tbal[[#This Row],[HABER]]=0,"","X")</f>
        <v/>
      </c>
      <c r="E2609" s="16">
        <f>SUMIF(tdiario[CUENTA],tbal[[#This Row],[CUENTA]],tdiario[DEBE])</f>
        <v>0</v>
      </c>
      <c r="F2609" s="17">
        <f>SUMIF(tdiario[CUENTA],tbal[[#This Row],[CUENTA]],tdiario[HABER])</f>
        <v>0</v>
      </c>
      <c r="G2609" s="16">
        <f>IF(tbal[[#This Row],[DEBE]]-tbal[[#This Row],[HABER]]&gt;0,tbal[[#This Row],[DEBE]]-tbal[[#This Row],[HABER]],0)</f>
        <v>0</v>
      </c>
      <c r="H2609" s="18">
        <f>IF(tbal[[#This Row],[HABER]]-tbal[[#This Row],[DEBE]]&gt;0,tbal[[#This Row],[HABER]]-tbal[[#This Row],[DEBE]],0)</f>
        <v>0</v>
      </c>
      <c r="I2609" s="16">
        <f>IF((OR(tbal[[#This Row],[X]]=1,tbal[[#This Row],[X]]=2)),tbal[[#This Row],[DEUDOR]],0)</f>
        <v>0</v>
      </c>
      <c r="J2609" s="18">
        <f>IF((OR(tbal[[#This Row],[X]]=2,tbal[[#This Row],[X]]=3)),tbal[[#This Row],[ACREEDOR]],0)</f>
        <v>0</v>
      </c>
      <c r="K2609" s="16">
        <f>IF((OR(tbal[[#This Row],[X]]=3,tbal[[#This Row],[X]]=5)),tbal[[#This Row],[DEUDOR]],0)</f>
        <v>0</v>
      </c>
      <c r="L2609" s="18">
        <f>IF((OR(tbal[[#This Row],[X]]=3,tbal[[#This Row],[X]]=4)),tbal[[#This Row],[ACREEDOR]],0)</f>
        <v>0</v>
      </c>
      <c r="M2609" s="16">
        <f>IF((OR(tbal[[#This Row],[X]]=0,tbal[[#This Row],[X]]=6)),tbal[[#This Row],[DEUDOR]],0)</f>
        <v>0</v>
      </c>
      <c r="N2609" s="18">
        <f>IF((OR(tbal[[#This Row],[X]]=0,tbal[[#This Row],[X]]=5)),tbal[[#This Row],[ACREEDOR]],0)</f>
        <v>0</v>
      </c>
    </row>
    <row r="2610" spans="1:14" hidden="1" x14ac:dyDescent="0.3">
      <c r="A2610" s="14">
        <f>+'PLAN DE CUENTAS'!A2610</f>
        <v>0</v>
      </c>
      <c r="B2610" s="13">
        <f>+'PLAN DE CUENTAS'!B2610</f>
        <v>0</v>
      </c>
      <c r="C2610" s="13">
        <f>+'PLAN DE CUENTAS'!C2610</f>
        <v>0</v>
      </c>
      <c r="D2610" t="str">
        <f>IF(tbal[[#This Row],[DEBE]]+tbal[[#This Row],[HABER]]=0,"","X")</f>
        <v/>
      </c>
      <c r="E2610" s="16">
        <f>SUMIF(tdiario[CUENTA],tbal[[#This Row],[CUENTA]],tdiario[DEBE])</f>
        <v>0</v>
      </c>
      <c r="F2610" s="17">
        <f>SUMIF(tdiario[CUENTA],tbal[[#This Row],[CUENTA]],tdiario[HABER])</f>
        <v>0</v>
      </c>
      <c r="G2610" s="16">
        <f>IF(tbal[[#This Row],[DEBE]]-tbal[[#This Row],[HABER]]&gt;0,tbal[[#This Row],[DEBE]]-tbal[[#This Row],[HABER]],0)</f>
        <v>0</v>
      </c>
      <c r="H2610" s="18">
        <f>IF(tbal[[#This Row],[HABER]]-tbal[[#This Row],[DEBE]]&gt;0,tbal[[#This Row],[HABER]]-tbal[[#This Row],[DEBE]],0)</f>
        <v>0</v>
      </c>
      <c r="I2610" s="16">
        <f>IF((OR(tbal[[#This Row],[X]]=1,tbal[[#This Row],[X]]=2)),tbal[[#This Row],[DEUDOR]],0)</f>
        <v>0</v>
      </c>
      <c r="J2610" s="18">
        <f>IF((OR(tbal[[#This Row],[X]]=2,tbal[[#This Row],[X]]=3)),tbal[[#This Row],[ACREEDOR]],0)</f>
        <v>0</v>
      </c>
      <c r="K2610" s="16">
        <f>IF((OR(tbal[[#This Row],[X]]=3,tbal[[#This Row],[X]]=5)),tbal[[#This Row],[DEUDOR]],0)</f>
        <v>0</v>
      </c>
      <c r="L2610" s="18">
        <f>IF((OR(tbal[[#This Row],[X]]=3,tbal[[#This Row],[X]]=4)),tbal[[#This Row],[ACREEDOR]],0)</f>
        <v>0</v>
      </c>
      <c r="M2610" s="16">
        <f>IF((OR(tbal[[#This Row],[X]]=0,tbal[[#This Row],[X]]=6)),tbal[[#This Row],[DEUDOR]],0)</f>
        <v>0</v>
      </c>
      <c r="N2610" s="18">
        <f>IF((OR(tbal[[#This Row],[X]]=0,tbal[[#This Row],[X]]=5)),tbal[[#This Row],[ACREEDOR]],0)</f>
        <v>0</v>
      </c>
    </row>
    <row r="2611" spans="1:14" hidden="1" x14ac:dyDescent="0.3">
      <c r="A2611" s="14">
        <f>+'PLAN DE CUENTAS'!A2611</f>
        <v>0</v>
      </c>
      <c r="B2611" s="13">
        <f>+'PLAN DE CUENTAS'!B2611</f>
        <v>0</v>
      </c>
      <c r="C2611" s="13">
        <f>+'PLAN DE CUENTAS'!C2611</f>
        <v>0</v>
      </c>
      <c r="D2611" t="str">
        <f>IF(tbal[[#This Row],[DEBE]]+tbal[[#This Row],[HABER]]=0,"","X")</f>
        <v/>
      </c>
      <c r="E2611" s="16">
        <f>SUMIF(tdiario[CUENTA],tbal[[#This Row],[CUENTA]],tdiario[DEBE])</f>
        <v>0</v>
      </c>
      <c r="F2611" s="17">
        <f>SUMIF(tdiario[CUENTA],tbal[[#This Row],[CUENTA]],tdiario[HABER])</f>
        <v>0</v>
      </c>
      <c r="G2611" s="16">
        <f>IF(tbal[[#This Row],[DEBE]]-tbal[[#This Row],[HABER]]&gt;0,tbal[[#This Row],[DEBE]]-tbal[[#This Row],[HABER]],0)</f>
        <v>0</v>
      </c>
      <c r="H2611" s="18">
        <f>IF(tbal[[#This Row],[HABER]]-tbal[[#This Row],[DEBE]]&gt;0,tbal[[#This Row],[HABER]]-tbal[[#This Row],[DEBE]],0)</f>
        <v>0</v>
      </c>
      <c r="I2611" s="16">
        <f>IF((OR(tbal[[#This Row],[X]]=1,tbal[[#This Row],[X]]=2)),tbal[[#This Row],[DEUDOR]],0)</f>
        <v>0</v>
      </c>
      <c r="J2611" s="18">
        <f>IF((OR(tbal[[#This Row],[X]]=2,tbal[[#This Row],[X]]=3)),tbal[[#This Row],[ACREEDOR]],0)</f>
        <v>0</v>
      </c>
      <c r="K2611" s="16">
        <f>IF((OR(tbal[[#This Row],[X]]=3,tbal[[#This Row],[X]]=5)),tbal[[#This Row],[DEUDOR]],0)</f>
        <v>0</v>
      </c>
      <c r="L2611" s="18">
        <f>IF((OR(tbal[[#This Row],[X]]=3,tbal[[#This Row],[X]]=4)),tbal[[#This Row],[ACREEDOR]],0)</f>
        <v>0</v>
      </c>
      <c r="M2611" s="16">
        <f>IF((OR(tbal[[#This Row],[X]]=0,tbal[[#This Row],[X]]=6)),tbal[[#This Row],[DEUDOR]],0)</f>
        <v>0</v>
      </c>
      <c r="N2611" s="18">
        <f>IF((OR(tbal[[#This Row],[X]]=0,tbal[[#This Row],[X]]=5)),tbal[[#This Row],[ACREEDOR]],0)</f>
        <v>0</v>
      </c>
    </row>
    <row r="2612" spans="1:14" hidden="1" x14ac:dyDescent="0.3">
      <c r="A2612" s="14">
        <f>+'PLAN DE CUENTAS'!A2612</f>
        <v>0</v>
      </c>
      <c r="B2612" s="13">
        <f>+'PLAN DE CUENTAS'!B2612</f>
        <v>0</v>
      </c>
      <c r="C2612" s="13">
        <f>+'PLAN DE CUENTAS'!C2612</f>
        <v>0</v>
      </c>
      <c r="D2612" t="str">
        <f>IF(tbal[[#This Row],[DEBE]]+tbal[[#This Row],[HABER]]=0,"","X")</f>
        <v/>
      </c>
      <c r="E2612" s="16">
        <f>SUMIF(tdiario[CUENTA],tbal[[#This Row],[CUENTA]],tdiario[DEBE])</f>
        <v>0</v>
      </c>
      <c r="F2612" s="17">
        <f>SUMIF(tdiario[CUENTA],tbal[[#This Row],[CUENTA]],tdiario[HABER])</f>
        <v>0</v>
      </c>
      <c r="G2612" s="16">
        <f>IF(tbal[[#This Row],[DEBE]]-tbal[[#This Row],[HABER]]&gt;0,tbal[[#This Row],[DEBE]]-tbal[[#This Row],[HABER]],0)</f>
        <v>0</v>
      </c>
      <c r="H2612" s="18">
        <f>IF(tbal[[#This Row],[HABER]]-tbal[[#This Row],[DEBE]]&gt;0,tbal[[#This Row],[HABER]]-tbal[[#This Row],[DEBE]],0)</f>
        <v>0</v>
      </c>
      <c r="I2612" s="16">
        <f>IF((OR(tbal[[#This Row],[X]]=1,tbal[[#This Row],[X]]=2)),tbal[[#This Row],[DEUDOR]],0)</f>
        <v>0</v>
      </c>
      <c r="J2612" s="18">
        <f>IF((OR(tbal[[#This Row],[X]]=2,tbal[[#This Row],[X]]=3)),tbal[[#This Row],[ACREEDOR]],0)</f>
        <v>0</v>
      </c>
      <c r="K2612" s="16">
        <f>IF((OR(tbal[[#This Row],[X]]=3,tbal[[#This Row],[X]]=5)),tbal[[#This Row],[DEUDOR]],0)</f>
        <v>0</v>
      </c>
      <c r="L2612" s="18">
        <f>IF((OR(tbal[[#This Row],[X]]=3,tbal[[#This Row],[X]]=4)),tbal[[#This Row],[ACREEDOR]],0)</f>
        <v>0</v>
      </c>
      <c r="M2612" s="16">
        <f>IF((OR(tbal[[#This Row],[X]]=0,tbal[[#This Row],[X]]=6)),tbal[[#This Row],[DEUDOR]],0)</f>
        <v>0</v>
      </c>
      <c r="N2612" s="18">
        <f>IF((OR(tbal[[#This Row],[X]]=0,tbal[[#This Row],[X]]=5)),tbal[[#This Row],[ACREEDOR]],0)</f>
        <v>0</v>
      </c>
    </row>
    <row r="2613" spans="1:14" hidden="1" x14ac:dyDescent="0.3">
      <c r="A2613" s="14">
        <f>+'PLAN DE CUENTAS'!A2613</f>
        <v>0</v>
      </c>
      <c r="B2613" s="13">
        <f>+'PLAN DE CUENTAS'!B2613</f>
        <v>0</v>
      </c>
      <c r="C2613" s="13">
        <f>+'PLAN DE CUENTAS'!C2613</f>
        <v>0</v>
      </c>
      <c r="D2613" t="str">
        <f>IF(tbal[[#This Row],[DEBE]]+tbal[[#This Row],[HABER]]=0,"","X")</f>
        <v/>
      </c>
      <c r="E2613" s="16">
        <f>SUMIF(tdiario[CUENTA],tbal[[#This Row],[CUENTA]],tdiario[DEBE])</f>
        <v>0</v>
      </c>
      <c r="F2613" s="17">
        <f>SUMIF(tdiario[CUENTA],tbal[[#This Row],[CUENTA]],tdiario[HABER])</f>
        <v>0</v>
      </c>
      <c r="G2613" s="16">
        <f>IF(tbal[[#This Row],[DEBE]]-tbal[[#This Row],[HABER]]&gt;0,tbal[[#This Row],[DEBE]]-tbal[[#This Row],[HABER]],0)</f>
        <v>0</v>
      </c>
      <c r="H2613" s="18">
        <f>IF(tbal[[#This Row],[HABER]]-tbal[[#This Row],[DEBE]]&gt;0,tbal[[#This Row],[HABER]]-tbal[[#This Row],[DEBE]],0)</f>
        <v>0</v>
      </c>
      <c r="I2613" s="16">
        <f>IF((OR(tbal[[#This Row],[X]]=1,tbal[[#This Row],[X]]=2)),tbal[[#This Row],[DEUDOR]],0)</f>
        <v>0</v>
      </c>
      <c r="J2613" s="18">
        <f>IF((OR(tbal[[#This Row],[X]]=2,tbal[[#This Row],[X]]=3)),tbal[[#This Row],[ACREEDOR]],0)</f>
        <v>0</v>
      </c>
      <c r="K2613" s="16">
        <f>IF((OR(tbal[[#This Row],[X]]=3,tbal[[#This Row],[X]]=5)),tbal[[#This Row],[DEUDOR]],0)</f>
        <v>0</v>
      </c>
      <c r="L2613" s="18">
        <f>IF((OR(tbal[[#This Row],[X]]=3,tbal[[#This Row],[X]]=4)),tbal[[#This Row],[ACREEDOR]],0)</f>
        <v>0</v>
      </c>
      <c r="M2613" s="16">
        <f>IF((OR(tbal[[#This Row],[X]]=0,tbal[[#This Row],[X]]=6)),tbal[[#This Row],[DEUDOR]],0)</f>
        <v>0</v>
      </c>
      <c r="N2613" s="18">
        <f>IF((OR(tbal[[#This Row],[X]]=0,tbal[[#This Row],[X]]=5)),tbal[[#This Row],[ACREEDOR]],0)</f>
        <v>0</v>
      </c>
    </row>
    <row r="2614" spans="1:14" hidden="1" x14ac:dyDescent="0.3">
      <c r="A2614" s="14">
        <f>+'PLAN DE CUENTAS'!A2614</f>
        <v>0</v>
      </c>
      <c r="B2614" s="13">
        <f>+'PLAN DE CUENTAS'!B2614</f>
        <v>0</v>
      </c>
      <c r="C2614" s="13">
        <f>+'PLAN DE CUENTAS'!C2614</f>
        <v>0</v>
      </c>
      <c r="D2614" t="str">
        <f>IF(tbal[[#This Row],[DEBE]]+tbal[[#This Row],[HABER]]=0,"","X")</f>
        <v/>
      </c>
      <c r="E2614" s="16">
        <f>SUMIF(tdiario[CUENTA],tbal[[#This Row],[CUENTA]],tdiario[DEBE])</f>
        <v>0</v>
      </c>
      <c r="F2614" s="17">
        <f>SUMIF(tdiario[CUENTA],tbal[[#This Row],[CUENTA]],tdiario[HABER])</f>
        <v>0</v>
      </c>
      <c r="G2614" s="16">
        <f>IF(tbal[[#This Row],[DEBE]]-tbal[[#This Row],[HABER]]&gt;0,tbal[[#This Row],[DEBE]]-tbal[[#This Row],[HABER]],0)</f>
        <v>0</v>
      </c>
      <c r="H2614" s="18">
        <f>IF(tbal[[#This Row],[HABER]]-tbal[[#This Row],[DEBE]]&gt;0,tbal[[#This Row],[HABER]]-tbal[[#This Row],[DEBE]],0)</f>
        <v>0</v>
      </c>
      <c r="I2614" s="16">
        <f>IF((OR(tbal[[#This Row],[X]]=1,tbal[[#This Row],[X]]=2)),tbal[[#This Row],[DEUDOR]],0)</f>
        <v>0</v>
      </c>
      <c r="J2614" s="18">
        <f>IF((OR(tbal[[#This Row],[X]]=2,tbal[[#This Row],[X]]=3)),tbal[[#This Row],[ACREEDOR]],0)</f>
        <v>0</v>
      </c>
      <c r="K2614" s="16">
        <f>IF((OR(tbal[[#This Row],[X]]=3,tbal[[#This Row],[X]]=5)),tbal[[#This Row],[DEUDOR]],0)</f>
        <v>0</v>
      </c>
      <c r="L2614" s="18">
        <f>IF((OR(tbal[[#This Row],[X]]=3,tbal[[#This Row],[X]]=4)),tbal[[#This Row],[ACREEDOR]],0)</f>
        <v>0</v>
      </c>
      <c r="M2614" s="16">
        <f>IF((OR(tbal[[#This Row],[X]]=0,tbal[[#This Row],[X]]=6)),tbal[[#This Row],[DEUDOR]],0)</f>
        <v>0</v>
      </c>
      <c r="N2614" s="18">
        <f>IF((OR(tbal[[#This Row],[X]]=0,tbal[[#This Row],[X]]=5)),tbal[[#This Row],[ACREEDOR]],0)</f>
        <v>0</v>
      </c>
    </row>
    <row r="2615" spans="1:14" hidden="1" x14ac:dyDescent="0.3">
      <c r="A2615" s="14">
        <f>+'PLAN DE CUENTAS'!A2615</f>
        <v>0</v>
      </c>
      <c r="B2615" s="13">
        <f>+'PLAN DE CUENTAS'!B2615</f>
        <v>0</v>
      </c>
      <c r="C2615" s="13">
        <f>+'PLAN DE CUENTAS'!C2615</f>
        <v>0</v>
      </c>
      <c r="D2615" t="str">
        <f>IF(tbal[[#This Row],[DEBE]]+tbal[[#This Row],[HABER]]=0,"","X")</f>
        <v/>
      </c>
      <c r="E2615" s="16">
        <f>SUMIF(tdiario[CUENTA],tbal[[#This Row],[CUENTA]],tdiario[DEBE])</f>
        <v>0</v>
      </c>
      <c r="F2615" s="17">
        <f>SUMIF(tdiario[CUENTA],tbal[[#This Row],[CUENTA]],tdiario[HABER])</f>
        <v>0</v>
      </c>
      <c r="G2615" s="16">
        <f>IF(tbal[[#This Row],[DEBE]]-tbal[[#This Row],[HABER]]&gt;0,tbal[[#This Row],[DEBE]]-tbal[[#This Row],[HABER]],0)</f>
        <v>0</v>
      </c>
      <c r="H2615" s="18">
        <f>IF(tbal[[#This Row],[HABER]]-tbal[[#This Row],[DEBE]]&gt;0,tbal[[#This Row],[HABER]]-tbal[[#This Row],[DEBE]],0)</f>
        <v>0</v>
      </c>
      <c r="I2615" s="16">
        <f>IF((OR(tbal[[#This Row],[X]]=1,tbal[[#This Row],[X]]=2)),tbal[[#This Row],[DEUDOR]],0)</f>
        <v>0</v>
      </c>
      <c r="J2615" s="18">
        <f>IF((OR(tbal[[#This Row],[X]]=2,tbal[[#This Row],[X]]=3)),tbal[[#This Row],[ACREEDOR]],0)</f>
        <v>0</v>
      </c>
      <c r="K2615" s="16">
        <f>IF((OR(tbal[[#This Row],[X]]=3,tbal[[#This Row],[X]]=5)),tbal[[#This Row],[DEUDOR]],0)</f>
        <v>0</v>
      </c>
      <c r="L2615" s="18">
        <f>IF((OR(tbal[[#This Row],[X]]=3,tbal[[#This Row],[X]]=4)),tbal[[#This Row],[ACREEDOR]],0)</f>
        <v>0</v>
      </c>
      <c r="M2615" s="16">
        <f>IF((OR(tbal[[#This Row],[X]]=0,tbal[[#This Row],[X]]=6)),tbal[[#This Row],[DEUDOR]],0)</f>
        <v>0</v>
      </c>
      <c r="N2615" s="18">
        <f>IF((OR(tbal[[#This Row],[X]]=0,tbal[[#This Row],[X]]=5)),tbal[[#This Row],[ACREEDOR]],0)</f>
        <v>0</v>
      </c>
    </row>
    <row r="2616" spans="1:14" hidden="1" x14ac:dyDescent="0.3">
      <c r="A2616" s="14">
        <f>+'PLAN DE CUENTAS'!A2616</f>
        <v>0</v>
      </c>
      <c r="B2616" s="13">
        <f>+'PLAN DE CUENTAS'!B2616</f>
        <v>0</v>
      </c>
      <c r="C2616" s="13">
        <f>+'PLAN DE CUENTAS'!C2616</f>
        <v>0</v>
      </c>
      <c r="D2616" t="str">
        <f>IF(tbal[[#This Row],[DEBE]]+tbal[[#This Row],[HABER]]=0,"","X")</f>
        <v/>
      </c>
      <c r="E2616" s="16">
        <f>SUMIF(tdiario[CUENTA],tbal[[#This Row],[CUENTA]],tdiario[DEBE])</f>
        <v>0</v>
      </c>
      <c r="F2616" s="17">
        <f>SUMIF(tdiario[CUENTA],tbal[[#This Row],[CUENTA]],tdiario[HABER])</f>
        <v>0</v>
      </c>
      <c r="G2616" s="16">
        <f>IF(tbal[[#This Row],[DEBE]]-tbal[[#This Row],[HABER]]&gt;0,tbal[[#This Row],[DEBE]]-tbal[[#This Row],[HABER]],0)</f>
        <v>0</v>
      </c>
      <c r="H2616" s="18">
        <f>IF(tbal[[#This Row],[HABER]]-tbal[[#This Row],[DEBE]]&gt;0,tbal[[#This Row],[HABER]]-tbal[[#This Row],[DEBE]],0)</f>
        <v>0</v>
      </c>
      <c r="I2616" s="16">
        <f>IF((OR(tbal[[#This Row],[X]]=1,tbal[[#This Row],[X]]=2)),tbal[[#This Row],[DEUDOR]],0)</f>
        <v>0</v>
      </c>
      <c r="J2616" s="18">
        <f>IF((OR(tbal[[#This Row],[X]]=2,tbal[[#This Row],[X]]=3)),tbal[[#This Row],[ACREEDOR]],0)</f>
        <v>0</v>
      </c>
      <c r="K2616" s="16">
        <f>IF((OR(tbal[[#This Row],[X]]=3,tbal[[#This Row],[X]]=5)),tbal[[#This Row],[DEUDOR]],0)</f>
        <v>0</v>
      </c>
      <c r="L2616" s="18">
        <f>IF((OR(tbal[[#This Row],[X]]=3,tbal[[#This Row],[X]]=4)),tbal[[#This Row],[ACREEDOR]],0)</f>
        <v>0</v>
      </c>
      <c r="M2616" s="16">
        <f>IF((OR(tbal[[#This Row],[X]]=0,tbal[[#This Row],[X]]=6)),tbal[[#This Row],[DEUDOR]],0)</f>
        <v>0</v>
      </c>
      <c r="N2616" s="18">
        <f>IF((OR(tbal[[#This Row],[X]]=0,tbal[[#This Row],[X]]=5)),tbal[[#This Row],[ACREEDOR]],0)</f>
        <v>0</v>
      </c>
    </row>
    <row r="2617" spans="1:14" hidden="1" x14ac:dyDescent="0.3">
      <c r="A2617" s="14">
        <f>+'PLAN DE CUENTAS'!A2617</f>
        <v>0</v>
      </c>
      <c r="B2617" s="13">
        <f>+'PLAN DE CUENTAS'!B2617</f>
        <v>0</v>
      </c>
      <c r="C2617" s="13">
        <f>+'PLAN DE CUENTAS'!C2617</f>
        <v>0</v>
      </c>
      <c r="D2617" t="str">
        <f>IF(tbal[[#This Row],[DEBE]]+tbal[[#This Row],[HABER]]=0,"","X")</f>
        <v/>
      </c>
      <c r="E2617" s="16">
        <f>SUMIF(tdiario[CUENTA],tbal[[#This Row],[CUENTA]],tdiario[DEBE])</f>
        <v>0</v>
      </c>
      <c r="F2617" s="17">
        <f>SUMIF(tdiario[CUENTA],tbal[[#This Row],[CUENTA]],tdiario[HABER])</f>
        <v>0</v>
      </c>
      <c r="G2617" s="16">
        <f>IF(tbal[[#This Row],[DEBE]]-tbal[[#This Row],[HABER]]&gt;0,tbal[[#This Row],[DEBE]]-tbal[[#This Row],[HABER]],0)</f>
        <v>0</v>
      </c>
      <c r="H2617" s="18">
        <f>IF(tbal[[#This Row],[HABER]]-tbal[[#This Row],[DEBE]]&gt;0,tbal[[#This Row],[HABER]]-tbal[[#This Row],[DEBE]],0)</f>
        <v>0</v>
      </c>
      <c r="I2617" s="16">
        <f>IF((OR(tbal[[#This Row],[X]]=1,tbal[[#This Row],[X]]=2)),tbal[[#This Row],[DEUDOR]],0)</f>
        <v>0</v>
      </c>
      <c r="J2617" s="18">
        <f>IF((OR(tbal[[#This Row],[X]]=2,tbal[[#This Row],[X]]=3)),tbal[[#This Row],[ACREEDOR]],0)</f>
        <v>0</v>
      </c>
      <c r="K2617" s="16">
        <f>IF((OR(tbal[[#This Row],[X]]=3,tbal[[#This Row],[X]]=5)),tbal[[#This Row],[DEUDOR]],0)</f>
        <v>0</v>
      </c>
      <c r="L2617" s="18">
        <f>IF((OR(tbal[[#This Row],[X]]=3,tbal[[#This Row],[X]]=4)),tbal[[#This Row],[ACREEDOR]],0)</f>
        <v>0</v>
      </c>
      <c r="M2617" s="16">
        <f>IF((OR(tbal[[#This Row],[X]]=0,tbal[[#This Row],[X]]=6)),tbal[[#This Row],[DEUDOR]],0)</f>
        <v>0</v>
      </c>
      <c r="N2617" s="18">
        <f>IF((OR(tbal[[#This Row],[X]]=0,tbal[[#This Row],[X]]=5)),tbal[[#This Row],[ACREEDOR]],0)</f>
        <v>0</v>
      </c>
    </row>
    <row r="2618" spans="1:14" hidden="1" x14ac:dyDescent="0.3">
      <c r="A2618" s="14">
        <f>+'PLAN DE CUENTAS'!A2618</f>
        <v>0</v>
      </c>
      <c r="B2618" s="13">
        <f>+'PLAN DE CUENTAS'!B2618</f>
        <v>0</v>
      </c>
      <c r="C2618" s="13">
        <f>+'PLAN DE CUENTAS'!C2618</f>
        <v>0</v>
      </c>
      <c r="D2618" t="str">
        <f>IF(tbal[[#This Row],[DEBE]]+tbal[[#This Row],[HABER]]=0,"","X")</f>
        <v/>
      </c>
      <c r="E2618" s="16">
        <f>SUMIF(tdiario[CUENTA],tbal[[#This Row],[CUENTA]],tdiario[DEBE])</f>
        <v>0</v>
      </c>
      <c r="F2618" s="17">
        <f>SUMIF(tdiario[CUENTA],tbal[[#This Row],[CUENTA]],tdiario[HABER])</f>
        <v>0</v>
      </c>
      <c r="G2618" s="16">
        <f>IF(tbal[[#This Row],[DEBE]]-tbal[[#This Row],[HABER]]&gt;0,tbal[[#This Row],[DEBE]]-tbal[[#This Row],[HABER]],0)</f>
        <v>0</v>
      </c>
      <c r="H2618" s="18">
        <f>IF(tbal[[#This Row],[HABER]]-tbal[[#This Row],[DEBE]]&gt;0,tbal[[#This Row],[HABER]]-tbal[[#This Row],[DEBE]],0)</f>
        <v>0</v>
      </c>
      <c r="I2618" s="16">
        <f>IF((OR(tbal[[#This Row],[X]]=1,tbal[[#This Row],[X]]=2)),tbal[[#This Row],[DEUDOR]],0)</f>
        <v>0</v>
      </c>
      <c r="J2618" s="18">
        <f>IF((OR(tbal[[#This Row],[X]]=2,tbal[[#This Row],[X]]=3)),tbal[[#This Row],[ACREEDOR]],0)</f>
        <v>0</v>
      </c>
      <c r="K2618" s="16">
        <f>IF((OR(tbal[[#This Row],[X]]=3,tbal[[#This Row],[X]]=5)),tbal[[#This Row],[DEUDOR]],0)</f>
        <v>0</v>
      </c>
      <c r="L2618" s="18">
        <f>IF((OR(tbal[[#This Row],[X]]=3,tbal[[#This Row],[X]]=4)),tbal[[#This Row],[ACREEDOR]],0)</f>
        <v>0</v>
      </c>
      <c r="M2618" s="16">
        <f>IF((OR(tbal[[#This Row],[X]]=0,tbal[[#This Row],[X]]=6)),tbal[[#This Row],[DEUDOR]],0)</f>
        <v>0</v>
      </c>
      <c r="N2618" s="18">
        <f>IF((OR(tbal[[#This Row],[X]]=0,tbal[[#This Row],[X]]=5)),tbal[[#This Row],[ACREEDOR]],0)</f>
        <v>0</v>
      </c>
    </row>
    <row r="2619" spans="1:14" hidden="1" x14ac:dyDescent="0.3">
      <c r="A2619" s="14">
        <f>+'PLAN DE CUENTAS'!A2619</f>
        <v>0</v>
      </c>
      <c r="B2619" s="13">
        <f>+'PLAN DE CUENTAS'!B2619</f>
        <v>0</v>
      </c>
      <c r="C2619" s="13">
        <f>+'PLAN DE CUENTAS'!C2619</f>
        <v>0</v>
      </c>
      <c r="D2619" t="str">
        <f>IF(tbal[[#This Row],[DEBE]]+tbal[[#This Row],[HABER]]=0,"","X")</f>
        <v/>
      </c>
      <c r="E2619" s="16">
        <f>SUMIF(tdiario[CUENTA],tbal[[#This Row],[CUENTA]],tdiario[DEBE])</f>
        <v>0</v>
      </c>
      <c r="F2619" s="17">
        <f>SUMIF(tdiario[CUENTA],tbal[[#This Row],[CUENTA]],tdiario[HABER])</f>
        <v>0</v>
      </c>
      <c r="G2619" s="16">
        <f>IF(tbal[[#This Row],[DEBE]]-tbal[[#This Row],[HABER]]&gt;0,tbal[[#This Row],[DEBE]]-tbal[[#This Row],[HABER]],0)</f>
        <v>0</v>
      </c>
      <c r="H2619" s="18">
        <f>IF(tbal[[#This Row],[HABER]]-tbal[[#This Row],[DEBE]]&gt;0,tbal[[#This Row],[HABER]]-tbal[[#This Row],[DEBE]],0)</f>
        <v>0</v>
      </c>
      <c r="I2619" s="16">
        <f>IF((OR(tbal[[#This Row],[X]]=1,tbal[[#This Row],[X]]=2)),tbal[[#This Row],[DEUDOR]],0)</f>
        <v>0</v>
      </c>
      <c r="J2619" s="18">
        <f>IF((OR(tbal[[#This Row],[X]]=2,tbal[[#This Row],[X]]=3)),tbal[[#This Row],[ACREEDOR]],0)</f>
        <v>0</v>
      </c>
      <c r="K2619" s="16">
        <f>IF((OR(tbal[[#This Row],[X]]=3,tbal[[#This Row],[X]]=5)),tbal[[#This Row],[DEUDOR]],0)</f>
        <v>0</v>
      </c>
      <c r="L2619" s="18">
        <f>IF((OR(tbal[[#This Row],[X]]=3,tbal[[#This Row],[X]]=4)),tbal[[#This Row],[ACREEDOR]],0)</f>
        <v>0</v>
      </c>
      <c r="M2619" s="16">
        <f>IF((OR(tbal[[#This Row],[X]]=0,tbal[[#This Row],[X]]=6)),tbal[[#This Row],[DEUDOR]],0)</f>
        <v>0</v>
      </c>
      <c r="N2619" s="18">
        <f>IF((OR(tbal[[#This Row],[X]]=0,tbal[[#This Row],[X]]=5)),tbal[[#This Row],[ACREEDOR]],0)</f>
        <v>0</v>
      </c>
    </row>
    <row r="2620" spans="1:14" hidden="1" x14ac:dyDescent="0.3">
      <c r="A2620" s="14">
        <f>+'PLAN DE CUENTAS'!A2620</f>
        <v>0</v>
      </c>
      <c r="B2620" s="13">
        <f>+'PLAN DE CUENTAS'!B2620</f>
        <v>0</v>
      </c>
      <c r="C2620" s="13">
        <f>+'PLAN DE CUENTAS'!C2620</f>
        <v>0</v>
      </c>
      <c r="D2620" t="str">
        <f>IF(tbal[[#This Row],[DEBE]]+tbal[[#This Row],[HABER]]=0,"","X")</f>
        <v/>
      </c>
      <c r="E2620" s="16">
        <f>SUMIF(tdiario[CUENTA],tbal[[#This Row],[CUENTA]],tdiario[DEBE])</f>
        <v>0</v>
      </c>
      <c r="F2620" s="17">
        <f>SUMIF(tdiario[CUENTA],tbal[[#This Row],[CUENTA]],tdiario[HABER])</f>
        <v>0</v>
      </c>
      <c r="G2620" s="16">
        <f>IF(tbal[[#This Row],[DEBE]]-tbal[[#This Row],[HABER]]&gt;0,tbal[[#This Row],[DEBE]]-tbal[[#This Row],[HABER]],0)</f>
        <v>0</v>
      </c>
      <c r="H2620" s="18">
        <f>IF(tbal[[#This Row],[HABER]]-tbal[[#This Row],[DEBE]]&gt;0,tbal[[#This Row],[HABER]]-tbal[[#This Row],[DEBE]],0)</f>
        <v>0</v>
      </c>
      <c r="I2620" s="16">
        <f>IF((OR(tbal[[#This Row],[X]]=1,tbal[[#This Row],[X]]=2)),tbal[[#This Row],[DEUDOR]],0)</f>
        <v>0</v>
      </c>
      <c r="J2620" s="18">
        <f>IF((OR(tbal[[#This Row],[X]]=2,tbal[[#This Row],[X]]=3)),tbal[[#This Row],[ACREEDOR]],0)</f>
        <v>0</v>
      </c>
      <c r="K2620" s="16">
        <f>IF((OR(tbal[[#This Row],[X]]=3,tbal[[#This Row],[X]]=5)),tbal[[#This Row],[DEUDOR]],0)</f>
        <v>0</v>
      </c>
      <c r="L2620" s="18">
        <f>IF((OR(tbal[[#This Row],[X]]=3,tbal[[#This Row],[X]]=4)),tbal[[#This Row],[ACREEDOR]],0)</f>
        <v>0</v>
      </c>
      <c r="M2620" s="16">
        <f>IF((OR(tbal[[#This Row],[X]]=0,tbal[[#This Row],[X]]=6)),tbal[[#This Row],[DEUDOR]],0)</f>
        <v>0</v>
      </c>
      <c r="N2620" s="18">
        <f>IF((OR(tbal[[#This Row],[X]]=0,tbal[[#This Row],[X]]=5)),tbal[[#This Row],[ACREEDOR]],0)</f>
        <v>0</v>
      </c>
    </row>
    <row r="2621" spans="1:14" hidden="1" x14ac:dyDescent="0.3">
      <c r="A2621" s="14">
        <f>+'PLAN DE CUENTAS'!A2621</f>
        <v>0</v>
      </c>
      <c r="B2621" s="13">
        <f>+'PLAN DE CUENTAS'!B2621</f>
        <v>0</v>
      </c>
      <c r="C2621" s="13">
        <f>+'PLAN DE CUENTAS'!C2621</f>
        <v>0</v>
      </c>
      <c r="D2621" t="str">
        <f>IF(tbal[[#This Row],[DEBE]]+tbal[[#This Row],[HABER]]=0,"","X")</f>
        <v/>
      </c>
      <c r="E2621" s="16">
        <f>SUMIF(tdiario[CUENTA],tbal[[#This Row],[CUENTA]],tdiario[DEBE])</f>
        <v>0</v>
      </c>
      <c r="F2621" s="17">
        <f>SUMIF(tdiario[CUENTA],tbal[[#This Row],[CUENTA]],tdiario[HABER])</f>
        <v>0</v>
      </c>
      <c r="G2621" s="16">
        <f>IF(tbal[[#This Row],[DEBE]]-tbal[[#This Row],[HABER]]&gt;0,tbal[[#This Row],[DEBE]]-tbal[[#This Row],[HABER]],0)</f>
        <v>0</v>
      </c>
      <c r="H2621" s="18">
        <f>IF(tbal[[#This Row],[HABER]]-tbal[[#This Row],[DEBE]]&gt;0,tbal[[#This Row],[HABER]]-tbal[[#This Row],[DEBE]],0)</f>
        <v>0</v>
      </c>
      <c r="I2621" s="16">
        <f>IF((OR(tbal[[#This Row],[X]]=1,tbal[[#This Row],[X]]=2)),tbal[[#This Row],[DEUDOR]],0)</f>
        <v>0</v>
      </c>
      <c r="J2621" s="18">
        <f>IF((OR(tbal[[#This Row],[X]]=2,tbal[[#This Row],[X]]=3)),tbal[[#This Row],[ACREEDOR]],0)</f>
        <v>0</v>
      </c>
      <c r="K2621" s="16">
        <f>IF((OR(tbal[[#This Row],[X]]=3,tbal[[#This Row],[X]]=5)),tbal[[#This Row],[DEUDOR]],0)</f>
        <v>0</v>
      </c>
      <c r="L2621" s="18">
        <f>IF((OR(tbal[[#This Row],[X]]=3,tbal[[#This Row],[X]]=4)),tbal[[#This Row],[ACREEDOR]],0)</f>
        <v>0</v>
      </c>
      <c r="M2621" s="16">
        <f>IF((OR(tbal[[#This Row],[X]]=0,tbal[[#This Row],[X]]=6)),tbal[[#This Row],[DEUDOR]],0)</f>
        <v>0</v>
      </c>
      <c r="N2621" s="18">
        <f>IF((OR(tbal[[#This Row],[X]]=0,tbal[[#This Row],[X]]=5)),tbal[[#This Row],[ACREEDOR]],0)</f>
        <v>0</v>
      </c>
    </row>
    <row r="2622" spans="1:14" hidden="1" x14ac:dyDescent="0.3">
      <c r="A2622" s="14">
        <f>+'PLAN DE CUENTAS'!A2622</f>
        <v>0</v>
      </c>
      <c r="B2622" s="13">
        <f>+'PLAN DE CUENTAS'!B2622</f>
        <v>0</v>
      </c>
      <c r="C2622" s="13">
        <f>+'PLAN DE CUENTAS'!C2622</f>
        <v>0</v>
      </c>
      <c r="D2622" t="str">
        <f>IF(tbal[[#This Row],[DEBE]]+tbal[[#This Row],[HABER]]=0,"","X")</f>
        <v/>
      </c>
      <c r="E2622" s="16">
        <f>SUMIF(tdiario[CUENTA],tbal[[#This Row],[CUENTA]],tdiario[DEBE])</f>
        <v>0</v>
      </c>
      <c r="F2622" s="17">
        <f>SUMIF(tdiario[CUENTA],tbal[[#This Row],[CUENTA]],tdiario[HABER])</f>
        <v>0</v>
      </c>
      <c r="G2622" s="16">
        <f>IF(tbal[[#This Row],[DEBE]]-tbal[[#This Row],[HABER]]&gt;0,tbal[[#This Row],[DEBE]]-tbal[[#This Row],[HABER]],0)</f>
        <v>0</v>
      </c>
      <c r="H2622" s="18">
        <f>IF(tbal[[#This Row],[HABER]]-tbal[[#This Row],[DEBE]]&gt;0,tbal[[#This Row],[HABER]]-tbal[[#This Row],[DEBE]],0)</f>
        <v>0</v>
      </c>
      <c r="I2622" s="16">
        <f>IF((OR(tbal[[#This Row],[X]]=1,tbal[[#This Row],[X]]=2)),tbal[[#This Row],[DEUDOR]],0)</f>
        <v>0</v>
      </c>
      <c r="J2622" s="18">
        <f>IF((OR(tbal[[#This Row],[X]]=2,tbal[[#This Row],[X]]=3)),tbal[[#This Row],[ACREEDOR]],0)</f>
        <v>0</v>
      </c>
      <c r="K2622" s="16">
        <f>IF((OR(tbal[[#This Row],[X]]=3,tbal[[#This Row],[X]]=5)),tbal[[#This Row],[DEUDOR]],0)</f>
        <v>0</v>
      </c>
      <c r="L2622" s="18">
        <f>IF((OR(tbal[[#This Row],[X]]=3,tbal[[#This Row],[X]]=4)),tbal[[#This Row],[ACREEDOR]],0)</f>
        <v>0</v>
      </c>
      <c r="M2622" s="16">
        <f>IF((OR(tbal[[#This Row],[X]]=0,tbal[[#This Row],[X]]=6)),tbal[[#This Row],[DEUDOR]],0)</f>
        <v>0</v>
      </c>
      <c r="N2622" s="18">
        <f>IF((OR(tbal[[#This Row],[X]]=0,tbal[[#This Row],[X]]=5)),tbal[[#This Row],[ACREEDOR]],0)</f>
        <v>0</v>
      </c>
    </row>
    <row r="2623" spans="1:14" hidden="1" x14ac:dyDescent="0.3">
      <c r="A2623" s="14">
        <f>+'PLAN DE CUENTAS'!A2623</f>
        <v>0</v>
      </c>
      <c r="B2623" s="13">
        <f>+'PLAN DE CUENTAS'!B2623</f>
        <v>0</v>
      </c>
      <c r="C2623" s="13">
        <f>+'PLAN DE CUENTAS'!C2623</f>
        <v>0</v>
      </c>
      <c r="D2623" t="str">
        <f>IF(tbal[[#This Row],[DEBE]]+tbal[[#This Row],[HABER]]=0,"","X")</f>
        <v/>
      </c>
      <c r="E2623" s="16">
        <f>SUMIF(tdiario[CUENTA],tbal[[#This Row],[CUENTA]],tdiario[DEBE])</f>
        <v>0</v>
      </c>
      <c r="F2623" s="17">
        <f>SUMIF(tdiario[CUENTA],tbal[[#This Row],[CUENTA]],tdiario[HABER])</f>
        <v>0</v>
      </c>
      <c r="G2623" s="16">
        <f>IF(tbal[[#This Row],[DEBE]]-tbal[[#This Row],[HABER]]&gt;0,tbal[[#This Row],[DEBE]]-tbal[[#This Row],[HABER]],0)</f>
        <v>0</v>
      </c>
      <c r="H2623" s="18">
        <f>IF(tbal[[#This Row],[HABER]]-tbal[[#This Row],[DEBE]]&gt;0,tbal[[#This Row],[HABER]]-tbal[[#This Row],[DEBE]],0)</f>
        <v>0</v>
      </c>
      <c r="I2623" s="16">
        <f>IF((OR(tbal[[#This Row],[X]]=1,tbal[[#This Row],[X]]=2)),tbal[[#This Row],[DEUDOR]],0)</f>
        <v>0</v>
      </c>
      <c r="J2623" s="18">
        <f>IF((OR(tbal[[#This Row],[X]]=2,tbal[[#This Row],[X]]=3)),tbal[[#This Row],[ACREEDOR]],0)</f>
        <v>0</v>
      </c>
      <c r="K2623" s="16">
        <f>IF((OR(tbal[[#This Row],[X]]=3,tbal[[#This Row],[X]]=5)),tbal[[#This Row],[DEUDOR]],0)</f>
        <v>0</v>
      </c>
      <c r="L2623" s="18">
        <f>IF((OR(tbal[[#This Row],[X]]=3,tbal[[#This Row],[X]]=4)),tbal[[#This Row],[ACREEDOR]],0)</f>
        <v>0</v>
      </c>
      <c r="M2623" s="16">
        <f>IF((OR(tbal[[#This Row],[X]]=0,tbal[[#This Row],[X]]=6)),tbal[[#This Row],[DEUDOR]],0)</f>
        <v>0</v>
      </c>
      <c r="N2623" s="18">
        <f>IF((OR(tbal[[#This Row],[X]]=0,tbal[[#This Row],[X]]=5)),tbal[[#This Row],[ACREEDOR]],0)</f>
        <v>0</v>
      </c>
    </row>
    <row r="2624" spans="1:14" hidden="1" x14ac:dyDescent="0.3">
      <c r="A2624" s="14">
        <f>+'PLAN DE CUENTAS'!A2624</f>
        <v>0</v>
      </c>
      <c r="B2624" s="13">
        <f>+'PLAN DE CUENTAS'!B2624</f>
        <v>0</v>
      </c>
      <c r="C2624" s="13">
        <f>+'PLAN DE CUENTAS'!C2624</f>
        <v>0</v>
      </c>
      <c r="D2624" t="str">
        <f>IF(tbal[[#This Row],[DEBE]]+tbal[[#This Row],[HABER]]=0,"","X")</f>
        <v/>
      </c>
      <c r="E2624" s="16">
        <f>SUMIF(tdiario[CUENTA],tbal[[#This Row],[CUENTA]],tdiario[DEBE])</f>
        <v>0</v>
      </c>
      <c r="F2624" s="17">
        <f>SUMIF(tdiario[CUENTA],tbal[[#This Row],[CUENTA]],tdiario[HABER])</f>
        <v>0</v>
      </c>
      <c r="G2624" s="16">
        <f>IF(tbal[[#This Row],[DEBE]]-tbal[[#This Row],[HABER]]&gt;0,tbal[[#This Row],[DEBE]]-tbal[[#This Row],[HABER]],0)</f>
        <v>0</v>
      </c>
      <c r="H2624" s="18">
        <f>IF(tbal[[#This Row],[HABER]]-tbal[[#This Row],[DEBE]]&gt;0,tbal[[#This Row],[HABER]]-tbal[[#This Row],[DEBE]],0)</f>
        <v>0</v>
      </c>
      <c r="I2624" s="16">
        <f>IF((OR(tbal[[#This Row],[X]]=1,tbal[[#This Row],[X]]=2)),tbal[[#This Row],[DEUDOR]],0)</f>
        <v>0</v>
      </c>
      <c r="J2624" s="18">
        <f>IF((OR(tbal[[#This Row],[X]]=2,tbal[[#This Row],[X]]=3)),tbal[[#This Row],[ACREEDOR]],0)</f>
        <v>0</v>
      </c>
      <c r="K2624" s="16">
        <f>IF((OR(tbal[[#This Row],[X]]=3,tbal[[#This Row],[X]]=5)),tbal[[#This Row],[DEUDOR]],0)</f>
        <v>0</v>
      </c>
      <c r="L2624" s="18">
        <f>IF((OR(tbal[[#This Row],[X]]=3,tbal[[#This Row],[X]]=4)),tbal[[#This Row],[ACREEDOR]],0)</f>
        <v>0</v>
      </c>
      <c r="M2624" s="16">
        <f>IF((OR(tbal[[#This Row],[X]]=0,tbal[[#This Row],[X]]=6)),tbal[[#This Row],[DEUDOR]],0)</f>
        <v>0</v>
      </c>
      <c r="N2624" s="18">
        <f>IF((OR(tbal[[#This Row],[X]]=0,tbal[[#This Row],[X]]=5)),tbal[[#This Row],[ACREEDOR]],0)</f>
        <v>0</v>
      </c>
    </row>
    <row r="2625" spans="1:14" hidden="1" x14ac:dyDescent="0.3">
      <c r="A2625" s="14">
        <f>+'PLAN DE CUENTAS'!A2625</f>
        <v>0</v>
      </c>
      <c r="B2625" s="13">
        <f>+'PLAN DE CUENTAS'!B2625</f>
        <v>0</v>
      </c>
      <c r="C2625" s="13">
        <f>+'PLAN DE CUENTAS'!C2625</f>
        <v>0</v>
      </c>
      <c r="D2625" t="str">
        <f>IF(tbal[[#This Row],[DEBE]]+tbal[[#This Row],[HABER]]=0,"","X")</f>
        <v/>
      </c>
      <c r="E2625" s="16">
        <f>SUMIF(tdiario[CUENTA],tbal[[#This Row],[CUENTA]],tdiario[DEBE])</f>
        <v>0</v>
      </c>
      <c r="F2625" s="17">
        <f>SUMIF(tdiario[CUENTA],tbal[[#This Row],[CUENTA]],tdiario[HABER])</f>
        <v>0</v>
      </c>
      <c r="G2625" s="16">
        <f>IF(tbal[[#This Row],[DEBE]]-tbal[[#This Row],[HABER]]&gt;0,tbal[[#This Row],[DEBE]]-tbal[[#This Row],[HABER]],0)</f>
        <v>0</v>
      </c>
      <c r="H2625" s="18">
        <f>IF(tbal[[#This Row],[HABER]]-tbal[[#This Row],[DEBE]]&gt;0,tbal[[#This Row],[HABER]]-tbal[[#This Row],[DEBE]],0)</f>
        <v>0</v>
      </c>
      <c r="I2625" s="16">
        <f>IF((OR(tbal[[#This Row],[X]]=1,tbal[[#This Row],[X]]=2)),tbal[[#This Row],[DEUDOR]],0)</f>
        <v>0</v>
      </c>
      <c r="J2625" s="18">
        <f>IF((OR(tbal[[#This Row],[X]]=2,tbal[[#This Row],[X]]=3)),tbal[[#This Row],[ACREEDOR]],0)</f>
        <v>0</v>
      </c>
      <c r="K2625" s="16">
        <f>IF((OR(tbal[[#This Row],[X]]=3,tbal[[#This Row],[X]]=5)),tbal[[#This Row],[DEUDOR]],0)</f>
        <v>0</v>
      </c>
      <c r="L2625" s="18">
        <f>IF((OR(tbal[[#This Row],[X]]=3,tbal[[#This Row],[X]]=4)),tbal[[#This Row],[ACREEDOR]],0)</f>
        <v>0</v>
      </c>
      <c r="M2625" s="16">
        <f>IF((OR(tbal[[#This Row],[X]]=0,tbal[[#This Row],[X]]=6)),tbal[[#This Row],[DEUDOR]],0)</f>
        <v>0</v>
      </c>
      <c r="N2625" s="18">
        <f>IF((OR(tbal[[#This Row],[X]]=0,tbal[[#This Row],[X]]=5)),tbal[[#This Row],[ACREEDOR]],0)</f>
        <v>0</v>
      </c>
    </row>
    <row r="2626" spans="1:14" hidden="1" x14ac:dyDescent="0.3">
      <c r="A2626" s="14">
        <f>+'PLAN DE CUENTAS'!A2626</f>
        <v>0</v>
      </c>
      <c r="B2626" s="13">
        <f>+'PLAN DE CUENTAS'!B2626</f>
        <v>0</v>
      </c>
      <c r="C2626" s="13">
        <f>+'PLAN DE CUENTAS'!C2626</f>
        <v>0</v>
      </c>
      <c r="D2626" t="str">
        <f>IF(tbal[[#This Row],[DEBE]]+tbal[[#This Row],[HABER]]=0,"","X")</f>
        <v/>
      </c>
      <c r="E2626" s="16">
        <f>SUMIF(tdiario[CUENTA],tbal[[#This Row],[CUENTA]],tdiario[DEBE])</f>
        <v>0</v>
      </c>
      <c r="F2626" s="17">
        <f>SUMIF(tdiario[CUENTA],tbal[[#This Row],[CUENTA]],tdiario[HABER])</f>
        <v>0</v>
      </c>
      <c r="G2626" s="16">
        <f>IF(tbal[[#This Row],[DEBE]]-tbal[[#This Row],[HABER]]&gt;0,tbal[[#This Row],[DEBE]]-tbal[[#This Row],[HABER]],0)</f>
        <v>0</v>
      </c>
      <c r="H2626" s="18">
        <f>IF(tbal[[#This Row],[HABER]]-tbal[[#This Row],[DEBE]]&gt;0,tbal[[#This Row],[HABER]]-tbal[[#This Row],[DEBE]],0)</f>
        <v>0</v>
      </c>
      <c r="I2626" s="16">
        <f>IF((OR(tbal[[#This Row],[X]]=1,tbal[[#This Row],[X]]=2)),tbal[[#This Row],[DEUDOR]],0)</f>
        <v>0</v>
      </c>
      <c r="J2626" s="18">
        <f>IF((OR(tbal[[#This Row],[X]]=2,tbal[[#This Row],[X]]=3)),tbal[[#This Row],[ACREEDOR]],0)</f>
        <v>0</v>
      </c>
      <c r="K2626" s="16">
        <f>IF((OR(tbal[[#This Row],[X]]=3,tbal[[#This Row],[X]]=5)),tbal[[#This Row],[DEUDOR]],0)</f>
        <v>0</v>
      </c>
      <c r="L2626" s="18">
        <f>IF((OR(tbal[[#This Row],[X]]=3,tbal[[#This Row],[X]]=4)),tbal[[#This Row],[ACREEDOR]],0)</f>
        <v>0</v>
      </c>
      <c r="M2626" s="16">
        <f>IF((OR(tbal[[#This Row],[X]]=0,tbal[[#This Row],[X]]=6)),tbal[[#This Row],[DEUDOR]],0)</f>
        <v>0</v>
      </c>
      <c r="N2626" s="18">
        <f>IF((OR(tbal[[#This Row],[X]]=0,tbal[[#This Row],[X]]=5)),tbal[[#This Row],[ACREEDOR]],0)</f>
        <v>0</v>
      </c>
    </row>
    <row r="2627" spans="1:14" hidden="1" x14ac:dyDescent="0.3">
      <c r="A2627" s="14">
        <f>+'PLAN DE CUENTAS'!A2627</f>
        <v>0</v>
      </c>
      <c r="B2627" s="13">
        <f>+'PLAN DE CUENTAS'!B2627</f>
        <v>0</v>
      </c>
      <c r="C2627" s="13">
        <f>+'PLAN DE CUENTAS'!C2627</f>
        <v>0</v>
      </c>
      <c r="D2627" t="str">
        <f>IF(tbal[[#This Row],[DEBE]]+tbal[[#This Row],[HABER]]=0,"","X")</f>
        <v/>
      </c>
      <c r="E2627" s="16">
        <f>SUMIF(tdiario[CUENTA],tbal[[#This Row],[CUENTA]],tdiario[DEBE])</f>
        <v>0</v>
      </c>
      <c r="F2627" s="17">
        <f>SUMIF(tdiario[CUENTA],tbal[[#This Row],[CUENTA]],tdiario[HABER])</f>
        <v>0</v>
      </c>
      <c r="G2627" s="16">
        <f>IF(tbal[[#This Row],[DEBE]]-tbal[[#This Row],[HABER]]&gt;0,tbal[[#This Row],[DEBE]]-tbal[[#This Row],[HABER]],0)</f>
        <v>0</v>
      </c>
      <c r="H2627" s="18">
        <f>IF(tbal[[#This Row],[HABER]]-tbal[[#This Row],[DEBE]]&gt;0,tbal[[#This Row],[HABER]]-tbal[[#This Row],[DEBE]],0)</f>
        <v>0</v>
      </c>
      <c r="I2627" s="16">
        <f>IF((OR(tbal[[#This Row],[X]]=1,tbal[[#This Row],[X]]=2)),tbal[[#This Row],[DEUDOR]],0)</f>
        <v>0</v>
      </c>
      <c r="J2627" s="18">
        <f>IF((OR(tbal[[#This Row],[X]]=2,tbal[[#This Row],[X]]=3)),tbal[[#This Row],[ACREEDOR]],0)</f>
        <v>0</v>
      </c>
      <c r="K2627" s="16">
        <f>IF((OR(tbal[[#This Row],[X]]=3,tbal[[#This Row],[X]]=5)),tbal[[#This Row],[DEUDOR]],0)</f>
        <v>0</v>
      </c>
      <c r="L2627" s="18">
        <f>IF((OR(tbal[[#This Row],[X]]=3,tbal[[#This Row],[X]]=4)),tbal[[#This Row],[ACREEDOR]],0)</f>
        <v>0</v>
      </c>
      <c r="M2627" s="16">
        <f>IF((OR(tbal[[#This Row],[X]]=0,tbal[[#This Row],[X]]=6)),tbal[[#This Row],[DEUDOR]],0)</f>
        <v>0</v>
      </c>
      <c r="N2627" s="18">
        <f>IF((OR(tbal[[#This Row],[X]]=0,tbal[[#This Row],[X]]=5)),tbal[[#This Row],[ACREEDOR]],0)</f>
        <v>0</v>
      </c>
    </row>
    <row r="2628" spans="1:14" hidden="1" x14ac:dyDescent="0.3">
      <c r="A2628" s="14">
        <f>+'PLAN DE CUENTAS'!A2628</f>
        <v>0</v>
      </c>
      <c r="B2628" s="13">
        <f>+'PLAN DE CUENTAS'!B2628</f>
        <v>0</v>
      </c>
      <c r="C2628" s="13">
        <f>+'PLAN DE CUENTAS'!C2628</f>
        <v>0</v>
      </c>
      <c r="D2628" t="str">
        <f>IF(tbal[[#This Row],[DEBE]]+tbal[[#This Row],[HABER]]=0,"","X")</f>
        <v/>
      </c>
      <c r="E2628" s="16">
        <f>SUMIF(tdiario[CUENTA],tbal[[#This Row],[CUENTA]],tdiario[DEBE])</f>
        <v>0</v>
      </c>
      <c r="F2628" s="17">
        <f>SUMIF(tdiario[CUENTA],tbal[[#This Row],[CUENTA]],tdiario[HABER])</f>
        <v>0</v>
      </c>
      <c r="G2628" s="16">
        <f>IF(tbal[[#This Row],[DEBE]]-tbal[[#This Row],[HABER]]&gt;0,tbal[[#This Row],[DEBE]]-tbal[[#This Row],[HABER]],0)</f>
        <v>0</v>
      </c>
      <c r="H2628" s="18">
        <f>IF(tbal[[#This Row],[HABER]]-tbal[[#This Row],[DEBE]]&gt;0,tbal[[#This Row],[HABER]]-tbal[[#This Row],[DEBE]],0)</f>
        <v>0</v>
      </c>
      <c r="I2628" s="16">
        <f>IF((OR(tbal[[#This Row],[X]]=1,tbal[[#This Row],[X]]=2)),tbal[[#This Row],[DEUDOR]],0)</f>
        <v>0</v>
      </c>
      <c r="J2628" s="18">
        <f>IF((OR(tbal[[#This Row],[X]]=2,tbal[[#This Row],[X]]=3)),tbal[[#This Row],[ACREEDOR]],0)</f>
        <v>0</v>
      </c>
      <c r="K2628" s="16">
        <f>IF((OR(tbal[[#This Row],[X]]=3,tbal[[#This Row],[X]]=5)),tbal[[#This Row],[DEUDOR]],0)</f>
        <v>0</v>
      </c>
      <c r="L2628" s="18">
        <f>IF((OR(tbal[[#This Row],[X]]=3,tbal[[#This Row],[X]]=4)),tbal[[#This Row],[ACREEDOR]],0)</f>
        <v>0</v>
      </c>
      <c r="M2628" s="16">
        <f>IF((OR(tbal[[#This Row],[X]]=0,tbal[[#This Row],[X]]=6)),tbal[[#This Row],[DEUDOR]],0)</f>
        <v>0</v>
      </c>
      <c r="N2628" s="18">
        <f>IF((OR(tbal[[#This Row],[X]]=0,tbal[[#This Row],[X]]=5)),tbal[[#This Row],[ACREEDOR]],0)</f>
        <v>0</v>
      </c>
    </row>
    <row r="2629" spans="1:14" hidden="1" x14ac:dyDescent="0.3">
      <c r="A2629" s="14">
        <f>+'PLAN DE CUENTAS'!A2629</f>
        <v>0</v>
      </c>
      <c r="B2629" s="13">
        <f>+'PLAN DE CUENTAS'!B2629</f>
        <v>0</v>
      </c>
      <c r="C2629" s="13">
        <f>+'PLAN DE CUENTAS'!C2629</f>
        <v>0</v>
      </c>
      <c r="D2629" t="str">
        <f>IF(tbal[[#This Row],[DEBE]]+tbal[[#This Row],[HABER]]=0,"","X")</f>
        <v/>
      </c>
      <c r="E2629" s="16">
        <f>SUMIF(tdiario[CUENTA],tbal[[#This Row],[CUENTA]],tdiario[DEBE])</f>
        <v>0</v>
      </c>
      <c r="F2629" s="17">
        <f>SUMIF(tdiario[CUENTA],tbal[[#This Row],[CUENTA]],tdiario[HABER])</f>
        <v>0</v>
      </c>
      <c r="G2629" s="16">
        <f>IF(tbal[[#This Row],[DEBE]]-tbal[[#This Row],[HABER]]&gt;0,tbal[[#This Row],[DEBE]]-tbal[[#This Row],[HABER]],0)</f>
        <v>0</v>
      </c>
      <c r="H2629" s="18">
        <f>IF(tbal[[#This Row],[HABER]]-tbal[[#This Row],[DEBE]]&gt;0,tbal[[#This Row],[HABER]]-tbal[[#This Row],[DEBE]],0)</f>
        <v>0</v>
      </c>
      <c r="I2629" s="16">
        <f>IF((OR(tbal[[#This Row],[X]]=1,tbal[[#This Row],[X]]=2)),tbal[[#This Row],[DEUDOR]],0)</f>
        <v>0</v>
      </c>
      <c r="J2629" s="18">
        <f>IF((OR(tbal[[#This Row],[X]]=2,tbal[[#This Row],[X]]=3)),tbal[[#This Row],[ACREEDOR]],0)</f>
        <v>0</v>
      </c>
      <c r="K2629" s="16">
        <f>IF((OR(tbal[[#This Row],[X]]=3,tbal[[#This Row],[X]]=5)),tbal[[#This Row],[DEUDOR]],0)</f>
        <v>0</v>
      </c>
      <c r="L2629" s="18">
        <f>IF((OR(tbal[[#This Row],[X]]=3,tbal[[#This Row],[X]]=4)),tbal[[#This Row],[ACREEDOR]],0)</f>
        <v>0</v>
      </c>
      <c r="M2629" s="16">
        <f>IF((OR(tbal[[#This Row],[X]]=0,tbal[[#This Row],[X]]=6)),tbal[[#This Row],[DEUDOR]],0)</f>
        <v>0</v>
      </c>
      <c r="N2629" s="18">
        <f>IF((OR(tbal[[#This Row],[X]]=0,tbal[[#This Row],[X]]=5)),tbal[[#This Row],[ACREEDOR]],0)</f>
        <v>0</v>
      </c>
    </row>
    <row r="2630" spans="1:14" hidden="1" x14ac:dyDescent="0.3">
      <c r="A2630" s="14">
        <f>+'PLAN DE CUENTAS'!A2630</f>
        <v>0</v>
      </c>
      <c r="B2630" s="13">
        <f>+'PLAN DE CUENTAS'!B2630</f>
        <v>0</v>
      </c>
      <c r="C2630" s="13">
        <f>+'PLAN DE CUENTAS'!C2630</f>
        <v>0</v>
      </c>
      <c r="D2630" t="str">
        <f>IF(tbal[[#This Row],[DEBE]]+tbal[[#This Row],[HABER]]=0,"","X")</f>
        <v/>
      </c>
      <c r="E2630" s="16">
        <f>SUMIF(tdiario[CUENTA],tbal[[#This Row],[CUENTA]],tdiario[DEBE])</f>
        <v>0</v>
      </c>
      <c r="F2630" s="17">
        <f>SUMIF(tdiario[CUENTA],tbal[[#This Row],[CUENTA]],tdiario[HABER])</f>
        <v>0</v>
      </c>
      <c r="G2630" s="16">
        <f>IF(tbal[[#This Row],[DEBE]]-tbal[[#This Row],[HABER]]&gt;0,tbal[[#This Row],[DEBE]]-tbal[[#This Row],[HABER]],0)</f>
        <v>0</v>
      </c>
      <c r="H2630" s="18">
        <f>IF(tbal[[#This Row],[HABER]]-tbal[[#This Row],[DEBE]]&gt;0,tbal[[#This Row],[HABER]]-tbal[[#This Row],[DEBE]],0)</f>
        <v>0</v>
      </c>
      <c r="I2630" s="16">
        <f>IF((OR(tbal[[#This Row],[X]]=1,tbal[[#This Row],[X]]=2)),tbal[[#This Row],[DEUDOR]],0)</f>
        <v>0</v>
      </c>
      <c r="J2630" s="18">
        <f>IF((OR(tbal[[#This Row],[X]]=2,tbal[[#This Row],[X]]=3)),tbal[[#This Row],[ACREEDOR]],0)</f>
        <v>0</v>
      </c>
      <c r="K2630" s="16">
        <f>IF((OR(tbal[[#This Row],[X]]=3,tbal[[#This Row],[X]]=5)),tbal[[#This Row],[DEUDOR]],0)</f>
        <v>0</v>
      </c>
      <c r="L2630" s="18">
        <f>IF((OR(tbal[[#This Row],[X]]=3,tbal[[#This Row],[X]]=4)),tbal[[#This Row],[ACREEDOR]],0)</f>
        <v>0</v>
      </c>
      <c r="M2630" s="16">
        <f>IF((OR(tbal[[#This Row],[X]]=0,tbal[[#This Row],[X]]=6)),tbal[[#This Row],[DEUDOR]],0)</f>
        <v>0</v>
      </c>
      <c r="N2630" s="18">
        <f>IF((OR(tbal[[#This Row],[X]]=0,tbal[[#This Row],[X]]=5)),tbal[[#This Row],[ACREEDOR]],0)</f>
        <v>0</v>
      </c>
    </row>
    <row r="2631" spans="1:14" hidden="1" x14ac:dyDescent="0.3">
      <c r="A2631" s="14">
        <f>+'PLAN DE CUENTAS'!A2631</f>
        <v>0</v>
      </c>
      <c r="B2631" s="13">
        <f>+'PLAN DE CUENTAS'!B2631</f>
        <v>0</v>
      </c>
      <c r="C2631" s="13">
        <f>+'PLAN DE CUENTAS'!C2631</f>
        <v>0</v>
      </c>
      <c r="D2631" t="str">
        <f>IF(tbal[[#This Row],[DEBE]]+tbal[[#This Row],[HABER]]=0,"","X")</f>
        <v/>
      </c>
      <c r="E2631" s="16">
        <f>SUMIF(tdiario[CUENTA],tbal[[#This Row],[CUENTA]],tdiario[DEBE])</f>
        <v>0</v>
      </c>
      <c r="F2631" s="17">
        <f>SUMIF(tdiario[CUENTA],tbal[[#This Row],[CUENTA]],tdiario[HABER])</f>
        <v>0</v>
      </c>
      <c r="G2631" s="16">
        <f>IF(tbal[[#This Row],[DEBE]]-tbal[[#This Row],[HABER]]&gt;0,tbal[[#This Row],[DEBE]]-tbal[[#This Row],[HABER]],0)</f>
        <v>0</v>
      </c>
      <c r="H2631" s="18">
        <f>IF(tbal[[#This Row],[HABER]]-tbal[[#This Row],[DEBE]]&gt;0,tbal[[#This Row],[HABER]]-tbal[[#This Row],[DEBE]],0)</f>
        <v>0</v>
      </c>
      <c r="I2631" s="16">
        <f>IF((OR(tbal[[#This Row],[X]]=1,tbal[[#This Row],[X]]=2)),tbal[[#This Row],[DEUDOR]],0)</f>
        <v>0</v>
      </c>
      <c r="J2631" s="18">
        <f>IF((OR(tbal[[#This Row],[X]]=2,tbal[[#This Row],[X]]=3)),tbal[[#This Row],[ACREEDOR]],0)</f>
        <v>0</v>
      </c>
      <c r="K2631" s="16">
        <f>IF((OR(tbal[[#This Row],[X]]=3,tbal[[#This Row],[X]]=5)),tbal[[#This Row],[DEUDOR]],0)</f>
        <v>0</v>
      </c>
      <c r="L2631" s="18">
        <f>IF((OR(tbal[[#This Row],[X]]=3,tbal[[#This Row],[X]]=4)),tbal[[#This Row],[ACREEDOR]],0)</f>
        <v>0</v>
      </c>
      <c r="M2631" s="16">
        <f>IF((OR(tbal[[#This Row],[X]]=0,tbal[[#This Row],[X]]=6)),tbal[[#This Row],[DEUDOR]],0)</f>
        <v>0</v>
      </c>
      <c r="N2631" s="18">
        <f>IF((OR(tbal[[#This Row],[X]]=0,tbal[[#This Row],[X]]=5)),tbal[[#This Row],[ACREEDOR]],0)</f>
        <v>0</v>
      </c>
    </row>
    <row r="2632" spans="1:14" hidden="1" x14ac:dyDescent="0.3">
      <c r="A2632" s="14">
        <f>+'PLAN DE CUENTAS'!A2632</f>
        <v>0</v>
      </c>
      <c r="B2632" s="13">
        <f>+'PLAN DE CUENTAS'!B2632</f>
        <v>0</v>
      </c>
      <c r="C2632" s="13">
        <f>+'PLAN DE CUENTAS'!C2632</f>
        <v>0</v>
      </c>
      <c r="D2632" t="str">
        <f>IF(tbal[[#This Row],[DEBE]]+tbal[[#This Row],[HABER]]=0,"","X")</f>
        <v/>
      </c>
      <c r="E2632" s="16">
        <f>SUMIF(tdiario[CUENTA],tbal[[#This Row],[CUENTA]],tdiario[DEBE])</f>
        <v>0</v>
      </c>
      <c r="F2632" s="17">
        <f>SUMIF(tdiario[CUENTA],tbal[[#This Row],[CUENTA]],tdiario[HABER])</f>
        <v>0</v>
      </c>
      <c r="G2632" s="16">
        <f>IF(tbal[[#This Row],[DEBE]]-tbal[[#This Row],[HABER]]&gt;0,tbal[[#This Row],[DEBE]]-tbal[[#This Row],[HABER]],0)</f>
        <v>0</v>
      </c>
      <c r="H2632" s="18">
        <f>IF(tbal[[#This Row],[HABER]]-tbal[[#This Row],[DEBE]]&gt;0,tbal[[#This Row],[HABER]]-tbal[[#This Row],[DEBE]],0)</f>
        <v>0</v>
      </c>
      <c r="I2632" s="16">
        <f>IF((OR(tbal[[#This Row],[X]]=1,tbal[[#This Row],[X]]=2)),tbal[[#This Row],[DEUDOR]],0)</f>
        <v>0</v>
      </c>
      <c r="J2632" s="18">
        <f>IF((OR(tbal[[#This Row],[X]]=2,tbal[[#This Row],[X]]=3)),tbal[[#This Row],[ACREEDOR]],0)</f>
        <v>0</v>
      </c>
      <c r="K2632" s="16">
        <f>IF((OR(tbal[[#This Row],[X]]=3,tbal[[#This Row],[X]]=5)),tbal[[#This Row],[DEUDOR]],0)</f>
        <v>0</v>
      </c>
      <c r="L2632" s="18">
        <f>IF((OR(tbal[[#This Row],[X]]=3,tbal[[#This Row],[X]]=4)),tbal[[#This Row],[ACREEDOR]],0)</f>
        <v>0</v>
      </c>
      <c r="M2632" s="16">
        <f>IF((OR(tbal[[#This Row],[X]]=0,tbal[[#This Row],[X]]=6)),tbal[[#This Row],[DEUDOR]],0)</f>
        <v>0</v>
      </c>
      <c r="N2632" s="18">
        <f>IF((OR(tbal[[#This Row],[X]]=0,tbal[[#This Row],[X]]=5)),tbal[[#This Row],[ACREEDOR]],0)</f>
        <v>0</v>
      </c>
    </row>
    <row r="2633" spans="1:14" hidden="1" x14ac:dyDescent="0.3">
      <c r="A2633" s="14">
        <f>+'PLAN DE CUENTAS'!A2633</f>
        <v>0</v>
      </c>
      <c r="B2633" s="13">
        <f>+'PLAN DE CUENTAS'!B2633</f>
        <v>0</v>
      </c>
      <c r="C2633" s="13">
        <f>+'PLAN DE CUENTAS'!C2633</f>
        <v>0</v>
      </c>
      <c r="D2633" t="str">
        <f>IF(tbal[[#This Row],[DEBE]]+tbal[[#This Row],[HABER]]=0,"","X")</f>
        <v/>
      </c>
      <c r="E2633" s="16">
        <f>SUMIF(tdiario[CUENTA],tbal[[#This Row],[CUENTA]],tdiario[DEBE])</f>
        <v>0</v>
      </c>
      <c r="F2633" s="17">
        <f>SUMIF(tdiario[CUENTA],tbal[[#This Row],[CUENTA]],tdiario[HABER])</f>
        <v>0</v>
      </c>
      <c r="G2633" s="16">
        <f>IF(tbal[[#This Row],[DEBE]]-tbal[[#This Row],[HABER]]&gt;0,tbal[[#This Row],[DEBE]]-tbal[[#This Row],[HABER]],0)</f>
        <v>0</v>
      </c>
      <c r="H2633" s="18">
        <f>IF(tbal[[#This Row],[HABER]]-tbal[[#This Row],[DEBE]]&gt;0,tbal[[#This Row],[HABER]]-tbal[[#This Row],[DEBE]],0)</f>
        <v>0</v>
      </c>
      <c r="I2633" s="16">
        <f>IF((OR(tbal[[#This Row],[X]]=1,tbal[[#This Row],[X]]=2)),tbal[[#This Row],[DEUDOR]],0)</f>
        <v>0</v>
      </c>
      <c r="J2633" s="18">
        <f>IF((OR(tbal[[#This Row],[X]]=2,tbal[[#This Row],[X]]=3)),tbal[[#This Row],[ACREEDOR]],0)</f>
        <v>0</v>
      </c>
      <c r="K2633" s="16">
        <f>IF((OR(tbal[[#This Row],[X]]=3,tbal[[#This Row],[X]]=5)),tbal[[#This Row],[DEUDOR]],0)</f>
        <v>0</v>
      </c>
      <c r="L2633" s="18">
        <f>IF((OR(tbal[[#This Row],[X]]=3,tbal[[#This Row],[X]]=4)),tbal[[#This Row],[ACREEDOR]],0)</f>
        <v>0</v>
      </c>
      <c r="M2633" s="16">
        <f>IF((OR(tbal[[#This Row],[X]]=0,tbal[[#This Row],[X]]=6)),tbal[[#This Row],[DEUDOR]],0)</f>
        <v>0</v>
      </c>
      <c r="N2633" s="18">
        <f>IF((OR(tbal[[#This Row],[X]]=0,tbal[[#This Row],[X]]=5)),tbal[[#This Row],[ACREEDOR]],0)</f>
        <v>0</v>
      </c>
    </row>
    <row r="2634" spans="1:14" hidden="1" x14ac:dyDescent="0.3">
      <c r="A2634" s="14">
        <f>+'PLAN DE CUENTAS'!A2634</f>
        <v>0</v>
      </c>
      <c r="B2634" s="13">
        <f>+'PLAN DE CUENTAS'!B2634</f>
        <v>0</v>
      </c>
      <c r="C2634" s="13">
        <f>+'PLAN DE CUENTAS'!C2634</f>
        <v>0</v>
      </c>
      <c r="D2634" t="str">
        <f>IF(tbal[[#This Row],[DEBE]]+tbal[[#This Row],[HABER]]=0,"","X")</f>
        <v/>
      </c>
      <c r="E2634" s="16">
        <f>SUMIF(tdiario[CUENTA],tbal[[#This Row],[CUENTA]],tdiario[DEBE])</f>
        <v>0</v>
      </c>
      <c r="F2634" s="17">
        <f>SUMIF(tdiario[CUENTA],tbal[[#This Row],[CUENTA]],tdiario[HABER])</f>
        <v>0</v>
      </c>
      <c r="G2634" s="16">
        <f>IF(tbal[[#This Row],[DEBE]]-tbal[[#This Row],[HABER]]&gt;0,tbal[[#This Row],[DEBE]]-tbal[[#This Row],[HABER]],0)</f>
        <v>0</v>
      </c>
      <c r="H2634" s="18">
        <f>IF(tbal[[#This Row],[HABER]]-tbal[[#This Row],[DEBE]]&gt;0,tbal[[#This Row],[HABER]]-tbal[[#This Row],[DEBE]],0)</f>
        <v>0</v>
      </c>
      <c r="I2634" s="16">
        <f>IF((OR(tbal[[#This Row],[X]]=1,tbal[[#This Row],[X]]=2)),tbal[[#This Row],[DEUDOR]],0)</f>
        <v>0</v>
      </c>
      <c r="J2634" s="18">
        <f>IF((OR(tbal[[#This Row],[X]]=2,tbal[[#This Row],[X]]=3)),tbal[[#This Row],[ACREEDOR]],0)</f>
        <v>0</v>
      </c>
      <c r="K2634" s="16">
        <f>IF((OR(tbal[[#This Row],[X]]=3,tbal[[#This Row],[X]]=5)),tbal[[#This Row],[DEUDOR]],0)</f>
        <v>0</v>
      </c>
      <c r="L2634" s="18">
        <f>IF((OR(tbal[[#This Row],[X]]=3,tbal[[#This Row],[X]]=4)),tbal[[#This Row],[ACREEDOR]],0)</f>
        <v>0</v>
      </c>
      <c r="M2634" s="16">
        <f>IF((OR(tbal[[#This Row],[X]]=0,tbal[[#This Row],[X]]=6)),tbal[[#This Row],[DEUDOR]],0)</f>
        <v>0</v>
      </c>
      <c r="N2634" s="18">
        <f>IF((OR(tbal[[#This Row],[X]]=0,tbal[[#This Row],[X]]=5)),tbal[[#This Row],[ACREEDOR]],0)</f>
        <v>0</v>
      </c>
    </row>
    <row r="2635" spans="1:14" hidden="1" x14ac:dyDescent="0.3">
      <c r="A2635" s="14">
        <f>+'PLAN DE CUENTAS'!A2635</f>
        <v>0</v>
      </c>
      <c r="B2635" s="13">
        <f>+'PLAN DE CUENTAS'!B2635</f>
        <v>0</v>
      </c>
      <c r="C2635" s="13">
        <f>+'PLAN DE CUENTAS'!C2635</f>
        <v>0</v>
      </c>
      <c r="D2635" t="str">
        <f>IF(tbal[[#This Row],[DEBE]]+tbal[[#This Row],[HABER]]=0,"","X")</f>
        <v/>
      </c>
      <c r="E2635" s="16">
        <f>SUMIF(tdiario[CUENTA],tbal[[#This Row],[CUENTA]],tdiario[DEBE])</f>
        <v>0</v>
      </c>
      <c r="F2635" s="17">
        <f>SUMIF(tdiario[CUENTA],tbal[[#This Row],[CUENTA]],tdiario[HABER])</f>
        <v>0</v>
      </c>
      <c r="G2635" s="16">
        <f>IF(tbal[[#This Row],[DEBE]]-tbal[[#This Row],[HABER]]&gt;0,tbal[[#This Row],[DEBE]]-tbal[[#This Row],[HABER]],0)</f>
        <v>0</v>
      </c>
      <c r="H2635" s="18">
        <f>IF(tbal[[#This Row],[HABER]]-tbal[[#This Row],[DEBE]]&gt;0,tbal[[#This Row],[HABER]]-tbal[[#This Row],[DEBE]],0)</f>
        <v>0</v>
      </c>
      <c r="I2635" s="16">
        <f>IF((OR(tbal[[#This Row],[X]]=1,tbal[[#This Row],[X]]=2)),tbal[[#This Row],[DEUDOR]],0)</f>
        <v>0</v>
      </c>
      <c r="J2635" s="18">
        <f>IF((OR(tbal[[#This Row],[X]]=2,tbal[[#This Row],[X]]=3)),tbal[[#This Row],[ACREEDOR]],0)</f>
        <v>0</v>
      </c>
      <c r="K2635" s="16">
        <f>IF((OR(tbal[[#This Row],[X]]=3,tbal[[#This Row],[X]]=5)),tbal[[#This Row],[DEUDOR]],0)</f>
        <v>0</v>
      </c>
      <c r="L2635" s="18">
        <f>IF((OR(tbal[[#This Row],[X]]=3,tbal[[#This Row],[X]]=4)),tbal[[#This Row],[ACREEDOR]],0)</f>
        <v>0</v>
      </c>
      <c r="M2635" s="16">
        <f>IF((OR(tbal[[#This Row],[X]]=0,tbal[[#This Row],[X]]=6)),tbal[[#This Row],[DEUDOR]],0)</f>
        <v>0</v>
      </c>
      <c r="N2635" s="18">
        <f>IF((OR(tbal[[#This Row],[X]]=0,tbal[[#This Row],[X]]=5)),tbal[[#This Row],[ACREEDOR]],0)</f>
        <v>0</v>
      </c>
    </row>
    <row r="2636" spans="1:14" hidden="1" x14ac:dyDescent="0.3">
      <c r="A2636" s="14">
        <f>+'PLAN DE CUENTAS'!A2636</f>
        <v>0</v>
      </c>
      <c r="B2636" s="13">
        <f>+'PLAN DE CUENTAS'!B2636</f>
        <v>0</v>
      </c>
      <c r="C2636" s="13">
        <f>+'PLAN DE CUENTAS'!C2636</f>
        <v>0</v>
      </c>
      <c r="D2636" t="str">
        <f>IF(tbal[[#This Row],[DEBE]]+tbal[[#This Row],[HABER]]=0,"","X")</f>
        <v/>
      </c>
      <c r="E2636" s="16">
        <f>SUMIF(tdiario[CUENTA],tbal[[#This Row],[CUENTA]],tdiario[DEBE])</f>
        <v>0</v>
      </c>
      <c r="F2636" s="17">
        <f>SUMIF(tdiario[CUENTA],tbal[[#This Row],[CUENTA]],tdiario[HABER])</f>
        <v>0</v>
      </c>
      <c r="G2636" s="16">
        <f>IF(tbal[[#This Row],[DEBE]]-tbal[[#This Row],[HABER]]&gt;0,tbal[[#This Row],[DEBE]]-tbal[[#This Row],[HABER]],0)</f>
        <v>0</v>
      </c>
      <c r="H2636" s="18">
        <f>IF(tbal[[#This Row],[HABER]]-tbal[[#This Row],[DEBE]]&gt;0,tbal[[#This Row],[HABER]]-tbal[[#This Row],[DEBE]],0)</f>
        <v>0</v>
      </c>
      <c r="I2636" s="16">
        <f>IF((OR(tbal[[#This Row],[X]]=1,tbal[[#This Row],[X]]=2)),tbal[[#This Row],[DEUDOR]],0)</f>
        <v>0</v>
      </c>
      <c r="J2636" s="18">
        <f>IF((OR(tbal[[#This Row],[X]]=2,tbal[[#This Row],[X]]=3)),tbal[[#This Row],[ACREEDOR]],0)</f>
        <v>0</v>
      </c>
      <c r="K2636" s="16">
        <f>IF((OR(tbal[[#This Row],[X]]=3,tbal[[#This Row],[X]]=5)),tbal[[#This Row],[DEUDOR]],0)</f>
        <v>0</v>
      </c>
      <c r="L2636" s="18">
        <f>IF((OR(tbal[[#This Row],[X]]=3,tbal[[#This Row],[X]]=4)),tbal[[#This Row],[ACREEDOR]],0)</f>
        <v>0</v>
      </c>
      <c r="M2636" s="16">
        <f>IF((OR(tbal[[#This Row],[X]]=0,tbal[[#This Row],[X]]=6)),tbal[[#This Row],[DEUDOR]],0)</f>
        <v>0</v>
      </c>
      <c r="N2636" s="18">
        <f>IF((OR(tbal[[#This Row],[X]]=0,tbal[[#This Row],[X]]=5)),tbal[[#This Row],[ACREEDOR]],0)</f>
        <v>0</v>
      </c>
    </row>
    <row r="2637" spans="1:14" hidden="1" x14ac:dyDescent="0.3">
      <c r="A2637" s="14">
        <f>+'PLAN DE CUENTAS'!A2637</f>
        <v>0</v>
      </c>
      <c r="B2637" s="13">
        <f>+'PLAN DE CUENTAS'!B2637</f>
        <v>0</v>
      </c>
      <c r="C2637" s="13">
        <f>+'PLAN DE CUENTAS'!C2637</f>
        <v>0</v>
      </c>
      <c r="D2637" t="str">
        <f>IF(tbal[[#This Row],[DEBE]]+tbal[[#This Row],[HABER]]=0,"","X")</f>
        <v/>
      </c>
      <c r="E2637" s="16">
        <f>SUMIF(tdiario[CUENTA],tbal[[#This Row],[CUENTA]],tdiario[DEBE])</f>
        <v>0</v>
      </c>
      <c r="F2637" s="17">
        <f>SUMIF(tdiario[CUENTA],tbal[[#This Row],[CUENTA]],tdiario[HABER])</f>
        <v>0</v>
      </c>
      <c r="G2637" s="16">
        <f>IF(tbal[[#This Row],[DEBE]]-tbal[[#This Row],[HABER]]&gt;0,tbal[[#This Row],[DEBE]]-tbal[[#This Row],[HABER]],0)</f>
        <v>0</v>
      </c>
      <c r="H2637" s="18">
        <f>IF(tbal[[#This Row],[HABER]]-tbal[[#This Row],[DEBE]]&gt;0,tbal[[#This Row],[HABER]]-tbal[[#This Row],[DEBE]],0)</f>
        <v>0</v>
      </c>
      <c r="I2637" s="16">
        <f>IF((OR(tbal[[#This Row],[X]]=1,tbal[[#This Row],[X]]=2)),tbal[[#This Row],[DEUDOR]],0)</f>
        <v>0</v>
      </c>
      <c r="J2637" s="18">
        <f>IF((OR(tbal[[#This Row],[X]]=2,tbal[[#This Row],[X]]=3)),tbal[[#This Row],[ACREEDOR]],0)</f>
        <v>0</v>
      </c>
      <c r="K2637" s="16">
        <f>IF((OR(tbal[[#This Row],[X]]=3,tbal[[#This Row],[X]]=5)),tbal[[#This Row],[DEUDOR]],0)</f>
        <v>0</v>
      </c>
      <c r="L2637" s="18">
        <f>IF((OR(tbal[[#This Row],[X]]=3,tbal[[#This Row],[X]]=4)),tbal[[#This Row],[ACREEDOR]],0)</f>
        <v>0</v>
      </c>
      <c r="M2637" s="16">
        <f>IF((OR(tbal[[#This Row],[X]]=0,tbal[[#This Row],[X]]=6)),tbal[[#This Row],[DEUDOR]],0)</f>
        <v>0</v>
      </c>
      <c r="N2637" s="18">
        <f>IF((OR(tbal[[#This Row],[X]]=0,tbal[[#This Row],[X]]=5)),tbal[[#This Row],[ACREEDOR]],0)</f>
        <v>0</v>
      </c>
    </row>
    <row r="2638" spans="1:14" hidden="1" x14ac:dyDescent="0.3">
      <c r="A2638" s="14">
        <f>+'PLAN DE CUENTAS'!A2638</f>
        <v>0</v>
      </c>
      <c r="B2638" s="13">
        <f>+'PLAN DE CUENTAS'!B2638</f>
        <v>0</v>
      </c>
      <c r="C2638" s="13">
        <f>+'PLAN DE CUENTAS'!C2638</f>
        <v>0</v>
      </c>
      <c r="D2638" t="str">
        <f>IF(tbal[[#This Row],[DEBE]]+tbal[[#This Row],[HABER]]=0,"","X")</f>
        <v/>
      </c>
      <c r="E2638" s="16">
        <f>SUMIF(tdiario[CUENTA],tbal[[#This Row],[CUENTA]],tdiario[DEBE])</f>
        <v>0</v>
      </c>
      <c r="F2638" s="17">
        <f>SUMIF(tdiario[CUENTA],tbal[[#This Row],[CUENTA]],tdiario[HABER])</f>
        <v>0</v>
      </c>
      <c r="G2638" s="16">
        <f>IF(tbal[[#This Row],[DEBE]]-tbal[[#This Row],[HABER]]&gt;0,tbal[[#This Row],[DEBE]]-tbal[[#This Row],[HABER]],0)</f>
        <v>0</v>
      </c>
      <c r="H2638" s="18">
        <f>IF(tbal[[#This Row],[HABER]]-tbal[[#This Row],[DEBE]]&gt;0,tbal[[#This Row],[HABER]]-tbal[[#This Row],[DEBE]],0)</f>
        <v>0</v>
      </c>
      <c r="I2638" s="16">
        <f>IF((OR(tbal[[#This Row],[X]]=1,tbal[[#This Row],[X]]=2)),tbal[[#This Row],[DEUDOR]],0)</f>
        <v>0</v>
      </c>
      <c r="J2638" s="18">
        <f>IF((OR(tbal[[#This Row],[X]]=2,tbal[[#This Row],[X]]=3)),tbal[[#This Row],[ACREEDOR]],0)</f>
        <v>0</v>
      </c>
      <c r="K2638" s="16">
        <f>IF((OR(tbal[[#This Row],[X]]=3,tbal[[#This Row],[X]]=5)),tbal[[#This Row],[DEUDOR]],0)</f>
        <v>0</v>
      </c>
      <c r="L2638" s="18">
        <f>IF((OR(tbal[[#This Row],[X]]=3,tbal[[#This Row],[X]]=4)),tbal[[#This Row],[ACREEDOR]],0)</f>
        <v>0</v>
      </c>
      <c r="M2638" s="16">
        <f>IF((OR(tbal[[#This Row],[X]]=0,tbal[[#This Row],[X]]=6)),tbal[[#This Row],[DEUDOR]],0)</f>
        <v>0</v>
      </c>
      <c r="N2638" s="18">
        <f>IF((OR(tbal[[#This Row],[X]]=0,tbal[[#This Row],[X]]=5)),tbal[[#This Row],[ACREEDOR]],0)</f>
        <v>0</v>
      </c>
    </row>
    <row r="2639" spans="1:14" hidden="1" x14ac:dyDescent="0.3">
      <c r="A2639" s="14">
        <f>+'PLAN DE CUENTAS'!A2639</f>
        <v>0</v>
      </c>
      <c r="B2639" s="13">
        <f>+'PLAN DE CUENTAS'!B2639</f>
        <v>0</v>
      </c>
      <c r="C2639" s="13">
        <f>+'PLAN DE CUENTAS'!C2639</f>
        <v>0</v>
      </c>
      <c r="D2639" t="str">
        <f>IF(tbal[[#This Row],[DEBE]]+tbal[[#This Row],[HABER]]=0,"","X")</f>
        <v/>
      </c>
      <c r="E2639" s="16">
        <f>SUMIF(tdiario[CUENTA],tbal[[#This Row],[CUENTA]],tdiario[DEBE])</f>
        <v>0</v>
      </c>
      <c r="F2639" s="17">
        <f>SUMIF(tdiario[CUENTA],tbal[[#This Row],[CUENTA]],tdiario[HABER])</f>
        <v>0</v>
      </c>
      <c r="G2639" s="16">
        <f>IF(tbal[[#This Row],[DEBE]]-tbal[[#This Row],[HABER]]&gt;0,tbal[[#This Row],[DEBE]]-tbal[[#This Row],[HABER]],0)</f>
        <v>0</v>
      </c>
      <c r="H2639" s="18">
        <f>IF(tbal[[#This Row],[HABER]]-tbal[[#This Row],[DEBE]]&gt;0,tbal[[#This Row],[HABER]]-tbal[[#This Row],[DEBE]],0)</f>
        <v>0</v>
      </c>
      <c r="I2639" s="16">
        <f>IF((OR(tbal[[#This Row],[X]]=1,tbal[[#This Row],[X]]=2)),tbal[[#This Row],[DEUDOR]],0)</f>
        <v>0</v>
      </c>
      <c r="J2639" s="18">
        <f>IF((OR(tbal[[#This Row],[X]]=2,tbal[[#This Row],[X]]=3)),tbal[[#This Row],[ACREEDOR]],0)</f>
        <v>0</v>
      </c>
      <c r="K2639" s="16">
        <f>IF((OR(tbal[[#This Row],[X]]=3,tbal[[#This Row],[X]]=5)),tbal[[#This Row],[DEUDOR]],0)</f>
        <v>0</v>
      </c>
      <c r="L2639" s="18">
        <f>IF((OR(tbal[[#This Row],[X]]=3,tbal[[#This Row],[X]]=4)),tbal[[#This Row],[ACREEDOR]],0)</f>
        <v>0</v>
      </c>
      <c r="M2639" s="16">
        <f>IF((OR(tbal[[#This Row],[X]]=0,tbal[[#This Row],[X]]=6)),tbal[[#This Row],[DEUDOR]],0)</f>
        <v>0</v>
      </c>
      <c r="N2639" s="18">
        <f>IF((OR(tbal[[#This Row],[X]]=0,tbal[[#This Row],[X]]=5)),tbal[[#This Row],[ACREEDOR]],0)</f>
        <v>0</v>
      </c>
    </row>
    <row r="2640" spans="1:14" hidden="1" x14ac:dyDescent="0.3">
      <c r="A2640" s="14">
        <f>+'PLAN DE CUENTAS'!A2640</f>
        <v>0</v>
      </c>
      <c r="B2640" s="13">
        <f>+'PLAN DE CUENTAS'!B2640</f>
        <v>0</v>
      </c>
      <c r="C2640" s="13">
        <f>+'PLAN DE CUENTAS'!C2640</f>
        <v>0</v>
      </c>
      <c r="D2640" t="str">
        <f>IF(tbal[[#This Row],[DEBE]]+tbal[[#This Row],[HABER]]=0,"","X")</f>
        <v/>
      </c>
      <c r="E2640" s="16">
        <f>SUMIF(tdiario[CUENTA],tbal[[#This Row],[CUENTA]],tdiario[DEBE])</f>
        <v>0</v>
      </c>
      <c r="F2640" s="17">
        <f>SUMIF(tdiario[CUENTA],tbal[[#This Row],[CUENTA]],tdiario[HABER])</f>
        <v>0</v>
      </c>
      <c r="G2640" s="16">
        <f>IF(tbal[[#This Row],[DEBE]]-tbal[[#This Row],[HABER]]&gt;0,tbal[[#This Row],[DEBE]]-tbal[[#This Row],[HABER]],0)</f>
        <v>0</v>
      </c>
      <c r="H2640" s="18">
        <f>IF(tbal[[#This Row],[HABER]]-tbal[[#This Row],[DEBE]]&gt;0,tbal[[#This Row],[HABER]]-tbal[[#This Row],[DEBE]],0)</f>
        <v>0</v>
      </c>
      <c r="I2640" s="16">
        <f>IF((OR(tbal[[#This Row],[X]]=1,tbal[[#This Row],[X]]=2)),tbal[[#This Row],[DEUDOR]],0)</f>
        <v>0</v>
      </c>
      <c r="J2640" s="18">
        <f>IF((OR(tbal[[#This Row],[X]]=2,tbal[[#This Row],[X]]=3)),tbal[[#This Row],[ACREEDOR]],0)</f>
        <v>0</v>
      </c>
      <c r="K2640" s="16">
        <f>IF((OR(tbal[[#This Row],[X]]=3,tbal[[#This Row],[X]]=5)),tbal[[#This Row],[DEUDOR]],0)</f>
        <v>0</v>
      </c>
      <c r="L2640" s="18">
        <f>IF((OR(tbal[[#This Row],[X]]=3,tbal[[#This Row],[X]]=4)),tbal[[#This Row],[ACREEDOR]],0)</f>
        <v>0</v>
      </c>
      <c r="M2640" s="16">
        <f>IF((OR(tbal[[#This Row],[X]]=0,tbal[[#This Row],[X]]=6)),tbal[[#This Row],[DEUDOR]],0)</f>
        <v>0</v>
      </c>
      <c r="N2640" s="18">
        <f>IF((OR(tbal[[#This Row],[X]]=0,tbal[[#This Row],[X]]=5)),tbal[[#This Row],[ACREEDOR]],0)</f>
        <v>0</v>
      </c>
    </row>
    <row r="2641" spans="1:14" hidden="1" x14ac:dyDescent="0.3">
      <c r="A2641" s="14">
        <f>+'PLAN DE CUENTAS'!A2641</f>
        <v>0</v>
      </c>
      <c r="B2641" s="13">
        <f>+'PLAN DE CUENTAS'!B2641</f>
        <v>0</v>
      </c>
      <c r="C2641" s="13">
        <f>+'PLAN DE CUENTAS'!C2641</f>
        <v>0</v>
      </c>
      <c r="D2641" t="str">
        <f>IF(tbal[[#This Row],[DEBE]]+tbal[[#This Row],[HABER]]=0,"","X")</f>
        <v/>
      </c>
      <c r="E2641" s="16">
        <f>SUMIF(tdiario[CUENTA],tbal[[#This Row],[CUENTA]],tdiario[DEBE])</f>
        <v>0</v>
      </c>
      <c r="F2641" s="17">
        <f>SUMIF(tdiario[CUENTA],tbal[[#This Row],[CUENTA]],tdiario[HABER])</f>
        <v>0</v>
      </c>
      <c r="G2641" s="16">
        <f>IF(tbal[[#This Row],[DEBE]]-tbal[[#This Row],[HABER]]&gt;0,tbal[[#This Row],[DEBE]]-tbal[[#This Row],[HABER]],0)</f>
        <v>0</v>
      </c>
      <c r="H2641" s="18">
        <f>IF(tbal[[#This Row],[HABER]]-tbal[[#This Row],[DEBE]]&gt;0,tbal[[#This Row],[HABER]]-tbal[[#This Row],[DEBE]],0)</f>
        <v>0</v>
      </c>
      <c r="I2641" s="16">
        <f>IF((OR(tbal[[#This Row],[X]]=1,tbal[[#This Row],[X]]=2)),tbal[[#This Row],[DEUDOR]],0)</f>
        <v>0</v>
      </c>
      <c r="J2641" s="18">
        <f>IF((OR(tbal[[#This Row],[X]]=2,tbal[[#This Row],[X]]=3)),tbal[[#This Row],[ACREEDOR]],0)</f>
        <v>0</v>
      </c>
      <c r="K2641" s="16">
        <f>IF((OR(tbal[[#This Row],[X]]=3,tbal[[#This Row],[X]]=5)),tbal[[#This Row],[DEUDOR]],0)</f>
        <v>0</v>
      </c>
      <c r="L2641" s="18">
        <f>IF((OR(tbal[[#This Row],[X]]=3,tbal[[#This Row],[X]]=4)),tbal[[#This Row],[ACREEDOR]],0)</f>
        <v>0</v>
      </c>
      <c r="M2641" s="16">
        <f>IF((OR(tbal[[#This Row],[X]]=0,tbal[[#This Row],[X]]=6)),tbal[[#This Row],[DEUDOR]],0)</f>
        <v>0</v>
      </c>
      <c r="N2641" s="18">
        <f>IF((OR(tbal[[#This Row],[X]]=0,tbal[[#This Row],[X]]=5)),tbal[[#This Row],[ACREEDOR]],0)</f>
        <v>0</v>
      </c>
    </row>
    <row r="2642" spans="1:14" hidden="1" x14ac:dyDescent="0.3">
      <c r="A2642" s="14">
        <f>+'PLAN DE CUENTAS'!A2642</f>
        <v>0</v>
      </c>
      <c r="B2642" s="13">
        <f>+'PLAN DE CUENTAS'!B2642</f>
        <v>0</v>
      </c>
      <c r="C2642" s="13">
        <f>+'PLAN DE CUENTAS'!C2642</f>
        <v>0</v>
      </c>
      <c r="D2642" t="str">
        <f>IF(tbal[[#This Row],[DEBE]]+tbal[[#This Row],[HABER]]=0,"","X")</f>
        <v/>
      </c>
      <c r="E2642" s="16">
        <f>SUMIF(tdiario[CUENTA],tbal[[#This Row],[CUENTA]],tdiario[DEBE])</f>
        <v>0</v>
      </c>
      <c r="F2642" s="17">
        <f>SUMIF(tdiario[CUENTA],tbal[[#This Row],[CUENTA]],tdiario[HABER])</f>
        <v>0</v>
      </c>
      <c r="G2642" s="16">
        <f>IF(tbal[[#This Row],[DEBE]]-tbal[[#This Row],[HABER]]&gt;0,tbal[[#This Row],[DEBE]]-tbal[[#This Row],[HABER]],0)</f>
        <v>0</v>
      </c>
      <c r="H2642" s="18">
        <f>IF(tbal[[#This Row],[HABER]]-tbal[[#This Row],[DEBE]]&gt;0,tbal[[#This Row],[HABER]]-tbal[[#This Row],[DEBE]],0)</f>
        <v>0</v>
      </c>
      <c r="I2642" s="16">
        <f>IF((OR(tbal[[#This Row],[X]]=1,tbal[[#This Row],[X]]=2)),tbal[[#This Row],[DEUDOR]],0)</f>
        <v>0</v>
      </c>
      <c r="J2642" s="18">
        <f>IF((OR(tbal[[#This Row],[X]]=2,tbal[[#This Row],[X]]=3)),tbal[[#This Row],[ACREEDOR]],0)</f>
        <v>0</v>
      </c>
      <c r="K2642" s="16">
        <f>IF((OR(tbal[[#This Row],[X]]=3,tbal[[#This Row],[X]]=5)),tbal[[#This Row],[DEUDOR]],0)</f>
        <v>0</v>
      </c>
      <c r="L2642" s="18">
        <f>IF((OR(tbal[[#This Row],[X]]=3,tbal[[#This Row],[X]]=4)),tbal[[#This Row],[ACREEDOR]],0)</f>
        <v>0</v>
      </c>
      <c r="M2642" s="16">
        <f>IF((OR(tbal[[#This Row],[X]]=0,tbal[[#This Row],[X]]=6)),tbal[[#This Row],[DEUDOR]],0)</f>
        <v>0</v>
      </c>
      <c r="N2642" s="18">
        <f>IF((OR(tbal[[#This Row],[X]]=0,tbal[[#This Row],[X]]=5)),tbal[[#This Row],[ACREEDOR]],0)</f>
        <v>0</v>
      </c>
    </row>
    <row r="2643" spans="1:14" x14ac:dyDescent="0.3">
      <c r="A2643" s="14">
        <f>+'PLAN DE CUENTAS'!A2643</f>
        <v>0</v>
      </c>
      <c r="B2643" s="13">
        <f>+'PLAN DE CUENTAS'!B2643</f>
        <v>0</v>
      </c>
      <c r="C2643" s="13">
        <f>+'PLAN DE CUENTAS'!C2643</f>
        <v>0</v>
      </c>
      <c r="D2643" t="str">
        <f>IF(tbal[[#This Row],[DEBE]]+tbal[[#This Row],[HABER]]=0,"","X")</f>
        <v/>
      </c>
      <c r="E2643" s="16">
        <f>SUMIF(tdiario[CUENTA],tbal[[#This Row],[CUENTA]],tdiario[DEBE])</f>
        <v>0</v>
      </c>
      <c r="F2643" s="17">
        <f>SUMIF(tdiario[CUENTA],tbal[[#This Row],[CUENTA]],tdiario[HABER])</f>
        <v>0</v>
      </c>
      <c r="G2643" s="16">
        <f>IF(tbal[[#This Row],[DEBE]]-tbal[[#This Row],[HABER]]&gt;0,tbal[[#This Row],[DEBE]]-tbal[[#This Row],[HABER]],0)</f>
        <v>0</v>
      </c>
      <c r="H2643" s="18">
        <f>IF(tbal[[#This Row],[HABER]]-tbal[[#This Row],[DEBE]]&gt;0,tbal[[#This Row],[HABER]]-tbal[[#This Row],[DEBE]],0)</f>
        <v>0</v>
      </c>
      <c r="I2643" s="16">
        <f>IF((OR(tbal[[#This Row],[X]]=1,tbal[[#This Row],[X]]=2)),tbal[[#This Row],[DEUDOR]],0)</f>
        <v>0</v>
      </c>
      <c r="J2643" s="18">
        <f>IF((OR(tbal[[#This Row],[X]]=2,tbal[[#This Row],[X]]=3)),tbal[[#This Row],[ACREEDOR]],0)</f>
        <v>0</v>
      </c>
      <c r="K2643" s="16">
        <f>IF((OR(tbal[[#This Row],[X]]=3,tbal[[#This Row],[X]]=5)),tbal[[#This Row],[DEUDOR]],0)</f>
        <v>0</v>
      </c>
      <c r="L2643" s="18">
        <f>IF((OR(tbal[[#This Row],[X]]=3,tbal[[#This Row],[X]]=4)),tbal[[#This Row],[ACREEDOR]],0)</f>
        <v>0</v>
      </c>
      <c r="M2643" s="16">
        <f>IF((OR(tbal[[#This Row],[X]]=0,tbal[[#This Row],[X]]=6)),tbal[[#This Row],[DEUDOR]],0)</f>
        <v>0</v>
      </c>
      <c r="N2643" s="18">
        <f>IF((OR(tbal[[#This Row],[X]]=0,tbal[[#This Row],[X]]=5)),tbal[[#This Row],[ACREEDOR]],0)</f>
        <v>0</v>
      </c>
    </row>
    <row r="2644" spans="1:14" x14ac:dyDescent="0.3">
      <c r="A2644" s="14">
        <f>+'PLAN DE CUENTAS'!A2644</f>
        <v>0</v>
      </c>
      <c r="B2644" s="13">
        <f>+'PLAN DE CUENTAS'!B2644</f>
        <v>0</v>
      </c>
      <c r="C2644" s="13">
        <f>+'PLAN DE CUENTAS'!C2644</f>
        <v>0</v>
      </c>
      <c r="D2644" t="str">
        <f>IF(tbal[[#This Row],[DEBE]]+tbal[[#This Row],[HABER]]=0,"","X")</f>
        <v/>
      </c>
      <c r="E2644" s="16">
        <f>SUMIF(tdiario[CUENTA],tbal[[#This Row],[CUENTA]],tdiario[DEBE])</f>
        <v>0</v>
      </c>
      <c r="F2644" s="17">
        <f>SUMIF(tdiario[CUENTA],tbal[[#This Row],[CUENTA]],tdiario[HABER])</f>
        <v>0</v>
      </c>
      <c r="G2644" s="16">
        <f>IF(tbal[[#This Row],[DEBE]]-tbal[[#This Row],[HABER]]&gt;0,tbal[[#This Row],[DEBE]]-tbal[[#This Row],[HABER]],0)</f>
        <v>0</v>
      </c>
      <c r="H2644" s="18">
        <f>IF(tbal[[#This Row],[HABER]]-tbal[[#This Row],[DEBE]]&gt;0,tbal[[#This Row],[HABER]]-tbal[[#This Row],[DEBE]],0)</f>
        <v>0</v>
      </c>
      <c r="I2644" s="16">
        <f>IF((OR(tbal[[#This Row],[X]]=1,tbal[[#This Row],[X]]=2)),tbal[[#This Row],[DEUDOR]],0)</f>
        <v>0</v>
      </c>
      <c r="J2644" s="18">
        <f>IF((OR(tbal[[#This Row],[X]]=2,tbal[[#This Row],[X]]=3)),tbal[[#This Row],[ACREEDOR]],0)</f>
        <v>0</v>
      </c>
      <c r="K2644" s="16">
        <f>IF((OR(tbal[[#This Row],[X]]=3,tbal[[#This Row],[X]]=5)),tbal[[#This Row],[DEUDOR]],0)</f>
        <v>0</v>
      </c>
      <c r="L2644" s="18">
        <f>IF((OR(tbal[[#This Row],[X]]=3,tbal[[#This Row],[X]]=4)),tbal[[#This Row],[ACREEDOR]],0)</f>
        <v>0</v>
      </c>
      <c r="M2644" s="16">
        <f>IF((OR(tbal[[#This Row],[X]]=0,tbal[[#This Row],[X]]=6)),tbal[[#This Row],[DEUDOR]],0)</f>
        <v>0</v>
      </c>
      <c r="N2644" s="18">
        <f>IF((OR(tbal[[#This Row],[X]]=0,tbal[[#This Row],[X]]=5)),tbal[[#This Row],[ACREEDOR]],0)</f>
        <v>0</v>
      </c>
    </row>
    <row r="2645" spans="1:14" x14ac:dyDescent="0.3">
      <c r="A2645" s="25"/>
      <c r="B2645" s="26" t="s">
        <v>32</v>
      </c>
      <c r="C2645" s="26"/>
      <c r="D2645" s="26"/>
      <c r="E2645" s="15">
        <f>SUBTOTAL(109,tbal[DEBE])</f>
        <v>1701215.4</v>
      </c>
      <c r="F2645" s="15">
        <f>SUBTOTAL(109,tbal[HABER])</f>
        <v>1701215.4000000001</v>
      </c>
      <c r="G2645" s="15">
        <f>SUBTOTAL(109,tbal[DEUDOR])</f>
        <v>1094864.6000000001</v>
      </c>
      <c r="H2645" s="15">
        <f>SUBTOTAL(109,tbal[ACREEDOR])</f>
        <v>1094864.6000000001</v>
      </c>
      <c r="I2645" s="15">
        <f>SUM(tbal[ACTIVO])</f>
        <v>1010734.35</v>
      </c>
      <c r="J2645" s="15">
        <f>SUM(tbal[PASIVO])</f>
        <v>521900</v>
      </c>
      <c r="K2645" s="15">
        <f>SUBTOTAL(109,tbal[PERDIDA])</f>
        <v>0</v>
      </c>
      <c r="L2645" s="15">
        <f>SUBTOTAL(109,tbal[GANACIA])</f>
        <v>334000</v>
      </c>
      <c r="M2645" s="12">
        <f>SUBTOTAL(109,tbal[PERDIDA2])</f>
        <v>84130.25</v>
      </c>
      <c r="N2645" s="12">
        <f>SUBTOTAL(109,tbal[GANACIA3])</f>
        <v>572964.6</v>
      </c>
    </row>
    <row r="2646" spans="1:14" x14ac:dyDescent="0.3">
      <c r="A2646" s="69" t="s">
        <v>247</v>
      </c>
      <c r="B2646" s="70"/>
      <c r="C2646" s="70"/>
      <c r="D2646" s="71"/>
      <c r="E2646" s="23"/>
      <c r="F2646" s="23"/>
      <c r="G2646" s="23"/>
      <c r="H2646" s="23"/>
      <c r="I2646" s="23"/>
      <c r="J2646" s="23">
        <f>M2646</f>
        <v>488834.35</v>
      </c>
      <c r="K2646" s="23"/>
      <c r="L2646" s="23"/>
      <c r="M2646" s="23">
        <f>tbal[[#Totals],[GANACIA3]]-tbal[[#Totals],[PERDIDA2]]</f>
        <v>488834.35</v>
      </c>
      <c r="N2646" s="23"/>
    </row>
    <row r="2647" spans="1:14" x14ac:dyDescent="0.3">
      <c r="A2647" s="72" t="s">
        <v>32</v>
      </c>
      <c r="B2647" s="73"/>
      <c r="C2647" s="73"/>
      <c r="D2647" s="74"/>
      <c r="E2647" s="24"/>
      <c r="F2647" s="24"/>
      <c r="G2647" s="24"/>
      <c r="H2647" s="24"/>
      <c r="I2647" s="40">
        <f>tbal[[#Totals],[ACTIVO]]</f>
        <v>1010734.35</v>
      </c>
      <c r="J2647" s="40">
        <f>tbal[[#Totals],[PASIVO]]+J2646</f>
        <v>1010734.35</v>
      </c>
      <c r="K2647" s="24"/>
      <c r="L2647" s="24"/>
      <c r="M2647" s="41">
        <f>tbal[[#Totals],[PERDIDA2]]+M2646</f>
        <v>572964.6</v>
      </c>
      <c r="N2647" s="41">
        <f>tbal[[#Totals],[GANACIA3]]</f>
        <v>572964.6</v>
      </c>
    </row>
  </sheetData>
  <mergeCells count="7">
    <mergeCell ref="K3:L3"/>
    <mergeCell ref="M3:N3"/>
    <mergeCell ref="A2646:D2646"/>
    <mergeCell ref="A2647:D2647"/>
    <mergeCell ref="E3:F3"/>
    <mergeCell ref="G3:H3"/>
    <mergeCell ref="I3:J3"/>
  </mergeCells>
  <pageMargins left="0.7" right="0.7" top="0.75" bottom="0.75" header="0.3" footer="0.3"/>
  <pageSetup paperSize="9" scale="60" orientation="landscape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52E-95C6-434C-837A-10E85BB629BA}">
  <dimension ref="B2:G40"/>
  <sheetViews>
    <sheetView topLeftCell="A14" workbookViewId="0">
      <selection activeCell="G30" sqref="G30"/>
    </sheetView>
  </sheetViews>
  <sheetFormatPr baseColWidth="10" defaultRowHeight="14.4" x14ac:dyDescent="0.3"/>
  <cols>
    <col min="2" max="2" width="23.109375" customWidth="1"/>
    <col min="4" max="4" width="13.33203125" style="47" bestFit="1" customWidth="1"/>
    <col min="5" max="6" width="11.5546875" style="47"/>
    <col min="7" max="7" width="11.5546875" style="48"/>
  </cols>
  <sheetData>
    <row r="2" spans="2:6" x14ac:dyDescent="0.3">
      <c r="C2" s="13" t="s">
        <v>246</v>
      </c>
    </row>
    <row r="3" spans="2:6" x14ac:dyDescent="0.3">
      <c r="C3" t="s">
        <v>289</v>
      </c>
    </row>
    <row r="4" spans="2:6" x14ac:dyDescent="0.3">
      <c r="C4" t="s">
        <v>290</v>
      </c>
    </row>
    <row r="6" spans="2:6" x14ac:dyDescent="0.3">
      <c r="B6" s="13" t="s">
        <v>16</v>
      </c>
    </row>
    <row r="7" spans="2:6" x14ac:dyDescent="0.3">
      <c r="B7" s="43" t="str">
        <f>+'PLAN DE CUENTAS'!B6</f>
        <v>ACTIVO CORRIENTE</v>
      </c>
      <c r="C7" s="44"/>
      <c r="F7" s="49">
        <f>E8+E12+E15</f>
        <v>777424.35</v>
      </c>
    </row>
    <row r="8" spans="2:6" x14ac:dyDescent="0.3">
      <c r="B8" s="43" t="str">
        <f>+'PLAN DE CUENTAS'!B7</f>
        <v>ACTIVO DISPONIBLE</v>
      </c>
      <c r="C8" s="44"/>
      <c r="E8" s="50">
        <v>320284.34999999998</v>
      </c>
    </row>
    <row r="9" spans="2:6" x14ac:dyDescent="0.3">
      <c r="B9" s="43" t="str">
        <f>+'PLAN DE CUENTAS'!B8</f>
        <v>CAJA MONEDA NACIONAL</v>
      </c>
      <c r="C9" s="44"/>
      <c r="D9" s="50">
        <v>320284.34999999998</v>
      </c>
    </row>
    <row r="12" spans="2:6" x14ac:dyDescent="0.3">
      <c r="B12" s="42" t="s">
        <v>56</v>
      </c>
      <c r="E12" s="50">
        <v>88000</v>
      </c>
    </row>
    <row r="13" spans="2:6" x14ac:dyDescent="0.3">
      <c r="B13" s="45" t="s">
        <v>58</v>
      </c>
      <c r="D13" s="50">
        <v>88000</v>
      </c>
    </row>
    <row r="15" spans="2:6" x14ac:dyDescent="0.3">
      <c r="B15" s="13" t="s">
        <v>30</v>
      </c>
      <c r="E15" s="50">
        <v>369140</v>
      </c>
    </row>
    <row r="16" spans="2:6" x14ac:dyDescent="0.3">
      <c r="B16" s="13" t="s">
        <v>79</v>
      </c>
      <c r="D16" s="47">
        <v>89000</v>
      </c>
    </row>
    <row r="17" spans="2:7" x14ac:dyDescent="0.3">
      <c r="B17" s="13" t="s">
        <v>29</v>
      </c>
      <c r="D17" s="50">
        <v>280140</v>
      </c>
    </row>
    <row r="19" spans="2:7" x14ac:dyDescent="0.3">
      <c r="B19" s="13" t="s">
        <v>87</v>
      </c>
      <c r="F19" s="49">
        <v>233310</v>
      </c>
    </row>
    <row r="20" spans="2:7" x14ac:dyDescent="0.3">
      <c r="B20" s="13" t="s">
        <v>89</v>
      </c>
      <c r="E20" s="50">
        <v>233310</v>
      </c>
    </row>
    <row r="21" spans="2:7" x14ac:dyDescent="0.3">
      <c r="B21" s="46" t="s">
        <v>91</v>
      </c>
      <c r="D21" s="47">
        <v>35000</v>
      </c>
    </row>
    <row r="22" spans="2:7" x14ac:dyDescent="0.3">
      <c r="B22" s="46" t="s">
        <v>93</v>
      </c>
      <c r="D22" s="47">
        <v>99000</v>
      </c>
    </row>
    <row r="23" spans="2:7" x14ac:dyDescent="0.3">
      <c r="B23" s="46" t="s">
        <v>95</v>
      </c>
      <c r="D23" s="47">
        <v>23000</v>
      </c>
    </row>
    <row r="24" spans="2:7" x14ac:dyDescent="0.3">
      <c r="B24" s="46" t="s">
        <v>97</v>
      </c>
      <c r="D24" s="47">
        <v>65000</v>
      </c>
    </row>
    <row r="25" spans="2:7" x14ac:dyDescent="0.3">
      <c r="B25" s="46" t="s">
        <v>99</v>
      </c>
      <c r="D25" s="50">
        <v>11310</v>
      </c>
    </row>
    <row r="27" spans="2:7" x14ac:dyDescent="0.3">
      <c r="B27" s="75" t="s">
        <v>291</v>
      </c>
      <c r="C27" s="76"/>
      <c r="D27" s="76"/>
      <c r="E27" s="76"/>
      <c r="F27" s="76"/>
      <c r="G27" s="51">
        <f>F19+F7</f>
        <v>1010734.35</v>
      </c>
    </row>
    <row r="29" spans="2:7" x14ac:dyDescent="0.3">
      <c r="B29" s="13" t="s">
        <v>292</v>
      </c>
      <c r="G29" s="47">
        <f>F30+F36</f>
        <v>1010734.35</v>
      </c>
    </row>
    <row r="30" spans="2:7" x14ac:dyDescent="0.3">
      <c r="B30" s="13" t="s">
        <v>17</v>
      </c>
      <c r="F30" s="47">
        <f>SUM(E31:E33)</f>
        <v>187900</v>
      </c>
    </row>
    <row r="31" spans="2:7" x14ac:dyDescent="0.3">
      <c r="B31" s="13" t="s">
        <v>120</v>
      </c>
      <c r="E31" s="50">
        <f>SUM(D32:D34)</f>
        <v>187900</v>
      </c>
    </row>
    <row r="32" spans="2:7" x14ac:dyDescent="0.3">
      <c r="B32" t="s">
        <v>122</v>
      </c>
      <c r="D32" s="47">
        <v>49000</v>
      </c>
    </row>
    <row r="33" spans="2:7" x14ac:dyDescent="0.3">
      <c r="B33" s="46" t="s">
        <v>126</v>
      </c>
      <c r="D33" s="47">
        <v>120000</v>
      </c>
    </row>
    <row r="34" spans="2:7" x14ac:dyDescent="0.3">
      <c r="B34" s="46" t="s">
        <v>157</v>
      </c>
      <c r="D34" s="50">
        <v>18900</v>
      </c>
    </row>
    <row r="36" spans="2:7" x14ac:dyDescent="0.3">
      <c r="B36" s="13" t="s">
        <v>190</v>
      </c>
      <c r="F36" s="47">
        <f>D37+D38</f>
        <v>822834.35</v>
      </c>
    </row>
    <row r="37" spans="2:7" x14ac:dyDescent="0.3">
      <c r="B37" s="46" t="s">
        <v>27</v>
      </c>
      <c r="D37" s="47">
        <v>334000</v>
      </c>
    </row>
    <row r="38" spans="2:7" x14ac:dyDescent="0.3">
      <c r="B38" s="46" t="s">
        <v>193</v>
      </c>
      <c r="D38" s="52">
        <v>488834.35</v>
      </c>
    </row>
    <row r="40" spans="2:7" x14ac:dyDescent="0.3">
      <c r="B40" s="75" t="s">
        <v>292</v>
      </c>
      <c r="C40" s="75"/>
      <c r="D40" s="75"/>
      <c r="E40" s="75"/>
      <c r="F40" s="75"/>
      <c r="G40" s="51">
        <f>G29</f>
        <v>1010734.35</v>
      </c>
    </row>
  </sheetData>
  <mergeCells count="2">
    <mergeCell ref="B27:F27"/>
    <mergeCell ref="B40:F40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52DC-E899-46B6-8044-3451C7BFEA65}">
  <dimension ref="A2:N27"/>
  <sheetViews>
    <sheetView tabSelected="1" topLeftCell="A3" workbookViewId="0">
      <selection activeCell="B22" sqref="B22"/>
    </sheetView>
  </sheetViews>
  <sheetFormatPr baseColWidth="10" defaultRowHeight="14.4" x14ac:dyDescent="0.3"/>
  <cols>
    <col min="1" max="1" width="11.5546875" style="57"/>
    <col min="2" max="2" width="29.21875" customWidth="1"/>
    <col min="3" max="3" width="13.109375" customWidth="1"/>
    <col min="4" max="13" width="11.5546875" style="53"/>
    <col min="14" max="14" width="11.5546875" style="54"/>
  </cols>
  <sheetData>
    <row r="2" spans="1:10" x14ac:dyDescent="0.3">
      <c r="B2" s="79" t="s">
        <v>239</v>
      </c>
      <c r="C2" s="79"/>
      <c r="D2" s="79"/>
    </row>
    <row r="3" spans="1:10" x14ac:dyDescent="0.3">
      <c r="B3" s="79" t="s">
        <v>293</v>
      </c>
      <c r="C3" s="79"/>
      <c r="D3" s="79"/>
    </row>
    <row r="4" spans="1:10" x14ac:dyDescent="0.3">
      <c r="B4" s="79" t="s">
        <v>290</v>
      </c>
      <c r="C4" s="79"/>
      <c r="D4" s="79"/>
      <c r="J4" s="55"/>
    </row>
    <row r="6" spans="1:10" x14ac:dyDescent="0.3">
      <c r="F6" s="61">
        <f>SUM(E7:E9)</f>
        <v>572964.6</v>
      </c>
      <c r="J6" s="55"/>
    </row>
    <row r="7" spans="1:10" x14ac:dyDescent="0.3">
      <c r="B7" s="13" t="s">
        <v>31</v>
      </c>
      <c r="E7" s="56">
        <v>548100</v>
      </c>
    </row>
    <row r="9" spans="1:10" x14ac:dyDescent="0.3">
      <c r="A9" s="57" t="s">
        <v>296</v>
      </c>
      <c r="B9" s="13" t="s">
        <v>294</v>
      </c>
      <c r="E9" s="56">
        <v>24864.6</v>
      </c>
    </row>
    <row r="10" spans="1:10" x14ac:dyDescent="0.3">
      <c r="B10" t="s">
        <v>204</v>
      </c>
      <c r="D10" s="53">
        <v>1374.6</v>
      </c>
    </row>
    <row r="11" spans="1:10" x14ac:dyDescent="0.3">
      <c r="B11" t="s">
        <v>206</v>
      </c>
      <c r="D11" s="56">
        <v>23490</v>
      </c>
    </row>
    <row r="13" spans="1:10" x14ac:dyDescent="0.3">
      <c r="B13" s="77" t="s">
        <v>295</v>
      </c>
      <c r="C13" s="77"/>
      <c r="D13" s="77"/>
      <c r="E13" s="56">
        <v>572964.6</v>
      </c>
    </row>
    <row r="14" spans="1:10" x14ac:dyDescent="0.3">
      <c r="E14" s="58"/>
      <c r="F14" s="61">
        <f>E15+E21</f>
        <v>84130.25</v>
      </c>
    </row>
    <row r="15" spans="1:10" x14ac:dyDescent="0.3">
      <c r="A15" s="57" t="s">
        <v>297</v>
      </c>
      <c r="B15" s="13" t="s">
        <v>298</v>
      </c>
      <c r="E15" s="56">
        <f>D16+D17+D18+D19</f>
        <v>71080.25</v>
      </c>
    </row>
    <row r="16" spans="1:10" x14ac:dyDescent="0.3">
      <c r="B16" t="s">
        <v>227</v>
      </c>
      <c r="D16" s="53">
        <v>1044</v>
      </c>
    </row>
    <row r="17" spans="1:6" x14ac:dyDescent="0.3">
      <c r="B17" t="s">
        <v>251</v>
      </c>
      <c r="D17" s="53">
        <v>1136.25</v>
      </c>
    </row>
    <row r="18" spans="1:6" x14ac:dyDescent="0.3">
      <c r="B18" t="s">
        <v>243</v>
      </c>
      <c r="D18" s="53">
        <v>18900</v>
      </c>
    </row>
    <row r="19" spans="1:6" x14ac:dyDescent="0.3">
      <c r="B19" t="s">
        <v>280</v>
      </c>
      <c r="D19" s="56">
        <v>50000</v>
      </c>
    </row>
    <row r="21" spans="1:6" x14ac:dyDescent="0.3">
      <c r="A21" s="57" t="s">
        <v>297</v>
      </c>
      <c r="B21" t="s">
        <v>299</v>
      </c>
      <c r="E21" s="56">
        <f>D22+D23</f>
        <v>13050</v>
      </c>
    </row>
    <row r="22" spans="1:6" x14ac:dyDescent="0.3">
      <c r="B22" t="s">
        <v>221</v>
      </c>
      <c r="D22" s="53">
        <v>10440</v>
      </c>
    </row>
    <row r="23" spans="1:6" x14ac:dyDescent="0.3">
      <c r="B23" t="s">
        <v>222</v>
      </c>
      <c r="D23" s="56">
        <v>2610</v>
      </c>
    </row>
    <row r="25" spans="1:6" x14ac:dyDescent="0.3">
      <c r="B25" s="78" t="s">
        <v>193</v>
      </c>
      <c r="C25" s="78"/>
      <c r="D25" s="78"/>
      <c r="F25" s="53">
        <v>488834.35</v>
      </c>
    </row>
    <row r="26" spans="1:6" x14ac:dyDescent="0.3">
      <c r="B26" s="78" t="s">
        <v>300</v>
      </c>
      <c r="C26" s="78"/>
      <c r="D26" s="78"/>
      <c r="F26" s="53">
        <v>122208.58749999999</v>
      </c>
    </row>
    <row r="27" spans="1:6" x14ac:dyDescent="0.3">
      <c r="B27" s="78" t="s">
        <v>301</v>
      </c>
      <c r="C27" s="78"/>
      <c r="D27" s="78"/>
      <c r="F27" s="56">
        <v>366625.76249999995</v>
      </c>
    </row>
  </sheetData>
  <mergeCells count="7">
    <mergeCell ref="B13:D13"/>
    <mergeCell ref="B25:D25"/>
    <mergeCell ref="B26:D26"/>
    <mergeCell ref="B27:D27"/>
    <mergeCell ref="B2:D2"/>
    <mergeCell ref="B3:D3"/>
    <mergeCell ref="B4:D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DE CUENTAS</vt:lpstr>
      <vt:lpstr>DIARIO</vt:lpstr>
      <vt:lpstr>HOJA DE TRABAJO</vt:lpstr>
      <vt:lpstr>BALANCE GENERAL</vt:lpstr>
      <vt:lpstr>ESTADO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Pedro Antonio Lopez Chumacero</cp:lastModifiedBy>
  <cp:lastPrinted>2021-02-25T15:04:16Z</cp:lastPrinted>
  <dcterms:created xsi:type="dcterms:W3CDTF">2021-02-21T00:29:16Z</dcterms:created>
  <dcterms:modified xsi:type="dcterms:W3CDTF">2025-12-11T23:58:32Z</dcterms:modified>
</cp:coreProperties>
</file>